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45" documentId="8_{6EB8DC0A-AB56-415F-A9F3-EA1534264548}" xr6:coauthVersionLast="47" xr6:coauthVersionMax="47" xr10:uidLastSave="{1FDC4E9F-5C6A-4B57-A6AD-0B3BE9B48A0E}"/>
  <bookViews>
    <workbookView xWindow="-120" yWindow="-120" windowWidth="29040" windowHeight="15720" xr2:uid="{8B9F1886-173A-4475-B0CF-D9F36CE30773}"/>
  </bookViews>
  <sheets>
    <sheet name="처방전양식 (12)" sheetId="17" r:id="rId1"/>
    <sheet name="처방전양식 (11)" sheetId="16" r:id="rId2"/>
    <sheet name="처방전양식 (10)" sheetId="14" r:id="rId3"/>
    <sheet name="처방전양식 (9)" sheetId="13" r:id="rId4"/>
    <sheet name="처방전양식 (8)" sheetId="12" r:id="rId5"/>
    <sheet name="처방전양식 (7)" sheetId="11" r:id="rId6"/>
    <sheet name="처방전양식 (6)" sheetId="10" r:id="rId7"/>
    <sheet name="처방전양식 (5)" sheetId="9" r:id="rId8"/>
    <sheet name="처방전양식 (4)" sheetId="8" r:id="rId9"/>
    <sheet name="처방전양식 (3)" sheetId="7" r:id="rId10"/>
    <sheet name="처방전양식 (2)" sheetId="6" r:id="rId11"/>
    <sheet name="처방전양식" sheetId="4" r:id="rId12"/>
    <sheet name="약재관리" sheetId="5"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7" l="1"/>
  <c r="H24" i="17" s="1"/>
  <c r="H31" i="17"/>
  <c r="F31" i="17"/>
  <c r="I31" i="17" s="1"/>
  <c r="H30" i="17"/>
  <c r="F30" i="17"/>
  <c r="I30" i="17" s="1"/>
  <c r="H29" i="17"/>
  <c r="F29" i="17"/>
  <c r="I29" i="17" s="1"/>
  <c r="I28" i="17"/>
  <c r="H28" i="17"/>
  <c r="F28" i="17"/>
  <c r="H27" i="17"/>
  <c r="F27" i="17"/>
  <c r="I27" i="17" s="1"/>
  <c r="H26" i="17"/>
  <c r="F26" i="17"/>
  <c r="I26" i="17" s="1"/>
  <c r="H25" i="17"/>
  <c r="F25" i="17"/>
  <c r="I25" i="17" s="1"/>
  <c r="F24" i="17"/>
  <c r="G23" i="17"/>
  <c r="F23" i="17"/>
  <c r="G22" i="17"/>
  <c r="F22" i="17"/>
  <c r="G21" i="17"/>
  <c r="H21" i="17" s="1"/>
  <c r="F21" i="17"/>
  <c r="H20" i="17"/>
  <c r="G20" i="17"/>
  <c r="I20" i="17" s="1"/>
  <c r="F20" i="17"/>
  <c r="G19" i="17"/>
  <c r="I19" i="17" s="1"/>
  <c r="F19" i="17"/>
  <c r="L18" i="17"/>
  <c r="L19" i="17" s="1"/>
  <c r="L20" i="17" s="1"/>
  <c r="G18" i="17"/>
  <c r="I18" i="17" s="1"/>
  <c r="F18" i="17"/>
  <c r="G17" i="17"/>
  <c r="I17" i="17" s="1"/>
  <c r="F17" i="17"/>
  <c r="G16" i="17"/>
  <c r="I16" i="17" s="1"/>
  <c r="F16" i="17"/>
  <c r="G15" i="17"/>
  <c r="I15" i="17" s="1"/>
  <c r="F15" i="17"/>
  <c r="G14" i="17"/>
  <c r="I14" i="17" s="1"/>
  <c r="F14" i="17"/>
  <c r="G13" i="17"/>
  <c r="I13" i="17" s="1"/>
  <c r="F13" i="17"/>
  <c r="G12" i="17"/>
  <c r="I12" i="17" s="1"/>
  <c r="F12" i="17"/>
  <c r="G11" i="17"/>
  <c r="I11" i="17" s="1"/>
  <c r="F11" i="17"/>
  <c r="G10" i="17"/>
  <c r="I10" i="17" s="1"/>
  <c r="F10" i="17"/>
  <c r="G9" i="17"/>
  <c r="I9" i="17" s="1"/>
  <c r="F9" i="17"/>
  <c r="G8" i="17"/>
  <c r="I8" i="17" s="1"/>
  <c r="F8" i="17"/>
  <c r="G7" i="17"/>
  <c r="I7" i="17" s="1"/>
  <c r="F7" i="17"/>
  <c r="G6" i="17"/>
  <c r="I6" i="17" s="1"/>
  <c r="F6" i="17"/>
  <c r="G5" i="17"/>
  <c r="I5" i="17" s="1"/>
  <c r="F5" i="17"/>
  <c r="G4" i="17"/>
  <c r="I4" i="17" s="1"/>
  <c r="F4" i="17"/>
  <c r="G3" i="17"/>
  <c r="I3" i="17" s="1"/>
  <c r="F3" i="17"/>
  <c r="G2" i="17"/>
  <c r="I2" i="17" s="1"/>
  <c r="F2" i="17"/>
  <c r="L20" i="16"/>
  <c r="I31" i="16"/>
  <c r="H31" i="16"/>
  <c r="F31" i="16"/>
  <c r="H30" i="16"/>
  <c r="F30" i="16"/>
  <c r="I30" i="16" s="1"/>
  <c r="I29" i="16"/>
  <c r="H29" i="16"/>
  <c r="F29" i="16"/>
  <c r="I28" i="16"/>
  <c r="H28" i="16"/>
  <c r="F28" i="16"/>
  <c r="I27" i="16"/>
  <c r="H27" i="16"/>
  <c r="F27" i="16"/>
  <c r="H26" i="16"/>
  <c r="F26" i="16"/>
  <c r="I26" i="16" s="1"/>
  <c r="I25" i="16"/>
  <c r="H25" i="16"/>
  <c r="F25" i="16"/>
  <c r="I24" i="16"/>
  <c r="H24" i="16"/>
  <c r="F24" i="16"/>
  <c r="G23" i="16"/>
  <c r="F23" i="16"/>
  <c r="G22" i="16"/>
  <c r="F22" i="16"/>
  <c r="G21" i="16"/>
  <c r="H21" i="16" s="1"/>
  <c r="F21" i="16"/>
  <c r="G20" i="16"/>
  <c r="H20" i="16" s="1"/>
  <c r="F20" i="16"/>
  <c r="G19" i="16"/>
  <c r="H19" i="16" s="1"/>
  <c r="F19" i="16"/>
  <c r="L18" i="16"/>
  <c r="L19" i="16" s="1"/>
  <c r="G18" i="16"/>
  <c r="I18" i="16" s="1"/>
  <c r="F18" i="16"/>
  <c r="G17" i="16"/>
  <c r="I17" i="16" s="1"/>
  <c r="F17" i="16"/>
  <c r="G16" i="16"/>
  <c r="I16" i="16" s="1"/>
  <c r="F16" i="16"/>
  <c r="G15" i="16"/>
  <c r="I15" i="16" s="1"/>
  <c r="F15" i="16"/>
  <c r="G14" i="16"/>
  <c r="I14" i="16" s="1"/>
  <c r="F14" i="16"/>
  <c r="G13" i="16"/>
  <c r="I13" i="16" s="1"/>
  <c r="F13" i="16"/>
  <c r="G12" i="16"/>
  <c r="I12" i="16" s="1"/>
  <c r="F12" i="16"/>
  <c r="G11" i="16"/>
  <c r="I11" i="16" s="1"/>
  <c r="F11" i="16"/>
  <c r="G10" i="16"/>
  <c r="F10" i="16"/>
  <c r="G9" i="16"/>
  <c r="I9" i="16" s="1"/>
  <c r="F9" i="16"/>
  <c r="G8" i="16"/>
  <c r="I8" i="16" s="1"/>
  <c r="F8" i="16"/>
  <c r="G7" i="16"/>
  <c r="I7" i="16" s="1"/>
  <c r="F7" i="16"/>
  <c r="G6" i="16"/>
  <c r="I6" i="16" s="1"/>
  <c r="F6" i="16"/>
  <c r="G5" i="16"/>
  <c r="H5" i="16" s="1"/>
  <c r="F5" i="16"/>
  <c r="G4" i="16"/>
  <c r="I4" i="16" s="1"/>
  <c r="F4" i="16"/>
  <c r="G3" i="16"/>
  <c r="I3" i="16" s="1"/>
  <c r="F3" i="16"/>
  <c r="G2" i="16"/>
  <c r="I2" i="16" s="1"/>
  <c r="F2" i="16"/>
  <c r="L20" i="14"/>
  <c r="F16" i="14"/>
  <c r="I31" i="14"/>
  <c r="H31" i="14"/>
  <c r="F31" i="14"/>
  <c r="I30" i="14"/>
  <c r="H30" i="14"/>
  <c r="F30" i="14"/>
  <c r="I29" i="14"/>
  <c r="H29" i="14"/>
  <c r="F29" i="14"/>
  <c r="I28" i="14"/>
  <c r="H28" i="14"/>
  <c r="F28" i="14"/>
  <c r="H27" i="14"/>
  <c r="F27" i="14"/>
  <c r="I27" i="14" s="1"/>
  <c r="I26" i="14"/>
  <c r="H26" i="14"/>
  <c r="F26" i="14"/>
  <c r="I25" i="14"/>
  <c r="H25" i="14"/>
  <c r="F25" i="14"/>
  <c r="I24" i="14"/>
  <c r="H24" i="14"/>
  <c r="F24" i="14"/>
  <c r="H23" i="14"/>
  <c r="F23" i="14"/>
  <c r="I22" i="14"/>
  <c r="F22" i="14"/>
  <c r="G21" i="14"/>
  <c r="H21" i="14" s="1"/>
  <c r="F21" i="14"/>
  <c r="G20" i="14"/>
  <c r="H20" i="14" s="1"/>
  <c r="F20" i="14"/>
  <c r="G19" i="14"/>
  <c r="F19" i="14"/>
  <c r="L18" i="14"/>
  <c r="L19" i="14" s="1"/>
  <c r="G18" i="14"/>
  <c r="F18" i="14"/>
  <c r="G17" i="14"/>
  <c r="F17" i="14"/>
  <c r="G16" i="14"/>
  <c r="G15" i="14"/>
  <c r="I15" i="14" s="1"/>
  <c r="F15" i="14"/>
  <c r="G14" i="14"/>
  <c r="I14" i="14" s="1"/>
  <c r="F14" i="14"/>
  <c r="G13" i="14"/>
  <c r="H13" i="14" s="1"/>
  <c r="F13" i="14"/>
  <c r="G12" i="14"/>
  <c r="I12" i="14" s="1"/>
  <c r="F12" i="14"/>
  <c r="G11" i="14"/>
  <c r="I11" i="14" s="1"/>
  <c r="F11" i="14"/>
  <c r="F10" i="14"/>
  <c r="G9" i="14"/>
  <c r="I9" i="14" s="1"/>
  <c r="F9" i="14"/>
  <c r="G8" i="14"/>
  <c r="I8" i="14" s="1"/>
  <c r="F8" i="14"/>
  <c r="G7" i="14"/>
  <c r="I7" i="14" s="1"/>
  <c r="F7" i="14"/>
  <c r="G6" i="14"/>
  <c r="F6" i="14"/>
  <c r="G5" i="14"/>
  <c r="F5" i="14"/>
  <c r="G4" i="14"/>
  <c r="I4" i="14" s="1"/>
  <c r="F4" i="14"/>
  <c r="G3" i="14"/>
  <c r="I3" i="14" s="1"/>
  <c r="F3" i="14"/>
  <c r="G2" i="14"/>
  <c r="I2" i="14" s="1"/>
  <c r="F2" i="14"/>
  <c r="G3" i="13"/>
  <c r="G4" i="13"/>
  <c r="G5" i="13"/>
  <c r="G6" i="13"/>
  <c r="G7" i="13"/>
  <c r="G8" i="13"/>
  <c r="G9" i="13"/>
  <c r="G10" i="13"/>
  <c r="G11" i="13"/>
  <c r="G12" i="13"/>
  <c r="G13" i="13"/>
  <c r="G14" i="13"/>
  <c r="G15" i="13"/>
  <c r="G16" i="13"/>
  <c r="G17" i="13"/>
  <c r="G18" i="13"/>
  <c r="G19" i="13"/>
  <c r="G20" i="13"/>
  <c r="G21" i="13"/>
  <c r="G22" i="13"/>
  <c r="G23" i="13"/>
  <c r="G2" i="13"/>
  <c r="H31" i="13"/>
  <c r="F31" i="13"/>
  <c r="I31" i="13" s="1"/>
  <c r="H30" i="13"/>
  <c r="F30" i="13"/>
  <c r="I30" i="13" s="1"/>
  <c r="H29" i="13"/>
  <c r="F29" i="13"/>
  <c r="I29" i="13" s="1"/>
  <c r="H28" i="13"/>
  <c r="F28" i="13"/>
  <c r="I28" i="13" s="1"/>
  <c r="H27" i="13"/>
  <c r="F27" i="13"/>
  <c r="I27" i="13" s="1"/>
  <c r="H26" i="13"/>
  <c r="F26" i="13"/>
  <c r="I26" i="13" s="1"/>
  <c r="I25" i="13"/>
  <c r="H25" i="13"/>
  <c r="F25" i="13"/>
  <c r="H24" i="13"/>
  <c r="F24" i="13"/>
  <c r="I24" i="13" s="1"/>
  <c r="F23" i="13"/>
  <c r="F22" i="13"/>
  <c r="F21" i="13"/>
  <c r="F20" i="13"/>
  <c r="F19" i="13"/>
  <c r="L18" i="13"/>
  <c r="L19" i="13" s="1"/>
  <c r="L20" i="13" s="1"/>
  <c r="F18" i="13"/>
  <c r="F17" i="13"/>
  <c r="F16" i="13"/>
  <c r="F15" i="13"/>
  <c r="F14" i="13"/>
  <c r="F13" i="13"/>
  <c r="F12" i="13"/>
  <c r="F11" i="13"/>
  <c r="F10" i="13"/>
  <c r="F9" i="13"/>
  <c r="F8" i="13"/>
  <c r="F7" i="13"/>
  <c r="F6" i="13"/>
  <c r="F5" i="13"/>
  <c r="F4" i="13"/>
  <c r="F3" i="13"/>
  <c r="F2" i="13"/>
  <c r="L23" i="13" s="1"/>
  <c r="G23" i="12"/>
  <c r="H23" i="12" s="1"/>
  <c r="H31" i="12"/>
  <c r="F31" i="12"/>
  <c r="I31" i="12" s="1"/>
  <c r="H30" i="12"/>
  <c r="F30" i="12"/>
  <c r="I30" i="12" s="1"/>
  <c r="H29" i="12"/>
  <c r="F29" i="12"/>
  <c r="I29" i="12" s="1"/>
  <c r="H28" i="12"/>
  <c r="F28" i="12"/>
  <c r="I28" i="12" s="1"/>
  <c r="H27" i="12"/>
  <c r="F27" i="12"/>
  <c r="I27" i="12" s="1"/>
  <c r="H26" i="12"/>
  <c r="F26" i="12"/>
  <c r="I26" i="12" s="1"/>
  <c r="H25" i="12"/>
  <c r="F25" i="12"/>
  <c r="I25" i="12" s="1"/>
  <c r="H24" i="12"/>
  <c r="F24" i="12"/>
  <c r="I24" i="12" s="1"/>
  <c r="F23" i="12"/>
  <c r="G22" i="12"/>
  <c r="F22" i="12"/>
  <c r="G21" i="12"/>
  <c r="F21" i="12"/>
  <c r="G20" i="12"/>
  <c r="F20" i="12"/>
  <c r="G19" i="12"/>
  <c r="F19" i="12"/>
  <c r="L18" i="12"/>
  <c r="L19" i="12" s="1"/>
  <c r="L20" i="12" s="1"/>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G20" i="11"/>
  <c r="G14" i="11"/>
  <c r="G15" i="11"/>
  <c r="G16" i="11"/>
  <c r="G17" i="11"/>
  <c r="I17" i="11" s="1"/>
  <c r="G18" i="11"/>
  <c r="G19" i="11"/>
  <c r="H19" i="11" s="1"/>
  <c r="I31" i="11"/>
  <c r="H31" i="11"/>
  <c r="F31" i="11"/>
  <c r="I30" i="11"/>
  <c r="H30" i="11"/>
  <c r="F30" i="11"/>
  <c r="I29" i="11"/>
  <c r="H29" i="11"/>
  <c r="F29" i="11"/>
  <c r="H28" i="11"/>
  <c r="F28" i="11"/>
  <c r="I28" i="11" s="1"/>
  <c r="H27" i="11"/>
  <c r="F27" i="11"/>
  <c r="I27" i="11" s="1"/>
  <c r="I26" i="11"/>
  <c r="H26" i="11"/>
  <c r="F26" i="11"/>
  <c r="I25" i="11"/>
  <c r="H25" i="11"/>
  <c r="F25" i="11"/>
  <c r="I24" i="11"/>
  <c r="H24" i="11"/>
  <c r="F24" i="11"/>
  <c r="H23" i="11"/>
  <c r="F23" i="11"/>
  <c r="I23" i="11" s="1"/>
  <c r="I22" i="11"/>
  <c r="F22" i="11"/>
  <c r="I21" i="11"/>
  <c r="F21" i="11"/>
  <c r="F20" i="11"/>
  <c r="F19" i="11"/>
  <c r="L18" i="11"/>
  <c r="L19" i="11" s="1"/>
  <c r="L20" i="11" s="1"/>
  <c r="F18" i="11"/>
  <c r="F17" i="11"/>
  <c r="F16" i="11"/>
  <c r="F15" i="11"/>
  <c r="F14" i="11"/>
  <c r="G13" i="11"/>
  <c r="F13" i="11"/>
  <c r="G12" i="11"/>
  <c r="F12" i="11"/>
  <c r="G11" i="11"/>
  <c r="I11" i="11" s="1"/>
  <c r="F11" i="11"/>
  <c r="G10" i="11"/>
  <c r="F10" i="11"/>
  <c r="G9" i="11"/>
  <c r="F9" i="11"/>
  <c r="G8" i="11"/>
  <c r="F8" i="11"/>
  <c r="G7" i="11"/>
  <c r="F7" i="11"/>
  <c r="G6" i="11"/>
  <c r="F6" i="11"/>
  <c r="G5" i="11"/>
  <c r="I5" i="11" s="1"/>
  <c r="F5" i="11"/>
  <c r="G4" i="11"/>
  <c r="F4" i="11"/>
  <c r="G3" i="11"/>
  <c r="F3" i="11"/>
  <c r="G2" i="11"/>
  <c r="F2" i="11"/>
  <c r="G22" i="10"/>
  <c r="H31" i="10"/>
  <c r="F31" i="10"/>
  <c r="I31" i="10" s="1"/>
  <c r="H30" i="10"/>
  <c r="F30" i="10"/>
  <c r="I30" i="10" s="1"/>
  <c r="H29" i="10"/>
  <c r="F29" i="10"/>
  <c r="I29" i="10" s="1"/>
  <c r="I28" i="10"/>
  <c r="H28" i="10"/>
  <c r="F28" i="10"/>
  <c r="I27" i="10"/>
  <c r="H27" i="10"/>
  <c r="F27" i="10"/>
  <c r="H26" i="10"/>
  <c r="F26" i="10"/>
  <c r="I26" i="10" s="1"/>
  <c r="H25" i="10"/>
  <c r="F25" i="10"/>
  <c r="I25" i="10" s="1"/>
  <c r="I24" i="10"/>
  <c r="H24" i="10"/>
  <c r="F24" i="10"/>
  <c r="H23" i="10"/>
  <c r="F23" i="10"/>
  <c r="I23" i="10" s="1"/>
  <c r="F22" i="10"/>
  <c r="G21" i="10"/>
  <c r="H21" i="10" s="1"/>
  <c r="F21" i="10"/>
  <c r="G20" i="10"/>
  <c r="F20" i="10"/>
  <c r="G19" i="10"/>
  <c r="F19" i="10"/>
  <c r="L18" i="10"/>
  <c r="L19" i="10" s="1"/>
  <c r="L20" i="10" s="1"/>
  <c r="G18" i="10"/>
  <c r="F18" i="10"/>
  <c r="G17" i="10"/>
  <c r="F17" i="10"/>
  <c r="G16" i="10"/>
  <c r="F16" i="10"/>
  <c r="G15" i="10"/>
  <c r="I15" i="10" s="1"/>
  <c r="F15" i="10"/>
  <c r="G14" i="10"/>
  <c r="I14" i="10" s="1"/>
  <c r="F14" i="10"/>
  <c r="G13" i="10"/>
  <c r="I13" i="10" s="1"/>
  <c r="F13" i="10"/>
  <c r="G12" i="10"/>
  <c r="I12" i="10" s="1"/>
  <c r="F12" i="10"/>
  <c r="G11" i="10"/>
  <c r="I11" i="10" s="1"/>
  <c r="F11" i="10"/>
  <c r="G10" i="10"/>
  <c r="I10" i="10" s="1"/>
  <c r="F10" i="10"/>
  <c r="G9" i="10"/>
  <c r="F9" i="10"/>
  <c r="G8" i="10"/>
  <c r="I8" i="10" s="1"/>
  <c r="F8" i="10"/>
  <c r="G7" i="10"/>
  <c r="I7" i="10" s="1"/>
  <c r="F7" i="10"/>
  <c r="G6" i="10"/>
  <c r="F6" i="10"/>
  <c r="G5" i="10"/>
  <c r="F5" i="10"/>
  <c r="G4" i="10"/>
  <c r="I4" i="10" s="1"/>
  <c r="F4" i="10"/>
  <c r="G3" i="10"/>
  <c r="F3" i="10"/>
  <c r="G2" i="10"/>
  <c r="I2" i="10" s="1"/>
  <c r="F2" i="10"/>
  <c r="G22" i="9"/>
  <c r="G21" i="9"/>
  <c r="H21" i="9" s="1"/>
  <c r="H31" i="9"/>
  <c r="F31" i="9"/>
  <c r="I31" i="9" s="1"/>
  <c r="H30" i="9"/>
  <c r="F30" i="9"/>
  <c r="I30" i="9" s="1"/>
  <c r="H29" i="9"/>
  <c r="F29" i="9"/>
  <c r="I29" i="9" s="1"/>
  <c r="H28" i="9"/>
  <c r="F28" i="9"/>
  <c r="I28" i="9" s="1"/>
  <c r="H27" i="9"/>
  <c r="F27" i="9"/>
  <c r="I27" i="9" s="1"/>
  <c r="I26" i="9"/>
  <c r="H26" i="9"/>
  <c r="F26" i="9"/>
  <c r="I25" i="9"/>
  <c r="H25" i="9"/>
  <c r="F25" i="9"/>
  <c r="I24" i="9"/>
  <c r="F24" i="9"/>
  <c r="I23" i="9"/>
  <c r="F23" i="9"/>
  <c r="F22" i="9"/>
  <c r="F21" i="9"/>
  <c r="G20" i="9"/>
  <c r="F20" i="9"/>
  <c r="G19" i="9"/>
  <c r="F19" i="9"/>
  <c r="L18" i="9"/>
  <c r="L19" i="9" s="1"/>
  <c r="L20" i="9" s="1"/>
  <c r="G18" i="9"/>
  <c r="F18" i="9"/>
  <c r="G17" i="9"/>
  <c r="F17" i="9"/>
  <c r="G16" i="9"/>
  <c r="H16" i="9" s="1"/>
  <c r="F16" i="9"/>
  <c r="G15" i="9"/>
  <c r="F15" i="9"/>
  <c r="G14" i="9"/>
  <c r="F14" i="9"/>
  <c r="G13" i="9"/>
  <c r="H13" i="9" s="1"/>
  <c r="F13" i="9"/>
  <c r="G12" i="9"/>
  <c r="F12" i="9"/>
  <c r="G11" i="9"/>
  <c r="F11" i="9"/>
  <c r="G10" i="9"/>
  <c r="H10" i="9" s="1"/>
  <c r="F10" i="9"/>
  <c r="G9" i="9"/>
  <c r="F9" i="9"/>
  <c r="G8" i="9"/>
  <c r="F8" i="9"/>
  <c r="G7" i="9"/>
  <c r="H7" i="9" s="1"/>
  <c r="F7" i="9"/>
  <c r="G6" i="9"/>
  <c r="F6" i="9"/>
  <c r="G5" i="9"/>
  <c r="F5" i="9"/>
  <c r="G4" i="9"/>
  <c r="H4" i="9" s="1"/>
  <c r="F4" i="9"/>
  <c r="G3" i="9"/>
  <c r="I3" i="9" s="1"/>
  <c r="F3" i="9"/>
  <c r="G2" i="9"/>
  <c r="F2" i="9"/>
  <c r="G23" i="8"/>
  <c r="H23" i="8" s="1"/>
  <c r="G24" i="8"/>
  <c r="H24" i="8" s="1"/>
  <c r="H25" i="8"/>
  <c r="I31" i="8"/>
  <c r="H31" i="8"/>
  <c r="F31" i="8"/>
  <c r="I30" i="8"/>
  <c r="H30" i="8"/>
  <c r="F30" i="8"/>
  <c r="I29" i="8"/>
  <c r="H29" i="8"/>
  <c r="F29" i="8"/>
  <c r="H28" i="8"/>
  <c r="F28" i="8"/>
  <c r="I28" i="8" s="1"/>
  <c r="H27" i="8"/>
  <c r="F27" i="8"/>
  <c r="I27" i="8" s="1"/>
  <c r="I26" i="8"/>
  <c r="H26" i="8"/>
  <c r="F26" i="8"/>
  <c r="F25" i="8"/>
  <c r="F24" i="8"/>
  <c r="F23" i="8"/>
  <c r="G22" i="8"/>
  <c r="F22" i="8"/>
  <c r="G21" i="8"/>
  <c r="F21" i="8"/>
  <c r="G20" i="8"/>
  <c r="F20" i="8"/>
  <c r="G19" i="8"/>
  <c r="F19" i="8"/>
  <c r="L18" i="8"/>
  <c r="L19" i="8" s="1"/>
  <c r="L20" i="8" s="1"/>
  <c r="G18" i="8"/>
  <c r="F18" i="8"/>
  <c r="G17" i="8"/>
  <c r="F17" i="8"/>
  <c r="G16" i="8"/>
  <c r="F16" i="8"/>
  <c r="G15" i="8"/>
  <c r="F15" i="8"/>
  <c r="G14" i="8"/>
  <c r="F14" i="8"/>
  <c r="G13" i="8"/>
  <c r="F13" i="8"/>
  <c r="G12" i="8"/>
  <c r="F12" i="8"/>
  <c r="G11" i="8"/>
  <c r="I11" i="8" s="1"/>
  <c r="F11" i="8"/>
  <c r="G10" i="8"/>
  <c r="F10" i="8"/>
  <c r="G9" i="8"/>
  <c r="F9" i="8"/>
  <c r="G8" i="8"/>
  <c r="F8" i="8"/>
  <c r="G7" i="8"/>
  <c r="F7" i="8"/>
  <c r="G6" i="8"/>
  <c r="F6" i="8"/>
  <c r="G5" i="8"/>
  <c r="I5" i="8" s="1"/>
  <c r="F5" i="8"/>
  <c r="G4" i="8"/>
  <c r="F4" i="8"/>
  <c r="G3" i="8"/>
  <c r="F3" i="8"/>
  <c r="G2" i="8"/>
  <c r="F2" i="8"/>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G22" i="7"/>
  <c r="I22" i="7" s="1"/>
  <c r="F22" i="7"/>
  <c r="G21" i="7"/>
  <c r="I21" i="7" s="1"/>
  <c r="F21" i="7"/>
  <c r="G20" i="7"/>
  <c r="I20" i="7" s="1"/>
  <c r="F20" i="7"/>
  <c r="G19" i="7"/>
  <c r="I19" i="7" s="1"/>
  <c r="F19" i="7"/>
  <c r="L18" i="7"/>
  <c r="L19" i="7" s="1"/>
  <c r="L20" i="7" s="1"/>
  <c r="G18" i="7"/>
  <c r="I18" i="7" s="1"/>
  <c r="F18" i="7"/>
  <c r="G17" i="7"/>
  <c r="I17" i="7" s="1"/>
  <c r="F17" i="7"/>
  <c r="G16" i="7"/>
  <c r="I16" i="7" s="1"/>
  <c r="F16" i="7"/>
  <c r="G15" i="7"/>
  <c r="I15" i="7" s="1"/>
  <c r="F15" i="7"/>
  <c r="G14" i="7"/>
  <c r="I14" i="7" s="1"/>
  <c r="F14" i="7"/>
  <c r="G13" i="7"/>
  <c r="I13" i="7" s="1"/>
  <c r="F13" i="7"/>
  <c r="G12" i="7"/>
  <c r="I12" i="7" s="1"/>
  <c r="F12" i="7"/>
  <c r="G11" i="7"/>
  <c r="I11" i="7" s="1"/>
  <c r="F11" i="7"/>
  <c r="G10" i="7"/>
  <c r="I10" i="7" s="1"/>
  <c r="F10" i="7"/>
  <c r="G9" i="7"/>
  <c r="I9" i="7" s="1"/>
  <c r="F9" i="7"/>
  <c r="G8" i="7"/>
  <c r="I8" i="7" s="1"/>
  <c r="F8" i="7"/>
  <c r="G7" i="7"/>
  <c r="I7" i="7" s="1"/>
  <c r="F7" i="7"/>
  <c r="G6" i="7"/>
  <c r="I6" i="7" s="1"/>
  <c r="F6" i="7"/>
  <c r="G5" i="7"/>
  <c r="I5" i="7" s="1"/>
  <c r="F5" i="7"/>
  <c r="G4" i="7"/>
  <c r="I4" i="7" s="1"/>
  <c r="F4" i="7"/>
  <c r="G3" i="7"/>
  <c r="I3" i="7" s="1"/>
  <c r="F3" i="7"/>
  <c r="G2" i="7"/>
  <c r="I2" i="7" s="1"/>
  <c r="F2" i="7"/>
  <c r="L23" i="7" s="1"/>
  <c r="G22" i="6"/>
  <c r="G21" i="6"/>
  <c r="I142" i="5"/>
  <c r="I24" i="17" l="1"/>
  <c r="I23" i="17"/>
  <c r="I22" i="17"/>
  <c r="L23" i="17"/>
  <c r="I21" i="17"/>
  <c r="L31" i="17" s="1"/>
  <c r="H4" i="17"/>
  <c r="H7" i="17"/>
  <c r="H10" i="17"/>
  <c r="H13" i="17"/>
  <c r="H16" i="17"/>
  <c r="H19" i="17"/>
  <c r="H22" i="17"/>
  <c r="H2" i="17"/>
  <c r="H5" i="17"/>
  <c r="H8" i="17"/>
  <c r="H11" i="17"/>
  <c r="H14" i="17"/>
  <c r="H17" i="17"/>
  <c r="H23" i="17"/>
  <c r="H3" i="17"/>
  <c r="H6" i="17"/>
  <c r="H9" i="17"/>
  <c r="H12" i="17"/>
  <c r="H15" i="17"/>
  <c r="H18" i="17"/>
  <c r="I19" i="16"/>
  <c r="I23" i="16"/>
  <c r="I22" i="16"/>
  <c r="I10" i="16"/>
  <c r="L23" i="16"/>
  <c r="H22" i="16"/>
  <c r="H4" i="16"/>
  <c r="H7" i="16"/>
  <c r="H10" i="16"/>
  <c r="H13" i="16"/>
  <c r="H16" i="16"/>
  <c r="I21" i="16"/>
  <c r="I5" i="16"/>
  <c r="H2" i="16"/>
  <c r="I20" i="16"/>
  <c r="H23" i="16"/>
  <c r="H8" i="16"/>
  <c r="H11" i="16"/>
  <c r="H14" i="16"/>
  <c r="H17" i="16"/>
  <c r="H3" i="16"/>
  <c r="H6" i="16"/>
  <c r="H9" i="16"/>
  <c r="H12" i="16"/>
  <c r="H15" i="16"/>
  <c r="H18" i="16"/>
  <c r="I10" i="14"/>
  <c r="I18" i="14"/>
  <c r="I17" i="14"/>
  <c r="I19" i="14"/>
  <c r="I16" i="14"/>
  <c r="I20" i="14"/>
  <c r="I23" i="14"/>
  <c r="I6" i="14"/>
  <c r="I5" i="14"/>
  <c r="L23" i="14"/>
  <c r="H4" i="14"/>
  <c r="H10" i="14"/>
  <c r="I21" i="14"/>
  <c r="H7" i="14"/>
  <c r="H16" i="14"/>
  <c r="I13" i="14"/>
  <c r="H19" i="14"/>
  <c r="H22" i="14"/>
  <c r="H2" i="14"/>
  <c r="H5" i="14"/>
  <c r="H8" i="14"/>
  <c r="H11" i="14"/>
  <c r="H14" i="14"/>
  <c r="H17" i="14"/>
  <c r="H3" i="14"/>
  <c r="H6" i="14"/>
  <c r="H9" i="14"/>
  <c r="H12" i="14"/>
  <c r="H15" i="14"/>
  <c r="H18" i="14"/>
  <c r="I9" i="12"/>
  <c r="H9" i="12"/>
  <c r="H23" i="13"/>
  <c r="I23" i="13"/>
  <c r="H22" i="13"/>
  <c r="I22" i="13"/>
  <c r="H21" i="13"/>
  <c r="I21" i="13"/>
  <c r="H20" i="13"/>
  <c r="I20" i="13"/>
  <c r="H19" i="13"/>
  <c r="I19" i="13"/>
  <c r="I18" i="13"/>
  <c r="H18" i="13"/>
  <c r="I17" i="13"/>
  <c r="H17" i="13"/>
  <c r="I16" i="13"/>
  <c r="H16" i="13"/>
  <c r="I15" i="13"/>
  <c r="H15" i="13"/>
  <c r="H14" i="13"/>
  <c r="I14" i="13"/>
  <c r="I13" i="13"/>
  <c r="H13" i="13"/>
  <c r="H12" i="13"/>
  <c r="I12" i="13"/>
  <c r="H11" i="13"/>
  <c r="I11" i="13"/>
  <c r="H10" i="13"/>
  <c r="I10" i="13"/>
  <c r="I9" i="13"/>
  <c r="H9" i="13"/>
  <c r="I8" i="13"/>
  <c r="H8" i="13"/>
  <c r="I7" i="13"/>
  <c r="H7" i="13"/>
  <c r="H6" i="13"/>
  <c r="I6" i="13"/>
  <c r="H5" i="13"/>
  <c r="I5" i="13"/>
  <c r="H4" i="13"/>
  <c r="I4" i="13"/>
  <c r="H3" i="13"/>
  <c r="I3" i="13"/>
  <c r="I2" i="13"/>
  <c r="H2" i="13"/>
  <c r="I23" i="12"/>
  <c r="L23" i="12"/>
  <c r="I22" i="12"/>
  <c r="H22" i="12"/>
  <c r="I21" i="12"/>
  <c r="H21" i="12"/>
  <c r="I20" i="12"/>
  <c r="H20" i="12"/>
  <c r="I19" i="12"/>
  <c r="H19" i="12"/>
  <c r="H18" i="12"/>
  <c r="I18" i="12"/>
  <c r="H17" i="12"/>
  <c r="I17" i="12"/>
  <c r="I16" i="12"/>
  <c r="H16" i="12"/>
  <c r="I15" i="12"/>
  <c r="H15" i="12"/>
  <c r="I14" i="12"/>
  <c r="H14" i="12"/>
  <c r="I13" i="12"/>
  <c r="H13" i="12"/>
  <c r="H12" i="12"/>
  <c r="I12" i="12"/>
  <c r="I11" i="12"/>
  <c r="H11" i="12"/>
  <c r="I10" i="12"/>
  <c r="H10" i="12"/>
  <c r="H8" i="12"/>
  <c r="I8" i="12"/>
  <c r="H7" i="12"/>
  <c r="I7" i="12"/>
  <c r="I6" i="12"/>
  <c r="H6" i="12"/>
  <c r="H5" i="12"/>
  <c r="I5" i="12"/>
  <c r="I4" i="12"/>
  <c r="H4" i="12"/>
  <c r="I3" i="12"/>
  <c r="H3" i="12"/>
  <c r="I2" i="12"/>
  <c r="H2" i="12"/>
  <c r="I20" i="11"/>
  <c r="I18" i="11"/>
  <c r="I14" i="11"/>
  <c r="I15" i="11"/>
  <c r="I16" i="11"/>
  <c r="I13" i="11"/>
  <c r="I12" i="11"/>
  <c r="I10" i="11"/>
  <c r="I9" i="11"/>
  <c r="I7" i="11"/>
  <c r="I6" i="11"/>
  <c r="I4" i="11"/>
  <c r="L23" i="11"/>
  <c r="I3" i="11"/>
  <c r="I19" i="11"/>
  <c r="I2" i="11"/>
  <c r="I8" i="11"/>
  <c r="H21" i="11"/>
  <c r="H4" i="11"/>
  <c r="H7" i="11"/>
  <c r="H10" i="11"/>
  <c r="H13" i="11"/>
  <c r="H16" i="11"/>
  <c r="H22" i="11"/>
  <c r="H2" i="11"/>
  <c r="H5" i="11"/>
  <c r="H8" i="11"/>
  <c r="H11" i="11"/>
  <c r="H14" i="11"/>
  <c r="H17" i="11"/>
  <c r="H20" i="11"/>
  <c r="H3" i="11"/>
  <c r="H6" i="11"/>
  <c r="H9" i="11"/>
  <c r="H12" i="11"/>
  <c r="H15" i="11"/>
  <c r="H18" i="11"/>
  <c r="I19" i="10"/>
  <c r="I3" i="10"/>
  <c r="I9" i="10"/>
  <c r="I18" i="10"/>
  <c r="I17" i="10"/>
  <c r="I16" i="10"/>
  <c r="I20" i="10"/>
  <c r="I22" i="10"/>
  <c r="H16" i="10"/>
  <c r="I21" i="10"/>
  <c r="I6" i="10"/>
  <c r="L23" i="10"/>
  <c r="I5" i="10"/>
  <c r="H22" i="10"/>
  <c r="H7" i="10"/>
  <c r="H13" i="10"/>
  <c r="H2" i="10"/>
  <c r="H5" i="10"/>
  <c r="H8" i="10"/>
  <c r="H11" i="10"/>
  <c r="H14" i="10"/>
  <c r="H17" i="10"/>
  <c r="H20" i="10"/>
  <c r="H4" i="10"/>
  <c r="H10" i="10"/>
  <c r="H19" i="10"/>
  <c r="H3" i="10"/>
  <c r="H9" i="10"/>
  <c r="H15" i="10"/>
  <c r="H6" i="10"/>
  <c r="H12" i="10"/>
  <c r="H18" i="10"/>
  <c r="I22" i="9"/>
  <c r="I20" i="9"/>
  <c r="I18" i="9"/>
  <c r="I17" i="9"/>
  <c r="I12" i="9"/>
  <c r="I11" i="9"/>
  <c r="I8" i="9"/>
  <c r="I6" i="9"/>
  <c r="I5" i="9"/>
  <c r="I2" i="9"/>
  <c r="I9" i="9"/>
  <c r="L23" i="9"/>
  <c r="I19" i="9"/>
  <c r="I14" i="9"/>
  <c r="I15" i="9"/>
  <c r="H20" i="9"/>
  <c r="I21" i="9"/>
  <c r="H24" i="9"/>
  <c r="I4" i="9"/>
  <c r="I7" i="9"/>
  <c r="I10" i="9"/>
  <c r="I13" i="9"/>
  <c r="I16" i="9"/>
  <c r="H19" i="9"/>
  <c r="H22" i="9"/>
  <c r="H2" i="9"/>
  <c r="H5" i="9"/>
  <c r="H8" i="9"/>
  <c r="H11" i="9"/>
  <c r="H14" i="9"/>
  <c r="H17" i="9"/>
  <c r="H23" i="9"/>
  <c r="H3" i="9"/>
  <c r="H6" i="9"/>
  <c r="H9" i="9"/>
  <c r="H12" i="9"/>
  <c r="H15" i="9"/>
  <c r="H18" i="9"/>
  <c r="I24" i="8"/>
  <c r="I25" i="8"/>
  <c r="I23" i="8"/>
  <c r="I22" i="8"/>
  <c r="I21" i="8"/>
  <c r="I20" i="8"/>
  <c r="I19" i="8"/>
  <c r="I18" i="8"/>
  <c r="I13" i="8"/>
  <c r="I12" i="8"/>
  <c r="I10" i="8"/>
  <c r="I9" i="8"/>
  <c r="I8" i="8"/>
  <c r="I7" i="8"/>
  <c r="I6" i="8"/>
  <c r="I4" i="8"/>
  <c r="I3" i="8"/>
  <c r="I2" i="8"/>
  <c r="I17" i="8"/>
  <c r="L23" i="8"/>
  <c r="I14" i="8"/>
  <c r="I15" i="8"/>
  <c r="I16" i="8"/>
  <c r="H21" i="8"/>
  <c r="H4" i="8"/>
  <c r="H7" i="8"/>
  <c r="H10" i="8"/>
  <c r="H13" i="8"/>
  <c r="H16" i="8"/>
  <c r="H19" i="8"/>
  <c r="H22" i="8"/>
  <c r="H2" i="8"/>
  <c r="H5" i="8"/>
  <c r="H8" i="8"/>
  <c r="H11" i="8"/>
  <c r="H14" i="8"/>
  <c r="H17" i="8"/>
  <c r="H20" i="8"/>
  <c r="H3" i="8"/>
  <c r="H6" i="8"/>
  <c r="H9" i="8"/>
  <c r="H12" i="8"/>
  <c r="H15" i="8"/>
  <c r="H18" i="8"/>
  <c r="L31" i="7"/>
  <c r="H21" i="7"/>
  <c r="H4" i="7"/>
  <c r="H7" i="7"/>
  <c r="H10" i="7"/>
  <c r="H13" i="7"/>
  <c r="H16" i="7"/>
  <c r="H19" i="7"/>
  <c r="H22" i="7"/>
  <c r="H2" i="7"/>
  <c r="H5" i="7"/>
  <c r="H8" i="7"/>
  <c r="H11" i="7"/>
  <c r="H14" i="7"/>
  <c r="H17" i="7"/>
  <c r="H20" i="7"/>
  <c r="H3" i="7"/>
  <c r="H15" i="7"/>
  <c r="H6" i="7"/>
  <c r="H9" i="7"/>
  <c r="H12" i="7"/>
  <c r="H18" i="7"/>
  <c r="G20" i="6"/>
  <c r="H20" i="6" s="1"/>
  <c r="I31" i="6"/>
  <c r="H31" i="6"/>
  <c r="F31" i="6"/>
  <c r="I30" i="6"/>
  <c r="H30" i="6"/>
  <c r="F30" i="6"/>
  <c r="H29" i="6"/>
  <c r="F29" i="6"/>
  <c r="I29" i="6" s="1"/>
  <c r="H28" i="6"/>
  <c r="F28" i="6"/>
  <c r="I28" i="6" s="1"/>
  <c r="H27" i="6"/>
  <c r="F27" i="6"/>
  <c r="I27" i="6" s="1"/>
  <c r="I26" i="6"/>
  <c r="H26" i="6"/>
  <c r="F26" i="6"/>
  <c r="H25" i="6"/>
  <c r="F25" i="6"/>
  <c r="I25" i="6" s="1"/>
  <c r="H24" i="6"/>
  <c r="F24" i="6"/>
  <c r="I24" i="6" s="1"/>
  <c r="H23" i="6"/>
  <c r="F23" i="6"/>
  <c r="I23" i="6" s="1"/>
  <c r="H22" i="6"/>
  <c r="F22" i="6"/>
  <c r="I22" i="6" s="1"/>
  <c r="H21" i="6"/>
  <c r="F21" i="6"/>
  <c r="I21" i="6" s="1"/>
  <c r="F20" i="6"/>
  <c r="G19" i="6"/>
  <c r="F19" i="6"/>
  <c r="L18" i="6"/>
  <c r="L19" i="6" s="1"/>
  <c r="L20" i="6" s="1"/>
  <c r="G18" i="6"/>
  <c r="H18" i="6" s="1"/>
  <c r="F18" i="6"/>
  <c r="G17" i="6"/>
  <c r="F17" i="6"/>
  <c r="G16" i="6"/>
  <c r="F16" i="6"/>
  <c r="G15" i="6"/>
  <c r="H15" i="6" s="1"/>
  <c r="F15" i="6"/>
  <c r="G14" i="6"/>
  <c r="F14" i="6"/>
  <c r="G13" i="6"/>
  <c r="F13" i="6"/>
  <c r="G12" i="6"/>
  <c r="H12" i="6" s="1"/>
  <c r="F12" i="6"/>
  <c r="G11" i="6"/>
  <c r="F11" i="6"/>
  <c r="G10" i="6"/>
  <c r="F10" i="6"/>
  <c r="G9" i="6"/>
  <c r="F9" i="6"/>
  <c r="G8" i="6"/>
  <c r="F8" i="6"/>
  <c r="G7" i="6"/>
  <c r="F7" i="6"/>
  <c r="G6" i="6"/>
  <c r="H6" i="6" s="1"/>
  <c r="F6" i="6"/>
  <c r="G5" i="6"/>
  <c r="F5" i="6"/>
  <c r="G4" i="6"/>
  <c r="F4" i="6"/>
  <c r="G3" i="6"/>
  <c r="H3" i="6" s="1"/>
  <c r="F3" i="6"/>
  <c r="G2" i="6"/>
  <c r="F2" i="6"/>
  <c r="G18" i="4"/>
  <c r="G19" i="4"/>
  <c r="I126" i="5"/>
  <c r="G141" i="5"/>
  <c r="I145" i="5"/>
  <c r="H145" i="5"/>
  <c r="G145" i="5"/>
  <c r="F145" i="5"/>
  <c r="G172" i="5"/>
  <c r="G3" i="4"/>
  <c r="G4" i="4"/>
  <c r="G5" i="4"/>
  <c r="G6" i="4"/>
  <c r="G7" i="4"/>
  <c r="G8" i="4"/>
  <c r="G9" i="4"/>
  <c r="G10" i="4"/>
  <c r="G11" i="4"/>
  <c r="G12" i="4"/>
  <c r="G13" i="4"/>
  <c r="G14" i="4"/>
  <c r="G15" i="4"/>
  <c r="G16" i="4"/>
  <c r="G17" i="4"/>
  <c r="G2" i="4"/>
  <c r="G146"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6" i="5"/>
  <c r="H146" i="5"/>
  <c r="F146" i="5"/>
  <c r="I144" i="5"/>
  <c r="H144" i="5"/>
  <c r="G144" i="5"/>
  <c r="F144" i="5"/>
  <c r="I143" i="5"/>
  <c r="H143" i="5"/>
  <c r="G143" i="5"/>
  <c r="F143"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17" l="1"/>
  <c r="L31" i="16"/>
  <c r="L30" i="16"/>
  <c r="L31" i="14"/>
  <c r="L30" i="14"/>
  <c r="L30" i="13"/>
  <c r="L31" i="13"/>
  <c r="L31" i="12"/>
  <c r="L30" i="12"/>
  <c r="L31" i="11"/>
  <c r="L30" i="11"/>
  <c r="L31" i="10"/>
  <c r="L30" i="10"/>
  <c r="L31" i="9"/>
  <c r="L30" i="9"/>
  <c r="L31" i="8"/>
  <c r="L30" i="8"/>
  <c r="L30" i="7"/>
  <c r="I5" i="6"/>
  <c r="I20" i="6"/>
  <c r="I19" i="6"/>
  <c r="I17" i="6"/>
  <c r="I16" i="6"/>
  <c r="I14" i="6"/>
  <c r="I13" i="6"/>
  <c r="I11" i="6"/>
  <c r="I10" i="6"/>
  <c r="I9" i="6"/>
  <c r="I7" i="6"/>
  <c r="L23" i="6"/>
  <c r="I4" i="6"/>
  <c r="I2" i="6"/>
  <c r="I8" i="6"/>
  <c r="H9" i="6"/>
  <c r="I3" i="6"/>
  <c r="I6" i="6"/>
  <c r="I12" i="6"/>
  <c r="I15" i="6"/>
  <c r="I18" i="6"/>
  <c r="H4" i="6"/>
  <c r="H7" i="6"/>
  <c r="H10" i="6"/>
  <c r="H13" i="6"/>
  <c r="H16" i="6"/>
  <c r="H19" i="6"/>
  <c r="H2" i="6"/>
  <c r="H5" i="6"/>
  <c r="H8" i="6"/>
  <c r="H11" i="6"/>
  <c r="H14" i="6"/>
  <c r="H17" i="6"/>
  <c r="F2" i="4"/>
  <c r="L31" i="6" l="1"/>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<sst xmlns="http://schemas.openxmlformats.org/spreadsheetml/2006/main" count="1393" uniqueCount="471">
  <si>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</si>
  <si>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</si>
  <si>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</si>
  <si>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</si>
  <si>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</si>
  <si>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</si>
  <si>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</si>
  <si>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</si>
  <si>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</si>
  <si>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</si>
  <si>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</si>
  <si>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</si>
  <si>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</si>
  <si>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</si>
  <si>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</si>
  <si>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</si>
  <si>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</si>
  <si>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</si>
  <si>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</si>
  <si>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</si>
  <si>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</si>
  <si>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</si>
  <si>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</si>
  <si>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</si>
  <si>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</si>
  <si>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</si>
  <si>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</si>
  <si>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</si>
  <si>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</si>
  <si>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</si>
  <si>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</si>
  <si>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</si>
  <si>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</si>
  <si>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</si>
  <si>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</si>
  <si>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</si>
  <si>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</si>
  <si>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</si>
  <si>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</si>
  <si>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</si>
  <si>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</si>
  <si>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</si>
  <si>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</si>
  <si>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</si>
  <si>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</si>
  <si>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</si>
  <si>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</si>
  <si>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</si>
  <si>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</si>
  <si>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</si>
  <si>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</si>
  <si>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</si>
  <si>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</si>
  <si>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</si>
  <si>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</si>
  <si>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</si>
  <si>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</si>
  <si>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</si>
  <si>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</si>
  <si>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</si>
  <si>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</si>
  <si>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</si>
  <si>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</si>
  <si>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</si>
  <si>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</si>
  <si>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</si>
  <si>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</si>
  <si>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</si>
  <si>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</si>
  <si>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</si>
  <si>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</si>
  <si>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</si>
  <si>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</si>
  <si>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</si>
  <si>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</si>
  <si>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</si>
  <si>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</si>
  <si>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</si>
  <si>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</si>
  <si>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</si>
  <si>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</si>
  <si>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</si>
  <si>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</si>
  <si>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</si>
  <si>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</si>
  <si>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</si>
  <si>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</si>
  <si>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</si>
  <si>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</si>
  <si>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</si>
  <si>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</si>
  <si>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</si>
  <si>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</si>
  <si>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</si>
  <si>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</si>
  <si>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</si>
  <si>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</si>
  <si>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</si>
  <si>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</si>
  <si>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</si>
  <si>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</si>
  <si>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</si>
  <si>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</si>
  <si>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</si>
  <si>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</si>
  <si>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</si>
  <si>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</si>
  <si>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</si>
  <si>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</si>
  <si>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</si>
  <si>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</si>
  <si>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</si>
  <si>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</si>
  <si>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</si>
  <si>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</si>
  <si>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</si>
  <si>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</si>
  <si>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</si>
  <si>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</si>
  <si>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</si>
  <si>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</si>
  <si>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</si>
  <si>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</si>
  <si>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</si>
  <si>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</si>
  <si>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</si>
  <si>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</si>
  <si>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</si>
  <si>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</si>
  <si>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</si>
  <si>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</si>
  <si>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</si>
  <si>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</si>
  <si>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</si>
  <si>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</si>
  <si>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</si>
  <si>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</si>
  <si>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</si>
  <si>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</si>
  <si>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</si>
  <si>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</si>
  <si>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</si>
  <si>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</si>
  <si>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</si>
  <si>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</si>
  <si>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</si>
  <si>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</si>
  <si>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</si>
  <si>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</si>
  <si>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</si>
  <si>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</si>
  <si>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</si>
  <si>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</si>
  <si>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</si>
  <si>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</si>
  <si>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</si>
  <si>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</si>
  <si>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</si>
  <si>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</si>
  <si>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</si>
  <si>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</si>
  <si>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</si>
  <si>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</si>
  <si>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</si>
  <si>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</si>
  <si>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</si>
  <si>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</si>
  <si>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</si>
  <si>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</si>
  <si>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</si>
  <si>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</si>
  <si>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</si>
  <si>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</si>
  <si>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</si>
  <si>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</si>
  <si>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</si>
  <si>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</si>
  <si>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</si>
  <si>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</si>
  <si>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</si>
  <si>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</si>
  <si>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</si>
  <si>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</si>
  <si>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</si>
  <si>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</si>
  <si>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</si>
  <si>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</si>
  <si>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</si>
  <si>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</si>
  <si>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</si>
  <si>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</si>
  <si>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</si>
  <si>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</si>
  <si>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</si>
  <si>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</si>
  <si>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</si>
  <si>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</si>
  <si>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</si>
  <si>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</si>
  <si>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</si>
  <si>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</si>
  <si>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</si>
  <si>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</si>
  <si>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</si>
  <si>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</si>
  <si>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</si>
  <si>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</si>
  <si>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</si>
  <si>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</si>
  <si>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</si>
  <si>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</si>
  <si>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</si>
  <si>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</si>
  <si>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</si>
  <si>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</si>
  <si>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</si>
  <si>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</si>
  <si>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</si>
  <si>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</si>
  <si>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</si>
  <si>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</si>
  <si>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</si>
  <si>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</si>
  <si>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</si>
  <si>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</si>
  <si>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</si>
  <si>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</si>
  <si>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</si>
  <si>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</si>
  <si>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</si>
  <si>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</si>
  <si>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</si>
  <si>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</si>
  <si>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</si>
  <si>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</si>
  <si>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</si>
  <si>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</si>
  <si>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</si>
  <si>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</si>
  <si>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</si>
  <si>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</si>
  <si>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</si>
  <si>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</si>
  <si>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</si>
  <si>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</si>
  <si>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</si>
  <si>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</si>
  <si>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</si>
  <si>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</si>
  <si>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</si>
  <si>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</si>
  <si>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</si>
  <si>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</si>
  <si>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</si>
  <si>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</si>
  <si>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</si>
  <si>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</si>
  <si>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</si>
  <si>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</si>
  <si>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</si>
  <si>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</si>
  <si>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</si>
  <si>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</si>
  <si>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</si>
  <si>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</si>
  <si>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</si>
  <si>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</si>
  <si>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</si>
  <si>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</si>
  <si>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</si>
  <si>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</si>
  <si>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</si>
  <si>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</si>
  <si>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</si>
  <si>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</si>
  <si>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</si>
  <si>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</si>
  <si>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</si>
  <si>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</si>
  <si>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</si>
  <si>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</si>
  <si>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</si>
  <si>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</si>
  <si>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</si>
  <si>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</si>
  <si>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</si>
  <si>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</si>
  <si>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</si>
  <si>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</si>
  <si>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</si>
  <si>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</si>
  <si>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</si>
  <si>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</si>
  <si>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</si>
  <si>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</si>
  <si>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</si>
  <si>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</si>
  <si>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</si>
  <si>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</si>
  <si>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</si>
  <si>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</si>
  <si>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</si>
  <si>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</si>
  <si>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</si>
  <si>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</si>
  <si>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</si>
  <si>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</si>
  <si>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</si>
  <si>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</si>
  <si>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</si>
  <si>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</si>
  <si>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</si>
  <si>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</si>
  <si>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</si>
  <si>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</si>
  <si>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</si>
  <si>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</si>
  <si>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</si>
  <si>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</si>
  <si>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</si>
  <si>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</si>
  <si>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</si>
  <si>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</si>
  <si>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</si>
  <si>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</si>
  <si>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</si>
  <si>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</si>
  <si>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</si>
  <si>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</si>
  <si>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</si>
  <si>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</si>
  <si>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</si>
  <si>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</si>
  <si>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</si>
  <si>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</si>
  <si>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</si>
  <si>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</si>
  <si>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</si>
  <si>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</si>
  <si>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</si>
  <si>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</si>
  <si>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</si>
  <si>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</si>
  <si>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</si>
  <si>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</si>
  <si>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</si>
  <si>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</si>
  <si>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</si>
  <si>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</si>
  <si>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</si>
  <si>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</si>
  <si>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</si>
  <si>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</si>
  <si>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</si>
  <si>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</si>
  <si>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</si>
  <si>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</si>
  <si>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</si>
  <si>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</si>
  <si>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</si>
  <si>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</si>
  <si>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</si>
  <si>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</si>
  <si>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</si>
  <si>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</si>
  <si>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</si>
  <si>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</si>
  <si>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</si>
  <si>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</si>
  <si>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</si>
  <si>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</si>
  <si>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</si>
  <si>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</si>
  <si>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</si>
  <si>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</si>
  <si>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</si>
  <si>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</si>
  <si>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</si>
  <si>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</si>
  <si>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</si>
  <si>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</si>
  <si>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</si>
  <si>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</si>
  <si>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</si>
  <si>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</si>
  <si>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</si>
  <si>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</si>
  <si>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</si>
  <si>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</si>
  <si>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</si>
  <si>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</si>
  <si>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</si>
  <si>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</si>
  <si>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</si>
  <si>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</si>
  <si>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</si>
  <si>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</si>
  <si>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</si>
  <si>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</si>
  <si>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</si>
  <si>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</si>
  <si>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</si>
  <si>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</si>
  <si>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</si>
  <si>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</si>
  <si>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</si>
  <si>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</si>
  <si>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</si>
  <si>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</si>
  <si>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</si>
  <si>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</si>
  <si>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차현아</t>
    <phoneticPr fontId="5" type="noConversion"/>
  </si>
  <si>
    <t>F</t>
    <phoneticPr fontId="5" type="noConversion"/>
  </si>
  <si>
    <t>향부자</t>
    <phoneticPr fontId="5" type="noConversion"/>
  </si>
  <si>
    <t>백작약</t>
    <phoneticPr fontId="5" type="noConversion"/>
  </si>
  <si>
    <t>오수유</t>
    <phoneticPr fontId="5" type="noConversion"/>
  </si>
  <si>
    <t>복령</t>
    <phoneticPr fontId="5" type="noConversion"/>
  </si>
  <si>
    <t>목단피</t>
    <phoneticPr fontId="5" type="noConversion"/>
  </si>
  <si>
    <t>육계</t>
    <phoneticPr fontId="5" type="noConversion"/>
  </si>
  <si>
    <t>생강</t>
    <phoneticPr fontId="5" type="noConversion"/>
  </si>
  <si>
    <t>인삼</t>
    <phoneticPr fontId="5" type="noConversion"/>
  </si>
  <si>
    <t>당귀1</t>
    <phoneticPr fontId="5" type="noConversion"/>
  </si>
  <si>
    <t>천궁1</t>
    <phoneticPr fontId="5" type="noConversion"/>
  </si>
  <si>
    <t>창출1</t>
    <phoneticPr fontId="5" type="noConversion"/>
  </si>
  <si>
    <t>소회향</t>
    <phoneticPr fontId="5" type="noConversion"/>
  </si>
  <si>
    <t>녹용</t>
    <phoneticPr fontId="5" type="noConversion"/>
  </si>
  <si>
    <t>온경탕</t>
    <phoneticPr fontId="5" type="noConversion"/>
  </si>
  <si>
    <t>반하</t>
    <phoneticPr fontId="5" type="noConversion"/>
  </si>
  <si>
    <t>맥문동</t>
    <phoneticPr fontId="5" type="noConversion"/>
  </si>
  <si>
    <t>아교</t>
    <phoneticPr fontId="5" type="noConversion"/>
  </si>
  <si>
    <t>감초</t>
    <phoneticPr fontId="5" type="noConversion"/>
  </si>
  <si>
    <t>익모초</t>
    <phoneticPr fontId="5" type="noConversion"/>
  </si>
  <si>
    <t xml:space="preserve">온경탕+향부자, 창출, 소회향, 익모초, 복령
</t>
    <phoneticPr fontId="5" type="noConversion"/>
  </si>
  <si>
    <t>조경종옥탕</t>
    <phoneticPr fontId="5" type="noConversion"/>
  </si>
  <si>
    <t>숙지황</t>
    <phoneticPr fontId="5" type="noConversion"/>
  </si>
  <si>
    <t>현호색</t>
    <phoneticPr fontId="5" type="noConversion"/>
  </si>
  <si>
    <t>건강</t>
    <phoneticPr fontId="5" type="noConversion"/>
  </si>
  <si>
    <t>애엽</t>
    <phoneticPr fontId="5" type="noConversion"/>
  </si>
  <si>
    <t>진피1</t>
    <phoneticPr fontId="5" type="noConversion"/>
  </si>
  <si>
    <t>사인</t>
    <phoneticPr fontId="5" type="noConversion"/>
  </si>
  <si>
    <t>후박</t>
    <phoneticPr fontId="5" type="noConversion"/>
  </si>
  <si>
    <t>신곡</t>
    <phoneticPr fontId="5" type="noConversion"/>
  </si>
  <si>
    <t xml:space="preserve">조경종옥탕+인삼, 반하,생강,창출,후박,신곡,사인,녹용
</t>
    <phoneticPr fontId="5" type="noConversion"/>
  </si>
  <si>
    <t>황백</t>
    <phoneticPr fontId="5" type="noConversion"/>
  </si>
  <si>
    <t>산약</t>
    <phoneticPr fontId="5" type="noConversion"/>
  </si>
  <si>
    <t xml:space="preserve">조경종옥탕+인삼, 반하,생강,창출,사인,녹용+황백,산약(백대하)
</t>
    <phoneticPr fontId="5" type="noConversion"/>
  </si>
  <si>
    <t>증손오화음</t>
    <phoneticPr fontId="5" type="noConversion"/>
  </si>
  <si>
    <t>오약</t>
    <phoneticPr fontId="5" type="noConversion"/>
  </si>
  <si>
    <t>길경</t>
    <phoneticPr fontId="5" type="noConversion"/>
  </si>
  <si>
    <t>지각</t>
    <phoneticPr fontId="5" type="noConversion"/>
  </si>
  <si>
    <t>맥아</t>
    <phoneticPr fontId="5" type="noConversion"/>
  </si>
  <si>
    <t>홍화</t>
    <phoneticPr fontId="5" type="noConversion"/>
  </si>
  <si>
    <t>증손오화음-현호색,목향,백지 +신곡 맥아 홍화 인삼 오수유 황백 녹용</t>
    <phoneticPr fontId="5" type="noConversion"/>
  </si>
  <si>
    <t>백출</t>
    <phoneticPr fontId="5" type="noConversion"/>
  </si>
  <si>
    <t>조경종옥탕 + 백출 산약 황백 인삼 사인 맥문동 녹용</t>
    <phoneticPr fontId="5" type="noConversion"/>
  </si>
  <si>
    <t>목향</t>
    <phoneticPr fontId="5" type="noConversion"/>
  </si>
  <si>
    <t>황기</t>
    <phoneticPr fontId="5" type="noConversion"/>
  </si>
  <si>
    <t>구기자</t>
    <phoneticPr fontId="5" type="noConversion"/>
  </si>
  <si>
    <t>음양곽</t>
    <phoneticPr fontId="5" type="noConversion"/>
  </si>
  <si>
    <t>조경종옥탕 + 황기 인삼 백출 목향 구기자 음양곽</t>
    <phoneticPr fontId="5" type="noConversion"/>
  </si>
  <si>
    <t>십전대보탕가감</t>
    <phoneticPr fontId="5" type="noConversion"/>
  </si>
  <si>
    <t>십전대보탕 + 구기자 음양곽 익모초 후박 지각 목향</t>
    <phoneticPr fontId="5" type="noConversion"/>
  </si>
  <si>
    <t>저근백피</t>
    <phoneticPr fontId="5" type="noConversion"/>
  </si>
  <si>
    <t>저근피</t>
    <phoneticPr fontId="5" type="noConversion"/>
  </si>
  <si>
    <t>조경종옥탕 + 황기 인삼 백출 목향 구기자 음양곽 저근백피</t>
    <phoneticPr fontId="5" type="noConversion"/>
  </si>
  <si>
    <t>토사자</t>
    <phoneticPr fontId="5" type="noConversion"/>
  </si>
  <si>
    <t>조경종옥탕 + 구기자 음양곽 토사자 창출 반하 목향 - 현호색</t>
    <phoneticPr fontId="5" type="noConversion"/>
  </si>
  <si>
    <t>곽향1</t>
    <phoneticPr fontId="5" type="noConversion"/>
  </si>
  <si>
    <t>조경종옥탕 + 황기 인삼 백출 목향 후박 지각 곽향 사인</t>
    <phoneticPr fontId="5" type="noConversion"/>
  </si>
  <si>
    <t>산사</t>
    <phoneticPr fontId="5" type="noConversion"/>
  </si>
  <si>
    <t>조경종옥탕 + 황기 인삼 백출 목향 후박 지각 삼사</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</si>
</sst>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7" fillId="7"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1" xfId="5"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8" borderId="53" xfId="5" applyFont="1" applyFill="1" applyBorder="1" applyAlignment="1">
      <alignment vertical="center"/>
    </xf>
    <xf numFmtId="0" fontId="12" fillId="8" borderId="41" xfId="6" applyFont="1" applyFill="1" applyBorder="1">
      <alignment vertical="center"/>
    </xf>
    <xf numFmtId="0" fontId="11" fillId="8" borderId="41" xfId="5" applyFont="1" applyFill="1" applyBorder="1" applyAlignment="1">
      <alignment horizontal="left" vertical="center"/>
    </xf>
    <xf numFmtId="0" fontId="11" fillId="8" borderId="42" xfId="5"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31000</v>
          </cell>
          <cell r="E8"/>
          <cell r="F8">
            <v>54.4</v>
          </cell>
          <cell r="G8">
            <v>40</v>
          </cell>
          <cell r="H8">
            <v>62</v>
          </cell>
          <cell r="I8">
            <v>0</v>
          </cell>
          <cell r="J8">
            <v>40</v>
          </cell>
        </row>
        <row r="9">
          <cell r="A9" t="str">
            <v>강활2</v>
          </cell>
          <cell r="B9"/>
          <cell r="C9">
            <v>21000</v>
          </cell>
          <cell r="D9">
            <v>30000</v>
          </cell>
          <cell r="E9">
            <v>27400</v>
          </cell>
          <cell r="F9">
            <v>0</v>
          </cell>
          <cell r="G9">
            <v>35</v>
          </cell>
          <cell r="H9">
            <v>60</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35600</v>
          </cell>
          <cell r="E19">
            <v>41600</v>
          </cell>
          <cell r="F19">
            <v>0</v>
          </cell>
          <cell r="G19">
            <v>0</v>
          </cell>
          <cell r="H19">
            <v>71.2</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5400</v>
          </cell>
          <cell r="F97">
            <v>0</v>
          </cell>
          <cell r="G97">
            <v>11.666666666666666</v>
          </cell>
          <cell r="H97">
            <v>8.4</v>
          </cell>
          <cell r="I97">
            <v>9</v>
          </cell>
          <cell r="J97">
            <v>9</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78000</v>
          </cell>
          <cell r="E157">
            <v>81000</v>
          </cell>
          <cell r="F157">
            <v>0</v>
          </cell>
          <cell r="G157">
            <v>100</v>
          </cell>
          <cell r="H157">
            <v>130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13000</v>
          </cell>
          <cell r="F186">
            <v>63.8</v>
          </cell>
          <cell r="G186">
            <v>28.333333333333332</v>
          </cell>
          <cell r="H186">
            <v>0</v>
          </cell>
          <cell r="I186">
            <v>21.666666666666668</v>
          </cell>
          <cell r="J186">
            <v>21.7</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10100</v>
          </cell>
          <cell r="F221">
            <v>0</v>
          </cell>
          <cell r="G221">
            <v>40</v>
          </cell>
          <cell r="H221">
            <v>22</v>
          </cell>
          <cell r="I221">
            <v>16.833333333333332</v>
          </cell>
          <cell r="J221">
            <v>16.8</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2FA4-A258-417E-AF8A-9C00CB9A8063}">
  <sheetPr>
    <pageSetUpPr fitToPage="1"/>
  </sheetPr>
  <dimension ref="B1:M31"/>
  <sheetViews>
    <sheetView tabSelected="1" workbookViewId="0">
      <selection activeCell="E27" sqref="E2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VLOOKUP($C2,[1]약재관리!$A:$J,10,FALSE)</f>
        <v>14.7</v>
      </c>
      <c r="H2" s="5">
        <f>G2*E2</f>
        <v>117.6</v>
      </c>
      <c r="I2" s="90">
        <f>G2*F2</f>
        <v>2352</v>
      </c>
      <c r="K2" s="7" t="s">
        <v>9</v>
      </c>
      <c r="L2" s="174">
        <v>85</v>
      </c>
      <c r="M2" s="175"/>
    </row>
    <row r="3" spans="2:13">
      <c r="B3" s="3">
        <v>2</v>
      </c>
      <c r="C3" t="s">
        <v>434</v>
      </c>
      <c r="D3" s="4"/>
      <c r="E3" s="88">
        <v>6</v>
      </c>
      <c r="F3" s="101">
        <f t="shared" ref="F3:F31" si="0">E3*$L$15</f>
        <v>120</v>
      </c>
      <c r="G3">
        <f>VLOOKUP($C3,[1]약재관리!$A:$J,10,FALSE)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VLOOKUP($C4,[1]약재관리!$A:$J,10,FALSE)</f>
        <v>31.7</v>
      </c>
      <c r="H4" s="5">
        <f t="shared" si="1"/>
        <v>190.2</v>
      </c>
      <c r="I4" s="6">
        <f t="shared" si="2"/>
        <v>3804</v>
      </c>
      <c r="K4" s="8" t="s">
        <v>11</v>
      </c>
      <c r="L4" s="178">
        <v>46155</v>
      </c>
      <c r="M4" s="177"/>
    </row>
    <row r="5" spans="2:13">
      <c r="B5" s="3">
        <v>4</v>
      </c>
      <c r="C5" t="s">
        <v>422</v>
      </c>
      <c r="D5" s="4"/>
      <c r="E5" s="88">
        <v>4</v>
      </c>
      <c r="F5" s="101">
        <f t="shared" si="0"/>
        <v>80</v>
      </c>
      <c r="G5">
        <f>VLOOKUP($C5,[1]약재관리!$A:$J,10,FALSE)</f>
        <v>10.8</v>
      </c>
      <c r="H5" s="5">
        <f t="shared" si="1"/>
        <v>43.2</v>
      </c>
      <c r="I5" s="6">
        <f t="shared" si="2"/>
        <v>864</v>
      </c>
      <c r="K5" s="8" t="s">
        <v>12</v>
      </c>
      <c r="L5" s="176" t="s">
        <v>411</v>
      </c>
      <c r="M5" s="177"/>
    </row>
    <row r="6" spans="2:13">
      <c r="B6" s="3">
        <v>5</v>
      </c>
      <c r="C6" t="s">
        <v>414</v>
      </c>
      <c r="D6" s="4"/>
      <c r="E6" s="88">
        <v>4</v>
      </c>
      <c r="F6" s="101">
        <f t="shared" si="0"/>
        <v>80</v>
      </c>
      <c r="G6">
        <f>VLOOKUP($C6,[1]약재관리!$A:$J,10,FALSE)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VLOOKUP($C7,[1]약재관리!$A:$J,10,FALSE)</f>
        <v>15.2</v>
      </c>
      <c r="H7" s="5">
        <f t="shared" si="1"/>
        <v>60.8</v>
      </c>
      <c r="I7" s="6">
        <f t="shared" si="2"/>
        <v>1216</v>
      </c>
      <c r="K7" s="8" t="s">
        <v>14</v>
      </c>
      <c r="L7" s="160" t="s">
        <v>412</v>
      </c>
      <c r="M7" s="161"/>
    </row>
    <row r="8" spans="2:13" ht="17.25" thickBot="1">
      <c r="B8" s="3">
        <v>7</v>
      </c>
      <c r="C8" t="s">
        <v>438</v>
      </c>
      <c r="D8" s="4"/>
      <c r="E8" s="88">
        <v>4</v>
      </c>
      <c r="F8" s="101">
        <f t="shared" si="0"/>
        <v>80</v>
      </c>
      <c r="G8">
        <f>VLOOKUP($C8,[1]약재관리!$A:$J,10,FALSE)</f>
        <v>17.600000000000001</v>
      </c>
      <c r="H8" s="5">
        <f t="shared" si="1"/>
        <v>70.400000000000006</v>
      </c>
      <c r="I8" s="6">
        <f t="shared" si="2"/>
        <v>1408</v>
      </c>
      <c r="K8" s="162" t="s">
        <v>15</v>
      </c>
      <c r="L8" s="163"/>
      <c r="M8" s="164"/>
    </row>
    <row r="9" spans="2:13">
      <c r="B9" s="3">
        <v>8</v>
      </c>
      <c r="C9" t="s">
        <v>416</v>
      </c>
      <c r="D9" s="4"/>
      <c r="E9" s="88">
        <v>4</v>
      </c>
      <c r="F9" s="101">
        <f t="shared" si="0"/>
        <v>80</v>
      </c>
      <c r="G9">
        <f>VLOOKUP($C9,[1]약재관리!$A:$J,10,FALSE)</f>
        <v>8.6999999999999993</v>
      </c>
      <c r="H9" s="5">
        <f t="shared" si="1"/>
        <v>34.799999999999997</v>
      </c>
      <c r="I9" s="6">
        <f t="shared" si="2"/>
        <v>696</v>
      </c>
      <c r="K9" s="165" t="s">
        <v>470</v>
      </c>
      <c r="L9" s="166"/>
      <c r="M9" s="167"/>
    </row>
    <row r="10" spans="2:13">
      <c r="B10" s="3">
        <v>9</v>
      </c>
      <c r="C10" t="s">
        <v>440</v>
      </c>
      <c r="D10" s="4"/>
      <c r="E10" s="88">
        <v>6</v>
      </c>
      <c r="F10" s="101">
        <f t="shared" si="0"/>
        <v>120</v>
      </c>
      <c r="G10">
        <f>VLOOKUP($C10,[1]약재관리!$A:$J,10,FALSE)</f>
        <v>8.8000000000000007</v>
      </c>
      <c r="H10" s="5">
        <f t="shared" si="1"/>
        <v>52.800000000000004</v>
      </c>
      <c r="I10" s="6">
        <f t="shared" si="2"/>
        <v>1056</v>
      </c>
      <c r="K10" s="168"/>
      <c r="L10" s="169"/>
      <c r="M10" s="170"/>
    </row>
    <row r="11" spans="2:13">
      <c r="B11" s="3">
        <v>10</v>
      </c>
      <c r="C11" t="s">
        <v>417</v>
      </c>
      <c r="D11" s="4"/>
      <c r="E11" s="88">
        <v>3</v>
      </c>
      <c r="F11" s="101">
        <f t="shared" si="0"/>
        <v>60</v>
      </c>
      <c r="G11">
        <f>VLOOKUP($C11,[1]약재관리!$A:$J,10,FALSE)</f>
        <v>33.700000000000003</v>
      </c>
      <c r="H11" s="5">
        <f t="shared" si="1"/>
        <v>101.10000000000001</v>
      </c>
      <c r="I11" s="6">
        <f t="shared" si="2"/>
        <v>2022.0000000000002</v>
      </c>
      <c r="K11" s="168"/>
      <c r="L11" s="169"/>
      <c r="M11" s="170"/>
    </row>
    <row r="12" spans="2:13">
      <c r="B12" s="3">
        <v>11</v>
      </c>
      <c r="C12" t="s">
        <v>436</v>
      </c>
      <c r="D12" s="4"/>
      <c r="E12" s="88">
        <v>3</v>
      </c>
      <c r="F12" s="101">
        <f t="shared" si="0"/>
        <v>60</v>
      </c>
      <c r="G12">
        <f>VLOOKUP($C12,[1]약재관리!$A:$J,10,FALSE)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VLOOKUP($C13,[1]약재관리!$A:$J,10,FALSE)</f>
        <v>14.8</v>
      </c>
      <c r="H13" s="5">
        <f t="shared" si="1"/>
        <v>29.6</v>
      </c>
      <c r="I13" s="6">
        <f t="shared" si="2"/>
        <v>592</v>
      </c>
      <c r="K13" s="171"/>
      <c r="L13" s="172"/>
      <c r="M13" s="173"/>
    </row>
    <row r="14" spans="2:13">
      <c r="B14" s="3">
        <v>13</v>
      </c>
      <c r="C14" t="s">
        <v>437</v>
      </c>
      <c r="D14" s="4"/>
      <c r="E14" s="88">
        <v>2</v>
      </c>
      <c r="F14" s="101">
        <f t="shared" si="0"/>
        <v>40</v>
      </c>
      <c r="G14">
        <f>VLOOKUP($C14,[1]약재관리!$A:$J,10,FALSE)</f>
        <v>24.7</v>
      </c>
      <c r="H14" s="5">
        <f t="shared" si="1"/>
        <v>49.4</v>
      </c>
      <c r="I14" s="6">
        <f t="shared" si="2"/>
        <v>988</v>
      </c>
      <c r="K14" s="92" t="s">
        <v>16</v>
      </c>
      <c r="L14" s="9">
        <v>20</v>
      </c>
      <c r="M14" s="10" t="s">
        <v>17</v>
      </c>
    </row>
    <row r="15" spans="2:13">
      <c r="B15" s="3">
        <v>14</v>
      </c>
      <c r="C15" t="s">
        <v>419</v>
      </c>
      <c r="D15" s="4"/>
      <c r="E15" s="88">
        <v>4</v>
      </c>
      <c r="F15" s="101">
        <f t="shared" si="0"/>
        <v>80</v>
      </c>
      <c r="G15">
        <f>VLOOKUP($C15,[1]약재관리!$A:$J,10,FALSE)</f>
        <v>20</v>
      </c>
      <c r="H15" s="5">
        <f t="shared" si="1"/>
        <v>80</v>
      </c>
      <c r="I15" s="6">
        <f t="shared" si="2"/>
        <v>1600</v>
      </c>
      <c r="K15" s="91" t="s">
        <v>18</v>
      </c>
      <c r="L15">
        <v>20</v>
      </c>
      <c r="M15" s="4" t="s">
        <v>19</v>
      </c>
    </row>
    <row r="16" spans="2:13">
      <c r="B16" s="3">
        <v>15</v>
      </c>
      <c r="C16" t="s">
        <v>456</v>
      </c>
      <c r="D16" s="4"/>
      <c r="E16" s="88">
        <v>8</v>
      </c>
      <c r="F16" s="101">
        <f t="shared" si="0"/>
        <v>160</v>
      </c>
      <c r="G16">
        <f>VLOOKUP($C16,[1]약재관리!$A:$J,10,FALSE)</f>
        <v>16.8</v>
      </c>
      <c r="H16" s="5">
        <f t="shared" si="1"/>
        <v>134.4</v>
      </c>
      <c r="I16" s="6">
        <f t="shared" si="2"/>
        <v>2688</v>
      </c>
      <c r="K16" s="91" t="s">
        <v>20</v>
      </c>
      <c r="L16">
        <v>46</v>
      </c>
      <c r="M16" s="4" t="s">
        <v>21</v>
      </c>
    </row>
    <row r="17" spans="2:13" ht="17.25" thickBot="1">
      <c r="B17" s="3">
        <v>16</v>
      </c>
      <c r="C17" t="s">
        <v>420</v>
      </c>
      <c r="D17" s="4"/>
      <c r="E17" s="88">
        <v>4</v>
      </c>
      <c r="F17" s="101">
        <f t="shared" si="0"/>
        <v>80</v>
      </c>
      <c r="G17">
        <f>VLOOKUP($C17,[1]약재관리!$A:$J,10,FALSE)</f>
        <v>120</v>
      </c>
      <c r="H17" s="5">
        <f t="shared" si="1"/>
        <v>480</v>
      </c>
      <c r="I17" s="6">
        <f t="shared" si="2"/>
        <v>9600</v>
      </c>
      <c r="K17" s="14" t="s">
        <v>22</v>
      </c>
      <c r="L17" s="11">
        <v>110</v>
      </c>
      <c r="M17" s="12" t="s">
        <v>23</v>
      </c>
    </row>
    <row r="18" spans="2:13">
      <c r="B18" s="3">
        <v>17</v>
      </c>
      <c r="C18" t="s">
        <v>453</v>
      </c>
      <c r="D18" s="4"/>
      <c r="E18" s="88">
        <v>6</v>
      </c>
      <c r="F18" s="101">
        <f t="shared" si="0"/>
        <v>120</v>
      </c>
      <c r="G18">
        <f>VLOOKUP($C18,[1]약재관리!$A:$J,10,FALSE)</f>
        <v>13</v>
      </c>
      <c r="H18" s="5">
        <f t="shared" si="1"/>
        <v>78</v>
      </c>
      <c r="I18" s="6">
        <f t="shared" si="2"/>
        <v>1560</v>
      </c>
      <c r="K18" s="92" t="s">
        <v>24</v>
      </c>
      <c r="L18" s="9">
        <f>SUM(E2:E31)</f>
        <v>97</v>
      </c>
      <c r="M18" s="10" t="s">
        <v>25</v>
      </c>
    </row>
    <row r="19" spans="2:13">
      <c r="B19" s="3">
        <v>18</v>
      </c>
      <c r="C19" t="s">
        <v>425</v>
      </c>
      <c r="D19" s="4"/>
      <c r="E19" s="88">
        <v>2</v>
      </c>
      <c r="F19" s="101">
        <f t="shared" si="0"/>
        <v>40</v>
      </c>
      <c r="G19">
        <f>VLOOKUP($C19,[1]약재관리!$A:$J,10,FALSE)</f>
        <v>550</v>
      </c>
      <c r="H19" s="5">
        <f t="shared" si="1"/>
        <v>1100</v>
      </c>
      <c r="I19" s="6">
        <f t="shared" si="2"/>
        <v>22000</v>
      </c>
      <c r="K19" s="91" t="s">
        <v>26</v>
      </c>
      <c r="L19">
        <f>L15*L18</f>
        <v>1940</v>
      </c>
      <c r="M19" s="4" t="s">
        <v>25</v>
      </c>
    </row>
    <row r="20" spans="2:13" ht="17.25" thickBot="1">
      <c r="B20" s="3">
        <v>19</v>
      </c>
      <c r="C20" t="s">
        <v>455</v>
      </c>
      <c r="D20" s="4"/>
      <c r="E20" s="88">
        <v>4</v>
      </c>
      <c r="F20" s="101">
        <f t="shared" si="0"/>
        <v>80</v>
      </c>
      <c r="G20">
        <f>VLOOKUP($C20,[1]약재관리!$A:$J,10,FALSE)</f>
        <v>12.2</v>
      </c>
      <c r="H20" s="5">
        <f t="shared" si="1"/>
        <v>48.8</v>
      </c>
      <c r="I20" s="6">
        <f t="shared" si="2"/>
        <v>976</v>
      </c>
      <c r="K20" s="14" t="s">
        <v>27</v>
      </c>
      <c r="L20" s="11">
        <f>L16*L17+L19*1.3+400</f>
        <v>7982</v>
      </c>
      <c r="M20" s="12" t="s">
        <v>23</v>
      </c>
    </row>
    <row r="21" spans="2:13" ht="17.25" thickBot="1">
      <c r="B21" s="3">
        <v>20</v>
      </c>
      <c r="C21" t="s">
        <v>449</v>
      </c>
      <c r="D21" s="4"/>
      <c r="E21" s="88">
        <v>4</v>
      </c>
      <c r="F21" s="101">
        <f t="shared" si="0"/>
        <v>80</v>
      </c>
      <c r="G21">
        <f>VLOOKUP($C21,[1]약재관리!$A:$J,10,FALSE)</f>
        <v>10</v>
      </c>
      <c r="H21" s="5">
        <f t="shared" si="1"/>
        <v>40</v>
      </c>
      <c r="I21" s="6">
        <f t="shared" si="2"/>
        <v>800</v>
      </c>
      <c r="J21" s="91"/>
      <c r="M21" s="94"/>
    </row>
    <row r="22" spans="2:13" ht="17.25" thickBot="1">
      <c r="B22" s="3">
        <v>21</v>
      </c>
      <c r="C22" t="s">
        <v>441</v>
      </c>
      <c r="D22" s="4"/>
      <c r="E22" s="88">
        <v>3</v>
      </c>
      <c r="F22" s="101">
        <f t="shared" si="0"/>
        <v>60</v>
      </c>
      <c r="G22">
        <f>VLOOKUP($C22,[1]약재관리!$A:$J,10,FALSE)</f>
        <v>8</v>
      </c>
      <c r="H22" s="5">
        <f t="shared" si="1"/>
        <v>24</v>
      </c>
      <c r="I22" s="6">
        <f t="shared" si="2"/>
        <v>480</v>
      </c>
      <c r="K22" s="162" t="s">
        <v>386</v>
      </c>
      <c r="L22" s="163"/>
      <c r="M22" s="164"/>
    </row>
    <row r="23" spans="2:13">
      <c r="B23" s="3">
        <v>22</v>
      </c>
      <c r="C23" t="s">
        <v>450</v>
      </c>
      <c r="D23" s="4"/>
      <c r="E23" s="88">
        <v>3</v>
      </c>
      <c r="F23" s="101">
        <f t="shared" si="0"/>
        <v>60</v>
      </c>
      <c r="G23">
        <f>VLOOKUP($C23,[1]약재관리!$A:$J,10,FALSE)</f>
        <v>7.5</v>
      </c>
      <c r="H23" s="5">
        <f t="shared" si="1"/>
        <v>22.5</v>
      </c>
      <c r="I23" s="6">
        <f t="shared" si="2"/>
        <v>450</v>
      </c>
      <c r="K23" s="91" t="s">
        <v>380</v>
      </c>
      <c r="L23">
        <f>SUM(F2:F31)</f>
        <v>1940</v>
      </c>
      <c r="M23" s="4" t="s">
        <v>25</v>
      </c>
    </row>
    <row r="24" spans="2:13">
      <c r="B24" s="3">
        <v>23</v>
      </c>
      <c r="C24" t="s">
        <v>469</v>
      </c>
      <c r="D24" s="4"/>
      <c r="E24" s="88">
        <v>3</v>
      </c>
      <c r="F24" s="101">
        <f t="shared" si="0"/>
        <v>60</v>
      </c>
      <c r="G24">
        <f>VLOOKUP($C24,[1]약재관리!$A:$J,10,FALSE)</f>
        <v>7</v>
      </c>
      <c r="H24" s="5">
        <f t="shared" si="1"/>
        <v>21</v>
      </c>
      <c r="I24" s="6">
        <f t="shared" si="2"/>
        <v>420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3005.5</v>
      </c>
      <c r="M30" s="4" t="s">
        <v>384</v>
      </c>
    </row>
    <row r="31" spans="2:13" ht="17.25" thickBot="1">
      <c r="B31" s="13">
        <v>30</v>
      </c>
      <c r="C31" s="14"/>
      <c r="D31" s="12"/>
      <c r="E31" s="95"/>
      <c r="F31" s="102">
        <f t="shared" si="0"/>
        <v>0</v>
      </c>
      <c r="H31" s="15">
        <f t="shared" si="1"/>
        <v>0</v>
      </c>
      <c r="I31" s="16">
        <f t="shared" si="2"/>
        <v>0</v>
      </c>
      <c r="K31" s="14" t="s">
        <v>383</v>
      </c>
      <c r="L31" s="15">
        <f>SUM(I2:I31)</f>
        <v>60110</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A26B-FBB9-46A6-9604-DA4B4864CA17}">
  <sheetPr>
    <pageSetUpPr fitToPage="1"/>
  </sheetPr>
  <dimension ref="B1:M31"/>
  <sheetViews>
    <sheetView workbookViewId="0">
      <selection activeCell="M25" sqref="M2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VLOOKUP($C2,[1]약재관리!$A:$J,10,FALSE)</f>
        <v>14.7</v>
      </c>
      <c r="H2" s="5">
        <f>G2*E2</f>
        <v>117.6</v>
      </c>
      <c r="I2" s="90">
        <f>G2*F2</f>
        <v>2352</v>
      </c>
      <c r="K2" s="7" t="s">
        <v>9</v>
      </c>
      <c r="L2" s="174">
        <v>85</v>
      </c>
      <c r="M2" s="175"/>
    </row>
    <row r="3" spans="2:13">
      <c r="B3" s="3">
        <v>2</v>
      </c>
      <c r="C3" t="s">
        <v>434</v>
      </c>
      <c r="D3" s="4"/>
      <c r="E3" s="88">
        <v>6</v>
      </c>
      <c r="F3" s="101">
        <f t="shared" ref="F3:F31" si="0">E3*$L$15</f>
        <v>120</v>
      </c>
      <c r="G3">
        <f>VLOOKUP($C3,[1]약재관리!$A:$J,10,FALSE)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VLOOKUP($C4,[1]약재관리!$A:$J,10,FALSE)</f>
        <v>31.7</v>
      </c>
      <c r="H4" s="5">
        <f t="shared" si="1"/>
        <v>190.2</v>
      </c>
      <c r="I4" s="6">
        <f t="shared" si="2"/>
        <v>3804</v>
      </c>
      <c r="K4" s="8" t="s">
        <v>11</v>
      </c>
      <c r="L4" s="178">
        <v>46132</v>
      </c>
      <c r="M4" s="177"/>
    </row>
    <row r="5" spans="2:13">
      <c r="B5" s="3">
        <v>4</v>
      </c>
      <c r="C5" t="s">
        <v>422</v>
      </c>
      <c r="D5" s="4"/>
      <c r="E5" s="88">
        <v>4</v>
      </c>
      <c r="F5" s="101">
        <f t="shared" si="0"/>
        <v>80</v>
      </c>
      <c r="G5">
        <f>VLOOKUP($C5,[1]약재관리!$A:$J,10,FALSE)</f>
        <v>10.8</v>
      </c>
      <c r="H5" s="5">
        <f t="shared" si="1"/>
        <v>43.2</v>
      </c>
      <c r="I5" s="6">
        <f t="shared" si="2"/>
        <v>864</v>
      </c>
      <c r="K5" s="8" t="s">
        <v>12</v>
      </c>
      <c r="L5" s="176" t="s">
        <v>411</v>
      </c>
      <c r="M5" s="177"/>
    </row>
    <row r="6" spans="2:13">
      <c r="B6" s="3">
        <v>5</v>
      </c>
      <c r="C6" t="s">
        <v>414</v>
      </c>
      <c r="D6" s="4"/>
      <c r="E6" s="88">
        <v>4</v>
      </c>
      <c r="F6" s="101">
        <f t="shared" si="0"/>
        <v>80</v>
      </c>
      <c r="G6">
        <f>VLOOKUP($C6,[1]약재관리!$A:$J,10,FALSE)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VLOOKUP($C7,[1]약재관리!$A:$J,10,FALSE)</f>
        <v>15.2</v>
      </c>
      <c r="H7" s="5">
        <f t="shared" si="1"/>
        <v>60.8</v>
      </c>
      <c r="I7" s="6">
        <f t="shared" si="2"/>
        <v>1216</v>
      </c>
      <c r="K7" s="8" t="s">
        <v>14</v>
      </c>
      <c r="L7" s="160" t="s">
        <v>412</v>
      </c>
      <c r="M7" s="161"/>
    </row>
    <row r="8" spans="2:13" ht="17.25" thickBot="1">
      <c r="B8" s="3">
        <v>7</v>
      </c>
      <c r="C8" t="s">
        <v>438</v>
      </c>
      <c r="D8" s="4"/>
      <c r="E8" s="88">
        <v>4</v>
      </c>
      <c r="F8" s="101">
        <f t="shared" si="0"/>
        <v>80</v>
      </c>
      <c r="G8">
        <f>VLOOKUP($C8,[1]약재관리!$A:$J,10,FALSE)</f>
        <v>17.600000000000001</v>
      </c>
      <c r="H8" s="5">
        <f t="shared" si="1"/>
        <v>70.400000000000006</v>
      </c>
      <c r="I8" s="6">
        <f t="shared" si="2"/>
        <v>1408</v>
      </c>
      <c r="K8" s="162" t="s">
        <v>15</v>
      </c>
      <c r="L8" s="163"/>
      <c r="M8" s="164"/>
    </row>
    <row r="9" spans="2:13">
      <c r="B9" s="3">
        <v>8</v>
      </c>
      <c r="C9" t="s">
        <v>416</v>
      </c>
      <c r="D9" s="4"/>
      <c r="E9" s="88">
        <v>6</v>
      </c>
      <c r="F9" s="101">
        <f t="shared" si="0"/>
        <v>120</v>
      </c>
      <c r="G9">
        <f>VLOOKUP($C9,[1]약재관리!$A:$J,10,FALSE)</f>
        <v>8.6999999999999993</v>
      </c>
      <c r="H9" s="5">
        <f t="shared" si="1"/>
        <v>52.199999999999996</v>
      </c>
      <c r="I9" s="6">
        <f t="shared" si="2"/>
        <v>1044</v>
      </c>
      <c r="K9" s="165" t="s">
        <v>468</v>
      </c>
      <c r="L9" s="166"/>
      <c r="M9" s="167"/>
    </row>
    <row r="10" spans="2:13">
      <c r="B10" s="3">
        <v>9</v>
      </c>
      <c r="C10" t="s">
        <v>440</v>
      </c>
      <c r="D10" s="4"/>
      <c r="E10" s="88">
        <v>6</v>
      </c>
      <c r="F10" s="101">
        <f t="shared" si="0"/>
        <v>120</v>
      </c>
      <c r="G10">
        <f>VLOOKUP($C10,[1]약재관리!$A:$J,10,FALSE)</f>
        <v>8.8000000000000007</v>
      </c>
      <c r="H10" s="5">
        <f t="shared" si="1"/>
        <v>52.800000000000004</v>
      </c>
      <c r="I10" s="6">
        <f t="shared" si="2"/>
        <v>1056</v>
      </c>
      <c r="K10" s="168"/>
      <c r="L10" s="169"/>
      <c r="M10" s="170"/>
    </row>
    <row r="11" spans="2:13">
      <c r="B11" s="3">
        <v>10</v>
      </c>
      <c r="C11" t="s">
        <v>417</v>
      </c>
      <c r="D11" s="4"/>
      <c r="E11" s="88">
        <v>3</v>
      </c>
      <c r="F11" s="101">
        <f t="shared" si="0"/>
        <v>60</v>
      </c>
      <c r="G11">
        <f>VLOOKUP($C11,[1]약재관리!$A:$J,10,FALSE)</f>
        <v>33.700000000000003</v>
      </c>
      <c r="H11" s="5">
        <f t="shared" si="1"/>
        <v>101.10000000000001</v>
      </c>
      <c r="I11" s="6">
        <f t="shared" si="2"/>
        <v>2022.0000000000002</v>
      </c>
      <c r="K11" s="168"/>
      <c r="L11" s="169"/>
      <c r="M11" s="170"/>
    </row>
    <row r="12" spans="2:13">
      <c r="B12" s="3">
        <v>11</v>
      </c>
      <c r="C12" t="s">
        <v>436</v>
      </c>
      <c r="D12" s="4"/>
      <c r="E12" s="88">
        <v>3</v>
      </c>
      <c r="F12" s="101">
        <f t="shared" si="0"/>
        <v>60</v>
      </c>
      <c r="G12">
        <f>VLOOKUP($C12,[1]약재관리!$A:$J,10,FALSE)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VLOOKUP($C13,[1]약재관리!$A:$J,10,FALSE)</f>
        <v>14.8</v>
      </c>
      <c r="H13" s="5">
        <f t="shared" si="1"/>
        <v>29.6</v>
      </c>
      <c r="I13" s="6">
        <f t="shared" si="2"/>
        <v>592</v>
      </c>
      <c r="K13" s="171"/>
      <c r="L13" s="172"/>
      <c r="M13" s="173"/>
    </row>
    <row r="14" spans="2:13">
      <c r="B14" s="3">
        <v>13</v>
      </c>
      <c r="C14" t="s">
        <v>437</v>
      </c>
      <c r="D14" s="4"/>
      <c r="E14" s="88">
        <v>2</v>
      </c>
      <c r="F14" s="101">
        <f t="shared" si="0"/>
        <v>40</v>
      </c>
      <c r="G14">
        <f>VLOOKUP($C14,[1]약재관리!$A:$J,10,FALSE)</f>
        <v>24.7</v>
      </c>
      <c r="H14" s="5">
        <f t="shared" si="1"/>
        <v>49.4</v>
      </c>
      <c r="I14" s="6">
        <f t="shared" si="2"/>
        <v>988</v>
      </c>
      <c r="K14" s="92" t="s">
        <v>16</v>
      </c>
      <c r="L14" s="9">
        <v>20</v>
      </c>
      <c r="M14" s="10" t="s">
        <v>17</v>
      </c>
    </row>
    <row r="15" spans="2:13">
      <c r="B15" s="3">
        <v>14</v>
      </c>
      <c r="C15" t="s">
        <v>419</v>
      </c>
      <c r="D15" s="4"/>
      <c r="E15" s="88">
        <v>4</v>
      </c>
      <c r="F15" s="101">
        <f t="shared" si="0"/>
        <v>80</v>
      </c>
      <c r="G15">
        <f>VLOOKUP($C15,[1]약재관리!$A:$J,10,FALSE)</f>
        <v>20</v>
      </c>
      <c r="H15" s="5">
        <f t="shared" si="1"/>
        <v>80</v>
      </c>
      <c r="I15" s="6">
        <f t="shared" si="2"/>
        <v>1600</v>
      </c>
      <c r="K15" s="91" t="s">
        <v>18</v>
      </c>
      <c r="L15">
        <v>20</v>
      </c>
      <c r="M15" s="4" t="s">
        <v>19</v>
      </c>
    </row>
    <row r="16" spans="2:13">
      <c r="B16" s="3">
        <v>15</v>
      </c>
      <c r="C16" t="s">
        <v>456</v>
      </c>
      <c r="D16" s="4"/>
      <c r="E16" s="88">
        <v>8</v>
      </c>
      <c r="F16" s="101">
        <f t="shared" si="0"/>
        <v>160</v>
      </c>
      <c r="G16">
        <f>VLOOKUP($C16,[1]약재관리!$A:$J,10,FALSE)</f>
        <v>16.8</v>
      </c>
      <c r="H16" s="5">
        <f t="shared" si="1"/>
        <v>134.4</v>
      </c>
      <c r="I16" s="6">
        <f t="shared" si="2"/>
        <v>2688</v>
      </c>
      <c r="K16" s="91" t="s">
        <v>20</v>
      </c>
      <c r="L16">
        <v>46</v>
      </c>
      <c r="M16" s="4" t="s">
        <v>21</v>
      </c>
    </row>
    <row r="17" spans="2:13" ht="17.25" thickBot="1">
      <c r="B17" s="3">
        <v>16</v>
      </c>
      <c r="C17" t="s">
        <v>420</v>
      </c>
      <c r="D17" s="4"/>
      <c r="E17" s="88">
        <v>4</v>
      </c>
      <c r="F17" s="101">
        <f t="shared" si="0"/>
        <v>80</v>
      </c>
      <c r="G17">
        <f>VLOOKUP($C17,[1]약재관리!$A:$J,10,FALSE)</f>
        <v>120</v>
      </c>
      <c r="H17" s="5">
        <f t="shared" si="1"/>
        <v>480</v>
      </c>
      <c r="I17" s="6">
        <f t="shared" si="2"/>
        <v>9600</v>
      </c>
      <c r="K17" s="14" t="s">
        <v>22</v>
      </c>
      <c r="L17" s="11">
        <v>110</v>
      </c>
      <c r="M17" s="12" t="s">
        <v>23</v>
      </c>
    </row>
    <row r="18" spans="2:13">
      <c r="B18" s="3">
        <v>17</v>
      </c>
      <c r="C18" t="s">
        <v>453</v>
      </c>
      <c r="D18" s="4"/>
      <c r="E18" s="88">
        <v>6</v>
      </c>
      <c r="F18" s="101">
        <f t="shared" si="0"/>
        <v>120</v>
      </c>
      <c r="G18">
        <f>VLOOKUP($C18,[1]약재관리!$A:$J,10,FALSE)</f>
        <v>13</v>
      </c>
      <c r="H18" s="5">
        <f t="shared" si="1"/>
        <v>78</v>
      </c>
      <c r="I18" s="6">
        <f t="shared" si="2"/>
        <v>1560</v>
      </c>
      <c r="K18" s="92" t="s">
        <v>24</v>
      </c>
      <c r="L18" s="9">
        <f>SUM(E2:E31)</f>
        <v>96</v>
      </c>
      <c r="M18" s="10" t="s">
        <v>25</v>
      </c>
    </row>
    <row r="19" spans="2:13">
      <c r="B19" s="3">
        <v>18</v>
      </c>
      <c r="C19" t="s">
        <v>425</v>
      </c>
      <c r="D19" s="4"/>
      <c r="E19" s="88">
        <v>2</v>
      </c>
      <c r="F19" s="101">
        <f t="shared" si="0"/>
        <v>40</v>
      </c>
      <c r="G19">
        <f>VLOOKUP($C19,[1]약재관리!$A:$J,10,FALSE)</f>
        <v>550</v>
      </c>
      <c r="H19" s="5">
        <f t="shared" si="1"/>
        <v>1100</v>
      </c>
      <c r="I19" s="6">
        <f t="shared" si="2"/>
        <v>22000</v>
      </c>
      <c r="K19" s="91" t="s">
        <v>26</v>
      </c>
      <c r="L19">
        <f>L15*L18</f>
        <v>1920</v>
      </c>
      <c r="M19" s="4" t="s">
        <v>25</v>
      </c>
    </row>
    <row r="20" spans="2:13" ht="17.25" thickBot="1">
      <c r="B20" s="3">
        <v>19</v>
      </c>
      <c r="C20" t="s">
        <v>455</v>
      </c>
      <c r="D20" s="4"/>
      <c r="E20" s="88">
        <v>4</v>
      </c>
      <c r="F20" s="101">
        <f t="shared" si="0"/>
        <v>80</v>
      </c>
      <c r="G20">
        <f>VLOOKUP($C20,[1]약재관리!$A:$J,10,FALSE)</f>
        <v>12.2</v>
      </c>
      <c r="H20" s="5">
        <f t="shared" si="1"/>
        <v>48.8</v>
      </c>
      <c r="I20" s="6">
        <f t="shared" si="2"/>
        <v>976</v>
      </c>
      <c r="K20" s="14" t="s">
        <v>27</v>
      </c>
      <c r="L20" s="11">
        <f>L16*L17+L19*1.3+400</f>
        <v>7956</v>
      </c>
      <c r="M20" s="12" t="s">
        <v>23</v>
      </c>
    </row>
    <row r="21" spans="2:13" ht="17.25" thickBot="1">
      <c r="B21" s="3">
        <v>20</v>
      </c>
      <c r="C21" t="s">
        <v>449</v>
      </c>
      <c r="D21" s="4"/>
      <c r="E21" s="88">
        <v>4</v>
      </c>
      <c r="F21" s="101">
        <f t="shared" si="0"/>
        <v>80</v>
      </c>
      <c r="G21">
        <f>VLOOKUP($C21,[1]약재관리!$A:$J,10,FALSE)</f>
        <v>10</v>
      </c>
      <c r="H21" s="5">
        <f t="shared" si="1"/>
        <v>40</v>
      </c>
      <c r="I21" s="6">
        <f t="shared" si="2"/>
        <v>800</v>
      </c>
      <c r="J21" s="91"/>
      <c r="M21" s="94"/>
    </row>
    <row r="22" spans="2:13" ht="17.25" thickBot="1">
      <c r="B22" s="3">
        <v>21</v>
      </c>
      <c r="C22" t="s">
        <v>467</v>
      </c>
      <c r="D22" s="4"/>
      <c r="E22" s="88">
        <v>4</v>
      </c>
      <c r="F22" s="101">
        <f t="shared" si="0"/>
        <v>80</v>
      </c>
      <c r="G22">
        <f>VLOOKUP($C22,[1]약재관리!$A:$J,10,FALSE)</f>
        <v>13.8</v>
      </c>
      <c r="H22" s="5">
        <f t="shared" si="1"/>
        <v>55.2</v>
      </c>
      <c r="I22" s="6">
        <f t="shared" si="2"/>
        <v>1104</v>
      </c>
      <c r="K22" s="162" t="s">
        <v>386</v>
      </c>
      <c r="L22" s="163"/>
      <c r="M22" s="164"/>
    </row>
    <row r="23" spans="2:13">
      <c r="B23" s="3">
        <v>22</v>
      </c>
      <c r="C23" t="s">
        <v>439</v>
      </c>
      <c r="D23" s="4"/>
      <c r="E23" s="88">
        <v>2</v>
      </c>
      <c r="F23" s="101">
        <f t="shared" si="0"/>
        <v>40</v>
      </c>
      <c r="G23">
        <f>VLOOKUP($C23,[1]약재관리!$A:$J,10,FALSE)</f>
        <v>21.8</v>
      </c>
      <c r="H23" s="5">
        <f t="shared" si="1"/>
        <v>43.6</v>
      </c>
      <c r="I23" s="6">
        <f t="shared" si="2"/>
        <v>872</v>
      </c>
      <c r="K23" s="91" t="s">
        <v>380</v>
      </c>
      <c r="L23">
        <f>SUM(F2:F31)</f>
        <v>1920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3054.2</v>
      </c>
      <c r="M30" s="4" t="s">
        <v>384</v>
      </c>
    </row>
    <row r="31" spans="2:13" ht="17.25" thickBot="1">
      <c r="B31" s="13">
        <v>30</v>
      </c>
      <c r="C31" s="14"/>
      <c r="D31" s="12"/>
      <c r="E31" s="95"/>
      <c r="F31" s="102">
        <f t="shared" si="0"/>
        <v>0</v>
      </c>
      <c r="H31" s="15">
        <f t="shared" si="1"/>
        <v>0</v>
      </c>
      <c r="I31" s="16">
        <f t="shared" si="2"/>
        <v>0</v>
      </c>
      <c r="K31" s="14" t="s">
        <v>383</v>
      </c>
      <c r="L31" s="15">
        <f>SUM(I2:I31)</f>
        <v>61084</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4C7E-5EE0-4A6B-8D0D-9E82ACF44E20}">
  <sheetPr>
    <pageSetUpPr fitToPage="1"/>
  </sheetPr>
  <dimension ref="B1:M31"/>
  <sheetViews>
    <sheetView workbookViewId="0">
      <selection activeCell="L21" sqref="L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VLOOKUP($C2,[1]약재관리!$A:$J,10,FALSE)</f>
        <v>14.7</v>
      </c>
      <c r="H2" s="5">
        <f>G2*E2</f>
        <v>117.6</v>
      </c>
      <c r="I2" s="90">
        <f>G2*F2</f>
        <v>2352</v>
      </c>
      <c r="K2" s="7" t="s">
        <v>9</v>
      </c>
      <c r="L2" s="174">
        <v>85</v>
      </c>
      <c r="M2" s="175"/>
    </row>
    <row r="3" spans="2:13">
      <c r="B3" s="3">
        <v>2</v>
      </c>
      <c r="C3" t="s">
        <v>434</v>
      </c>
      <c r="D3" s="4"/>
      <c r="E3" s="88">
        <v>6</v>
      </c>
      <c r="F3" s="101">
        <f t="shared" ref="F3:F31" si="0">E3*$L$15</f>
        <v>120</v>
      </c>
      <c r="G3">
        <f>VLOOKUP($C3,[1]약재관리!$A:$J,10,FALSE)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VLOOKUP($C4,[1]약재관리!$A:$J,10,FALSE)</f>
        <v>31.7</v>
      </c>
      <c r="H4" s="5">
        <f t="shared" si="1"/>
        <v>190.2</v>
      </c>
      <c r="I4" s="6">
        <f t="shared" si="2"/>
        <v>3804</v>
      </c>
      <c r="K4" s="8" t="s">
        <v>11</v>
      </c>
      <c r="L4" s="178">
        <v>46094</v>
      </c>
      <c r="M4" s="177"/>
    </row>
    <row r="5" spans="2:13">
      <c r="B5" s="3">
        <v>4</v>
      </c>
      <c r="C5" t="s">
        <v>422</v>
      </c>
      <c r="D5" s="4"/>
      <c r="E5" s="88">
        <v>4</v>
      </c>
      <c r="F5" s="101">
        <f t="shared" si="0"/>
        <v>80</v>
      </c>
      <c r="G5">
        <f>VLOOKUP($C5,[1]약재관리!$A:$J,10,FALSE)</f>
        <v>10.8</v>
      </c>
      <c r="H5" s="5">
        <f t="shared" si="1"/>
        <v>43.2</v>
      </c>
      <c r="I5" s="6">
        <f t="shared" si="2"/>
        <v>864</v>
      </c>
      <c r="K5" s="8" t="s">
        <v>12</v>
      </c>
      <c r="L5" s="176" t="s">
        <v>411</v>
      </c>
      <c r="M5" s="177"/>
    </row>
    <row r="6" spans="2:13">
      <c r="B6" s="3">
        <v>5</v>
      </c>
      <c r="C6" t="s">
        <v>414</v>
      </c>
      <c r="D6" s="4"/>
      <c r="E6" s="88">
        <v>4</v>
      </c>
      <c r="F6" s="101">
        <f t="shared" si="0"/>
        <v>80</v>
      </c>
      <c r="G6">
        <f>VLOOKUP($C6,[1]약재관리!$A:$J,10,FALSE)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VLOOKUP($C7,[1]약재관리!$A:$J,10,FALSE)</f>
        <v>15.2</v>
      </c>
      <c r="H7" s="5">
        <f t="shared" si="1"/>
        <v>60.8</v>
      </c>
      <c r="I7" s="6">
        <f t="shared" si="2"/>
        <v>1216</v>
      </c>
      <c r="K7" s="8" t="s">
        <v>14</v>
      </c>
      <c r="L7" s="160" t="s">
        <v>412</v>
      </c>
      <c r="M7" s="161"/>
    </row>
    <row r="8" spans="2:13" ht="17.25" thickBot="1">
      <c r="B8" s="3">
        <v>7</v>
      </c>
      <c r="C8" t="s">
        <v>438</v>
      </c>
      <c r="D8" s="4"/>
      <c r="E8" s="88">
        <v>4</v>
      </c>
      <c r="F8" s="101">
        <f t="shared" si="0"/>
        <v>80</v>
      </c>
      <c r="G8">
        <f>VLOOKUP($C8,[1]약재관리!$A:$J,10,FALSE)</f>
        <v>17.600000000000001</v>
      </c>
      <c r="H8" s="5">
        <f t="shared" si="1"/>
        <v>70.400000000000006</v>
      </c>
      <c r="I8" s="6">
        <f t="shared" si="2"/>
        <v>1408</v>
      </c>
      <c r="K8" s="162" t="s">
        <v>15</v>
      </c>
      <c r="L8" s="163"/>
      <c r="M8" s="164"/>
    </row>
    <row r="9" spans="2:13">
      <c r="B9" s="3">
        <v>8</v>
      </c>
      <c r="C9" t="s">
        <v>416</v>
      </c>
      <c r="D9" s="4"/>
      <c r="E9" s="88">
        <v>6</v>
      </c>
      <c r="F9" s="101">
        <f t="shared" si="0"/>
        <v>120</v>
      </c>
      <c r="G9">
        <f>VLOOKUP($C9,[1]약재관리!$A:$J,10,FALSE)</f>
        <v>8.6999999999999993</v>
      </c>
      <c r="H9" s="5">
        <f t="shared" si="1"/>
        <v>52.199999999999996</v>
      </c>
      <c r="I9" s="6">
        <f t="shared" si="2"/>
        <v>1044</v>
      </c>
      <c r="K9" s="165" t="s">
        <v>466</v>
      </c>
      <c r="L9" s="166"/>
      <c r="M9" s="167"/>
    </row>
    <row r="10" spans="2:13">
      <c r="B10" s="3">
        <v>9</v>
      </c>
      <c r="D10" s="4"/>
      <c r="F10" s="101">
        <f t="shared" si="0"/>
        <v>0</v>
      </c>
      <c r="H10" s="5">
        <f t="shared" si="1"/>
        <v>0</v>
      </c>
      <c r="I10" s="6">
        <f t="shared" si="2"/>
        <v>0</v>
      </c>
      <c r="K10" s="168"/>
      <c r="L10" s="169"/>
      <c r="M10" s="170"/>
    </row>
    <row r="11" spans="2:13">
      <c r="B11" s="3">
        <v>10</v>
      </c>
      <c r="C11" t="s">
        <v>417</v>
      </c>
      <c r="D11" s="4"/>
      <c r="E11" s="88">
        <v>4</v>
      </c>
      <c r="F11" s="101">
        <f t="shared" si="0"/>
        <v>80</v>
      </c>
      <c r="G11">
        <f>VLOOKUP($C11,[1]약재관리!$A:$J,10,FALSE)</f>
        <v>33.700000000000003</v>
      </c>
      <c r="H11" s="5">
        <f t="shared" si="1"/>
        <v>134.80000000000001</v>
      </c>
      <c r="I11" s="6">
        <f t="shared" si="2"/>
        <v>2696</v>
      </c>
      <c r="K11" s="168"/>
      <c r="L11" s="169"/>
      <c r="M11" s="170"/>
    </row>
    <row r="12" spans="2:13">
      <c r="B12" s="3">
        <v>11</v>
      </c>
      <c r="C12" t="s">
        <v>436</v>
      </c>
      <c r="D12" s="4"/>
      <c r="E12" s="88">
        <v>3</v>
      </c>
      <c r="F12" s="101">
        <f t="shared" si="0"/>
        <v>60</v>
      </c>
      <c r="G12">
        <f>VLOOKUP($C12,[1]약재관리!$A:$J,10,FALSE)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VLOOKUP($C13,[1]약재관리!$A:$J,10,FALSE)</f>
        <v>14.8</v>
      </c>
      <c r="H13" s="5">
        <f t="shared" si="1"/>
        <v>29.6</v>
      </c>
      <c r="I13" s="6">
        <f t="shared" si="2"/>
        <v>592</v>
      </c>
      <c r="K13" s="171"/>
      <c r="L13" s="172"/>
      <c r="M13" s="173"/>
    </row>
    <row r="14" spans="2:13">
      <c r="B14" s="3">
        <v>13</v>
      </c>
      <c r="C14" t="s">
        <v>437</v>
      </c>
      <c r="D14" s="4"/>
      <c r="E14" s="88">
        <v>2</v>
      </c>
      <c r="F14" s="101">
        <f t="shared" si="0"/>
        <v>40</v>
      </c>
      <c r="G14">
        <f>VLOOKUP($C14,[1]약재관리!$A:$J,10,FALSE)</f>
        <v>24.7</v>
      </c>
      <c r="H14" s="5">
        <f t="shared" si="1"/>
        <v>49.4</v>
      </c>
      <c r="I14" s="6">
        <f t="shared" si="2"/>
        <v>988</v>
      </c>
      <c r="K14" s="92" t="s">
        <v>16</v>
      </c>
      <c r="L14" s="9">
        <v>15</v>
      </c>
      <c r="M14" s="10" t="s">
        <v>17</v>
      </c>
    </row>
    <row r="15" spans="2:13">
      <c r="B15" s="3">
        <v>14</v>
      </c>
      <c r="C15" t="s">
        <v>419</v>
      </c>
      <c r="D15" s="4"/>
      <c r="E15" s="88">
        <v>4</v>
      </c>
      <c r="F15" s="101">
        <f t="shared" si="0"/>
        <v>80</v>
      </c>
      <c r="G15">
        <f>VLOOKUP($C15,[1]약재관리!$A:$J,10,FALSE)</f>
        <v>20</v>
      </c>
      <c r="H15" s="5">
        <f t="shared" si="1"/>
        <v>80</v>
      </c>
      <c r="I15" s="6">
        <f t="shared" si="2"/>
        <v>1600</v>
      </c>
      <c r="K15" s="91" t="s">
        <v>18</v>
      </c>
      <c r="L15">
        <v>20</v>
      </c>
      <c r="M15" s="4" t="s">
        <v>19</v>
      </c>
    </row>
    <row r="16" spans="2:13">
      <c r="B16" s="3">
        <v>15</v>
      </c>
      <c r="C16" t="s">
        <v>455</v>
      </c>
      <c r="D16" s="4"/>
      <c r="E16" s="88">
        <v>4</v>
      </c>
      <c r="F16" s="101">
        <f t="shared" si="0"/>
        <v>80</v>
      </c>
      <c r="G16">
        <f>VLOOKUP($C16,[1]약재관리!$A:$J,10,FALSE)</f>
        <v>12.2</v>
      </c>
      <c r="H16" s="5">
        <f t="shared" si="1"/>
        <v>48.8</v>
      </c>
      <c r="I16" s="6">
        <f t="shared" si="2"/>
        <v>976</v>
      </c>
      <c r="K16" s="91" t="s">
        <v>20</v>
      </c>
      <c r="L16">
        <v>32</v>
      </c>
      <c r="M16" s="4" t="s">
        <v>21</v>
      </c>
    </row>
    <row r="17" spans="2:13" ht="17.25" thickBot="1">
      <c r="B17" s="3">
        <v>16</v>
      </c>
      <c r="C17" t="s">
        <v>423</v>
      </c>
      <c r="D17" s="4"/>
      <c r="E17" s="88">
        <v>4</v>
      </c>
      <c r="F17" s="101">
        <f t="shared" si="0"/>
        <v>80</v>
      </c>
      <c r="G17">
        <f>VLOOKUP($C17,[1]약재관리!$A:$J,10,FALSE)</f>
        <v>25</v>
      </c>
      <c r="H17" s="5">
        <f t="shared" si="1"/>
        <v>100</v>
      </c>
      <c r="I17" s="6">
        <f t="shared" si="2"/>
        <v>2000</v>
      </c>
      <c r="K17" s="14" t="s">
        <v>22</v>
      </c>
      <c r="L17" s="11">
        <v>100</v>
      </c>
      <c r="M17" s="12" t="s">
        <v>23</v>
      </c>
    </row>
    <row r="18" spans="2:13">
      <c r="B18" s="3">
        <v>17</v>
      </c>
      <c r="C18" t="s">
        <v>427</v>
      </c>
      <c r="D18" s="4"/>
      <c r="E18" s="88">
        <v>4</v>
      </c>
      <c r="F18" s="101">
        <f t="shared" si="0"/>
        <v>80</v>
      </c>
      <c r="G18">
        <f>VLOOKUP($C18,[1]약재관리!$A:$J,10,FALSE)</f>
        <v>41</v>
      </c>
      <c r="H18" s="5">
        <f t="shared" si="1"/>
        <v>164</v>
      </c>
      <c r="I18" s="6">
        <f t="shared" si="2"/>
        <v>3280</v>
      </c>
      <c r="K18" s="92" t="s">
        <v>24</v>
      </c>
      <c r="L18" s="9">
        <f>SUM(E2:E31)</f>
        <v>89</v>
      </c>
      <c r="M18" s="10" t="s">
        <v>25</v>
      </c>
    </row>
    <row r="19" spans="2:13">
      <c r="B19" s="3">
        <v>18</v>
      </c>
      <c r="C19" t="s">
        <v>457</v>
      </c>
      <c r="D19" s="4"/>
      <c r="E19" s="88">
        <v>6</v>
      </c>
      <c r="F19" s="101">
        <f t="shared" si="0"/>
        <v>120</v>
      </c>
      <c r="G19">
        <f>VLOOKUP($C19,[1]약재관리!$A:$J,10,FALSE)</f>
        <v>13.7</v>
      </c>
      <c r="H19" s="5">
        <f t="shared" si="1"/>
        <v>82.199999999999989</v>
      </c>
      <c r="I19" s="6">
        <f t="shared" si="2"/>
        <v>1644</v>
      </c>
      <c r="K19" s="91" t="s">
        <v>26</v>
      </c>
      <c r="L19">
        <f>L15*L18</f>
        <v>1780</v>
      </c>
      <c r="M19" s="4" t="s">
        <v>25</v>
      </c>
    </row>
    <row r="20" spans="2:13" ht="17.25" thickBot="1">
      <c r="B20" s="3">
        <v>19</v>
      </c>
      <c r="C20" t="s">
        <v>458</v>
      </c>
      <c r="D20" s="4"/>
      <c r="E20" s="88">
        <v>6</v>
      </c>
      <c r="F20" s="101">
        <f t="shared" si="0"/>
        <v>120</v>
      </c>
      <c r="G20">
        <f>VLOOKUP($C20,[1]약재관리!$A:$J,10,FALSE)</f>
        <v>31</v>
      </c>
      <c r="H20" s="5">
        <f t="shared" si="1"/>
        <v>186</v>
      </c>
      <c r="I20" s="6">
        <f t="shared" si="2"/>
        <v>3720</v>
      </c>
      <c r="K20" s="14" t="s">
        <v>27</v>
      </c>
      <c r="L20" s="11">
        <f>L16*L17+L19*1.3+400</f>
        <v>5914</v>
      </c>
      <c r="M20" s="12" t="s">
        <v>23</v>
      </c>
    </row>
    <row r="21" spans="2:13" ht="17.25" thickBot="1">
      <c r="B21" s="3">
        <v>20</v>
      </c>
      <c r="C21" t="s">
        <v>465</v>
      </c>
      <c r="D21" s="4"/>
      <c r="E21" s="88">
        <v>8</v>
      </c>
      <c r="F21" s="101">
        <f t="shared" si="0"/>
        <v>160</v>
      </c>
      <c r="G21">
        <f>VLOOKUP($C21,[1]약재관리!$A:$J,10,FALSE)</f>
        <v>17.2</v>
      </c>
      <c r="H21" s="5">
        <f t="shared" si="1"/>
        <v>137.6</v>
      </c>
      <c r="I21" s="6">
        <f t="shared" si="2"/>
        <v>2752</v>
      </c>
      <c r="J21" s="91"/>
      <c r="M21" s="94"/>
    </row>
    <row r="22" spans="2:13" ht="17.25" thickBot="1">
      <c r="B22" s="3">
        <v>21</v>
      </c>
      <c r="D22" s="4"/>
      <c r="F22" s="101">
        <f t="shared" si="0"/>
        <v>0</v>
      </c>
      <c r="H22" s="5">
        <f t="shared" si="1"/>
        <v>0</v>
      </c>
      <c r="I22" s="6">
        <f t="shared" si="2"/>
        <v>0</v>
      </c>
      <c r="K22" s="162" t="s">
        <v>386</v>
      </c>
      <c r="L22" s="163"/>
      <c r="M22" s="164"/>
    </row>
    <row r="23" spans="2:13">
      <c r="B23" s="3">
        <v>22</v>
      </c>
      <c r="D23" s="4"/>
      <c r="F23" s="101">
        <f t="shared" si="0"/>
        <v>0</v>
      </c>
      <c r="H23" s="5">
        <f t="shared" si="1"/>
        <v>0</v>
      </c>
      <c r="I23" s="6">
        <f t="shared" si="2"/>
        <v>0</v>
      </c>
      <c r="K23" s="91" t="s">
        <v>380</v>
      </c>
      <c r="L23">
        <f>SUM(F2:F31)</f>
        <v>1780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1773.6999999999998</v>
      </c>
      <c r="M30" s="4" t="s">
        <v>384</v>
      </c>
    </row>
    <row r="31" spans="2:13" ht="17.25" thickBot="1">
      <c r="B31" s="13">
        <v>30</v>
      </c>
      <c r="C31" s="14"/>
      <c r="D31" s="12"/>
      <c r="E31" s="95"/>
      <c r="F31" s="102">
        <f t="shared" si="0"/>
        <v>0</v>
      </c>
      <c r="H31" s="15">
        <f t="shared" si="1"/>
        <v>0</v>
      </c>
      <c r="I31" s="16">
        <f t="shared" si="2"/>
        <v>0</v>
      </c>
      <c r="K31" s="14" t="s">
        <v>383</v>
      </c>
      <c r="L31" s="15">
        <f>SUM(I2:I31)</f>
        <v>35474</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26E3-37A7-49DD-A2F9-94968150E2A1}">
  <sheetPr>
    <pageSetUpPr fitToPage="1"/>
  </sheetPr>
  <dimension ref="B1:M31"/>
  <sheetViews>
    <sheetView workbookViewId="0">
      <selection activeCell="G14" sqref="G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VLOOKUP($C2,[1]약재관리!$A:$J,10,FALSE)</f>
        <v>14.7</v>
      </c>
      <c r="H2" s="5">
        <f>G2*E2</f>
        <v>117.6</v>
      </c>
      <c r="I2" s="90">
        <f>G2*F2</f>
        <v>2352</v>
      </c>
      <c r="K2" s="7" t="s">
        <v>9</v>
      </c>
      <c r="L2" s="174">
        <v>85</v>
      </c>
      <c r="M2" s="175"/>
    </row>
    <row r="3" spans="2:13">
      <c r="B3" s="3">
        <v>2</v>
      </c>
      <c r="C3" t="s">
        <v>434</v>
      </c>
      <c r="D3" s="4"/>
      <c r="E3" s="88">
        <v>6</v>
      </c>
      <c r="F3" s="101">
        <f t="shared" ref="F3:F31" si="0">E3*$L$15</f>
        <v>120</v>
      </c>
      <c r="G3">
        <f>VLOOKUP($C3,[1]약재관리!$A:$J,10,FALSE)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VLOOKUP($C4,[1]약재관리!$A:$J,10,FALSE)</f>
        <v>31.7</v>
      </c>
      <c r="H4" s="5">
        <f t="shared" si="1"/>
        <v>190.2</v>
      </c>
      <c r="I4" s="6">
        <f t="shared" si="2"/>
        <v>3804</v>
      </c>
      <c r="K4" s="8" t="s">
        <v>11</v>
      </c>
      <c r="L4" s="178">
        <v>46017</v>
      </c>
      <c r="M4" s="177"/>
    </row>
    <row r="5" spans="2:13">
      <c r="B5" s="3">
        <v>4</v>
      </c>
      <c r="C5" t="s">
        <v>422</v>
      </c>
      <c r="D5" s="4"/>
      <c r="E5" s="88">
        <v>4</v>
      </c>
      <c r="F5" s="101">
        <f t="shared" si="0"/>
        <v>80</v>
      </c>
      <c r="G5">
        <f>VLOOKUP($C5,[1]약재관리!$A:$J,10,FALSE)</f>
        <v>10.8</v>
      </c>
      <c r="H5" s="5">
        <f t="shared" si="1"/>
        <v>43.2</v>
      </c>
      <c r="I5" s="6">
        <f t="shared" si="2"/>
        <v>864</v>
      </c>
      <c r="K5" s="8" t="s">
        <v>12</v>
      </c>
      <c r="L5" s="176" t="s">
        <v>411</v>
      </c>
      <c r="M5" s="177"/>
    </row>
    <row r="6" spans="2:13">
      <c r="B6" s="3">
        <v>5</v>
      </c>
      <c r="C6" t="s">
        <v>414</v>
      </c>
      <c r="D6" s="4"/>
      <c r="E6" s="88">
        <v>4</v>
      </c>
      <c r="F6" s="101">
        <f t="shared" si="0"/>
        <v>80</v>
      </c>
      <c r="G6">
        <f>VLOOKUP($C6,[1]약재관리!$A:$J,10,FALSE)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VLOOKUP($C7,[1]약재관리!$A:$J,10,FALSE)</f>
        <v>15.2</v>
      </c>
      <c r="H7" s="5">
        <f t="shared" si="1"/>
        <v>60.8</v>
      </c>
      <c r="I7" s="6">
        <f t="shared" si="2"/>
        <v>1216</v>
      </c>
      <c r="K7" s="8" t="s">
        <v>14</v>
      </c>
      <c r="L7" s="160" t="s">
        <v>412</v>
      </c>
      <c r="M7" s="161"/>
    </row>
    <row r="8" spans="2:13" ht="17.25" thickBot="1">
      <c r="B8" s="3">
        <v>7</v>
      </c>
      <c r="C8" t="s">
        <v>438</v>
      </c>
      <c r="D8" s="4"/>
      <c r="E8" s="88">
        <v>4</v>
      </c>
      <c r="F8" s="101">
        <f t="shared" si="0"/>
        <v>80</v>
      </c>
      <c r="G8">
        <f>VLOOKUP($C8,[1]약재관리!$A:$J,10,FALSE)</f>
        <v>17.600000000000001</v>
      </c>
      <c r="H8" s="5">
        <f t="shared" si="1"/>
        <v>70.400000000000006</v>
      </c>
      <c r="I8" s="6">
        <f t="shared" si="2"/>
        <v>1408</v>
      </c>
      <c r="K8" s="162" t="s">
        <v>15</v>
      </c>
      <c r="L8" s="163"/>
      <c r="M8" s="164"/>
    </row>
    <row r="9" spans="2:13">
      <c r="B9" s="3">
        <v>8</v>
      </c>
      <c r="C9" t="s">
        <v>416</v>
      </c>
      <c r="D9" s="4"/>
      <c r="E9" s="88">
        <v>6</v>
      </c>
      <c r="F9" s="101">
        <f t="shared" si="0"/>
        <v>120</v>
      </c>
      <c r="G9">
        <f>VLOOKUP($C9,[1]약재관리!$A:$J,10,FALSE)</f>
        <v>8.6999999999999993</v>
      </c>
      <c r="H9" s="5">
        <f t="shared" si="1"/>
        <v>52.199999999999996</v>
      </c>
      <c r="I9" s="6">
        <f t="shared" si="2"/>
        <v>1044</v>
      </c>
      <c r="K9" s="165" t="s">
        <v>464</v>
      </c>
      <c r="L9" s="166"/>
      <c r="M9" s="167"/>
    </row>
    <row r="10" spans="2:13">
      <c r="B10" s="3">
        <v>9</v>
      </c>
      <c r="C10" t="s">
        <v>435</v>
      </c>
      <c r="D10" s="4"/>
      <c r="E10" s="88">
        <v>3</v>
      </c>
      <c r="F10" s="101">
        <f t="shared" si="0"/>
        <v>60</v>
      </c>
      <c r="G10">
        <f>VLOOKUP($C10,[1]약재관리!$A:$J,10,FALSE)</f>
        <v>59.7</v>
      </c>
      <c r="H10" s="5">
        <f t="shared" si="1"/>
        <v>179.10000000000002</v>
      </c>
      <c r="I10" s="6">
        <f t="shared" si="2"/>
        <v>3582</v>
      </c>
      <c r="K10" s="168"/>
      <c r="L10" s="169"/>
      <c r="M10" s="170"/>
    </row>
    <row r="11" spans="2:13">
      <c r="B11" s="3">
        <v>10</v>
      </c>
      <c r="C11" t="s">
        <v>417</v>
      </c>
      <c r="D11" s="4"/>
      <c r="E11" s="88">
        <v>3</v>
      </c>
      <c r="F11" s="101">
        <f t="shared" si="0"/>
        <v>60</v>
      </c>
      <c r="G11">
        <f>VLOOKUP($C11,[1]약재관리!$A:$J,10,FALSE)</f>
        <v>33.700000000000003</v>
      </c>
      <c r="H11" s="5">
        <f t="shared" si="1"/>
        <v>101.10000000000001</v>
      </c>
      <c r="I11" s="6">
        <f t="shared" si="2"/>
        <v>2022.0000000000002</v>
      </c>
      <c r="K11" s="168"/>
      <c r="L11" s="169"/>
      <c r="M11" s="170"/>
    </row>
    <row r="12" spans="2:13">
      <c r="B12" s="3">
        <v>11</v>
      </c>
      <c r="C12" t="s">
        <v>436</v>
      </c>
      <c r="D12" s="4"/>
      <c r="E12" s="88">
        <v>3</v>
      </c>
      <c r="F12" s="101">
        <f t="shared" si="0"/>
        <v>60</v>
      </c>
      <c r="G12">
        <f>VLOOKUP($C12,[1]약재관리!$A:$J,10,FALSE)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VLOOKUP($C13,[1]약재관리!$A:$J,10,FALSE)</f>
        <v>14.8</v>
      </c>
      <c r="H13" s="5">
        <f t="shared" si="1"/>
        <v>29.6</v>
      </c>
      <c r="I13" s="6">
        <f t="shared" si="2"/>
        <v>592</v>
      </c>
      <c r="K13" s="171"/>
      <c r="L13" s="172"/>
      <c r="M13" s="173"/>
    </row>
    <row r="14" spans="2:13">
      <c r="B14" s="3">
        <v>13</v>
      </c>
      <c r="C14" t="s">
        <v>437</v>
      </c>
      <c r="D14" s="4"/>
      <c r="E14" s="88">
        <v>2</v>
      </c>
      <c r="F14" s="101">
        <f t="shared" si="0"/>
        <v>40</v>
      </c>
      <c r="G14">
        <f>VLOOKUP($C14,[1]약재관리!$A:$J,10,FALSE)</f>
        <v>24.7</v>
      </c>
      <c r="H14" s="5">
        <f t="shared" si="1"/>
        <v>49.4</v>
      </c>
      <c r="I14" s="6">
        <f t="shared" si="2"/>
        <v>988</v>
      </c>
      <c r="K14" s="92" t="s">
        <v>16</v>
      </c>
      <c r="L14" s="9">
        <v>15</v>
      </c>
      <c r="M14" s="10" t="s">
        <v>17</v>
      </c>
    </row>
    <row r="15" spans="2:13">
      <c r="B15" s="3">
        <v>14</v>
      </c>
      <c r="C15" t="s">
        <v>419</v>
      </c>
      <c r="D15" s="4"/>
      <c r="E15" s="88">
        <v>4</v>
      </c>
      <c r="F15" s="101">
        <f t="shared" si="0"/>
        <v>80</v>
      </c>
      <c r="G15">
        <f>VLOOKUP($C15,[1]약재관리!$A:$J,10,FALSE)</f>
        <v>20</v>
      </c>
      <c r="H15" s="5">
        <f t="shared" si="1"/>
        <v>80</v>
      </c>
      <c r="I15" s="6">
        <f t="shared" si="2"/>
        <v>1600</v>
      </c>
      <c r="K15" s="91" t="s">
        <v>18</v>
      </c>
      <c r="L15">
        <v>20</v>
      </c>
      <c r="M15" s="4" t="s">
        <v>19</v>
      </c>
    </row>
    <row r="16" spans="2:13">
      <c r="B16" s="3">
        <v>15</v>
      </c>
      <c r="C16" t="s">
        <v>456</v>
      </c>
      <c r="D16" s="4"/>
      <c r="E16" s="88">
        <v>8</v>
      </c>
      <c r="F16" s="101">
        <f t="shared" si="0"/>
        <v>160</v>
      </c>
      <c r="G16">
        <f>VLOOKUP($C16,[1]약재관리!$A:$J,10,FALSE)</f>
        <v>16.8</v>
      </c>
      <c r="H16" s="5">
        <f t="shared" si="1"/>
        <v>134.4</v>
      </c>
      <c r="I16" s="6">
        <f t="shared" si="2"/>
        <v>2688</v>
      </c>
      <c r="K16" s="91" t="s">
        <v>20</v>
      </c>
      <c r="L16">
        <v>30</v>
      </c>
      <c r="M16" s="4" t="s">
        <v>21</v>
      </c>
    </row>
    <row r="17" spans="2:13" ht="17.25" thickBot="1">
      <c r="B17" s="3">
        <v>16</v>
      </c>
      <c r="C17" t="s">
        <v>420</v>
      </c>
      <c r="D17" s="4"/>
      <c r="E17" s="88">
        <v>4</v>
      </c>
      <c r="F17" s="101">
        <f t="shared" si="0"/>
        <v>80</v>
      </c>
      <c r="G17">
        <f>VLOOKUP($C17,[1]약재관리!$A:$J,10,FALSE)</f>
        <v>120</v>
      </c>
      <c r="H17" s="5">
        <f t="shared" si="1"/>
        <v>480</v>
      </c>
      <c r="I17" s="6">
        <f t="shared" si="2"/>
        <v>9600</v>
      </c>
      <c r="K17" s="14" t="s">
        <v>22</v>
      </c>
      <c r="L17" s="11">
        <v>100</v>
      </c>
      <c r="M17" s="12" t="s">
        <v>23</v>
      </c>
    </row>
    <row r="18" spans="2:13">
      <c r="B18" s="3">
        <v>17</v>
      </c>
      <c r="C18" t="s">
        <v>453</v>
      </c>
      <c r="D18" s="4"/>
      <c r="E18" s="88">
        <v>6</v>
      </c>
      <c r="F18" s="101">
        <f t="shared" si="0"/>
        <v>120</v>
      </c>
      <c r="G18">
        <f>VLOOKUP($C18,[1]약재관리!$A:$J,10,FALSE)</f>
        <v>13</v>
      </c>
      <c r="H18" s="5">
        <f t="shared" si="1"/>
        <v>78</v>
      </c>
      <c r="I18" s="6">
        <f t="shared" si="2"/>
        <v>1560</v>
      </c>
      <c r="K18" s="92" t="s">
        <v>24</v>
      </c>
      <c r="L18" s="9">
        <f>SUM(E2:E31)</f>
        <v>99</v>
      </c>
      <c r="M18" s="10" t="s">
        <v>25</v>
      </c>
    </row>
    <row r="19" spans="2:13">
      <c r="B19" s="3">
        <v>18</v>
      </c>
      <c r="C19" t="s">
        <v>425</v>
      </c>
      <c r="D19" s="4"/>
      <c r="E19" s="88">
        <v>2</v>
      </c>
      <c r="F19" s="101">
        <f t="shared" si="0"/>
        <v>40</v>
      </c>
      <c r="G19">
        <f>VLOOKUP($C19,[1]약재관리!$A:$J,10,FALSE)</f>
        <v>550</v>
      </c>
      <c r="H19" s="5">
        <f t="shared" si="1"/>
        <v>1100</v>
      </c>
      <c r="I19" s="6">
        <f t="shared" si="2"/>
        <v>22000</v>
      </c>
      <c r="K19" s="91" t="s">
        <v>26</v>
      </c>
      <c r="L19">
        <f>L15*L18</f>
        <v>1980</v>
      </c>
      <c r="M19" s="4" t="s">
        <v>25</v>
      </c>
    </row>
    <row r="20" spans="2:13" ht="17.25" thickBot="1">
      <c r="B20" s="3">
        <v>19</v>
      </c>
      <c r="C20" t="s">
        <v>455</v>
      </c>
      <c r="D20" s="4"/>
      <c r="E20" s="88">
        <v>4</v>
      </c>
      <c r="F20" s="101">
        <f t="shared" si="0"/>
        <v>80</v>
      </c>
      <c r="G20">
        <f>VLOOKUP($C20,[1]약재관리!$A:$J,10,FALSE)</f>
        <v>12.2</v>
      </c>
      <c r="H20" s="5">
        <f t="shared" si="1"/>
        <v>48.8</v>
      </c>
      <c r="I20" s="6">
        <f t="shared" si="2"/>
        <v>976</v>
      </c>
      <c r="K20" s="14" t="s">
        <v>27</v>
      </c>
      <c r="L20" s="11">
        <f>L16*L17+L19</f>
        <v>4980</v>
      </c>
      <c r="M20" s="12" t="s">
        <v>23</v>
      </c>
    </row>
    <row r="21" spans="2:13" ht="17.25" thickBot="1">
      <c r="B21" s="3">
        <v>20</v>
      </c>
      <c r="C21" t="s">
        <v>462</v>
      </c>
      <c r="D21" s="4"/>
      <c r="E21" s="88">
        <v>4</v>
      </c>
      <c r="F21" s="101">
        <f t="shared" si="0"/>
        <v>80</v>
      </c>
      <c r="G21">
        <f>VLOOKUP($C21,[1]약재관리!$A:$J,10,FALSE)</f>
        <v>23.3</v>
      </c>
      <c r="H21" s="5">
        <f t="shared" si="1"/>
        <v>93.2</v>
      </c>
      <c r="I21" s="6">
        <f t="shared" si="2"/>
        <v>1864</v>
      </c>
      <c r="J21" s="91"/>
      <c r="M21" s="94"/>
    </row>
    <row r="22" spans="2:13" ht="17.25" thickBot="1">
      <c r="B22" s="3">
        <v>21</v>
      </c>
      <c r="C22" t="s">
        <v>457</v>
      </c>
      <c r="D22" s="4"/>
      <c r="E22" s="88">
        <v>6</v>
      </c>
      <c r="F22" s="101">
        <f t="shared" si="0"/>
        <v>120</v>
      </c>
      <c r="G22">
        <f>VLOOKUP($C22,[1]약재관리!$A:$J,10,FALSE)</f>
        <v>13.7</v>
      </c>
      <c r="H22" s="5">
        <f t="shared" si="1"/>
        <v>82.199999999999989</v>
      </c>
      <c r="I22" s="6">
        <f t="shared" si="2"/>
        <v>1644</v>
      </c>
      <c r="K22" s="162" t="s">
        <v>386</v>
      </c>
      <c r="L22" s="163"/>
      <c r="M22" s="164"/>
    </row>
    <row r="23" spans="2:13">
      <c r="B23" s="3">
        <v>22</v>
      </c>
      <c r="C23" t="s">
        <v>458</v>
      </c>
      <c r="D23" s="4"/>
      <c r="E23" s="88">
        <v>6</v>
      </c>
      <c r="F23" s="101">
        <f t="shared" si="0"/>
        <v>120</v>
      </c>
      <c r="G23">
        <f>VLOOKUP($C23,[1]약재관리!$A:$J,10,FALSE)</f>
        <v>31</v>
      </c>
      <c r="H23" s="5">
        <f t="shared" si="1"/>
        <v>186</v>
      </c>
      <c r="I23" s="6">
        <f t="shared" si="2"/>
        <v>3720</v>
      </c>
      <c r="K23" s="91" t="s">
        <v>380</v>
      </c>
      <c r="L23">
        <f>SUM(F2:F31)</f>
        <v>1980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3403.1</v>
      </c>
      <c r="M30" s="4" t="s">
        <v>384</v>
      </c>
    </row>
    <row r="31" spans="2:13" ht="17.25" thickBot="1">
      <c r="B31" s="13">
        <v>30</v>
      </c>
      <c r="C31" s="14"/>
      <c r="D31" s="12"/>
      <c r="E31" s="95"/>
      <c r="F31" s="102">
        <f t="shared" si="0"/>
        <v>0</v>
      </c>
      <c r="H31" s="15">
        <f t="shared" si="1"/>
        <v>0</v>
      </c>
      <c r="I31" s="16">
        <f t="shared" si="2"/>
        <v>0</v>
      </c>
      <c r="K31" s="14" t="s">
        <v>383</v>
      </c>
      <c r="L31" s="15">
        <f>SUM(I2:I31)</f>
        <v>68062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09E6-7B06-4722-9A4A-2F84AAF309C1}">
  <sheetPr>
    <pageSetUpPr fitToPage="1"/>
  </sheetPr>
  <dimension ref="B1:M31"/>
  <sheetViews>
    <sheetView workbookViewId="0">
      <selection activeCell="C21" sqref="C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434</v>
      </c>
      <c r="D3" s="4"/>
      <c r="E3" s="88">
        <v>6</v>
      </c>
      <c r="F3" s="101">
        <f t="shared" ref="F3:F31" si="0">E3*$L$15</f>
        <v>120</v>
      </c>
      <c r="G3">
        <f>VLOOKUP($C3,약재관리!A:J,10,FALSE)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46017</v>
      </c>
      <c r="M4" s="177"/>
    </row>
    <row r="5" spans="2:13">
      <c r="B5" s="3">
        <v>4</v>
      </c>
      <c r="C5" t="s">
        <v>422</v>
      </c>
      <c r="D5" s="4"/>
      <c r="E5" s="88">
        <v>4</v>
      </c>
      <c r="F5" s="101">
        <f t="shared" si="0"/>
        <v>80</v>
      </c>
      <c r="G5">
        <f>VLOOKUP($C5,약재관리!A:J,10,FALSE)</f>
        <v>10.8</v>
      </c>
      <c r="H5" s="5">
        <f t="shared" si="1"/>
        <v>43.2</v>
      </c>
      <c r="I5" s="6">
        <f t="shared" si="2"/>
        <v>864</v>
      </c>
      <c r="K5" s="8" t="s">
        <v>12</v>
      </c>
      <c r="L5" s="176" t="s">
        <v>411</v>
      </c>
      <c r="M5" s="177"/>
    </row>
    <row r="6" spans="2:13">
      <c r="B6" s="3">
        <v>5</v>
      </c>
      <c r="C6" t="s">
        <v>414</v>
      </c>
      <c r="D6" s="4"/>
      <c r="E6" s="88">
        <v>4</v>
      </c>
      <c r="F6" s="101">
        <f t="shared" si="0"/>
        <v>80</v>
      </c>
      <c r="G6">
        <f>VLOOKUP($C6,약재관리!A:J,10,FALSE)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VLOOKUP($C7,약재관리!A:J,10,FALSE)</f>
        <v>16.8</v>
      </c>
      <c r="H7" s="5">
        <f t="shared" si="1"/>
        <v>67.2</v>
      </c>
      <c r="I7" s="6">
        <f t="shared" si="2"/>
        <v>1344</v>
      </c>
      <c r="K7" s="8" t="s">
        <v>14</v>
      </c>
      <c r="L7" s="160" t="s">
        <v>412</v>
      </c>
      <c r="M7" s="161"/>
    </row>
    <row r="8" spans="2:13" ht="17.25" thickBot="1">
      <c r="B8" s="3">
        <v>7</v>
      </c>
      <c r="C8" t="s">
        <v>438</v>
      </c>
      <c r="D8" s="4"/>
      <c r="E8" s="88">
        <v>4</v>
      </c>
      <c r="F8" s="101">
        <f t="shared" si="0"/>
        <v>80</v>
      </c>
      <c r="G8">
        <f>VLOOKUP($C8,약재관리!A:J,10,FALSE)</f>
        <v>17.600000000000001</v>
      </c>
      <c r="H8" s="5">
        <f t="shared" si="1"/>
        <v>70.400000000000006</v>
      </c>
      <c r="I8" s="6">
        <f t="shared" si="2"/>
        <v>1408</v>
      </c>
      <c r="K8" s="162" t="s">
        <v>15</v>
      </c>
      <c r="L8" s="163"/>
      <c r="M8" s="164"/>
    </row>
    <row r="9" spans="2:13">
      <c r="B9" s="3">
        <v>8</v>
      </c>
      <c r="C9" t="s">
        <v>416</v>
      </c>
      <c r="D9" s="4"/>
      <c r="E9" s="88">
        <v>6</v>
      </c>
      <c r="F9" s="101">
        <f t="shared" si="0"/>
        <v>120</v>
      </c>
      <c r="G9">
        <f>VLOOKUP($C9,약재관리!A:J,10,FALSE)</f>
        <v>11</v>
      </c>
      <c r="H9" s="5">
        <f t="shared" si="1"/>
        <v>66</v>
      </c>
      <c r="I9" s="6">
        <f t="shared" si="2"/>
        <v>1320</v>
      </c>
      <c r="K9" s="165" t="s">
        <v>459</v>
      </c>
      <c r="L9" s="166"/>
      <c r="M9" s="167"/>
    </row>
    <row r="10" spans="2:13">
      <c r="B10" s="3">
        <v>9</v>
      </c>
      <c r="C10" t="s">
        <v>435</v>
      </c>
      <c r="D10" s="4"/>
      <c r="E10" s="88">
        <v>3</v>
      </c>
      <c r="F10" s="101">
        <f t="shared" si="0"/>
        <v>60</v>
      </c>
      <c r="G10">
        <f>VLOOKUP($C10,약재관리!A:J,10,FALSE)</f>
        <v>61.7</v>
      </c>
      <c r="H10" s="5">
        <f t="shared" si="1"/>
        <v>185.10000000000002</v>
      </c>
      <c r="I10" s="6">
        <f t="shared" si="2"/>
        <v>3702</v>
      </c>
      <c r="K10" s="168"/>
      <c r="L10" s="169"/>
      <c r="M10" s="170"/>
    </row>
    <row r="11" spans="2:13">
      <c r="B11" s="3">
        <v>10</v>
      </c>
      <c r="C11" t="s">
        <v>417</v>
      </c>
      <c r="D11" s="4"/>
      <c r="E11" s="88">
        <v>3</v>
      </c>
      <c r="F11" s="101">
        <f t="shared" si="0"/>
        <v>60</v>
      </c>
      <c r="G11">
        <f>VLOOKUP($C11,약재관리!A:J,10,FALSE)</f>
        <v>31.5</v>
      </c>
      <c r="H11" s="5">
        <f t="shared" si="1"/>
        <v>94.5</v>
      </c>
      <c r="I11" s="6">
        <f t="shared" si="2"/>
        <v>1890</v>
      </c>
      <c r="K11" s="168"/>
      <c r="L11" s="169"/>
      <c r="M11" s="170"/>
    </row>
    <row r="12" spans="2:13">
      <c r="B12" s="3">
        <v>11</v>
      </c>
      <c r="C12" t="s">
        <v>436</v>
      </c>
      <c r="D12" s="4"/>
      <c r="E12" s="88">
        <v>3</v>
      </c>
      <c r="F12" s="101">
        <f t="shared" si="0"/>
        <v>60</v>
      </c>
      <c r="G12">
        <f>VLOOKUP($C12,약재관리!A:J,10,FALSE)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VLOOKUP($C13,약재관리!A:J,10,FALSE)</f>
        <v>14.8</v>
      </c>
      <c r="H13" s="5">
        <f t="shared" si="1"/>
        <v>29.6</v>
      </c>
      <c r="I13" s="6">
        <f t="shared" si="2"/>
        <v>592</v>
      </c>
      <c r="K13" s="171"/>
      <c r="L13" s="172"/>
      <c r="M13" s="173"/>
    </row>
    <row r="14" spans="2:13">
      <c r="B14" s="3">
        <v>13</v>
      </c>
      <c r="C14" t="s">
        <v>437</v>
      </c>
      <c r="D14" s="4"/>
      <c r="E14" s="88">
        <v>2</v>
      </c>
      <c r="F14" s="101">
        <f t="shared" si="0"/>
        <v>40</v>
      </c>
      <c r="G14">
        <f>VLOOKUP($C14,약재관리!A:J,10,FALSE)</f>
        <v>12.5</v>
      </c>
      <c r="H14" s="5">
        <f t="shared" si="1"/>
        <v>25</v>
      </c>
      <c r="I14" s="6">
        <f t="shared" si="2"/>
        <v>500</v>
      </c>
      <c r="K14" s="92" t="s">
        <v>16</v>
      </c>
      <c r="L14" s="9">
        <v>15</v>
      </c>
      <c r="M14" s="10" t="s">
        <v>17</v>
      </c>
    </row>
    <row r="15" spans="2:13">
      <c r="B15" s="3">
        <v>14</v>
      </c>
      <c r="C15" t="s">
        <v>419</v>
      </c>
      <c r="D15" s="4"/>
      <c r="E15" s="88">
        <v>4</v>
      </c>
      <c r="F15" s="101">
        <f t="shared" si="0"/>
        <v>80</v>
      </c>
      <c r="G15">
        <f>VLOOKUP($C15,약재관리!A:J,10,FALSE)</f>
        <v>15</v>
      </c>
      <c r="H15" s="5">
        <f t="shared" si="1"/>
        <v>60</v>
      </c>
      <c r="I15" s="6">
        <f t="shared" si="2"/>
        <v>1200</v>
      </c>
      <c r="K15" s="91" t="s">
        <v>18</v>
      </c>
      <c r="L15">
        <v>20</v>
      </c>
      <c r="M15" s="4" t="s">
        <v>19</v>
      </c>
    </row>
    <row r="16" spans="2:13">
      <c r="B16" s="3">
        <v>15</v>
      </c>
      <c r="C16" t="s">
        <v>456</v>
      </c>
      <c r="D16" s="4"/>
      <c r="E16" s="88">
        <v>8</v>
      </c>
      <c r="F16" s="101">
        <f t="shared" si="0"/>
        <v>160</v>
      </c>
      <c r="G16">
        <f>VLOOKUP($C16,약재관리!A:J,10,FALSE)</f>
        <v>22</v>
      </c>
      <c r="H16" s="5">
        <f t="shared" si="1"/>
        <v>176</v>
      </c>
      <c r="I16" s="6">
        <f t="shared" si="2"/>
        <v>3520</v>
      </c>
      <c r="K16" s="91" t="s">
        <v>20</v>
      </c>
      <c r="L16">
        <v>30</v>
      </c>
      <c r="M16" s="4" t="s">
        <v>21</v>
      </c>
    </row>
    <row r="17" spans="2:13" ht="17.25" thickBot="1">
      <c r="B17" s="3">
        <v>16</v>
      </c>
      <c r="C17" t="s">
        <v>420</v>
      </c>
      <c r="D17" s="4"/>
      <c r="E17" s="88">
        <v>4</v>
      </c>
      <c r="F17" s="101">
        <f t="shared" si="0"/>
        <v>80</v>
      </c>
      <c r="G17">
        <f>VLOOKUP($C17,약재관리!A:J,10,FALSE)</f>
        <v>106.7</v>
      </c>
      <c r="H17" s="5">
        <f t="shared" si="1"/>
        <v>426.8</v>
      </c>
      <c r="I17" s="6">
        <f t="shared" si="2"/>
        <v>8536</v>
      </c>
      <c r="K17" s="14" t="s">
        <v>22</v>
      </c>
      <c r="L17" s="11">
        <v>100</v>
      </c>
      <c r="M17" s="12" t="s">
        <v>23</v>
      </c>
    </row>
    <row r="18" spans="2:13">
      <c r="B18" s="3">
        <v>17</v>
      </c>
      <c r="C18" t="s">
        <v>453</v>
      </c>
      <c r="D18" s="4"/>
      <c r="E18" s="88">
        <v>6</v>
      </c>
      <c r="F18" s="101">
        <f t="shared" si="0"/>
        <v>120</v>
      </c>
      <c r="G18">
        <f>VLOOKUP($C18,약재관리!A:J,10,FALSE)</f>
        <v>30.3</v>
      </c>
      <c r="H18" s="5">
        <f t="shared" si="1"/>
        <v>181.8</v>
      </c>
      <c r="I18" s="6">
        <f t="shared" si="2"/>
        <v>3636</v>
      </c>
      <c r="K18" s="92" t="s">
        <v>24</v>
      </c>
      <c r="L18" s="9">
        <f>SUM(E2:E31)</f>
        <v>101</v>
      </c>
      <c r="M18" s="10" t="s">
        <v>25</v>
      </c>
    </row>
    <row r="19" spans="2:13">
      <c r="B19" s="3">
        <v>18</v>
      </c>
      <c r="C19" t="s">
        <v>425</v>
      </c>
      <c r="D19" s="4"/>
      <c r="E19" s="88">
        <v>2</v>
      </c>
      <c r="F19" s="101">
        <f t="shared" si="0"/>
        <v>40</v>
      </c>
      <c r="G19">
        <f>VLOOKUP($C19,약재관리!A:J,10,FALSE)</f>
        <v>463.3</v>
      </c>
      <c r="H19" s="5">
        <f t="shared" si="1"/>
        <v>926.6</v>
      </c>
      <c r="I19" s="6">
        <f t="shared" si="2"/>
        <v>18532</v>
      </c>
      <c r="K19" s="91" t="s">
        <v>26</v>
      </c>
      <c r="L19">
        <f>L15*L18</f>
        <v>2020</v>
      </c>
      <c r="M19" s="4" t="s">
        <v>25</v>
      </c>
    </row>
    <row r="20" spans="2:13" ht="17.25" thickBot="1">
      <c r="B20" s="3">
        <v>19</v>
      </c>
      <c r="C20" t="s">
        <v>455</v>
      </c>
      <c r="D20" s="4"/>
      <c r="E20" s="88">
        <v>4</v>
      </c>
      <c r="F20" s="101">
        <f t="shared" si="0"/>
        <v>80</v>
      </c>
      <c r="G20">
        <f>VLOOKUP($C20,약재관리!A:J,10,FALSE)</f>
        <v>12.2</v>
      </c>
      <c r="H20" s="5">
        <f t="shared" si="1"/>
        <v>48.8</v>
      </c>
      <c r="I20" s="6">
        <f t="shared" si="2"/>
        <v>976</v>
      </c>
      <c r="K20" s="14" t="s">
        <v>27</v>
      </c>
      <c r="L20" s="11">
        <f>L16*L17+L19</f>
        <v>5020</v>
      </c>
      <c r="M20" s="12" t="s">
        <v>23</v>
      </c>
    </row>
    <row r="21" spans="2:13" ht="17.25" thickBot="1">
      <c r="B21" s="3">
        <v>20</v>
      </c>
      <c r="C21" t="s">
        <v>444</v>
      </c>
      <c r="D21" s="4"/>
      <c r="E21" s="88">
        <v>6</v>
      </c>
      <c r="F21" s="101">
        <f t="shared" si="0"/>
        <v>120</v>
      </c>
      <c r="G21">
        <f>VLOOKUP($C21,약재관리!A:J,10,FALSE)</f>
        <v>18.3</v>
      </c>
      <c r="H21" s="5">
        <f t="shared" si="1"/>
        <v>109.80000000000001</v>
      </c>
      <c r="I21" s="6">
        <f t="shared" si="2"/>
        <v>2196</v>
      </c>
      <c r="J21" s="91"/>
      <c r="M21" s="94"/>
    </row>
    <row r="22" spans="2:13" ht="17.25" thickBot="1">
      <c r="B22" s="3">
        <v>21</v>
      </c>
      <c r="C22" t="s">
        <v>457</v>
      </c>
      <c r="D22" s="4"/>
      <c r="E22" s="88">
        <v>6</v>
      </c>
      <c r="F22" s="101">
        <f t="shared" si="0"/>
        <v>120</v>
      </c>
      <c r="G22">
        <f>VLOOKUP($C22,약재관리!A:J,10,FALSE)</f>
        <v>13.7</v>
      </c>
      <c r="H22" s="5">
        <f t="shared" si="1"/>
        <v>82.199999999999989</v>
      </c>
      <c r="I22" s="6">
        <f t="shared" si="2"/>
        <v>1644</v>
      </c>
      <c r="K22" s="162" t="s">
        <v>386</v>
      </c>
      <c r="L22" s="163"/>
      <c r="M22" s="164"/>
    </row>
    <row r="23" spans="2:13">
      <c r="B23" s="3">
        <v>22</v>
      </c>
      <c r="C23" t="s">
        <v>458</v>
      </c>
      <c r="D23" s="4"/>
      <c r="E23" s="88">
        <v>6</v>
      </c>
      <c r="F23" s="101">
        <f t="shared" si="0"/>
        <v>120</v>
      </c>
      <c r="G23">
        <f>VLOOKUP($C23,약재관리!A:J,10,FALSE)</f>
        <v>23.8</v>
      </c>
      <c r="H23" s="5">
        <f t="shared" si="1"/>
        <v>142.80000000000001</v>
      </c>
      <c r="I23" s="6">
        <f t="shared" si="2"/>
        <v>2856</v>
      </c>
      <c r="K23" s="91" t="s">
        <v>380</v>
      </c>
      <c r="L23">
        <f>SUM(F2:F31)</f>
        <v>2020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3232.1000000000004</v>
      </c>
      <c r="M30" s="4" t="s">
        <v>384</v>
      </c>
    </row>
    <row r="31" spans="2:13" ht="17.25" thickBot="1">
      <c r="B31" s="13">
        <v>30</v>
      </c>
      <c r="C31" s="14"/>
      <c r="D31" s="12"/>
      <c r="E31" s="95"/>
      <c r="F31" s="102">
        <f t="shared" si="0"/>
        <v>0</v>
      </c>
      <c r="H31" s="15">
        <f t="shared" si="1"/>
        <v>0</v>
      </c>
      <c r="I31" s="16">
        <f t="shared" si="2"/>
        <v>0</v>
      </c>
      <c r="K31" s="14" t="s">
        <v>383</v>
      </c>
      <c r="L31" s="15">
        <f>SUM(I2:I31)</f>
        <v>64642</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9922-D7DB-4879-A471-DD9225205824}">
  <sheetPr>
    <pageSetUpPr fitToPage="1"/>
  </sheetPr>
  <dimension ref="B1:M31"/>
  <sheetViews>
    <sheetView workbookViewId="0">
      <selection activeCell="E3" sqref="E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456</v>
      </c>
      <c r="D2" s="4"/>
      <c r="E2" s="88">
        <v>12</v>
      </c>
      <c r="F2" s="101">
        <f>E2*$L$15</f>
        <v>240</v>
      </c>
      <c r="G2">
        <f>VLOOKUP($C2,약재관리!A:J,10,FALSE)</f>
        <v>22</v>
      </c>
      <c r="H2" s="5">
        <f>G2*E2</f>
        <v>264</v>
      </c>
      <c r="I2" s="90">
        <f>G2*F2</f>
        <v>5280</v>
      </c>
      <c r="K2" s="7" t="s">
        <v>9</v>
      </c>
      <c r="L2" s="174">
        <v>85</v>
      </c>
      <c r="M2" s="175"/>
    </row>
    <row r="3" spans="2:13">
      <c r="B3" s="3">
        <v>2</v>
      </c>
      <c r="C3" t="s">
        <v>457</v>
      </c>
      <c r="D3" s="4"/>
      <c r="E3" s="88">
        <v>6</v>
      </c>
      <c r="F3" s="101">
        <f t="shared" ref="F3:F31" si="0">E3*$L$15</f>
        <v>120</v>
      </c>
      <c r="G3">
        <f>VLOOKUP($C3,약재관리!A:J,10,FALSE)</f>
        <v>13.7</v>
      </c>
      <c r="H3" s="5">
        <f t="shared" ref="H3:H31" si="1">G3*E3</f>
        <v>82.199999999999989</v>
      </c>
      <c r="I3" s="6">
        <f t="shared" ref="I3:I31" si="2">G3*F3</f>
        <v>1644</v>
      </c>
      <c r="K3" s="8" t="s">
        <v>10</v>
      </c>
      <c r="L3" s="176" t="s">
        <v>460</v>
      </c>
      <c r="M3" s="177"/>
    </row>
    <row r="4" spans="2:13">
      <c r="B4" s="3">
        <v>3</v>
      </c>
      <c r="C4" t="s">
        <v>458</v>
      </c>
      <c r="D4" s="4"/>
      <c r="E4" s="88">
        <v>6</v>
      </c>
      <c r="F4" s="101">
        <f t="shared" si="0"/>
        <v>120</v>
      </c>
      <c r="G4">
        <f>VLOOKUP($C4,약재관리!A:J,10,FALSE)</f>
        <v>23.8</v>
      </c>
      <c r="H4" s="5">
        <f t="shared" si="1"/>
        <v>142.80000000000001</v>
      </c>
      <c r="I4" s="6">
        <f t="shared" si="2"/>
        <v>2856</v>
      </c>
      <c r="K4" s="8" t="s">
        <v>11</v>
      </c>
      <c r="L4" s="178">
        <v>45986</v>
      </c>
      <c r="M4" s="177"/>
    </row>
    <row r="5" spans="2:13">
      <c r="B5" s="3">
        <v>4</v>
      </c>
      <c r="C5" t="s">
        <v>453</v>
      </c>
      <c r="D5" s="4"/>
      <c r="E5" s="88">
        <v>6</v>
      </c>
      <c r="F5" s="101">
        <f t="shared" si="0"/>
        <v>120</v>
      </c>
      <c r="G5">
        <f>VLOOKUP($C5,약재관리!A:J,10,FALSE)</f>
        <v>30.3</v>
      </c>
      <c r="H5" s="5">
        <f t="shared" si="1"/>
        <v>181.8</v>
      </c>
      <c r="I5" s="6">
        <f t="shared" si="2"/>
        <v>3636</v>
      </c>
      <c r="K5" s="8" t="s">
        <v>12</v>
      </c>
      <c r="L5" s="176" t="s">
        <v>411</v>
      </c>
      <c r="M5" s="177"/>
    </row>
    <row r="6" spans="2:13">
      <c r="B6" s="3">
        <v>5</v>
      </c>
      <c r="C6" t="s">
        <v>421</v>
      </c>
      <c r="D6" s="4"/>
      <c r="E6" s="88">
        <v>5</v>
      </c>
      <c r="F6" s="101">
        <f t="shared" si="0"/>
        <v>100</v>
      </c>
      <c r="G6">
        <f>VLOOKUP($C6,약재관리!A:J,10,FALSE)</f>
        <v>25.3</v>
      </c>
      <c r="H6" s="5">
        <f t="shared" si="1"/>
        <v>126.5</v>
      </c>
      <c r="I6" s="6">
        <f t="shared" si="2"/>
        <v>2530</v>
      </c>
      <c r="K6" s="8" t="s">
        <v>13</v>
      </c>
      <c r="L6" s="176">
        <v>42</v>
      </c>
      <c r="M6" s="177"/>
    </row>
    <row r="7" spans="2:13" ht="17.25" thickBot="1">
      <c r="B7" s="3">
        <v>6</v>
      </c>
      <c r="C7" t="s">
        <v>422</v>
      </c>
      <c r="D7" s="4"/>
      <c r="E7" s="88">
        <v>5</v>
      </c>
      <c r="F7" s="101">
        <f t="shared" si="0"/>
        <v>100</v>
      </c>
      <c r="G7">
        <f>VLOOKUP($C7,약재관리!A:J,10,FALSE)</f>
        <v>10.8</v>
      </c>
      <c r="H7" s="5">
        <f t="shared" si="1"/>
        <v>54</v>
      </c>
      <c r="I7" s="6">
        <f t="shared" si="2"/>
        <v>1080</v>
      </c>
      <c r="K7" s="8" t="s">
        <v>14</v>
      </c>
      <c r="L7" s="160" t="s">
        <v>412</v>
      </c>
      <c r="M7" s="161"/>
    </row>
    <row r="8" spans="2:13" ht="17.25" thickBot="1">
      <c r="B8" s="3">
        <v>7</v>
      </c>
      <c r="C8" t="s">
        <v>414</v>
      </c>
      <c r="D8" s="4"/>
      <c r="E8" s="88">
        <v>5</v>
      </c>
      <c r="F8" s="101">
        <f t="shared" si="0"/>
        <v>100</v>
      </c>
      <c r="G8">
        <f>VLOOKUP($C8,약재관리!A:J,10,FALSE)</f>
        <v>19.600000000000001</v>
      </c>
      <c r="H8" s="5">
        <f t="shared" si="1"/>
        <v>98</v>
      </c>
      <c r="I8" s="6">
        <f t="shared" si="2"/>
        <v>1960.0000000000002</v>
      </c>
      <c r="K8" s="162" t="s">
        <v>15</v>
      </c>
      <c r="L8" s="163"/>
      <c r="M8" s="164"/>
    </row>
    <row r="9" spans="2:13">
      <c r="B9" s="3">
        <v>8</v>
      </c>
      <c r="C9" t="s">
        <v>434</v>
      </c>
      <c r="D9" s="4"/>
      <c r="E9" s="88">
        <v>5</v>
      </c>
      <c r="F9" s="101">
        <f t="shared" si="0"/>
        <v>100</v>
      </c>
      <c r="G9">
        <f>VLOOKUP($C9,약재관리!A:J,10,FALSE)</f>
        <v>20</v>
      </c>
      <c r="H9" s="5">
        <f t="shared" si="1"/>
        <v>100</v>
      </c>
      <c r="I9" s="6">
        <f t="shared" si="2"/>
        <v>2000</v>
      </c>
      <c r="K9" s="165" t="s">
        <v>461</v>
      </c>
      <c r="L9" s="166"/>
      <c r="M9" s="167"/>
    </row>
    <row r="10" spans="2:13">
      <c r="B10" s="3">
        <v>9</v>
      </c>
      <c r="C10" t="s">
        <v>416</v>
      </c>
      <c r="D10" s="4"/>
      <c r="E10" s="88">
        <v>6</v>
      </c>
      <c r="F10" s="101">
        <f t="shared" si="0"/>
        <v>120</v>
      </c>
      <c r="G10">
        <f>VLOOKUP($C10,약재관리!A:J,10,FALSE)</f>
        <v>11</v>
      </c>
      <c r="H10" s="5">
        <f t="shared" si="1"/>
        <v>66</v>
      </c>
      <c r="I10" s="6">
        <f t="shared" si="2"/>
        <v>1320</v>
      </c>
      <c r="K10" s="168"/>
      <c r="L10" s="169"/>
      <c r="M10" s="170"/>
    </row>
    <row r="11" spans="2:13">
      <c r="B11" s="3">
        <v>10</v>
      </c>
      <c r="C11" t="s">
        <v>420</v>
      </c>
      <c r="D11" s="4"/>
      <c r="E11" s="88">
        <v>4</v>
      </c>
      <c r="F11" s="101">
        <f t="shared" si="0"/>
        <v>80</v>
      </c>
      <c r="G11">
        <f>VLOOKUP($C11,약재관리!A:J,10,FALSE)</f>
        <v>106.7</v>
      </c>
      <c r="H11" s="5">
        <f t="shared" si="1"/>
        <v>426.8</v>
      </c>
      <c r="I11" s="6">
        <f t="shared" si="2"/>
        <v>8536</v>
      </c>
      <c r="K11" s="168"/>
      <c r="L11" s="169"/>
      <c r="M11" s="170"/>
    </row>
    <row r="12" spans="2:13">
      <c r="B12" s="3">
        <v>11</v>
      </c>
      <c r="C12" t="s">
        <v>430</v>
      </c>
      <c r="D12" s="4"/>
      <c r="E12" s="88">
        <v>2</v>
      </c>
      <c r="F12" s="101">
        <f t="shared" si="0"/>
        <v>40</v>
      </c>
      <c r="G12">
        <f>VLOOKUP($C12,약재관리!A:J,10,FALSE)</f>
        <v>28.3</v>
      </c>
      <c r="H12" s="5">
        <f t="shared" si="1"/>
        <v>56.6</v>
      </c>
      <c r="I12" s="6">
        <f t="shared" si="2"/>
        <v>1132</v>
      </c>
      <c r="K12" s="168"/>
      <c r="L12" s="169"/>
      <c r="M12" s="170"/>
    </row>
    <row r="13" spans="2:13" ht="17.25" thickBot="1">
      <c r="B13" s="3">
        <v>12</v>
      </c>
      <c r="C13" t="s">
        <v>425</v>
      </c>
      <c r="D13" s="4"/>
      <c r="E13" s="88">
        <v>2</v>
      </c>
      <c r="F13" s="101">
        <f t="shared" si="0"/>
        <v>40</v>
      </c>
      <c r="G13">
        <f>VLOOKUP($C13,약재관리!A:J,10,FALSE)</f>
        <v>463.3</v>
      </c>
      <c r="H13" s="5">
        <f t="shared" si="1"/>
        <v>926.6</v>
      </c>
      <c r="I13" s="6">
        <f t="shared" si="2"/>
        <v>18532</v>
      </c>
      <c r="K13" s="171"/>
      <c r="L13" s="172"/>
      <c r="M13" s="173"/>
    </row>
    <row r="14" spans="2:13">
      <c r="B14" s="3">
        <v>13</v>
      </c>
      <c r="C14" t="s">
        <v>436</v>
      </c>
      <c r="D14" s="4"/>
      <c r="E14" s="88">
        <v>4</v>
      </c>
      <c r="F14" s="101">
        <f t="shared" si="0"/>
        <v>80</v>
      </c>
      <c r="G14">
        <f>VLOOKUP($C14,약재관리!A:J,10,FALSE)</f>
        <v>9.5</v>
      </c>
      <c r="H14" s="5">
        <f t="shared" si="1"/>
        <v>38</v>
      </c>
      <c r="I14" s="6">
        <f t="shared" si="2"/>
        <v>760</v>
      </c>
      <c r="K14" s="92" t="s">
        <v>16</v>
      </c>
      <c r="L14" s="9">
        <v>15</v>
      </c>
      <c r="M14" s="10" t="s">
        <v>17</v>
      </c>
    </row>
    <row r="15" spans="2:13">
      <c r="B15" s="3">
        <v>14</v>
      </c>
      <c r="C15" t="s">
        <v>418</v>
      </c>
      <c r="D15" s="4"/>
      <c r="E15" s="88">
        <v>2</v>
      </c>
      <c r="F15" s="101">
        <f t="shared" si="0"/>
        <v>40</v>
      </c>
      <c r="G15">
        <f>VLOOKUP($C15,약재관리!A:J,10,FALSE)</f>
        <v>14.8</v>
      </c>
      <c r="H15" s="5">
        <f t="shared" si="1"/>
        <v>29.6</v>
      </c>
      <c r="I15" s="6">
        <f t="shared" si="2"/>
        <v>592</v>
      </c>
      <c r="K15" s="91" t="s">
        <v>18</v>
      </c>
      <c r="L15">
        <v>20</v>
      </c>
      <c r="M15" s="4" t="s">
        <v>19</v>
      </c>
    </row>
    <row r="16" spans="2:13">
      <c r="B16" s="3">
        <v>15</v>
      </c>
      <c r="C16" t="s">
        <v>431</v>
      </c>
      <c r="D16" s="4"/>
      <c r="E16" s="88">
        <v>6</v>
      </c>
      <c r="F16" s="101">
        <f t="shared" si="0"/>
        <v>120</v>
      </c>
      <c r="G16">
        <f>VLOOKUP($C16,약재관리!A:J,10,FALSE)</f>
        <v>12.5</v>
      </c>
      <c r="H16" s="5">
        <f t="shared" si="1"/>
        <v>75</v>
      </c>
      <c r="I16" s="6">
        <f t="shared" si="2"/>
        <v>1500</v>
      </c>
      <c r="K16" s="91" t="s">
        <v>20</v>
      </c>
      <c r="L16">
        <v>45</v>
      </c>
      <c r="M16" s="4" t="s">
        <v>21</v>
      </c>
    </row>
    <row r="17" spans="2:13" ht="17.25" thickBot="1">
      <c r="B17" s="3">
        <v>16</v>
      </c>
      <c r="C17" t="s">
        <v>440</v>
      </c>
      <c r="D17" s="4"/>
      <c r="E17" s="88">
        <v>4</v>
      </c>
      <c r="F17" s="101">
        <f t="shared" si="0"/>
        <v>80</v>
      </c>
      <c r="G17">
        <f>VLOOKUP($C17,약재관리!A:J,10,FALSE)</f>
        <v>9</v>
      </c>
      <c r="H17" s="5">
        <f t="shared" si="1"/>
        <v>36</v>
      </c>
      <c r="I17" s="6">
        <f t="shared" si="2"/>
        <v>720</v>
      </c>
      <c r="K17" s="14" t="s">
        <v>22</v>
      </c>
      <c r="L17" s="11">
        <v>100</v>
      </c>
      <c r="M17" s="12" t="s">
        <v>23</v>
      </c>
    </row>
    <row r="18" spans="2:13">
      <c r="B18" s="3">
        <v>17</v>
      </c>
      <c r="C18" t="s">
        <v>449</v>
      </c>
      <c r="D18" s="4"/>
      <c r="E18" s="88">
        <v>4</v>
      </c>
      <c r="F18" s="101">
        <f t="shared" si="0"/>
        <v>80</v>
      </c>
      <c r="G18">
        <f>VLOOKUP($C18,약재관리!A:J,10,FALSE)</f>
        <v>10</v>
      </c>
      <c r="H18" s="5">
        <f t="shared" si="1"/>
        <v>40</v>
      </c>
      <c r="I18" s="6">
        <f t="shared" si="2"/>
        <v>800</v>
      </c>
      <c r="K18" s="92" t="s">
        <v>24</v>
      </c>
      <c r="L18" s="9">
        <f>SUM(E2:E31)</f>
        <v>89</v>
      </c>
      <c r="M18" s="10" t="s">
        <v>25</v>
      </c>
    </row>
    <row r="19" spans="2:13">
      <c r="B19" s="3">
        <v>18</v>
      </c>
      <c r="C19" t="s">
        <v>455</v>
      </c>
      <c r="D19" s="4"/>
      <c r="E19" s="88">
        <v>2</v>
      </c>
      <c r="F19" s="101">
        <f t="shared" si="0"/>
        <v>40</v>
      </c>
      <c r="G19">
        <f>VLOOKUP($C19,약재관리!A:J,10,FALSE)</f>
        <v>12.2</v>
      </c>
      <c r="H19" s="5">
        <f t="shared" si="1"/>
        <v>24.4</v>
      </c>
      <c r="I19" s="6">
        <f t="shared" si="2"/>
        <v>488</v>
      </c>
      <c r="K19" s="91" t="s">
        <v>26</v>
      </c>
      <c r="L19">
        <f>L15*L18</f>
        <v>1780</v>
      </c>
      <c r="M19" s="4" t="s">
        <v>25</v>
      </c>
    </row>
    <row r="20" spans="2:13" ht="17.25" thickBot="1">
      <c r="B20" s="3">
        <v>19</v>
      </c>
      <c r="C20" t="s">
        <v>439</v>
      </c>
      <c r="D20" s="4"/>
      <c r="E20" s="88">
        <v>3</v>
      </c>
      <c r="F20" s="101">
        <f t="shared" si="0"/>
        <v>60</v>
      </c>
      <c r="G20">
        <f>VLOOKUP($C20,약재관리!A:J,10,FALSE)</f>
        <v>21.8</v>
      </c>
      <c r="H20" s="5">
        <f t="shared" si="1"/>
        <v>65.400000000000006</v>
      </c>
      <c r="I20" s="6">
        <f t="shared" si="2"/>
        <v>1308</v>
      </c>
      <c r="K20" s="14" t="s">
        <v>27</v>
      </c>
      <c r="L20" s="11">
        <f>L16*L17+L19</f>
        <v>6280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62" t="s">
        <v>386</v>
      </c>
      <c r="L22" s="163"/>
      <c r="M22" s="164"/>
    </row>
    <row r="23" spans="2:13">
      <c r="B23" s="3">
        <v>22</v>
      </c>
      <c r="D23" s="4"/>
      <c r="F23" s="101">
        <f t="shared" si="0"/>
        <v>0</v>
      </c>
      <c r="H23" s="5">
        <f t="shared" si="1"/>
        <v>0</v>
      </c>
      <c r="I23" s="6">
        <f t="shared" si="2"/>
        <v>0</v>
      </c>
      <c r="K23" s="91" t="s">
        <v>380</v>
      </c>
      <c r="L23">
        <f>SUM(F2:F31)</f>
        <v>1780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2833.7</v>
      </c>
      <c r="M30" s="4" t="s">
        <v>384</v>
      </c>
    </row>
    <row r="31" spans="2:13" ht="17.25" thickBot="1">
      <c r="B31" s="13">
        <v>30</v>
      </c>
      <c r="C31" s="14"/>
      <c r="D31" s="12"/>
      <c r="E31" s="95"/>
      <c r="F31" s="102">
        <f t="shared" si="0"/>
        <v>0</v>
      </c>
      <c r="G31" s="11"/>
      <c r="H31" s="15">
        <f t="shared" si="1"/>
        <v>0</v>
      </c>
      <c r="I31" s="16">
        <f t="shared" si="2"/>
        <v>0</v>
      </c>
      <c r="K31" s="14" t="s">
        <v>383</v>
      </c>
      <c r="L31" s="15">
        <f>SUM(I2:I31)</f>
        <v>56674</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D10B-C6C9-474B-9680-952A1D878FF6}">
  <sheetPr>
    <pageSetUpPr fitToPage="1"/>
  </sheetPr>
  <dimension ref="B1:M31"/>
  <sheetViews>
    <sheetView workbookViewId="0">
      <selection activeCell="E18" sqref="E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434</v>
      </c>
      <c r="D3" s="4"/>
      <c r="E3" s="88">
        <v>6</v>
      </c>
      <c r="F3" s="101">
        <f t="shared" ref="F3:F31" si="0">E3*$L$15</f>
        <v>120</v>
      </c>
      <c r="G3">
        <f>VLOOKUP($C3,약재관리!A:J,10,FALSE)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45951</v>
      </c>
      <c r="M4" s="177"/>
    </row>
    <row r="5" spans="2:13">
      <c r="B5" s="3">
        <v>4</v>
      </c>
      <c r="C5" t="s">
        <v>422</v>
      </c>
      <c r="D5" s="4"/>
      <c r="E5" s="88">
        <v>4</v>
      </c>
      <c r="F5" s="101">
        <f t="shared" si="0"/>
        <v>80</v>
      </c>
      <c r="G5">
        <f>VLOOKUP($C5,약재관리!A:J,10,FALSE)</f>
        <v>10.8</v>
      </c>
      <c r="H5" s="5">
        <f t="shared" si="1"/>
        <v>43.2</v>
      </c>
      <c r="I5" s="6">
        <f t="shared" si="2"/>
        <v>864</v>
      </c>
      <c r="K5" s="8" t="s">
        <v>12</v>
      </c>
      <c r="L5" s="176" t="s">
        <v>411</v>
      </c>
      <c r="M5" s="177"/>
    </row>
    <row r="6" spans="2:13">
      <c r="B6" s="3">
        <v>5</v>
      </c>
      <c r="C6" t="s">
        <v>414</v>
      </c>
      <c r="D6" s="4"/>
      <c r="E6" s="88">
        <v>4</v>
      </c>
      <c r="F6" s="101">
        <f t="shared" si="0"/>
        <v>80</v>
      </c>
      <c r="G6">
        <f>VLOOKUP($C6,약재관리!A:J,10,FALSE)</f>
        <v>19.600000000000001</v>
      </c>
      <c r="H6" s="5">
        <f t="shared" si="1"/>
        <v>78.400000000000006</v>
      </c>
      <c r="I6" s="6">
        <f t="shared" si="2"/>
        <v>1568</v>
      </c>
      <c r="K6" s="8" t="s">
        <v>13</v>
      </c>
      <c r="L6" s="176">
        <v>42</v>
      </c>
      <c r="M6" s="177"/>
    </row>
    <row r="7" spans="2:13" ht="17.25" thickBot="1">
      <c r="B7" s="3">
        <v>6</v>
      </c>
      <c r="C7" t="s">
        <v>415</v>
      </c>
      <c r="D7" s="4"/>
      <c r="E7" s="88">
        <v>4</v>
      </c>
      <c r="F7" s="101">
        <f t="shared" si="0"/>
        <v>80</v>
      </c>
      <c r="G7">
        <f>VLOOKUP($C7,약재관리!A:J,10,FALSE)</f>
        <v>16.8</v>
      </c>
      <c r="H7" s="5">
        <f t="shared" si="1"/>
        <v>67.2</v>
      </c>
      <c r="I7" s="6">
        <f t="shared" si="2"/>
        <v>1344</v>
      </c>
      <c r="K7" s="8" t="s">
        <v>14</v>
      </c>
      <c r="L7" s="160" t="s">
        <v>412</v>
      </c>
      <c r="M7" s="161"/>
    </row>
    <row r="8" spans="2:13" ht="17.25" thickBot="1">
      <c r="B8" s="3">
        <v>7</v>
      </c>
      <c r="C8" t="s">
        <v>438</v>
      </c>
      <c r="D8" s="4"/>
      <c r="E8" s="88">
        <v>4</v>
      </c>
      <c r="F8" s="101">
        <f t="shared" si="0"/>
        <v>80</v>
      </c>
      <c r="G8">
        <f>VLOOKUP($C8,약재관리!A:J,10,FALSE)</f>
        <v>17.600000000000001</v>
      </c>
      <c r="H8" s="5">
        <f t="shared" si="1"/>
        <v>70.400000000000006</v>
      </c>
      <c r="I8" s="6">
        <f t="shared" si="2"/>
        <v>1408</v>
      </c>
      <c r="K8" s="162" t="s">
        <v>15</v>
      </c>
      <c r="L8" s="163"/>
      <c r="M8" s="164"/>
    </row>
    <row r="9" spans="2:13">
      <c r="B9" s="3">
        <v>8</v>
      </c>
      <c r="C9" t="s">
        <v>416</v>
      </c>
      <c r="D9" s="4"/>
      <c r="E9" s="88">
        <v>6</v>
      </c>
      <c r="F9" s="101">
        <f t="shared" si="0"/>
        <v>120</v>
      </c>
      <c r="G9">
        <f>VLOOKUP($C9,약재관리!A:J,10,FALSE)</f>
        <v>11</v>
      </c>
      <c r="H9" s="5">
        <f t="shared" si="1"/>
        <v>66</v>
      </c>
      <c r="I9" s="6">
        <f t="shared" si="2"/>
        <v>1320</v>
      </c>
      <c r="K9" s="165" t="s">
        <v>459</v>
      </c>
      <c r="L9" s="166"/>
      <c r="M9" s="167"/>
    </row>
    <row r="10" spans="2:13">
      <c r="B10" s="3">
        <v>9</v>
      </c>
      <c r="C10" t="s">
        <v>435</v>
      </c>
      <c r="D10" s="4"/>
      <c r="E10" s="88">
        <v>3</v>
      </c>
      <c r="F10" s="101">
        <f t="shared" si="0"/>
        <v>60</v>
      </c>
      <c r="G10">
        <f>VLOOKUP($C10,약재관리!A:J,10,FALSE)</f>
        <v>61.7</v>
      </c>
      <c r="H10" s="5">
        <f t="shared" si="1"/>
        <v>185.10000000000002</v>
      </c>
      <c r="I10" s="6">
        <f t="shared" si="2"/>
        <v>3702</v>
      </c>
      <c r="K10" s="168"/>
      <c r="L10" s="169"/>
      <c r="M10" s="170"/>
    </row>
    <row r="11" spans="2:13">
      <c r="B11" s="3">
        <v>10</v>
      </c>
      <c r="C11" t="s">
        <v>417</v>
      </c>
      <c r="D11" s="4"/>
      <c r="E11" s="88">
        <v>3</v>
      </c>
      <c r="F11" s="101">
        <f t="shared" si="0"/>
        <v>60</v>
      </c>
      <c r="G11">
        <f>VLOOKUP($C11,약재관리!A:J,10,FALSE)</f>
        <v>31.5</v>
      </c>
      <c r="H11" s="5">
        <f t="shared" si="1"/>
        <v>94.5</v>
      </c>
      <c r="I11" s="6">
        <f t="shared" si="2"/>
        <v>1890</v>
      </c>
      <c r="K11" s="168"/>
      <c r="L11" s="169"/>
      <c r="M11" s="170"/>
    </row>
    <row r="12" spans="2:13">
      <c r="B12" s="3">
        <v>11</v>
      </c>
      <c r="C12" t="s">
        <v>436</v>
      </c>
      <c r="D12" s="4"/>
      <c r="E12" s="88">
        <v>3</v>
      </c>
      <c r="F12" s="101">
        <f t="shared" si="0"/>
        <v>60</v>
      </c>
      <c r="G12">
        <f>VLOOKUP($C12,약재관리!A:J,10,FALSE)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VLOOKUP($C13,약재관리!A:J,10,FALSE)</f>
        <v>14.8</v>
      </c>
      <c r="H13" s="5">
        <f t="shared" si="1"/>
        <v>29.6</v>
      </c>
      <c r="I13" s="6">
        <f t="shared" si="2"/>
        <v>592</v>
      </c>
      <c r="K13" s="171"/>
      <c r="L13" s="172"/>
      <c r="M13" s="173"/>
    </row>
    <row r="14" spans="2:13">
      <c r="B14" s="3">
        <v>13</v>
      </c>
      <c r="C14" t="s">
        <v>437</v>
      </c>
      <c r="D14" s="4"/>
      <c r="E14" s="88">
        <v>2</v>
      </c>
      <c r="F14" s="101">
        <f t="shared" si="0"/>
        <v>40</v>
      </c>
      <c r="G14">
        <f>VLOOKUP($C14,약재관리!A:J,10,FALSE)</f>
        <v>12.5</v>
      </c>
      <c r="H14" s="5">
        <f t="shared" si="1"/>
        <v>25</v>
      </c>
      <c r="I14" s="6">
        <f t="shared" si="2"/>
        <v>500</v>
      </c>
      <c r="K14" s="92" t="s">
        <v>16</v>
      </c>
      <c r="L14" s="9">
        <v>15</v>
      </c>
      <c r="M14" s="10" t="s">
        <v>17</v>
      </c>
    </row>
    <row r="15" spans="2:13">
      <c r="B15" s="3">
        <v>14</v>
      </c>
      <c r="C15" t="s">
        <v>419</v>
      </c>
      <c r="D15" s="4"/>
      <c r="E15" s="88">
        <v>4</v>
      </c>
      <c r="F15" s="101">
        <f t="shared" si="0"/>
        <v>80</v>
      </c>
      <c r="G15">
        <f>VLOOKUP($C15,약재관리!A:J,10,FALSE)</f>
        <v>15</v>
      </c>
      <c r="H15" s="5">
        <f t="shared" si="1"/>
        <v>60</v>
      </c>
      <c r="I15" s="6">
        <f t="shared" si="2"/>
        <v>1200</v>
      </c>
      <c r="K15" s="91" t="s">
        <v>18</v>
      </c>
      <c r="L15">
        <v>20</v>
      </c>
      <c r="M15" s="4" t="s">
        <v>19</v>
      </c>
    </row>
    <row r="16" spans="2:13">
      <c r="B16" s="3">
        <v>15</v>
      </c>
      <c r="C16" t="s">
        <v>456</v>
      </c>
      <c r="D16" s="4"/>
      <c r="E16" s="88">
        <v>8</v>
      </c>
      <c r="F16" s="101">
        <f t="shared" si="0"/>
        <v>160</v>
      </c>
      <c r="G16">
        <f>VLOOKUP($C16,약재관리!A:J,10,FALSE)</f>
        <v>22</v>
      </c>
      <c r="H16" s="5">
        <f t="shared" si="1"/>
        <v>176</v>
      </c>
      <c r="I16" s="6">
        <f t="shared" si="2"/>
        <v>3520</v>
      </c>
      <c r="K16" s="91" t="s">
        <v>20</v>
      </c>
      <c r="L16">
        <v>30</v>
      </c>
      <c r="M16" s="4" t="s">
        <v>21</v>
      </c>
    </row>
    <row r="17" spans="2:13" ht="17.25" thickBot="1">
      <c r="B17" s="3">
        <v>16</v>
      </c>
      <c r="C17" t="s">
        <v>420</v>
      </c>
      <c r="D17" s="4"/>
      <c r="E17" s="88">
        <v>4</v>
      </c>
      <c r="F17" s="101">
        <f t="shared" si="0"/>
        <v>80</v>
      </c>
      <c r="G17">
        <f>VLOOKUP($C17,약재관리!A:J,10,FALSE)</f>
        <v>106.7</v>
      </c>
      <c r="H17" s="5">
        <f t="shared" si="1"/>
        <v>426.8</v>
      </c>
      <c r="I17" s="6">
        <f t="shared" si="2"/>
        <v>8536</v>
      </c>
      <c r="K17" s="14" t="s">
        <v>22</v>
      </c>
      <c r="L17" s="11">
        <v>100</v>
      </c>
      <c r="M17" s="12" t="s">
        <v>23</v>
      </c>
    </row>
    <row r="18" spans="2:13">
      <c r="B18" s="3">
        <v>17</v>
      </c>
      <c r="C18" t="s">
        <v>453</v>
      </c>
      <c r="D18" s="4"/>
      <c r="E18" s="88">
        <v>4</v>
      </c>
      <c r="F18" s="101">
        <f t="shared" si="0"/>
        <v>80</v>
      </c>
      <c r="G18">
        <f>VLOOKUP($C18,약재관리!A:J,10,FALSE)</f>
        <v>30.3</v>
      </c>
      <c r="H18" s="5">
        <f t="shared" si="1"/>
        <v>121.2</v>
      </c>
      <c r="I18" s="6">
        <f t="shared" si="2"/>
        <v>2424</v>
      </c>
      <c r="K18" s="92" t="s">
        <v>24</v>
      </c>
      <c r="L18" s="9">
        <f>SUM(E2:E31)</f>
        <v>97</v>
      </c>
      <c r="M18" s="10" t="s">
        <v>25</v>
      </c>
    </row>
    <row r="19" spans="2:13">
      <c r="B19" s="3">
        <v>18</v>
      </c>
      <c r="C19" t="s">
        <v>425</v>
      </c>
      <c r="D19" s="4"/>
      <c r="E19" s="88">
        <v>2</v>
      </c>
      <c r="F19" s="101">
        <f t="shared" si="0"/>
        <v>40</v>
      </c>
      <c r="G19">
        <f>VLOOKUP($C19,약재관리!A:J,10,FALSE)</f>
        <v>463.3</v>
      </c>
      <c r="H19" s="5">
        <f t="shared" si="1"/>
        <v>926.6</v>
      </c>
      <c r="I19" s="6">
        <f t="shared" si="2"/>
        <v>18532</v>
      </c>
      <c r="K19" s="91" t="s">
        <v>26</v>
      </c>
      <c r="L19">
        <f>L15*L18</f>
        <v>1940</v>
      </c>
      <c r="M19" s="4" t="s">
        <v>25</v>
      </c>
    </row>
    <row r="20" spans="2:13" ht="17.25" thickBot="1">
      <c r="B20" s="3">
        <v>19</v>
      </c>
      <c r="C20" t="s">
        <v>455</v>
      </c>
      <c r="D20" s="4"/>
      <c r="E20" s="88">
        <v>4</v>
      </c>
      <c r="F20" s="101">
        <f t="shared" si="0"/>
        <v>80</v>
      </c>
      <c r="G20">
        <f>VLOOKUP($C20,약재관리!A:J,10,FALSE)</f>
        <v>12.2</v>
      </c>
      <c r="H20" s="5">
        <f t="shared" si="1"/>
        <v>48.8</v>
      </c>
      <c r="I20" s="6">
        <f t="shared" si="2"/>
        <v>976</v>
      </c>
      <c r="K20" s="14" t="s">
        <v>27</v>
      </c>
      <c r="L20" s="11">
        <f>L16*L17+L19</f>
        <v>4940</v>
      </c>
      <c r="M20" s="12" t="s">
        <v>23</v>
      </c>
    </row>
    <row r="21" spans="2:13" ht="17.25" thickBot="1">
      <c r="B21" s="3">
        <v>20</v>
      </c>
      <c r="C21" t="s">
        <v>457</v>
      </c>
      <c r="D21" s="4"/>
      <c r="E21" s="88">
        <v>8</v>
      </c>
      <c r="F21" s="101">
        <f t="shared" si="0"/>
        <v>160</v>
      </c>
      <c r="G21">
        <f>VLOOKUP($C21,약재관리!A:J,10,FALSE)</f>
        <v>13.7</v>
      </c>
      <c r="H21" s="5">
        <f t="shared" si="1"/>
        <v>109.6</v>
      </c>
      <c r="I21" s="6">
        <f t="shared" si="2"/>
        <v>2192</v>
      </c>
      <c r="J21" s="91"/>
      <c r="M21" s="94"/>
    </row>
    <row r="22" spans="2:13" ht="17.25" thickBot="1">
      <c r="B22" s="3">
        <v>21</v>
      </c>
      <c r="C22" t="s">
        <v>458</v>
      </c>
      <c r="D22" s="4"/>
      <c r="E22" s="88">
        <v>8</v>
      </c>
      <c r="F22" s="101">
        <f t="shared" si="0"/>
        <v>160</v>
      </c>
      <c r="G22">
        <f>VLOOKUP($C22,약재관리!A:J,10,FALSE)</f>
        <v>23.8</v>
      </c>
      <c r="H22" s="5">
        <f t="shared" si="1"/>
        <v>190.4</v>
      </c>
      <c r="I22" s="6">
        <f t="shared" si="2"/>
        <v>3808</v>
      </c>
      <c r="K22" s="162" t="s">
        <v>386</v>
      </c>
      <c r="L22" s="163"/>
      <c r="M22" s="164"/>
    </row>
    <row r="23" spans="2:13">
      <c r="B23" s="3">
        <v>22</v>
      </c>
      <c r="D23" s="4"/>
      <c r="F23" s="101">
        <f t="shared" si="0"/>
        <v>0</v>
      </c>
      <c r="H23" s="5">
        <f t="shared" si="1"/>
        <v>0</v>
      </c>
      <c r="I23" s="6">
        <f t="shared" si="2"/>
        <v>0</v>
      </c>
      <c r="K23" s="91" t="s">
        <v>380</v>
      </c>
      <c r="L23">
        <f>SUM(F2:F31)</f>
        <v>1940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3136.7000000000003</v>
      </c>
      <c r="M30" s="4" t="s">
        <v>384</v>
      </c>
    </row>
    <row r="31" spans="2:13" ht="17.25" thickBot="1">
      <c r="B31" s="13">
        <v>30</v>
      </c>
      <c r="C31" s="14"/>
      <c r="D31" s="12"/>
      <c r="E31" s="95"/>
      <c r="F31" s="102">
        <f t="shared" si="0"/>
        <v>0</v>
      </c>
      <c r="H31" s="15">
        <f t="shared" si="1"/>
        <v>0</v>
      </c>
      <c r="I31" s="16">
        <f t="shared" si="2"/>
        <v>0</v>
      </c>
      <c r="K31" s="14" t="s">
        <v>383</v>
      </c>
      <c r="L31" s="15">
        <f>SUM(I2:I31)</f>
        <v>62734</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E6C6-5BAF-4D78-800D-2B3244C6139F}">
  <sheetPr>
    <pageSetUpPr fitToPage="1"/>
  </sheetPr>
  <dimension ref="B1:M31"/>
  <sheetViews>
    <sheetView workbookViewId="0">
      <selection activeCell="D25" sqref="D2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434</v>
      </c>
      <c r="D3" s="4"/>
      <c r="E3" s="88">
        <v>6</v>
      </c>
      <c r="F3" s="101">
        <f t="shared" ref="F3:F31" si="0">E3*$L$15</f>
        <v>120</v>
      </c>
      <c r="G3">
        <f>VLOOKUP($C3,약재관리!A:J,10,FALSE)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45924</v>
      </c>
      <c r="M4" s="177"/>
    </row>
    <row r="5" spans="2:13">
      <c r="B5" s="3">
        <v>4</v>
      </c>
      <c r="C5" t="s">
        <v>422</v>
      </c>
      <c r="D5" s="4"/>
      <c r="E5" s="88">
        <v>6</v>
      </c>
      <c r="F5" s="101">
        <f t="shared" si="0"/>
        <v>120</v>
      </c>
      <c r="G5">
        <f>VLOOKUP($C5,약재관리!A:J,10,FALSE)</f>
        <v>10.8</v>
      </c>
      <c r="H5" s="5">
        <f t="shared" si="1"/>
        <v>64.800000000000011</v>
      </c>
      <c r="I5" s="6">
        <f t="shared" si="2"/>
        <v>1296</v>
      </c>
      <c r="K5" s="8" t="s">
        <v>12</v>
      </c>
      <c r="L5" s="176" t="s">
        <v>411</v>
      </c>
      <c r="M5" s="177"/>
    </row>
    <row r="6" spans="2:13">
      <c r="B6" s="3">
        <v>5</v>
      </c>
      <c r="C6" t="s">
        <v>414</v>
      </c>
      <c r="D6" s="4"/>
      <c r="E6" s="88">
        <v>6</v>
      </c>
      <c r="F6" s="101">
        <f t="shared" si="0"/>
        <v>120</v>
      </c>
      <c r="G6">
        <f>VLOOKUP($C6,약재관리!A:J,10,FALSE)</f>
        <v>19.600000000000001</v>
      </c>
      <c r="H6" s="5">
        <f t="shared" si="1"/>
        <v>117.60000000000001</v>
      </c>
      <c r="I6" s="6">
        <f t="shared" si="2"/>
        <v>2352</v>
      </c>
      <c r="K6" s="8" t="s">
        <v>13</v>
      </c>
      <c r="L6" s="176">
        <v>42</v>
      </c>
      <c r="M6" s="177"/>
    </row>
    <row r="7" spans="2:13" ht="17.25" thickBot="1">
      <c r="B7" s="3">
        <v>6</v>
      </c>
      <c r="C7" t="s">
        <v>415</v>
      </c>
      <c r="D7" s="4"/>
      <c r="E7" s="88">
        <v>4</v>
      </c>
      <c r="F7" s="101">
        <f t="shared" si="0"/>
        <v>80</v>
      </c>
      <c r="G7">
        <f>VLOOKUP($C7,약재관리!A:J,10,FALSE)</f>
        <v>16.8</v>
      </c>
      <c r="H7" s="5">
        <f t="shared" si="1"/>
        <v>67.2</v>
      </c>
      <c r="I7" s="6">
        <f t="shared" si="2"/>
        <v>1344</v>
      </c>
      <c r="K7" s="8" t="s">
        <v>14</v>
      </c>
      <c r="L7" s="160" t="s">
        <v>412</v>
      </c>
      <c r="M7" s="161"/>
    </row>
    <row r="8" spans="2:13" ht="17.25" thickBot="1">
      <c r="B8" s="3">
        <v>7</v>
      </c>
      <c r="C8" t="s">
        <v>438</v>
      </c>
      <c r="D8" s="4"/>
      <c r="E8" s="88">
        <v>4</v>
      </c>
      <c r="F8" s="101">
        <f t="shared" si="0"/>
        <v>80</v>
      </c>
      <c r="G8">
        <f>VLOOKUP($C8,약재관리!A:J,10,FALSE)</f>
        <v>17.600000000000001</v>
      </c>
      <c r="H8" s="5">
        <f t="shared" si="1"/>
        <v>70.400000000000006</v>
      </c>
      <c r="I8" s="6">
        <f t="shared" si="2"/>
        <v>1408</v>
      </c>
      <c r="K8" s="162" t="s">
        <v>15</v>
      </c>
      <c r="L8" s="163"/>
      <c r="M8" s="164"/>
    </row>
    <row r="9" spans="2:13">
      <c r="B9" s="3">
        <v>8</v>
      </c>
      <c r="C9" t="s">
        <v>416</v>
      </c>
      <c r="D9" s="4"/>
      <c r="E9" s="88">
        <v>4</v>
      </c>
      <c r="F9" s="101">
        <f t="shared" si="0"/>
        <v>80</v>
      </c>
      <c r="G9">
        <f>VLOOKUP($C9,약재관리!A:J,10,FALSE)</f>
        <v>11</v>
      </c>
      <c r="H9" s="5">
        <f t="shared" si="1"/>
        <v>44</v>
      </c>
      <c r="I9" s="6">
        <f t="shared" si="2"/>
        <v>880</v>
      </c>
      <c r="K9" s="165" t="s">
        <v>454</v>
      </c>
      <c r="L9" s="166"/>
      <c r="M9" s="167"/>
    </row>
    <row r="10" spans="2:13">
      <c r="B10" s="3">
        <v>9</v>
      </c>
      <c r="C10" t="s">
        <v>435</v>
      </c>
      <c r="D10" s="4"/>
      <c r="E10" s="88">
        <v>3</v>
      </c>
      <c r="F10" s="101">
        <f t="shared" si="0"/>
        <v>60</v>
      </c>
      <c r="G10">
        <f>VLOOKUP($C10,약재관리!A:J,10,FALSE)</f>
        <v>61.7</v>
      </c>
      <c r="H10" s="5">
        <f t="shared" si="1"/>
        <v>185.10000000000002</v>
      </c>
      <c r="I10" s="6">
        <f t="shared" si="2"/>
        <v>3702</v>
      </c>
      <c r="K10" s="168"/>
      <c r="L10" s="169"/>
      <c r="M10" s="170"/>
    </row>
    <row r="11" spans="2:13">
      <c r="B11" s="3">
        <v>10</v>
      </c>
      <c r="C11" t="s">
        <v>417</v>
      </c>
      <c r="D11" s="4"/>
      <c r="E11" s="88">
        <v>3</v>
      </c>
      <c r="F11" s="101">
        <f t="shared" si="0"/>
        <v>60</v>
      </c>
      <c r="G11">
        <f>VLOOKUP($C11,약재관리!A:J,10,FALSE)</f>
        <v>31.5</v>
      </c>
      <c r="H11" s="5">
        <f t="shared" si="1"/>
        <v>94.5</v>
      </c>
      <c r="I11" s="6">
        <f t="shared" si="2"/>
        <v>1890</v>
      </c>
      <c r="K11" s="168"/>
      <c r="L11" s="169"/>
      <c r="M11" s="170"/>
    </row>
    <row r="12" spans="2:13">
      <c r="B12" s="3">
        <v>11</v>
      </c>
      <c r="C12" t="s">
        <v>436</v>
      </c>
      <c r="D12" s="4"/>
      <c r="E12" s="88">
        <v>3</v>
      </c>
      <c r="F12" s="101">
        <f t="shared" si="0"/>
        <v>60</v>
      </c>
      <c r="G12">
        <f>VLOOKUP($C12,약재관리!A:J,10,FALSE)</f>
        <v>9.5</v>
      </c>
      <c r="H12" s="5">
        <f t="shared" si="1"/>
        <v>28.5</v>
      </c>
      <c r="I12" s="6">
        <f t="shared" si="2"/>
        <v>570</v>
      </c>
      <c r="K12" s="168"/>
      <c r="L12" s="169"/>
      <c r="M12" s="170"/>
    </row>
    <row r="13" spans="2:13" ht="17.25" thickBot="1">
      <c r="B13" s="3">
        <v>12</v>
      </c>
      <c r="C13" t="s">
        <v>418</v>
      </c>
      <c r="D13" s="4"/>
      <c r="E13" s="88">
        <v>2</v>
      </c>
      <c r="F13" s="101">
        <f t="shared" si="0"/>
        <v>40</v>
      </c>
      <c r="G13">
        <f>VLOOKUP($C13,약재관리!A:J,10,FALSE)</f>
        <v>14.8</v>
      </c>
      <c r="H13" s="5">
        <f t="shared" si="1"/>
        <v>29.6</v>
      </c>
      <c r="I13" s="6">
        <f t="shared" si="2"/>
        <v>592</v>
      </c>
      <c r="K13" s="171"/>
      <c r="L13" s="172"/>
      <c r="M13" s="173"/>
    </row>
    <row r="14" spans="2:13">
      <c r="B14" s="3">
        <v>13</v>
      </c>
      <c r="C14" t="s">
        <v>437</v>
      </c>
      <c r="D14" s="4"/>
      <c r="E14" s="88">
        <v>2</v>
      </c>
      <c r="F14" s="101">
        <f t="shared" si="0"/>
        <v>40</v>
      </c>
      <c r="G14">
        <f>VLOOKUP($C14,약재관리!A:J,10,FALSE)</f>
        <v>12.5</v>
      </c>
      <c r="H14" s="5">
        <f t="shared" si="1"/>
        <v>25</v>
      </c>
      <c r="I14" s="6">
        <f t="shared" si="2"/>
        <v>500</v>
      </c>
      <c r="K14" s="92" t="s">
        <v>16</v>
      </c>
      <c r="L14" s="9">
        <v>15</v>
      </c>
      <c r="M14" s="10" t="s">
        <v>17</v>
      </c>
    </row>
    <row r="15" spans="2:13">
      <c r="B15" s="3">
        <v>14</v>
      </c>
      <c r="C15" t="s">
        <v>419</v>
      </c>
      <c r="D15" s="4"/>
      <c r="E15" s="88">
        <v>4</v>
      </c>
      <c r="F15" s="101">
        <f t="shared" si="0"/>
        <v>80</v>
      </c>
      <c r="G15">
        <f>VLOOKUP($C15,약재관리!A:J,10,FALSE)</f>
        <v>15</v>
      </c>
      <c r="H15" s="5">
        <f t="shared" si="1"/>
        <v>60</v>
      </c>
      <c r="I15" s="6">
        <f t="shared" si="2"/>
        <v>1200</v>
      </c>
      <c r="K15" s="91" t="s">
        <v>18</v>
      </c>
      <c r="L15">
        <v>20</v>
      </c>
      <c r="M15" s="4" t="s">
        <v>19</v>
      </c>
    </row>
    <row r="16" spans="2:13">
      <c r="B16" s="3">
        <v>15</v>
      </c>
      <c r="C16" t="s">
        <v>453</v>
      </c>
      <c r="D16" s="4"/>
      <c r="E16" s="88">
        <v>6</v>
      </c>
      <c r="F16" s="101">
        <f t="shared" si="0"/>
        <v>120</v>
      </c>
      <c r="G16">
        <f>VLOOKUP($C16,약재관리!A:J,10,FALSE)</f>
        <v>30.3</v>
      </c>
      <c r="H16" s="5">
        <f t="shared" si="1"/>
        <v>181.8</v>
      </c>
      <c r="I16" s="6">
        <f t="shared" si="2"/>
        <v>3636</v>
      </c>
      <c r="K16" s="91" t="s">
        <v>20</v>
      </c>
      <c r="L16">
        <v>30</v>
      </c>
      <c r="M16" s="4" t="s">
        <v>21</v>
      </c>
    </row>
    <row r="17" spans="2:13" ht="17.25" thickBot="1">
      <c r="B17" s="3">
        <v>16</v>
      </c>
      <c r="C17" t="s">
        <v>444</v>
      </c>
      <c r="D17" s="4"/>
      <c r="E17" s="88">
        <v>6</v>
      </c>
      <c r="F17" s="101">
        <f t="shared" si="0"/>
        <v>120</v>
      </c>
      <c r="G17">
        <f>VLOOKUP($C17,약재관리!A:J,10,FALSE)</f>
        <v>18.3</v>
      </c>
      <c r="H17" s="5">
        <f t="shared" si="1"/>
        <v>109.80000000000001</v>
      </c>
      <c r="I17" s="6">
        <f t="shared" si="2"/>
        <v>2196</v>
      </c>
      <c r="K17" s="14" t="s">
        <v>22</v>
      </c>
      <c r="L17" s="11">
        <v>100</v>
      </c>
      <c r="M17" s="12" t="s">
        <v>23</v>
      </c>
    </row>
    <row r="18" spans="2:13">
      <c r="B18" s="3">
        <v>17</v>
      </c>
      <c r="C18" t="s">
        <v>420</v>
      </c>
      <c r="D18" s="4"/>
      <c r="E18" s="88">
        <v>4</v>
      </c>
      <c r="F18" s="101">
        <f t="shared" si="0"/>
        <v>80</v>
      </c>
      <c r="G18">
        <f>VLOOKUP($C18,약재관리!A:J,10,FALSE)</f>
        <v>106.7</v>
      </c>
      <c r="H18" s="5">
        <f t="shared" si="1"/>
        <v>426.8</v>
      </c>
      <c r="I18" s="6">
        <f t="shared" si="2"/>
        <v>8536</v>
      </c>
      <c r="K18" s="92" t="s">
        <v>24</v>
      </c>
      <c r="L18" s="9">
        <f>SUM(E2:E31)</f>
        <v>88</v>
      </c>
      <c r="M18" s="10" t="s">
        <v>25</v>
      </c>
    </row>
    <row r="19" spans="2:13">
      <c r="B19" s="3">
        <v>18</v>
      </c>
      <c r="C19" t="s">
        <v>439</v>
      </c>
      <c r="D19" s="4"/>
      <c r="E19" s="88">
        <v>2</v>
      </c>
      <c r="F19" s="101">
        <f t="shared" si="0"/>
        <v>40</v>
      </c>
      <c r="G19">
        <f>VLOOKUP($C19,약재관리!A:J,10,FALSE)</f>
        <v>21.8</v>
      </c>
      <c r="H19" s="5">
        <f t="shared" si="1"/>
        <v>43.6</v>
      </c>
      <c r="I19" s="6">
        <f t="shared" si="2"/>
        <v>872</v>
      </c>
      <c r="K19" s="91" t="s">
        <v>26</v>
      </c>
      <c r="L19">
        <f>L15*L18</f>
        <v>1760</v>
      </c>
      <c r="M19" s="4" t="s">
        <v>25</v>
      </c>
    </row>
    <row r="20" spans="2:13" ht="17.25" thickBot="1">
      <c r="B20" s="3">
        <v>19</v>
      </c>
      <c r="C20" t="s">
        <v>428</v>
      </c>
      <c r="D20" s="4"/>
      <c r="E20" s="88">
        <v>4</v>
      </c>
      <c r="F20" s="101">
        <f t="shared" si="0"/>
        <v>80</v>
      </c>
      <c r="G20">
        <f>VLOOKUP($C20,약재관리!A:J,10,FALSE)</f>
        <v>44.3</v>
      </c>
      <c r="H20" s="5">
        <f t="shared" si="1"/>
        <v>177.2</v>
      </c>
      <c r="I20" s="6">
        <f t="shared" si="2"/>
        <v>3544</v>
      </c>
      <c r="K20" s="14" t="s">
        <v>27</v>
      </c>
      <c r="L20" s="11">
        <f>L16*L17+L19</f>
        <v>4760</v>
      </c>
      <c r="M20" s="12" t="s">
        <v>23</v>
      </c>
    </row>
    <row r="21" spans="2:13" ht="17.25" thickBot="1">
      <c r="B21" s="3">
        <v>20</v>
      </c>
      <c r="C21" t="s">
        <v>425</v>
      </c>
      <c r="D21" s="4"/>
      <c r="E21" s="88">
        <v>2</v>
      </c>
      <c r="F21" s="101">
        <f t="shared" si="0"/>
        <v>40</v>
      </c>
      <c r="G21">
        <f>VLOOKUP($C21,약재관리!A:J,10,FALSE)</f>
        <v>463.3</v>
      </c>
      <c r="H21" s="5">
        <f t="shared" si="1"/>
        <v>926.6</v>
      </c>
      <c r="I21" s="6">
        <f t="shared" si="2"/>
        <v>18532</v>
      </c>
      <c r="J21" s="91"/>
      <c r="M21" s="94"/>
    </row>
    <row r="22" spans="2:13" ht="17.25" thickBot="1">
      <c r="B22" s="3">
        <v>21</v>
      </c>
      <c r="C22" t="s">
        <v>443</v>
      </c>
      <c r="D22" s="4"/>
      <c r="E22" s="88">
        <v>3</v>
      </c>
      <c r="F22" s="101">
        <f t="shared" si="0"/>
        <v>60</v>
      </c>
      <c r="G22">
        <f>VLOOKUP($C22,약재관리!A:J,10,FALSE)</f>
        <v>27.7</v>
      </c>
      <c r="H22" s="5">
        <f t="shared" si="1"/>
        <v>83.1</v>
      </c>
      <c r="I22" s="6">
        <f t="shared" si="2"/>
        <v>1662</v>
      </c>
      <c r="K22" s="162" t="s">
        <v>386</v>
      </c>
      <c r="L22" s="163"/>
      <c r="M22" s="164"/>
    </row>
    <row r="23" spans="2:13">
      <c r="B23" s="3">
        <v>22</v>
      </c>
      <c r="D23" s="4"/>
      <c r="F23" s="101">
        <f t="shared" si="0"/>
        <v>0</v>
      </c>
      <c r="H23" s="5">
        <f t="shared" si="1"/>
        <v>0</v>
      </c>
      <c r="I23" s="6">
        <f t="shared" si="2"/>
        <v>0</v>
      </c>
      <c r="K23" s="91" t="s">
        <v>380</v>
      </c>
      <c r="L23">
        <f>SUM(F2:F31)</f>
        <v>1760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3124.9999999999995</v>
      </c>
      <c r="M30" s="4" t="s">
        <v>384</v>
      </c>
    </row>
    <row r="31" spans="2:13" ht="17.25" thickBot="1">
      <c r="B31" s="13">
        <v>30</v>
      </c>
      <c r="C31" s="14"/>
      <c r="D31" s="12"/>
      <c r="E31" s="95"/>
      <c r="F31" s="102">
        <f t="shared" si="0"/>
        <v>0</v>
      </c>
      <c r="H31" s="15">
        <f t="shared" si="1"/>
        <v>0</v>
      </c>
      <c r="I31" s="16">
        <f t="shared" si="2"/>
        <v>0</v>
      </c>
      <c r="K31" s="14" t="s">
        <v>383</v>
      </c>
      <c r="L31" s="15">
        <f>SUM(I2:I31)</f>
        <v>62500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81820-A4C2-4C13-B86C-92F228E9049E}">
  <sheetPr>
    <pageSetUpPr fitToPage="1"/>
  </sheetPr>
  <dimension ref="B1:M31"/>
  <sheetViews>
    <sheetView workbookViewId="0">
      <selection activeCell="G23" sqref="G2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423</v>
      </c>
      <c r="D3" s="4"/>
      <c r="E3" s="88">
        <v>6</v>
      </c>
      <c r="F3" s="101">
        <f t="shared" ref="F3:F31" si="0">E3*$L$15</f>
        <v>120</v>
      </c>
      <c r="G3">
        <f>VLOOKUP($C3,약재관리!A:J,10,FALSE)</f>
        <v>22</v>
      </c>
      <c r="H3" s="5">
        <f t="shared" ref="H3:H31" si="1">G3*E3</f>
        <v>132</v>
      </c>
      <c r="I3" s="6">
        <f t="shared" ref="I3:I31" si="2">G3*F3</f>
        <v>2640</v>
      </c>
      <c r="K3" s="8" t="s">
        <v>10</v>
      </c>
      <c r="L3" s="176" t="s">
        <v>446</v>
      </c>
      <c r="M3" s="177"/>
    </row>
    <row r="4" spans="2:13">
      <c r="B4" s="3">
        <v>3</v>
      </c>
      <c r="C4" t="s">
        <v>438</v>
      </c>
      <c r="D4" s="4"/>
      <c r="E4" s="88">
        <v>4</v>
      </c>
      <c r="F4" s="101">
        <f t="shared" si="0"/>
        <v>80</v>
      </c>
      <c r="G4">
        <f>VLOOKUP($C4,약재관리!A:J,10,FALSE)</f>
        <v>17.600000000000001</v>
      </c>
      <c r="H4" s="5">
        <f t="shared" si="1"/>
        <v>70.400000000000006</v>
      </c>
      <c r="I4" s="6">
        <f t="shared" si="2"/>
        <v>1408</v>
      </c>
      <c r="K4" s="8" t="s">
        <v>11</v>
      </c>
      <c r="L4" s="178">
        <v>45890</v>
      </c>
      <c r="M4" s="177"/>
    </row>
    <row r="5" spans="2:13">
      <c r="B5" s="3">
        <v>4</v>
      </c>
      <c r="C5" t="s">
        <v>440</v>
      </c>
      <c r="D5" s="4"/>
      <c r="E5" s="88">
        <v>4</v>
      </c>
      <c r="F5" s="101">
        <f t="shared" si="0"/>
        <v>80</v>
      </c>
      <c r="G5">
        <f>VLOOKUP($C5,약재관리!A:J,10,FALSE)</f>
        <v>9</v>
      </c>
      <c r="H5" s="5">
        <f t="shared" si="1"/>
        <v>36</v>
      </c>
      <c r="I5" s="6">
        <f t="shared" si="2"/>
        <v>720</v>
      </c>
      <c r="K5" s="8" t="s">
        <v>12</v>
      </c>
      <c r="L5" s="176" t="s">
        <v>411</v>
      </c>
      <c r="M5" s="177"/>
    </row>
    <row r="6" spans="2:13">
      <c r="B6" s="3">
        <v>5</v>
      </c>
      <c r="C6" t="s">
        <v>427</v>
      </c>
      <c r="D6" s="4"/>
      <c r="E6" s="88">
        <v>4</v>
      </c>
      <c r="F6" s="101">
        <f t="shared" si="0"/>
        <v>80</v>
      </c>
      <c r="G6">
        <f>VLOOKUP($C6,약재관리!A:J,10,FALSE)</f>
        <v>47</v>
      </c>
      <c r="H6" s="5">
        <f t="shared" si="1"/>
        <v>188</v>
      </c>
      <c r="I6" s="6">
        <f t="shared" si="2"/>
        <v>3760</v>
      </c>
      <c r="K6" s="8" t="s">
        <v>13</v>
      </c>
      <c r="L6" s="176">
        <v>42</v>
      </c>
      <c r="M6" s="177"/>
    </row>
    <row r="7" spans="2:13" ht="17.25" thickBot="1">
      <c r="B7" s="3">
        <v>6</v>
      </c>
      <c r="C7" t="s">
        <v>416</v>
      </c>
      <c r="D7" s="4"/>
      <c r="E7" s="88">
        <v>4</v>
      </c>
      <c r="F7" s="101">
        <f t="shared" si="0"/>
        <v>80</v>
      </c>
      <c r="G7">
        <f>VLOOKUP($C7,약재관리!A:J,10,FALSE)</f>
        <v>11</v>
      </c>
      <c r="H7" s="5">
        <f t="shared" si="1"/>
        <v>44</v>
      </c>
      <c r="I7" s="6">
        <f t="shared" si="2"/>
        <v>880</v>
      </c>
      <c r="K7" s="8" t="s">
        <v>14</v>
      </c>
      <c r="L7" s="160" t="s">
        <v>412</v>
      </c>
      <c r="M7" s="161"/>
    </row>
    <row r="8" spans="2:13" ht="17.25" thickBot="1">
      <c r="B8" s="3">
        <v>7</v>
      </c>
      <c r="C8" t="s">
        <v>421</v>
      </c>
      <c r="D8" s="4"/>
      <c r="E8" s="88">
        <v>3</v>
      </c>
      <c r="F8" s="101">
        <f t="shared" si="0"/>
        <v>60</v>
      </c>
      <c r="G8">
        <f>VLOOKUP($C8,약재관리!A:J,10,FALSE)</f>
        <v>25.3</v>
      </c>
      <c r="H8" s="5">
        <f t="shared" si="1"/>
        <v>75.900000000000006</v>
      </c>
      <c r="I8" s="6">
        <f t="shared" si="2"/>
        <v>1518</v>
      </c>
      <c r="K8" s="162" t="s">
        <v>15</v>
      </c>
      <c r="L8" s="163"/>
      <c r="M8" s="164"/>
    </row>
    <row r="9" spans="2:13">
      <c r="B9" s="3">
        <v>8</v>
      </c>
      <c r="C9" t="s">
        <v>422</v>
      </c>
      <c r="D9" s="4"/>
      <c r="E9" s="88">
        <v>3</v>
      </c>
      <c r="F9" s="101">
        <f t="shared" si="0"/>
        <v>60</v>
      </c>
      <c r="G9">
        <f>VLOOKUP($C9,약재관리!A:J,10,FALSE)</f>
        <v>10.8</v>
      </c>
      <c r="H9" s="5">
        <f t="shared" si="1"/>
        <v>32.400000000000006</v>
      </c>
      <c r="I9" s="6">
        <f t="shared" si="2"/>
        <v>648</v>
      </c>
      <c r="K9" s="165" t="s">
        <v>452</v>
      </c>
      <c r="L9" s="166"/>
      <c r="M9" s="167"/>
    </row>
    <row r="10" spans="2:13">
      <c r="B10" s="3">
        <v>9</v>
      </c>
      <c r="C10" t="s">
        <v>414</v>
      </c>
      <c r="D10" s="4"/>
      <c r="E10" s="88">
        <v>3</v>
      </c>
      <c r="F10" s="101">
        <f t="shared" si="0"/>
        <v>60</v>
      </c>
      <c r="G10">
        <f>VLOOKUP($C10,약재관리!A:J,10,FALSE)</f>
        <v>19.600000000000001</v>
      </c>
      <c r="H10" s="5">
        <f t="shared" si="1"/>
        <v>58.800000000000004</v>
      </c>
      <c r="I10" s="6">
        <f t="shared" si="2"/>
        <v>1176</v>
      </c>
      <c r="K10" s="168"/>
      <c r="L10" s="169"/>
      <c r="M10" s="170"/>
    </row>
    <row r="11" spans="2:13">
      <c r="B11" s="3">
        <v>10</v>
      </c>
      <c r="C11" t="s">
        <v>447</v>
      </c>
      <c r="D11" s="4"/>
      <c r="E11" s="88">
        <v>3</v>
      </c>
      <c r="F11" s="101">
        <f t="shared" si="0"/>
        <v>60</v>
      </c>
      <c r="G11">
        <f>VLOOKUP($C11,약재관리!A:J,10,FALSE)</f>
        <v>9.1999999999999993</v>
      </c>
      <c r="H11" s="5">
        <f t="shared" si="1"/>
        <v>27.599999999999998</v>
      </c>
      <c r="I11" s="6">
        <f t="shared" si="2"/>
        <v>552</v>
      </c>
      <c r="K11" s="168"/>
      <c r="L11" s="169"/>
      <c r="M11" s="170"/>
    </row>
    <row r="12" spans="2:13">
      <c r="B12" s="3">
        <v>11</v>
      </c>
      <c r="C12" t="s">
        <v>448</v>
      </c>
      <c r="D12" s="4"/>
      <c r="E12" s="88">
        <v>3</v>
      </c>
      <c r="F12" s="101">
        <f t="shared" si="0"/>
        <v>60</v>
      </c>
      <c r="G12">
        <f>VLOOKUP($C12,약재관리!A:J,10,FALSE)</f>
        <v>11.5</v>
      </c>
      <c r="H12" s="5">
        <f t="shared" si="1"/>
        <v>34.5</v>
      </c>
      <c r="I12" s="6">
        <f t="shared" si="2"/>
        <v>690</v>
      </c>
      <c r="K12" s="168"/>
      <c r="L12" s="169"/>
      <c r="M12" s="170"/>
    </row>
    <row r="13" spans="2:13" ht="17.25" thickBot="1">
      <c r="B13" s="3">
        <v>12</v>
      </c>
      <c r="C13" t="s">
        <v>449</v>
      </c>
      <c r="D13" s="4"/>
      <c r="E13" s="88">
        <v>3</v>
      </c>
      <c r="F13" s="101">
        <f t="shared" si="0"/>
        <v>60</v>
      </c>
      <c r="G13">
        <f>VLOOKUP($C13,약재관리!A:J,10,FALSE)</f>
        <v>10</v>
      </c>
      <c r="H13" s="5">
        <f t="shared" si="1"/>
        <v>30</v>
      </c>
      <c r="I13" s="6">
        <f t="shared" si="2"/>
        <v>600</v>
      </c>
      <c r="K13" s="171"/>
      <c r="L13" s="172"/>
      <c r="M13" s="173"/>
    </row>
    <row r="14" spans="2:13">
      <c r="B14" s="3">
        <v>13</v>
      </c>
      <c r="C14" t="s">
        <v>418</v>
      </c>
      <c r="D14" s="4"/>
      <c r="E14" s="88">
        <v>3</v>
      </c>
      <c r="F14" s="101">
        <f t="shared" si="0"/>
        <v>60</v>
      </c>
      <c r="G14">
        <f>VLOOKUP($C14,약재관리!A:J,10,FALSE)</f>
        <v>14.8</v>
      </c>
      <c r="H14" s="5">
        <f t="shared" si="1"/>
        <v>44.400000000000006</v>
      </c>
      <c r="I14" s="6">
        <f t="shared" si="2"/>
        <v>888</v>
      </c>
      <c r="K14" s="92" t="s">
        <v>16</v>
      </c>
      <c r="L14" s="9">
        <v>15</v>
      </c>
      <c r="M14" s="10" t="s">
        <v>17</v>
      </c>
    </row>
    <row r="15" spans="2:13">
      <c r="B15" s="3">
        <v>14</v>
      </c>
      <c r="C15" t="s">
        <v>436</v>
      </c>
      <c r="D15" s="4"/>
      <c r="E15" s="88">
        <v>3</v>
      </c>
      <c r="F15" s="101">
        <f t="shared" si="0"/>
        <v>60</v>
      </c>
      <c r="G15">
        <f>VLOOKUP($C15,약재관리!A:J,10,FALSE)</f>
        <v>9.5</v>
      </c>
      <c r="H15" s="5">
        <f t="shared" si="1"/>
        <v>28.5</v>
      </c>
      <c r="I15" s="6">
        <f t="shared" si="2"/>
        <v>570</v>
      </c>
      <c r="K15" s="91" t="s">
        <v>18</v>
      </c>
      <c r="L15">
        <v>20</v>
      </c>
      <c r="M15" s="4" t="s">
        <v>19</v>
      </c>
    </row>
    <row r="16" spans="2:13">
      <c r="B16" s="3">
        <v>15</v>
      </c>
      <c r="C16" t="s">
        <v>430</v>
      </c>
      <c r="D16" s="4"/>
      <c r="E16" s="88">
        <v>2</v>
      </c>
      <c r="F16" s="101">
        <f t="shared" si="0"/>
        <v>40</v>
      </c>
      <c r="G16">
        <f>VLOOKUP($C16,약재관리!A:J,10,FALSE)</f>
        <v>28.3</v>
      </c>
      <c r="H16" s="5">
        <f t="shared" si="1"/>
        <v>56.6</v>
      </c>
      <c r="I16" s="6">
        <f t="shared" si="2"/>
        <v>1132</v>
      </c>
      <c r="K16" s="91" t="s">
        <v>20</v>
      </c>
      <c r="L16">
        <v>30</v>
      </c>
      <c r="M16" s="4" t="s">
        <v>21</v>
      </c>
    </row>
    <row r="17" spans="2:13" ht="17.25" thickBot="1">
      <c r="B17" s="3">
        <v>16</v>
      </c>
      <c r="C17" t="s">
        <v>419</v>
      </c>
      <c r="D17" s="4"/>
      <c r="E17" s="88">
        <v>4</v>
      </c>
      <c r="F17" s="101">
        <f t="shared" si="0"/>
        <v>80</v>
      </c>
      <c r="G17">
        <f>VLOOKUP($C17,약재관리!A:J,10,FALSE)</f>
        <v>15</v>
      </c>
      <c r="H17" s="5">
        <f t="shared" si="1"/>
        <v>60</v>
      </c>
      <c r="I17" s="6">
        <f t="shared" si="2"/>
        <v>1200</v>
      </c>
      <c r="K17" s="14" t="s">
        <v>22</v>
      </c>
      <c r="L17" s="11">
        <v>100</v>
      </c>
      <c r="M17" s="12" t="s">
        <v>23</v>
      </c>
    </row>
    <row r="18" spans="2:13">
      <c r="B18" s="3">
        <v>17</v>
      </c>
      <c r="C18" t="s">
        <v>441</v>
      </c>
      <c r="D18" s="4"/>
      <c r="E18" s="88">
        <v>4</v>
      </c>
      <c r="F18" s="101">
        <f t="shared" si="0"/>
        <v>80</v>
      </c>
      <c r="G18">
        <f>VLOOKUP($C18,약재관리!A:J,10,FALSE)</f>
        <v>8</v>
      </c>
      <c r="H18" s="5">
        <f t="shared" si="1"/>
        <v>32</v>
      </c>
      <c r="I18" s="6">
        <f t="shared" si="2"/>
        <v>640</v>
      </c>
      <c r="K18" s="92" t="s">
        <v>24</v>
      </c>
      <c r="L18" s="9">
        <f>SUM(E2:E31)</f>
        <v>84</v>
      </c>
      <c r="M18" s="10" t="s">
        <v>25</v>
      </c>
    </row>
    <row r="19" spans="2:13">
      <c r="B19" s="3">
        <v>18</v>
      </c>
      <c r="C19" t="s">
        <v>450</v>
      </c>
      <c r="D19" s="4"/>
      <c r="E19" s="88">
        <v>4</v>
      </c>
      <c r="F19" s="101">
        <f t="shared" si="0"/>
        <v>80</v>
      </c>
      <c r="G19">
        <f>VLOOKUP($C19,약재관리!A:J,10,FALSE)</f>
        <v>7.5</v>
      </c>
      <c r="H19" s="5">
        <f t="shared" si="1"/>
        <v>30</v>
      </c>
      <c r="I19" s="6">
        <f t="shared" si="2"/>
        <v>600</v>
      </c>
      <c r="K19" s="91" t="s">
        <v>26</v>
      </c>
      <c r="L19">
        <f>L15*L18</f>
        <v>1680</v>
      </c>
      <c r="M19" s="4" t="s">
        <v>25</v>
      </c>
    </row>
    <row r="20" spans="2:13" ht="17.25" thickBot="1">
      <c r="B20" s="3">
        <v>19</v>
      </c>
      <c r="C20" t="s">
        <v>451</v>
      </c>
      <c r="D20" s="4"/>
      <c r="E20" s="88">
        <v>2</v>
      </c>
      <c r="F20" s="101">
        <f t="shared" si="0"/>
        <v>40</v>
      </c>
      <c r="G20">
        <f>VLOOKUP($C20,약재관리!A:J,10,FALSE)</f>
        <v>44.2</v>
      </c>
      <c r="H20" s="5">
        <f t="shared" si="1"/>
        <v>88.4</v>
      </c>
      <c r="I20" s="6">
        <f t="shared" si="2"/>
        <v>1768</v>
      </c>
      <c r="K20" s="14" t="s">
        <v>27</v>
      </c>
      <c r="L20" s="11">
        <f>L16*L17+L19</f>
        <v>4680</v>
      </c>
      <c r="M20" s="12" t="s">
        <v>23</v>
      </c>
    </row>
    <row r="21" spans="2:13" ht="17.25" thickBot="1">
      <c r="B21" s="3">
        <v>20</v>
      </c>
      <c r="C21" t="s">
        <v>420</v>
      </c>
      <c r="D21" s="4"/>
      <c r="E21" s="88">
        <v>4</v>
      </c>
      <c r="F21" s="101">
        <f t="shared" si="0"/>
        <v>80</v>
      </c>
      <c r="G21">
        <f>VLOOKUP($C21,약재관리!A:J,10,FALSE)</f>
        <v>106.7</v>
      </c>
      <c r="H21" s="5">
        <f t="shared" si="1"/>
        <v>426.8</v>
      </c>
      <c r="I21" s="6">
        <f t="shared" si="2"/>
        <v>8536</v>
      </c>
      <c r="J21" s="91"/>
      <c r="M21" s="94"/>
    </row>
    <row r="22" spans="2:13" ht="17.25" thickBot="1">
      <c r="B22" s="3">
        <v>21</v>
      </c>
      <c r="C22" t="s">
        <v>415</v>
      </c>
      <c r="D22" s="4"/>
      <c r="E22" s="88">
        <v>4</v>
      </c>
      <c r="F22" s="101">
        <f t="shared" si="0"/>
        <v>80</v>
      </c>
      <c r="G22">
        <f>VLOOKUP($C22,약재관리!A:J,10,FALSE)</f>
        <v>16.8</v>
      </c>
      <c r="H22" s="5">
        <f t="shared" si="1"/>
        <v>67.2</v>
      </c>
      <c r="I22" s="6">
        <f t="shared" si="2"/>
        <v>1344</v>
      </c>
      <c r="K22" s="162" t="s">
        <v>386</v>
      </c>
      <c r="L22" s="163"/>
      <c r="M22" s="164"/>
    </row>
    <row r="23" spans="2:13">
      <c r="B23" s="3">
        <v>22</v>
      </c>
      <c r="C23" t="s">
        <v>443</v>
      </c>
      <c r="D23" s="4"/>
      <c r="E23" s="88">
        <v>4</v>
      </c>
      <c r="F23" s="101">
        <f t="shared" si="0"/>
        <v>80</v>
      </c>
      <c r="G23">
        <f>VLOOKUP($C23,약재관리!A:J,10,FALSE)</f>
        <v>27.7</v>
      </c>
      <c r="H23" s="5">
        <f t="shared" si="1"/>
        <v>110.8</v>
      </c>
      <c r="I23" s="6">
        <f t="shared" si="2"/>
        <v>2216</v>
      </c>
      <c r="K23" s="91" t="s">
        <v>380</v>
      </c>
      <c r="L23">
        <f>SUM(F2:F31)</f>
        <v>1680</v>
      </c>
      <c r="M23" s="4" t="s">
        <v>25</v>
      </c>
    </row>
    <row r="24" spans="2:13">
      <c r="B24" s="3">
        <v>23</v>
      </c>
      <c r="C24" t="s">
        <v>425</v>
      </c>
      <c r="D24" s="4"/>
      <c r="E24" s="88">
        <v>2</v>
      </c>
      <c r="F24" s="101">
        <f t="shared" si="0"/>
        <v>40</v>
      </c>
      <c r="G24">
        <f>VLOOKUP($C24,약재관리!A:J,10,FALSE)</f>
        <v>463.3</v>
      </c>
      <c r="H24" s="5">
        <f t="shared" si="1"/>
        <v>926.6</v>
      </c>
      <c r="I24" s="6">
        <f t="shared" si="2"/>
        <v>18532</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2718.5</v>
      </c>
      <c r="M30" s="4" t="s">
        <v>384</v>
      </c>
    </row>
    <row r="31" spans="2:13" ht="17.25" thickBot="1">
      <c r="B31" s="13">
        <v>30</v>
      </c>
      <c r="C31" s="14"/>
      <c r="D31" s="12"/>
      <c r="E31" s="95"/>
      <c r="F31" s="102">
        <f t="shared" si="0"/>
        <v>0</v>
      </c>
      <c r="H31" s="15">
        <f t="shared" si="1"/>
        <v>0</v>
      </c>
      <c r="I31" s="16">
        <f t="shared" si="2"/>
        <v>0</v>
      </c>
      <c r="K31" s="14" t="s">
        <v>383</v>
      </c>
      <c r="L31" s="15">
        <f>SUM(I2:I31)</f>
        <v>54370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4A76-D34C-43B6-AC22-59D70BEC6F61}">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434</v>
      </c>
      <c r="D3" s="4"/>
      <c r="E3" s="88">
        <v>6</v>
      </c>
      <c r="F3" s="101">
        <f t="shared" ref="F3:F31" si="0">E3*$L$15</f>
        <v>120</v>
      </c>
      <c r="G3">
        <f>VLOOKUP($C3,약재관리!A:J,10,FALSE)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45779</v>
      </c>
      <c r="M4" s="177"/>
    </row>
    <row r="5" spans="2:13">
      <c r="B5" s="3">
        <v>4</v>
      </c>
      <c r="C5" t="s">
        <v>422</v>
      </c>
      <c r="D5" s="4"/>
      <c r="E5" s="88">
        <v>4</v>
      </c>
      <c r="F5" s="101">
        <f t="shared" si="0"/>
        <v>80</v>
      </c>
      <c r="G5">
        <f>VLOOKUP($C5,약재관리!A:J,10,FALSE)</f>
        <v>10.8</v>
      </c>
      <c r="H5" s="5">
        <f t="shared" si="1"/>
        <v>43.2</v>
      </c>
      <c r="I5" s="6">
        <f t="shared" si="2"/>
        <v>864</v>
      </c>
      <c r="K5" s="8" t="s">
        <v>12</v>
      </c>
      <c r="L5" s="176" t="s">
        <v>411</v>
      </c>
      <c r="M5" s="177"/>
    </row>
    <row r="6" spans="2:13">
      <c r="B6" s="3">
        <v>5</v>
      </c>
      <c r="C6" t="s">
        <v>414</v>
      </c>
      <c r="D6" s="4"/>
      <c r="E6" s="88">
        <v>4</v>
      </c>
      <c r="F6" s="101">
        <f t="shared" si="0"/>
        <v>80</v>
      </c>
      <c r="G6">
        <f>VLOOKUP($C6,약재관리!A:J,10,FALSE)</f>
        <v>19.600000000000001</v>
      </c>
      <c r="H6" s="5">
        <f t="shared" si="1"/>
        <v>78.400000000000006</v>
      </c>
      <c r="I6" s="6">
        <f t="shared" si="2"/>
        <v>1568</v>
      </c>
      <c r="K6" s="8" t="s">
        <v>13</v>
      </c>
      <c r="L6" s="176">
        <v>42</v>
      </c>
      <c r="M6" s="177"/>
    </row>
    <row r="7" spans="2:13" ht="17.25" thickBot="1">
      <c r="B7" s="3">
        <v>6</v>
      </c>
      <c r="C7" t="s">
        <v>438</v>
      </c>
      <c r="D7" s="4"/>
      <c r="E7" s="88">
        <v>4</v>
      </c>
      <c r="F7" s="101">
        <f t="shared" si="0"/>
        <v>80</v>
      </c>
      <c r="G7">
        <f>VLOOKUP($C7,약재관리!A:J,10,FALSE)</f>
        <v>17.600000000000001</v>
      </c>
      <c r="H7" s="5">
        <f t="shared" si="1"/>
        <v>70.400000000000006</v>
      </c>
      <c r="I7" s="6">
        <f t="shared" si="2"/>
        <v>1408</v>
      </c>
      <c r="K7" s="8" t="s">
        <v>14</v>
      </c>
      <c r="L7" s="160" t="s">
        <v>412</v>
      </c>
      <c r="M7" s="161"/>
    </row>
    <row r="8" spans="2:13" ht="17.25" thickBot="1">
      <c r="B8" s="3">
        <v>7</v>
      </c>
      <c r="C8" t="s">
        <v>435</v>
      </c>
      <c r="D8" s="4"/>
      <c r="E8" s="88">
        <v>4</v>
      </c>
      <c r="F8" s="101">
        <f t="shared" si="0"/>
        <v>80</v>
      </c>
      <c r="G8">
        <f>VLOOKUP($C8,약재관리!A:J,10,FALSE)</f>
        <v>61.7</v>
      </c>
      <c r="H8" s="5">
        <f t="shared" si="1"/>
        <v>246.8</v>
      </c>
      <c r="I8" s="6">
        <f t="shared" si="2"/>
        <v>4936</v>
      </c>
      <c r="K8" s="162" t="s">
        <v>15</v>
      </c>
      <c r="L8" s="163"/>
      <c r="M8" s="164"/>
    </row>
    <row r="9" spans="2:13">
      <c r="B9" s="3">
        <v>8</v>
      </c>
      <c r="C9" t="s">
        <v>417</v>
      </c>
      <c r="D9" s="4"/>
      <c r="E9" s="88">
        <v>4</v>
      </c>
      <c r="F9" s="101">
        <f t="shared" si="0"/>
        <v>80</v>
      </c>
      <c r="G9">
        <f>VLOOKUP($C9,약재관리!A:J,10,FALSE)</f>
        <v>31.5</v>
      </c>
      <c r="H9" s="5">
        <f t="shared" si="1"/>
        <v>126</v>
      </c>
      <c r="I9" s="6">
        <f t="shared" si="2"/>
        <v>2520</v>
      </c>
      <c r="K9" s="165" t="s">
        <v>445</v>
      </c>
      <c r="L9" s="166"/>
      <c r="M9" s="167"/>
    </row>
    <row r="10" spans="2:13">
      <c r="B10" s="3">
        <v>9</v>
      </c>
      <c r="C10" t="s">
        <v>436</v>
      </c>
      <c r="D10" s="4"/>
      <c r="E10" s="88">
        <v>2</v>
      </c>
      <c r="F10" s="101">
        <f t="shared" si="0"/>
        <v>40</v>
      </c>
      <c r="G10">
        <f>VLOOKUP($C10,약재관리!A:J,10,FALSE)</f>
        <v>9.5</v>
      </c>
      <c r="H10" s="5">
        <f t="shared" si="1"/>
        <v>19</v>
      </c>
      <c r="I10" s="6">
        <f t="shared" si="2"/>
        <v>380</v>
      </c>
      <c r="K10" s="168"/>
      <c r="L10" s="169"/>
      <c r="M10" s="170"/>
    </row>
    <row r="11" spans="2:13">
      <c r="B11" s="3">
        <v>10</v>
      </c>
      <c r="C11" t="s">
        <v>418</v>
      </c>
      <c r="D11" s="4"/>
      <c r="E11" s="88">
        <v>4</v>
      </c>
      <c r="F11" s="101">
        <f t="shared" si="0"/>
        <v>80</v>
      </c>
      <c r="G11">
        <f>VLOOKUP($C11,약재관리!A:J,10,FALSE)</f>
        <v>14.8</v>
      </c>
      <c r="H11" s="5">
        <f t="shared" si="1"/>
        <v>59.2</v>
      </c>
      <c r="I11" s="6">
        <f t="shared" si="2"/>
        <v>1184</v>
      </c>
      <c r="K11" s="168"/>
      <c r="L11" s="169"/>
      <c r="M11" s="170"/>
    </row>
    <row r="12" spans="2:13">
      <c r="B12" s="3">
        <v>11</v>
      </c>
      <c r="C12" t="s">
        <v>437</v>
      </c>
      <c r="D12" s="4"/>
      <c r="E12" s="88">
        <v>4</v>
      </c>
      <c r="F12" s="101">
        <f t="shared" si="0"/>
        <v>80</v>
      </c>
      <c r="G12">
        <f>VLOOKUP($C12,약재관리!A:J,10,FALSE)</f>
        <v>12.5</v>
      </c>
      <c r="H12" s="5">
        <f t="shared" si="1"/>
        <v>50</v>
      </c>
      <c r="I12" s="6">
        <f t="shared" si="2"/>
        <v>1000</v>
      </c>
      <c r="K12" s="168"/>
      <c r="L12" s="169"/>
      <c r="M12" s="170"/>
    </row>
    <row r="13" spans="2:13" ht="17.25" thickBot="1">
      <c r="B13" s="3">
        <v>12</v>
      </c>
      <c r="C13" t="s">
        <v>416</v>
      </c>
      <c r="D13" s="4"/>
      <c r="E13" s="88">
        <v>6</v>
      </c>
      <c r="F13" s="101">
        <f t="shared" si="0"/>
        <v>120</v>
      </c>
      <c r="G13">
        <f>VLOOKUP($C13,약재관리!A:J,10,FALSE)</f>
        <v>11</v>
      </c>
      <c r="H13" s="5">
        <f t="shared" si="1"/>
        <v>66</v>
      </c>
      <c r="I13" s="6">
        <f t="shared" si="2"/>
        <v>1320</v>
      </c>
      <c r="K13" s="171"/>
      <c r="L13" s="172"/>
      <c r="M13" s="173"/>
    </row>
    <row r="14" spans="2:13">
      <c r="B14" s="3">
        <v>13</v>
      </c>
      <c r="C14" t="s">
        <v>420</v>
      </c>
      <c r="D14" s="4"/>
      <c r="E14" s="88">
        <v>4</v>
      </c>
      <c r="F14" s="101">
        <f t="shared" si="0"/>
        <v>80</v>
      </c>
      <c r="G14">
        <f>VLOOKUP($C14,약재관리!A:J,10,FALSE)</f>
        <v>106.7</v>
      </c>
      <c r="H14" s="5">
        <f t="shared" si="1"/>
        <v>426.8</v>
      </c>
      <c r="I14" s="6">
        <f t="shared" si="2"/>
        <v>8536</v>
      </c>
      <c r="K14" s="92" t="s">
        <v>16</v>
      </c>
      <c r="L14" s="9">
        <v>15</v>
      </c>
      <c r="M14" s="10" t="s">
        <v>17</v>
      </c>
    </row>
    <row r="15" spans="2:13">
      <c r="B15" s="3">
        <v>14</v>
      </c>
      <c r="C15" t="s">
        <v>415</v>
      </c>
      <c r="D15" s="4"/>
      <c r="E15" s="88">
        <v>4</v>
      </c>
      <c r="F15" s="101">
        <f t="shared" si="0"/>
        <v>80</v>
      </c>
      <c r="G15">
        <f>VLOOKUP($C15,약재관리!A:J,10,FALSE)</f>
        <v>16.8</v>
      </c>
      <c r="H15" s="5">
        <f t="shared" si="1"/>
        <v>67.2</v>
      </c>
      <c r="I15" s="6">
        <f t="shared" si="2"/>
        <v>1344</v>
      </c>
      <c r="K15" s="91" t="s">
        <v>18</v>
      </c>
      <c r="L15">
        <v>20</v>
      </c>
      <c r="M15" s="4" t="s">
        <v>19</v>
      </c>
    </row>
    <row r="16" spans="2:13">
      <c r="B16" s="3">
        <v>15</v>
      </c>
      <c r="C16" t="s">
        <v>427</v>
      </c>
      <c r="D16" s="4"/>
      <c r="E16" s="88">
        <v>4</v>
      </c>
      <c r="F16" s="101">
        <f t="shared" si="0"/>
        <v>80</v>
      </c>
      <c r="G16">
        <f>VLOOKUP($C16,약재관리!A:J,10,FALSE)</f>
        <v>47</v>
      </c>
      <c r="H16" s="5">
        <f t="shared" si="1"/>
        <v>188</v>
      </c>
      <c r="I16" s="6">
        <f t="shared" si="2"/>
        <v>3760</v>
      </c>
      <c r="K16" s="91" t="s">
        <v>20</v>
      </c>
      <c r="L16">
        <v>30</v>
      </c>
      <c r="M16" s="4" t="s">
        <v>21</v>
      </c>
    </row>
    <row r="17" spans="2:13" ht="17.25" thickBot="1">
      <c r="B17" s="3">
        <v>16</v>
      </c>
      <c r="C17" t="s">
        <v>419</v>
      </c>
      <c r="D17" s="4"/>
      <c r="E17" s="88">
        <v>4</v>
      </c>
      <c r="F17" s="101">
        <f t="shared" si="0"/>
        <v>80</v>
      </c>
      <c r="G17">
        <f>VLOOKUP($C17,약재관리!A:J,10,FALSE)</f>
        <v>15</v>
      </c>
      <c r="H17" s="5">
        <f t="shared" si="1"/>
        <v>60</v>
      </c>
      <c r="I17" s="6">
        <f t="shared" si="2"/>
        <v>1200</v>
      </c>
      <c r="K17" s="14" t="s">
        <v>22</v>
      </c>
      <c r="L17" s="11">
        <v>100</v>
      </c>
      <c r="M17" s="12" t="s">
        <v>23</v>
      </c>
    </row>
    <row r="18" spans="2:13">
      <c r="B18" s="3">
        <v>17</v>
      </c>
      <c r="C18" t="s">
        <v>423</v>
      </c>
      <c r="D18" s="4"/>
      <c r="E18" s="88">
        <v>6</v>
      </c>
      <c r="F18" s="101">
        <f t="shared" si="0"/>
        <v>120</v>
      </c>
      <c r="G18">
        <f>VLOOKUP($C18,약재관리!A:J,10,FALSE)</f>
        <v>22</v>
      </c>
      <c r="H18" s="5">
        <f t="shared" si="1"/>
        <v>132</v>
      </c>
      <c r="I18" s="6">
        <f t="shared" si="2"/>
        <v>2640</v>
      </c>
      <c r="K18" s="92" t="s">
        <v>24</v>
      </c>
      <c r="L18" s="9">
        <f>SUM(E2:E31)</f>
        <v>92</v>
      </c>
      <c r="M18" s="10" t="s">
        <v>25</v>
      </c>
    </row>
    <row r="19" spans="2:13">
      <c r="B19" s="3">
        <v>18</v>
      </c>
      <c r="C19" t="s">
        <v>439</v>
      </c>
      <c r="D19" s="4"/>
      <c r="E19" s="88">
        <v>2</v>
      </c>
      <c r="F19" s="101">
        <f t="shared" si="0"/>
        <v>40</v>
      </c>
      <c r="G19">
        <f>VLOOKUP($C19,약재관리!A:J,10,FALSE)</f>
        <v>21.8</v>
      </c>
      <c r="H19" s="5">
        <f t="shared" si="1"/>
        <v>43.6</v>
      </c>
      <c r="I19" s="6">
        <f t="shared" si="2"/>
        <v>872</v>
      </c>
      <c r="K19" s="91" t="s">
        <v>26</v>
      </c>
      <c r="L19">
        <f>L15*L18</f>
        <v>1840</v>
      </c>
      <c r="M19" s="4" t="s">
        <v>25</v>
      </c>
    </row>
    <row r="20" spans="2:13" ht="17.25" thickBot="1">
      <c r="B20" s="3">
        <v>19</v>
      </c>
      <c r="C20" t="s">
        <v>425</v>
      </c>
      <c r="D20" s="4"/>
      <c r="E20" s="88">
        <v>2</v>
      </c>
      <c r="F20" s="101">
        <f t="shared" si="0"/>
        <v>40</v>
      </c>
      <c r="G20">
        <f>VLOOKUP($C20,약재관리!A:J,10,FALSE)</f>
        <v>463.3</v>
      </c>
      <c r="H20" s="5">
        <f t="shared" si="1"/>
        <v>926.6</v>
      </c>
      <c r="I20" s="6">
        <f t="shared" si="2"/>
        <v>18532</v>
      </c>
      <c r="K20" s="14" t="s">
        <v>27</v>
      </c>
      <c r="L20" s="11">
        <f>L16*L17+L19</f>
        <v>4840</v>
      </c>
      <c r="M20" s="12" t="s">
        <v>23</v>
      </c>
    </row>
    <row r="21" spans="2:13" ht="17.25" thickBot="1">
      <c r="B21" s="3">
        <v>20</v>
      </c>
      <c r="C21" t="s">
        <v>443</v>
      </c>
      <c r="D21" s="4"/>
      <c r="E21" s="88">
        <v>4</v>
      </c>
      <c r="F21" s="101">
        <f t="shared" si="0"/>
        <v>80</v>
      </c>
      <c r="G21">
        <f>VLOOKUP($C21,약재관리!A:J,10,FALSE)</f>
        <v>27.7</v>
      </c>
      <c r="H21" s="5">
        <f t="shared" si="1"/>
        <v>110.8</v>
      </c>
      <c r="I21" s="6">
        <f t="shared" si="2"/>
        <v>2216</v>
      </c>
      <c r="J21" s="91"/>
      <c r="M21" s="94"/>
    </row>
    <row r="22" spans="2:13" ht="17.25" thickBot="1">
      <c r="B22" s="3">
        <v>21</v>
      </c>
      <c r="C22" t="s">
        <v>444</v>
      </c>
      <c r="D22" s="4"/>
      <c r="E22" s="88">
        <v>6</v>
      </c>
      <c r="F22" s="101">
        <f t="shared" si="0"/>
        <v>120</v>
      </c>
      <c r="G22">
        <f>VLOOKUP($C22,약재관리!A:J,10,FALSE)</f>
        <v>18.3</v>
      </c>
      <c r="H22" s="5">
        <f t="shared" si="1"/>
        <v>109.80000000000001</v>
      </c>
      <c r="I22" s="6">
        <f t="shared" si="2"/>
        <v>2196</v>
      </c>
      <c r="K22" s="162" t="s">
        <v>386</v>
      </c>
      <c r="L22" s="163"/>
      <c r="M22" s="164"/>
    </row>
    <row r="23" spans="2:13">
      <c r="B23" s="3">
        <v>22</v>
      </c>
      <c r="D23" s="4"/>
      <c r="F23" s="101">
        <f t="shared" si="0"/>
        <v>0</v>
      </c>
      <c r="H23" s="5">
        <f t="shared" si="1"/>
        <v>0</v>
      </c>
      <c r="I23" s="6">
        <f t="shared" si="2"/>
        <v>0</v>
      </c>
      <c r="K23" s="91" t="s">
        <v>380</v>
      </c>
      <c r="L23">
        <f>SUM(F2:F31)</f>
        <v>1840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3213.2000000000003</v>
      </c>
      <c r="M30" s="4" t="s">
        <v>384</v>
      </c>
    </row>
    <row r="31" spans="2:13" ht="17.25" thickBot="1">
      <c r="B31" s="13">
        <v>30</v>
      </c>
      <c r="C31" s="14"/>
      <c r="D31" s="12"/>
      <c r="E31" s="95"/>
      <c r="F31" s="102">
        <f t="shared" si="0"/>
        <v>0</v>
      </c>
      <c r="H31" s="15">
        <f t="shared" si="1"/>
        <v>0</v>
      </c>
      <c r="I31" s="16">
        <f t="shared" si="2"/>
        <v>0</v>
      </c>
      <c r="K31" s="14" t="s">
        <v>383</v>
      </c>
      <c r="L31" s="15">
        <f>SUM(I2:I31)</f>
        <v>64264</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DAC0-88BF-4055-B086-AF168E8740A1}">
  <sheetPr>
    <pageSetUpPr fitToPage="1"/>
  </sheetPr>
  <dimension ref="B1:M31"/>
  <sheetViews>
    <sheetView workbookViewId="0">
      <selection activeCell="L17" sqref="L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413</v>
      </c>
      <c r="D2" s="4"/>
      <c r="E2" s="88">
        <v>8</v>
      </c>
      <c r="F2" s="101">
        <f>E2*$L$15</f>
        <v>160</v>
      </c>
      <c r="G2">
        <f>VLOOKUP($C2,약재관리!A:J,10,FALSE)</f>
        <v>14.7</v>
      </c>
      <c r="H2" s="5">
        <f>G2*E2</f>
        <v>117.6</v>
      </c>
      <c r="I2" s="90">
        <f>G2*F2</f>
        <v>2352</v>
      </c>
      <c r="K2" s="7" t="s">
        <v>9</v>
      </c>
      <c r="L2" s="174">
        <v>85</v>
      </c>
      <c r="M2" s="175"/>
    </row>
    <row r="3" spans="2:13">
      <c r="B3" s="3">
        <v>2</v>
      </c>
      <c r="C3" t="s">
        <v>434</v>
      </c>
      <c r="D3" s="4"/>
      <c r="E3" s="88">
        <v>6</v>
      </c>
      <c r="F3" s="101">
        <f t="shared" ref="F3:F31" si="0">E3*$L$15</f>
        <v>120</v>
      </c>
      <c r="G3">
        <f>VLOOKUP($C3,약재관리!A:J,10,FALSE)</f>
        <v>20</v>
      </c>
      <c r="H3" s="5">
        <f t="shared" ref="H3:H31" si="1">G3*E3</f>
        <v>120</v>
      </c>
      <c r="I3" s="6">
        <f t="shared" ref="I3:I31" si="2">G3*F3</f>
        <v>2400</v>
      </c>
      <c r="K3" s="8" t="s">
        <v>10</v>
      </c>
      <c r="L3" s="176" t="s">
        <v>433</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45747</v>
      </c>
      <c r="M4" s="177"/>
    </row>
    <row r="5" spans="2:13">
      <c r="B5" s="3">
        <v>4</v>
      </c>
      <c r="C5" t="s">
        <v>422</v>
      </c>
      <c r="D5" s="4"/>
      <c r="E5" s="88">
        <v>4</v>
      </c>
      <c r="F5" s="101">
        <f t="shared" si="0"/>
        <v>80</v>
      </c>
      <c r="G5">
        <f>VLOOKUP($C5,약재관리!A:J,10,FALSE)</f>
        <v>10.8</v>
      </c>
      <c r="H5" s="5">
        <f t="shared" si="1"/>
        <v>43.2</v>
      </c>
      <c r="I5" s="6">
        <f t="shared" si="2"/>
        <v>864</v>
      </c>
      <c r="K5" s="8" t="s">
        <v>12</v>
      </c>
      <c r="L5" s="176" t="s">
        <v>411</v>
      </c>
      <c r="M5" s="177"/>
    </row>
    <row r="6" spans="2:13">
      <c r="B6" s="3">
        <v>5</v>
      </c>
      <c r="C6" t="s">
        <v>414</v>
      </c>
      <c r="D6" s="4"/>
      <c r="E6" s="88">
        <v>4</v>
      </c>
      <c r="F6" s="101">
        <f t="shared" si="0"/>
        <v>80</v>
      </c>
      <c r="G6">
        <f>VLOOKUP($C6,약재관리!A:J,10,FALSE)</f>
        <v>19.600000000000001</v>
      </c>
      <c r="H6" s="5">
        <f t="shared" si="1"/>
        <v>78.400000000000006</v>
      </c>
      <c r="I6" s="6">
        <f t="shared" si="2"/>
        <v>1568</v>
      </c>
      <c r="K6" s="8" t="s">
        <v>13</v>
      </c>
      <c r="L6" s="176">
        <v>42</v>
      </c>
      <c r="M6" s="177"/>
    </row>
    <row r="7" spans="2:13" ht="17.25" thickBot="1">
      <c r="B7" s="3">
        <v>6</v>
      </c>
      <c r="C7" t="s">
        <v>438</v>
      </c>
      <c r="D7" s="4"/>
      <c r="E7" s="88">
        <v>4</v>
      </c>
      <c r="F7" s="101">
        <f t="shared" si="0"/>
        <v>80</v>
      </c>
      <c r="G7">
        <f>VLOOKUP($C7,약재관리!A:J,10,FALSE)</f>
        <v>17.600000000000001</v>
      </c>
      <c r="H7" s="5">
        <f t="shared" si="1"/>
        <v>70.400000000000006</v>
      </c>
      <c r="I7" s="6">
        <f t="shared" si="2"/>
        <v>1408</v>
      </c>
      <c r="K7" s="8" t="s">
        <v>14</v>
      </c>
      <c r="L7" s="160" t="s">
        <v>412</v>
      </c>
      <c r="M7" s="161"/>
    </row>
    <row r="8" spans="2:13" ht="17.25" thickBot="1">
      <c r="B8" s="3">
        <v>7</v>
      </c>
      <c r="C8" t="s">
        <v>435</v>
      </c>
      <c r="D8" s="4"/>
      <c r="E8" s="88">
        <v>4</v>
      </c>
      <c r="F8" s="101">
        <f t="shared" si="0"/>
        <v>80</v>
      </c>
      <c r="G8">
        <f>VLOOKUP($C8,약재관리!A:J,10,FALSE)</f>
        <v>61.7</v>
      </c>
      <c r="H8" s="5">
        <f t="shared" si="1"/>
        <v>246.8</v>
      </c>
      <c r="I8" s="6">
        <f t="shared" si="2"/>
        <v>4936</v>
      </c>
      <c r="K8" s="162" t="s">
        <v>15</v>
      </c>
      <c r="L8" s="163"/>
      <c r="M8" s="164"/>
    </row>
    <row r="9" spans="2:13">
      <c r="B9" s="3">
        <v>8</v>
      </c>
      <c r="C9" t="s">
        <v>417</v>
      </c>
      <c r="D9" s="4"/>
      <c r="E9" s="88">
        <v>4</v>
      </c>
      <c r="F9" s="101">
        <f t="shared" si="0"/>
        <v>80</v>
      </c>
      <c r="G9">
        <f>VLOOKUP($C9,약재관리!A:J,10,FALSE)</f>
        <v>31.5</v>
      </c>
      <c r="H9" s="5">
        <f t="shared" si="1"/>
        <v>126</v>
      </c>
      <c r="I9" s="6">
        <f t="shared" si="2"/>
        <v>2520</v>
      </c>
      <c r="K9" s="165" t="s">
        <v>442</v>
      </c>
      <c r="L9" s="166"/>
      <c r="M9" s="167"/>
    </row>
    <row r="10" spans="2:13">
      <c r="B10" s="3">
        <v>9</v>
      </c>
      <c r="C10" t="s">
        <v>436</v>
      </c>
      <c r="D10" s="4"/>
      <c r="E10" s="88">
        <v>2</v>
      </c>
      <c r="F10" s="101">
        <f t="shared" si="0"/>
        <v>40</v>
      </c>
      <c r="G10">
        <f>VLOOKUP($C10,약재관리!A:J,10,FALSE)</f>
        <v>9.5</v>
      </c>
      <c r="H10" s="5">
        <f t="shared" si="1"/>
        <v>19</v>
      </c>
      <c r="I10" s="6">
        <f t="shared" si="2"/>
        <v>380</v>
      </c>
      <c r="K10" s="168"/>
      <c r="L10" s="169"/>
      <c r="M10" s="170"/>
    </row>
    <row r="11" spans="2:13">
      <c r="B11" s="3">
        <v>10</v>
      </c>
      <c r="C11" t="s">
        <v>418</v>
      </c>
      <c r="D11" s="4"/>
      <c r="E11" s="88">
        <v>4</v>
      </c>
      <c r="F11" s="101">
        <f t="shared" si="0"/>
        <v>80</v>
      </c>
      <c r="G11">
        <f>VLOOKUP($C11,약재관리!A:J,10,FALSE)</f>
        <v>14.8</v>
      </c>
      <c r="H11" s="5">
        <f t="shared" si="1"/>
        <v>59.2</v>
      </c>
      <c r="I11" s="6">
        <f t="shared" si="2"/>
        <v>1184</v>
      </c>
      <c r="K11" s="168"/>
      <c r="L11" s="169"/>
      <c r="M11" s="170"/>
    </row>
    <row r="12" spans="2:13">
      <c r="B12" s="3">
        <v>11</v>
      </c>
      <c r="C12" t="s">
        <v>437</v>
      </c>
      <c r="D12" s="4"/>
      <c r="E12" s="88">
        <v>4</v>
      </c>
      <c r="F12" s="101">
        <f t="shared" si="0"/>
        <v>80</v>
      </c>
      <c r="G12">
        <f>VLOOKUP($C12,약재관리!A:J,10,FALSE)</f>
        <v>12.5</v>
      </c>
      <c r="H12" s="5">
        <f t="shared" si="1"/>
        <v>50</v>
      </c>
      <c r="I12" s="6">
        <f t="shared" si="2"/>
        <v>1000</v>
      </c>
      <c r="K12" s="168"/>
      <c r="L12" s="169"/>
      <c r="M12" s="170"/>
    </row>
    <row r="13" spans="2:13" ht="17.25" thickBot="1">
      <c r="B13" s="3">
        <v>12</v>
      </c>
      <c r="C13" t="s">
        <v>416</v>
      </c>
      <c r="D13" s="4"/>
      <c r="E13" s="88">
        <v>6</v>
      </c>
      <c r="F13" s="101">
        <f t="shared" si="0"/>
        <v>120</v>
      </c>
      <c r="G13">
        <f>VLOOKUP($C13,약재관리!A:J,10,FALSE)</f>
        <v>11</v>
      </c>
      <c r="H13" s="5">
        <f t="shared" si="1"/>
        <v>66</v>
      </c>
      <c r="I13" s="6">
        <f t="shared" si="2"/>
        <v>1320</v>
      </c>
      <c r="K13" s="171"/>
      <c r="L13" s="172"/>
      <c r="M13" s="173"/>
    </row>
    <row r="14" spans="2:13">
      <c r="B14" s="3">
        <v>13</v>
      </c>
      <c r="C14" t="s">
        <v>420</v>
      </c>
      <c r="D14" s="4"/>
      <c r="E14" s="88">
        <v>4</v>
      </c>
      <c r="F14" s="101">
        <f t="shared" si="0"/>
        <v>80</v>
      </c>
      <c r="G14">
        <f>VLOOKUP($C14,약재관리!A:J,10,FALSE)</f>
        <v>106.7</v>
      </c>
      <c r="H14" s="5">
        <f t="shared" si="1"/>
        <v>426.8</v>
      </c>
      <c r="I14" s="6">
        <f t="shared" si="2"/>
        <v>8536</v>
      </c>
      <c r="K14" s="92" t="s">
        <v>16</v>
      </c>
      <c r="L14" s="9">
        <v>15</v>
      </c>
      <c r="M14" s="10" t="s">
        <v>17</v>
      </c>
    </row>
    <row r="15" spans="2:13">
      <c r="B15" s="3">
        <v>14</v>
      </c>
      <c r="C15" t="s">
        <v>415</v>
      </c>
      <c r="D15" s="4"/>
      <c r="E15" s="88">
        <v>4</v>
      </c>
      <c r="F15" s="101">
        <f t="shared" si="0"/>
        <v>80</v>
      </c>
      <c r="G15">
        <f>VLOOKUP($C15,약재관리!A:J,10,FALSE)</f>
        <v>16.8</v>
      </c>
      <c r="H15" s="5">
        <f t="shared" si="1"/>
        <v>67.2</v>
      </c>
      <c r="I15" s="6">
        <f t="shared" si="2"/>
        <v>1344</v>
      </c>
      <c r="K15" s="91" t="s">
        <v>18</v>
      </c>
      <c r="L15">
        <v>20</v>
      </c>
      <c r="M15" s="4" t="s">
        <v>19</v>
      </c>
    </row>
    <row r="16" spans="2:13">
      <c r="B16" s="3">
        <v>15</v>
      </c>
      <c r="C16" t="s">
        <v>427</v>
      </c>
      <c r="D16" s="4"/>
      <c r="E16" s="88">
        <v>4</v>
      </c>
      <c r="F16" s="101">
        <f t="shared" si="0"/>
        <v>80</v>
      </c>
      <c r="G16">
        <f>VLOOKUP($C16,약재관리!A:J,10,FALSE)</f>
        <v>47</v>
      </c>
      <c r="H16" s="5">
        <f t="shared" si="1"/>
        <v>188</v>
      </c>
      <c r="I16" s="6">
        <f t="shared" si="2"/>
        <v>3760</v>
      </c>
      <c r="K16" s="91" t="s">
        <v>20</v>
      </c>
      <c r="L16">
        <v>45</v>
      </c>
      <c r="M16" s="4" t="s">
        <v>21</v>
      </c>
    </row>
    <row r="17" spans="2:13" ht="17.25" thickBot="1">
      <c r="B17" s="3">
        <v>16</v>
      </c>
      <c r="C17" t="s">
        <v>419</v>
      </c>
      <c r="D17" s="4"/>
      <c r="E17" s="88">
        <v>4</v>
      </c>
      <c r="F17" s="101">
        <f t="shared" si="0"/>
        <v>80</v>
      </c>
      <c r="G17">
        <f>VLOOKUP($C17,약재관리!A:J,10,FALSE)</f>
        <v>15</v>
      </c>
      <c r="H17" s="5">
        <f t="shared" si="1"/>
        <v>60</v>
      </c>
      <c r="I17" s="6">
        <f t="shared" si="2"/>
        <v>1200</v>
      </c>
      <c r="K17" s="14" t="s">
        <v>22</v>
      </c>
      <c r="L17" s="11">
        <v>100</v>
      </c>
      <c r="M17" s="12" t="s">
        <v>23</v>
      </c>
    </row>
    <row r="18" spans="2:13">
      <c r="B18" s="3">
        <v>17</v>
      </c>
      <c r="C18" t="s">
        <v>423</v>
      </c>
      <c r="D18" s="4"/>
      <c r="E18" s="88">
        <v>6</v>
      </c>
      <c r="F18" s="101">
        <f t="shared" si="0"/>
        <v>120</v>
      </c>
      <c r="G18">
        <f>VLOOKUP($C18,약재관리!A:J,10,FALSE)</f>
        <v>22</v>
      </c>
      <c r="H18" s="5">
        <f t="shared" si="1"/>
        <v>132</v>
      </c>
      <c r="I18" s="6">
        <f t="shared" si="2"/>
        <v>2640</v>
      </c>
      <c r="K18" s="92" t="s">
        <v>24</v>
      </c>
      <c r="L18" s="9">
        <f>SUM(E2:E31)</f>
        <v>90</v>
      </c>
      <c r="M18" s="10" t="s">
        <v>25</v>
      </c>
    </row>
    <row r="19" spans="2:13">
      <c r="B19" s="3">
        <v>18</v>
      </c>
      <c r="C19" t="s">
        <v>439</v>
      </c>
      <c r="D19" s="4"/>
      <c r="E19" s="88">
        <v>2</v>
      </c>
      <c r="F19" s="101">
        <f t="shared" si="0"/>
        <v>40</v>
      </c>
      <c r="G19">
        <f>VLOOKUP($C19,약재관리!A:J,10,FALSE)</f>
        <v>21.8</v>
      </c>
      <c r="H19" s="5">
        <f t="shared" si="1"/>
        <v>43.6</v>
      </c>
      <c r="I19" s="6">
        <f t="shared" si="2"/>
        <v>872</v>
      </c>
      <c r="K19" s="91" t="s">
        <v>26</v>
      </c>
      <c r="L19">
        <f>L15*L18</f>
        <v>1800</v>
      </c>
      <c r="M19" s="4" t="s">
        <v>25</v>
      </c>
    </row>
    <row r="20" spans="2:13" ht="17.25" thickBot="1">
      <c r="B20" s="3">
        <v>19</v>
      </c>
      <c r="C20" t="s">
        <v>425</v>
      </c>
      <c r="D20" s="4"/>
      <c r="E20" s="88">
        <v>2</v>
      </c>
      <c r="F20" s="101">
        <f t="shared" si="0"/>
        <v>40</v>
      </c>
      <c r="G20">
        <f>VLOOKUP($C20,약재관리!A:J,10,FALSE)</f>
        <v>463.3</v>
      </c>
      <c r="H20" s="5">
        <f t="shared" si="1"/>
        <v>926.6</v>
      </c>
      <c r="I20" s="6">
        <f t="shared" si="2"/>
        <v>18532</v>
      </c>
      <c r="K20" s="14" t="s">
        <v>27</v>
      </c>
      <c r="L20" s="11">
        <f>L16*L17+L19</f>
        <v>6300</v>
      </c>
      <c r="M20" s="12" t="s">
        <v>23</v>
      </c>
    </row>
    <row r="21" spans="2:13" ht="17.25" thickBot="1">
      <c r="B21" s="3">
        <v>20</v>
      </c>
      <c r="C21" t="s">
        <v>440</v>
      </c>
      <c r="D21" s="4"/>
      <c r="E21" s="88">
        <v>4</v>
      </c>
      <c r="F21" s="101">
        <f t="shared" si="0"/>
        <v>80</v>
      </c>
      <c r="G21">
        <f>VLOOKUP($C21,약재관리!A:J,10,FALSE)</f>
        <v>9</v>
      </c>
      <c r="H21" s="5">
        <f t="shared" si="1"/>
        <v>36</v>
      </c>
      <c r="I21" s="6">
        <f t="shared" si="2"/>
        <v>720</v>
      </c>
      <c r="J21" s="91"/>
      <c r="M21" s="94"/>
    </row>
    <row r="22" spans="2:13" ht="17.25" thickBot="1">
      <c r="B22" s="3">
        <v>21</v>
      </c>
      <c r="C22" t="s">
        <v>441</v>
      </c>
      <c r="D22" s="4"/>
      <c r="E22" s="88">
        <v>4</v>
      </c>
      <c r="F22" s="101">
        <f t="shared" si="0"/>
        <v>80</v>
      </c>
      <c r="G22">
        <f>VLOOKUP($C22,약재관리!A:J,10,FALSE)</f>
        <v>8</v>
      </c>
      <c r="H22" s="5">
        <f t="shared" si="1"/>
        <v>32</v>
      </c>
      <c r="I22" s="6">
        <f t="shared" si="2"/>
        <v>640</v>
      </c>
      <c r="K22" s="162" t="s">
        <v>386</v>
      </c>
      <c r="L22" s="163"/>
      <c r="M22" s="164"/>
    </row>
    <row r="23" spans="2:13">
      <c r="B23" s="3">
        <v>22</v>
      </c>
      <c r="D23" s="4"/>
      <c r="F23" s="101">
        <f t="shared" si="0"/>
        <v>0</v>
      </c>
      <c r="H23" s="5">
        <f t="shared" si="1"/>
        <v>0</v>
      </c>
      <c r="I23" s="6">
        <f t="shared" si="2"/>
        <v>0</v>
      </c>
      <c r="K23" s="91" t="s">
        <v>380</v>
      </c>
      <c r="L23">
        <f>SUM(F2:F31)</f>
        <v>1800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3060.6</v>
      </c>
      <c r="M30" s="4" t="s">
        <v>384</v>
      </c>
    </row>
    <row r="31" spans="2:13" ht="17.25" thickBot="1">
      <c r="B31" s="13">
        <v>30</v>
      </c>
      <c r="C31" s="14"/>
      <c r="D31" s="12"/>
      <c r="E31" s="95"/>
      <c r="F31" s="102">
        <f t="shared" si="0"/>
        <v>0</v>
      </c>
      <c r="H31" s="15">
        <f t="shared" si="1"/>
        <v>0</v>
      </c>
      <c r="I31" s="16">
        <f t="shared" si="2"/>
        <v>0</v>
      </c>
      <c r="K31" s="14" t="s">
        <v>383</v>
      </c>
      <c r="L31" s="15">
        <f>SUM(I2:I31)</f>
        <v>61212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J14" sqref="J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62" t="s">
        <v>8</v>
      </c>
      <c r="L1" s="163"/>
      <c r="M1" s="164"/>
    </row>
    <row r="2" spans="2:13">
      <c r="B2" s="3">
        <v>1</v>
      </c>
      <c r="C2" t="s">
        <v>427</v>
      </c>
      <c r="D2" s="4"/>
      <c r="E2" s="88">
        <v>8</v>
      </c>
      <c r="F2" s="101">
        <f>E2*$L$15</f>
        <v>160</v>
      </c>
      <c r="G2">
        <f>VLOOKUP($C2,약재관리!A:J,10,FALSE)</f>
        <v>47</v>
      </c>
      <c r="H2" s="5">
        <f>G2*E2</f>
        <v>376</v>
      </c>
      <c r="I2" s="90">
        <f>G2*F2</f>
        <v>7520</v>
      </c>
      <c r="K2" s="7" t="s">
        <v>9</v>
      </c>
      <c r="L2" s="174">
        <v>85</v>
      </c>
      <c r="M2" s="175"/>
    </row>
    <row r="3" spans="2:13">
      <c r="B3" s="3">
        <v>2</v>
      </c>
      <c r="C3" t="s">
        <v>428</v>
      </c>
      <c r="D3" s="4"/>
      <c r="E3" s="88">
        <v>8</v>
      </c>
      <c r="F3" s="101">
        <f t="shared" ref="F3:F31" si="0">E3*$L$15</f>
        <v>160</v>
      </c>
      <c r="G3">
        <f>VLOOKUP($C3,약재관리!A:J,10,FALSE)</f>
        <v>44.3</v>
      </c>
      <c r="H3" s="5">
        <f t="shared" ref="H3:H31" si="1">G3*E3</f>
        <v>354.4</v>
      </c>
      <c r="I3" s="6">
        <f t="shared" ref="I3:I31" si="2">G3*F3</f>
        <v>7088</v>
      </c>
      <c r="K3" s="8" t="s">
        <v>10</v>
      </c>
      <c r="L3" s="176" t="s">
        <v>426</v>
      </c>
      <c r="M3" s="177"/>
    </row>
    <row r="4" spans="2:13">
      <c r="B4" s="3">
        <v>3</v>
      </c>
      <c r="C4" t="s">
        <v>421</v>
      </c>
      <c r="D4" s="4"/>
      <c r="E4" s="88">
        <v>6</v>
      </c>
      <c r="F4" s="101">
        <f t="shared" si="0"/>
        <v>120</v>
      </c>
      <c r="G4">
        <f>VLOOKUP($C4,약재관리!A:J,10,FALSE)</f>
        <v>25.3</v>
      </c>
      <c r="H4" s="5">
        <f t="shared" si="1"/>
        <v>151.80000000000001</v>
      </c>
      <c r="I4" s="6">
        <f t="shared" si="2"/>
        <v>3036</v>
      </c>
      <c r="K4" s="8" t="s">
        <v>11</v>
      </c>
      <c r="L4" s="178">
        <v>45717</v>
      </c>
      <c r="M4" s="177"/>
    </row>
    <row r="5" spans="2:13">
      <c r="B5" s="3">
        <v>4</v>
      </c>
      <c r="C5" t="s">
        <v>422</v>
      </c>
      <c r="D5" s="4"/>
      <c r="E5" s="88">
        <v>6</v>
      </c>
      <c r="F5" s="101">
        <f t="shared" si="0"/>
        <v>120</v>
      </c>
      <c r="G5">
        <f>VLOOKUP($C5,약재관리!A:J,10,FALSE)</f>
        <v>10.8</v>
      </c>
      <c r="H5" s="5">
        <f t="shared" si="1"/>
        <v>64.800000000000011</v>
      </c>
      <c r="I5" s="6">
        <f t="shared" si="2"/>
        <v>1296</v>
      </c>
      <c r="K5" s="8" t="s">
        <v>12</v>
      </c>
      <c r="L5" s="176" t="s">
        <v>411</v>
      </c>
      <c r="M5" s="177"/>
    </row>
    <row r="6" spans="2:13">
      <c r="B6" s="3">
        <v>5</v>
      </c>
      <c r="C6" t="s">
        <v>414</v>
      </c>
      <c r="D6" s="4"/>
      <c r="E6" s="88">
        <v>4</v>
      </c>
      <c r="F6" s="101">
        <f t="shared" si="0"/>
        <v>80</v>
      </c>
      <c r="G6">
        <f>VLOOKUP($C6,약재관리!A:J,10,FALSE)</f>
        <v>19.600000000000001</v>
      </c>
      <c r="H6" s="5">
        <f t="shared" si="1"/>
        <v>78.400000000000006</v>
      </c>
      <c r="I6" s="6">
        <f t="shared" si="2"/>
        <v>1568</v>
      </c>
      <c r="K6" s="8" t="s">
        <v>13</v>
      </c>
      <c r="L6" s="176">
        <v>42</v>
      </c>
      <c r="M6" s="177"/>
    </row>
    <row r="7" spans="2:13" ht="17.25" thickBot="1">
      <c r="B7" s="3">
        <v>6</v>
      </c>
      <c r="C7" t="s">
        <v>420</v>
      </c>
      <c r="D7" s="4"/>
      <c r="E7" s="88">
        <v>4</v>
      </c>
      <c r="F7" s="101">
        <f t="shared" si="0"/>
        <v>80</v>
      </c>
      <c r="G7">
        <f>VLOOKUP($C7,약재관리!A:J,10,FALSE)</f>
        <v>106.7</v>
      </c>
      <c r="H7" s="5">
        <f t="shared" si="1"/>
        <v>426.8</v>
      </c>
      <c r="I7" s="6">
        <f t="shared" si="2"/>
        <v>8536</v>
      </c>
      <c r="K7" s="8" t="s">
        <v>14</v>
      </c>
      <c r="L7" s="160" t="s">
        <v>412</v>
      </c>
      <c r="M7" s="161"/>
    </row>
    <row r="8" spans="2:13" ht="17.25" thickBot="1">
      <c r="B8" s="3">
        <v>7</v>
      </c>
      <c r="C8" t="s">
        <v>418</v>
      </c>
      <c r="D8" s="4"/>
      <c r="E8" s="88">
        <v>4</v>
      </c>
      <c r="F8" s="101">
        <f t="shared" si="0"/>
        <v>80</v>
      </c>
      <c r="G8">
        <f>VLOOKUP($C8,약재관리!A:J,10,FALSE)</f>
        <v>14.8</v>
      </c>
      <c r="H8" s="5">
        <f t="shared" si="1"/>
        <v>59.2</v>
      </c>
      <c r="I8" s="6">
        <f t="shared" si="2"/>
        <v>1184</v>
      </c>
      <c r="K8" s="162" t="s">
        <v>15</v>
      </c>
      <c r="L8" s="163"/>
      <c r="M8" s="164"/>
    </row>
    <row r="9" spans="2:13">
      <c r="B9" s="3">
        <v>8</v>
      </c>
      <c r="C9" t="s">
        <v>429</v>
      </c>
      <c r="D9" s="4"/>
      <c r="E9" s="88">
        <v>4</v>
      </c>
      <c r="F9" s="101">
        <f t="shared" si="0"/>
        <v>80</v>
      </c>
      <c r="G9">
        <f>VLOOKUP($C9,약재관리!A:J,10,FALSE)</f>
        <v>26.7</v>
      </c>
      <c r="H9" s="5">
        <f t="shared" si="1"/>
        <v>106.8</v>
      </c>
      <c r="I9" s="6">
        <f t="shared" si="2"/>
        <v>2136</v>
      </c>
      <c r="K9" s="165" t="s">
        <v>432</v>
      </c>
      <c r="L9" s="166"/>
      <c r="M9" s="167"/>
    </row>
    <row r="10" spans="2:13">
      <c r="B10" s="3">
        <v>9</v>
      </c>
      <c r="C10" t="s">
        <v>417</v>
      </c>
      <c r="D10" s="4"/>
      <c r="E10" s="88">
        <v>4</v>
      </c>
      <c r="F10" s="101">
        <f t="shared" si="0"/>
        <v>80</v>
      </c>
      <c r="G10">
        <f>VLOOKUP($C10,약재관리!A:J,10,FALSE)</f>
        <v>31.5</v>
      </c>
      <c r="H10" s="5">
        <f t="shared" si="1"/>
        <v>126</v>
      </c>
      <c r="I10" s="6">
        <f t="shared" si="2"/>
        <v>2520</v>
      </c>
      <c r="K10" s="168"/>
      <c r="L10" s="169"/>
      <c r="M10" s="170"/>
    </row>
    <row r="11" spans="2:13">
      <c r="B11" s="3">
        <v>10</v>
      </c>
      <c r="C11" t="s">
        <v>419</v>
      </c>
      <c r="D11" s="4"/>
      <c r="E11" s="88">
        <v>4</v>
      </c>
      <c r="F11" s="101">
        <f t="shared" si="0"/>
        <v>80</v>
      </c>
      <c r="G11">
        <f>VLOOKUP($C11,약재관리!A:J,10,FALSE)</f>
        <v>15</v>
      </c>
      <c r="H11" s="5">
        <f t="shared" si="1"/>
        <v>60</v>
      </c>
      <c r="I11" s="6">
        <f t="shared" si="2"/>
        <v>1200</v>
      </c>
      <c r="K11" s="168"/>
      <c r="L11" s="169"/>
      <c r="M11" s="170"/>
    </row>
    <row r="12" spans="2:13">
      <c r="B12" s="3">
        <v>11</v>
      </c>
      <c r="C12" t="s">
        <v>430</v>
      </c>
      <c r="D12" s="4"/>
      <c r="E12" s="88">
        <v>4</v>
      </c>
      <c r="F12" s="101">
        <f t="shared" si="0"/>
        <v>80</v>
      </c>
      <c r="G12">
        <f>VLOOKUP($C12,약재관리!A:J,10,FALSE)</f>
        <v>28.3</v>
      </c>
      <c r="H12" s="5">
        <f t="shared" si="1"/>
        <v>113.2</v>
      </c>
      <c r="I12" s="6">
        <f t="shared" si="2"/>
        <v>2264</v>
      </c>
      <c r="K12" s="168"/>
      <c r="L12" s="169"/>
      <c r="M12" s="170"/>
    </row>
    <row r="13" spans="2:13" ht="17.25" thickBot="1">
      <c r="B13" s="3">
        <v>12</v>
      </c>
      <c r="C13" t="s">
        <v>415</v>
      </c>
      <c r="D13" s="4"/>
      <c r="E13" s="88">
        <v>3</v>
      </c>
      <c r="F13" s="101">
        <f t="shared" si="0"/>
        <v>60</v>
      </c>
      <c r="G13">
        <f>VLOOKUP($C13,약재관리!A:J,10,FALSE)</f>
        <v>16.8</v>
      </c>
      <c r="H13" s="5">
        <f t="shared" si="1"/>
        <v>50.400000000000006</v>
      </c>
      <c r="I13" s="6">
        <f t="shared" si="2"/>
        <v>1008</v>
      </c>
      <c r="K13" s="171"/>
      <c r="L13" s="172"/>
      <c r="M13" s="173"/>
    </row>
    <row r="14" spans="2:13">
      <c r="B14" s="3">
        <v>13</v>
      </c>
      <c r="C14" t="s">
        <v>413</v>
      </c>
      <c r="D14" s="4"/>
      <c r="E14" s="88">
        <v>8</v>
      </c>
      <c r="F14" s="101">
        <f t="shared" si="0"/>
        <v>160</v>
      </c>
      <c r="G14">
        <f>VLOOKUP($C14,약재관리!A:J,10,FALSE)</f>
        <v>14.7</v>
      </c>
      <c r="H14" s="5">
        <f t="shared" si="1"/>
        <v>117.6</v>
      </c>
      <c r="I14" s="6">
        <f t="shared" si="2"/>
        <v>2352</v>
      </c>
      <c r="K14" s="92" t="s">
        <v>16</v>
      </c>
      <c r="L14" s="9">
        <v>15</v>
      </c>
      <c r="M14" s="10" t="s">
        <v>17</v>
      </c>
    </row>
    <row r="15" spans="2:13">
      <c r="B15" s="3">
        <v>14</v>
      </c>
      <c r="C15" t="s">
        <v>423</v>
      </c>
      <c r="D15" s="4"/>
      <c r="E15" s="88">
        <v>4</v>
      </c>
      <c r="F15" s="101">
        <f t="shared" si="0"/>
        <v>80</v>
      </c>
      <c r="G15">
        <f>VLOOKUP($C15,약재관리!A:J,10,FALSE)</f>
        <v>22</v>
      </c>
      <c r="H15" s="5">
        <f t="shared" si="1"/>
        <v>88</v>
      </c>
      <c r="I15" s="6">
        <f t="shared" si="2"/>
        <v>1760</v>
      </c>
      <c r="K15" s="91" t="s">
        <v>18</v>
      </c>
      <c r="L15">
        <v>20</v>
      </c>
      <c r="M15" s="4" t="s">
        <v>19</v>
      </c>
    </row>
    <row r="16" spans="2:13">
      <c r="B16" s="3">
        <v>15</v>
      </c>
      <c r="C16" t="s">
        <v>424</v>
      </c>
      <c r="D16" s="4"/>
      <c r="E16" s="88">
        <v>3</v>
      </c>
      <c r="F16" s="101">
        <f t="shared" si="0"/>
        <v>60</v>
      </c>
      <c r="G16">
        <f>VLOOKUP($C16,약재관리!A:J,10,FALSE)</f>
        <v>10</v>
      </c>
      <c r="H16" s="5">
        <f t="shared" si="1"/>
        <v>30</v>
      </c>
      <c r="I16" s="6">
        <f t="shared" si="2"/>
        <v>600</v>
      </c>
      <c r="K16" s="91" t="s">
        <v>20</v>
      </c>
      <c r="L16">
        <v>45</v>
      </c>
      <c r="M16" s="4" t="s">
        <v>21</v>
      </c>
    </row>
    <row r="17" spans="2:13" ht="17.25" thickBot="1">
      <c r="B17" s="3">
        <v>16</v>
      </c>
      <c r="C17" t="s">
        <v>416</v>
      </c>
      <c r="D17" s="4"/>
      <c r="E17" s="88">
        <v>6</v>
      </c>
      <c r="F17" s="101">
        <f t="shared" si="0"/>
        <v>120</v>
      </c>
      <c r="G17">
        <f>VLOOKUP($C17,약재관리!A:J,10,FALSE)</f>
        <v>11</v>
      </c>
      <c r="H17" s="5">
        <f t="shared" si="1"/>
        <v>66</v>
      </c>
      <c r="I17" s="6">
        <f t="shared" si="2"/>
        <v>1320</v>
      </c>
      <c r="K17" s="14" t="s">
        <v>22</v>
      </c>
      <c r="L17" s="11">
        <v>100</v>
      </c>
      <c r="M17" s="12" t="s">
        <v>23</v>
      </c>
    </row>
    <row r="18" spans="2:13">
      <c r="B18" s="3">
        <v>17</v>
      </c>
      <c r="C18" t="s">
        <v>431</v>
      </c>
      <c r="D18" s="4"/>
      <c r="E18" s="88">
        <v>4</v>
      </c>
      <c r="F18" s="101">
        <f t="shared" si="0"/>
        <v>80</v>
      </c>
      <c r="G18">
        <f>VLOOKUP($C18,약재관리!A:J,10,FALSE)</f>
        <v>12.5</v>
      </c>
      <c r="H18" s="5">
        <f t="shared" si="1"/>
        <v>50</v>
      </c>
      <c r="I18" s="6">
        <f t="shared" si="2"/>
        <v>1000</v>
      </c>
      <c r="K18" s="92" t="s">
        <v>24</v>
      </c>
      <c r="L18" s="9">
        <f>SUM(E2:E31)</f>
        <v>86</v>
      </c>
      <c r="M18" s="10" t="s">
        <v>25</v>
      </c>
    </row>
    <row r="19" spans="2:13">
      <c r="B19" s="3">
        <v>18</v>
      </c>
      <c r="C19" t="s">
        <v>425</v>
      </c>
      <c r="D19" s="4"/>
      <c r="E19" s="88">
        <v>2</v>
      </c>
      <c r="F19" s="101">
        <f t="shared" si="0"/>
        <v>40</v>
      </c>
      <c r="G19">
        <f>VLOOKUP($C19,약재관리!A:J,10,FALSE)</f>
        <v>463.3</v>
      </c>
      <c r="H19" s="5">
        <f t="shared" si="1"/>
        <v>926.6</v>
      </c>
      <c r="I19" s="6">
        <f t="shared" si="2"/>
        <v>18532</v>
      </c>
      <c r="K19" s="91" t="s">
        <v>26</v>
      </c>
      <c r="L19">
        <f>L15*L18</f>
        <v>1720</v>
      </c>
      <c r="M19" s="4" t="s">
        <v>25</v>
      </c>
    </row>
    <row r="20" spans="2:13" ht="17.25" thickBot="1">
      <c r="B20" s="3">
        <v>19</v>
      </c>
      <c r="D20" s="4"/>
      <c r="F20" s="101">
        <f t="shared" si="0"/>
        <v>0</v>
      </c>
      <c r="H20" s="5">
        <f t="shared" si="1"/>
        <v>0</v>
      </c>
      <c r="I20" s="6">
        <f t="shared" si="2"/>
        <v>0</v>
      </c>
      <c r="K20" s="14" t="s">
        <v>27</v>
      </c>
      <c r="L20" s="11">
        <f>L16*L17+L19</f>
        <v>6220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62" t="s">
        <v>386</v>
      </c>
      <c r="L22" s="163"/>
      <c r="M22" s="164"/>
    </row>
    <row r="23" spans="2:13">
      <c r="B23" s="3">
        <v>22</v>
      </c>
      <c r="D23" s="4"/>
      <c r="F23" s="101">
        <f t="shared" si="0"/>
        <v>0</v>
      </c>
      <c r="H23" s="5">
        <f t="shared" si="1"/>
        <v>0</v>
      </c>
      <c r="I23" s="6">
        <f t="shared" si="2"/>
        <v>0</v>
      </c>
      <c r="K23" s="91" t="s">
        <v>380</v>
      </c>
      <c r="L23">
        <f>SUM(F2:F31)</f>
        <v>1720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62" t="s">
        <v>385</v>
      </c>
      <c r="L29" s="163"/>
      <c r="M29" s="164"/>
    </row>
    <row r="30" spans="2:13">
      <c r="B30" s="3">
        <v>29</v>
      </c>
      <c r="D30" s="4"/>
      <c r="F30" s="101">
        <f t="shared" si="0"/>
        <v>0</v>
      </c>
      <c r="H30" s="5">
        <f t="shared" si="1"/>
        <v>0</v>
      </c>
      <c r="I30" s="6">
        <f t="shared" si="2"/>
        <v>0</v>
      </c>
      <c r="K30" s="91" t="s">
        <v>28</v>
      </c>
      <c r="L30" s="5">
        <f>SUM(H2:H31)</f>
        <v>3246</v>
      </c>
      <c r="M30" s="4" t="s">
        <v>384</v>
      </c>
    </row>
    <row r="31" spans="2:13" ht="17.25" thickBot="1">
      <c r="B31" s="13">
        <v>30</v>
      </c>
      <c r="C31" s="14"/>
      <c r="D31" s="12"/>
      <c r="E31" s="95"/>
      <c r="F31" s="102">
        <f t="shared" si="0"/>
        <v>0</v>
      </c>
      <c r="H31" s="15">
        <f t="shared" si="1"/>
        <v>0</v>
      </c>
      <c r="I31" s="16">
        <f t="shared" si="2"/>
        <v>0</v>
      </c>
      <c r="K31" s="14" t="s">
        <v>383</v>
      </c>
      <c r="L31" s="15">
        <f>SUM(I2:I31)</f>
        <v>64920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opLeftCell="A95" zoomScaleNormal="100" workbookViewId="0">
      <selection activeCell="D147" sqref="D14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9"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3"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J139" s="40">
        <v>12.5</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c r="A142" s="147" t="s">
        <v>437</v>
      </c>
      <c r="B142" s="148"/>
      <c r="C142" s="149"/>
      <c r="D142" s="149"/>
      <c r="E142" s="150">
        <v>7500</v>
      </c>
      <c r="F142" s="151"/>
      <c r="G142" s="152"/>
      <c r="H142" s="153"/>
      <c r="I142" s="154">
        <f t="shared" si="14"/>
        <v>12.5</v>
      </c>
      <c r="J142" s="155">
        <v>12.5</v>
      </c>
      <c r="K142" s="156"/>
      <c r="L142" s="157"/>
      <c r="M142" s="158"/>
      <c r="N142" s="159"/>
    </row>
    <row r="143" spans="1:14" ht="15" customHeight="1" thickBot="1">
      <c r="A143" s="129" t="s">
        <v>277</v>
      </c>
      <c r="B143" s="126"/>
      <c r="C143" s="49">
        <v>6000</v>
      </c>
      <c r="D143" s="49">
        <v>7500</v>
      </c>
      <c r="E143" s="50">
        <v>7200</v>
      </c>
      <c r="F143" s="73">
        <f t="shared" si="12"/>
        <v>0</v>
      </c>
      <c r="G143" s="51">
        <f>C143/500</f>
        <v>12</v>
      </c>
      <c r="H143" s="51">
        <f t="shared" ref="H143:H149"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6"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463</v>
      </c>
      <c r="B147" s="125"/>
      <c r="C147" s="36"/>
      <c r="D147" s="36"/>
      <c r="E147" s="37"/>
      <c r="F147" s="115"/>
      <c r="G147" s="38"/>
      <c r="H147" s="38"/>
      <c r="I147" s="48"/>
      <c r="K147" s="41"/>
      <c r="L147" s="42"/>
      <c r="M147" s="42"/>
      <c r="N147" s="43"/>
    </row>
    <row r="148" spans="1:14" ht="15" customHeight="1">
      <c r="A148" s="119" t="s">
        <v>280</v>
      </c>
      <c r="B148" s="125"/>
      <c r="C148" s="36">
        <v>22500</v>
      </c>
      <c r="D148" s="36">
        <v>28000</v>
      </c>
      <c r="E148" s="37">
        <v>26900</v>
      </c>
      <c r="F148" s="115">
        <f t="shared" si="12"/>
        <v>0</v>
      </c>
      <c r="G148" s="38">
        <f>C148/500</f>
        <v>45</v>
      </c>
      <c r="H148" s="38">
        <f t="shared" si="15"/>
        <v>46.666666666666664</v>
      </c>
      <c r="I148" s="39">
        <f t="shared" si="16"/>
        <v>44.833333333333336</v>
      </c>
      <c r="J148" s="40">
        <v>46.7</v>
      </c>
      <c r="K148" s="41"/>
      <c r="L148" s="42"/>
      <c r="M148" s="42"/>
      <c r="N148" s="43"/>
    </row>
    <row r="149" spans="1:14" ht="15" customHeight="1">
      <c r="A149" s="119" t="s">
        <v>281</v>
      </c>
      <c r="B149" s="125"/>
      <c r="C149" s="36"/>
      <c r="D149" s="36">
        <v>9000</v>
      </c>
      <c r="E149" s="37"/>
      <c r="F149" s="115">
        <f t="shared" si="12"/>
        <v>0</v>
      </c>
      <c r="G149" s="38">
        <f>C149/500</f>
        <v>0</v>
      </c>
      <c r="H149" s="38">
        <f t="shared" si="15"/>
        <v>15</v>
      </c>
      <c r="I149" s="39">
        <f t="shared" si="16"/>
        <v>0</v>
      </c>
      <c r="J149" s="40">
        <v>15</v>
      </c>
      <c r="K149" s="41"/>
      <c r="L149" s="42"/>
      <c r="M149" s="47"/>
      <c r="N149" s="43"/>
    </row>
    <row r="150" spans="1:14" ht="15" customHeight="1">
      <c r="A150" s="119" t="s">
        <v>282</v>
      </c>
      <c r="B150" s="125"/>
      <c r="C150" s="36">
        <v>20000</v>
      </c>
      <c r="D150" s="36">
        <v>20000</v>
      </c>
      <c r="E150" s="37"/>
      <c r="F150" s="115">
        <f t="shared" ref="F150:G181" si="19">B150/500</f>
        <v>0</v>
      </c>
      <c r="G150" s="38">
        <f>C150/1000</f>
        <v>20</v>
      </c>
      <c r="H150" s="38">
        <f>D150/1000</f>
        <v>20</v>
      </c>
      <c r="I150" s="39">
        <f t="shared" si="16"/>
        <v>0</v>
      </c>
      <c r="J150" s="40">
        <v>20</v>
      </c>
      <c r="K150" s="41"/>
      <c r="L150" s="42" t="s">
        <v>283</v>
      </c>
      <c r="M150" s="47" t="s">
        <v>283</v>
      </c>
      <c r="N150" s="43"/>
    </row>
    <row r="151" spans="1:14" ht="15" customHeight="1">
      <c r="A151" s="119" t="s">
        <v>284</v>
      </c>
      <c r="B151" s="125"/>
      <c r="C151" s="36">
        <v>13400</v>
      </c>
      <c r="D151" s="36">
        <v>16000</v>
      </c>
      <c r="E151" s="37">
        <v>16500</v>
      </c>
      <c r="F151" s="115">
        <f t="shared" si="19"/>
        <v>0</v>
      </c>
      <c r="G151" s="38">
        <f>C151/500</f>
        <v>26.8</v>
      </c>
      <c r="H151" s="38">
        <f t="shared" ref="H151:I186" si="20">D151/600</f>
        <v>26.666666666666668</v>
      </c>
      <c r="I151" s="39">
        <f t="shared" si="16"/>
        <v>27.5</v>
      </c>
      <c r="J151" s="40">
        <v>27.5</v>
      </c>
      <c r="K151" s="41"/>
      <c r="L151" s="42" t="s">
        <v>65</v>
      </c>
      <c r="M151" s="42"/>
      <c r="N151" s="43" t="s">
        <v>285</v>
      </c>
    </row>
    <row r="152" spans="1:14" ht="15" customHeight="1">
      <c r="A152" s="120" t="s">
        <v>286</v>
      </c>
      <c r="B152" s="125"/>
      <c r="C152" s="36"/>
      <c r="D152" s="36"/>
      <c r="E152" s="37"/>
      <c r="F152" s="115">
        <f t="shared" si="19"/>
        <v>0</v>
      </c>
      <c r="G152" s="38">
        <f>C152/500</f>
        <v>0</v>
      </c>
      <c r="H152" s="38">
        <f t="shared" si="20"/>
        <v>0</v>
      </c>
      <c r="I152" s="39">
        <f t="shared" si="16"/>
        <v>0</v>
      </c>
      <c r="K152" s="41"/>
      <c r="L152" s="42"/>
      <c r="M152" s="42"/>
      <c r="N152" s="43"/>
    </row>
    <row r="153" spans="1:14" ht="15" customHeight="1">
      <c r="A153" s="120" t="s">
        <v>409</v>
      </c>
      <c r="B153" s="125"/>
      <c r="C153" s="36"/>
      <c r="D153" s="36"/>
      <c r="E153" s="37">
        <v>7800</v>
      </c>
      <c r="F153" s="115">
        <f t="shared" si="19"/>
        <v>0</v>
      </c>
      <c r="G153" s="38">
        <f>C153/500</f>
        <v>0</v>
      </c>
      <c r="H153" s="38">
        <f t="shared" si="20"/>
        <v>0</v>
      </c>
      <c r="I153" s="48">
        <f t="shared" si="16"/>
        <v>13</v>
      </c>
      <c r="J153" s="40">
        <v>13</v>
      </c>
      <c r="K153" s="41"/>
      <c r="L153" s="42"/>
      <c r="M153" s="42"/>
      <c r="N153" s="43"/>
    </row>
    <row r="154" spans="1:14" ht="15" customHeight="1">
      <c r="A154" s="120" t="s">
        <v>287</v>
      </c>
      <c r="B154" s="125"/>
      <c r="C154" s="36">
        <v>8600</v>
      </c>
      <c r="D154" s="36">
        <v>11000</v>
      </c>
      <c r="E154" s="37"/>
      <c r="F154" s="115">
        <f t="shared" si="19"/>
        <v>0</v>
      </c>
      <c r="G154" s="38">
        <f>C154/500</f>
        <v>17.2</v>
      </c>
      <c r="H154" s="38">
        <f t="shared" si="20"/>
        <v>18.333333333333332</v>
      </c>
      <c r="I154" s="39">
        <f t="shared" si="16"/>
        <v>0</v>
      </c>
      <c r="J154" s="40">
        <v>18.3</v>
      </c>
      <c r="K154" s="41"/>
      <c r="L154" s="42"/>
      <c r="M154" s="42"/>
      <c r="N154" s="43"/>
    </row>
    <row r="155" spans="1:14" ht="15" customHeight="1">
      <c r="A155" s="120" t="s">
        <v>288</v>
      </c>
      <c r="B155" s="125"/>
      <c r="C155" s="36">
        <v>7700</v>
      </c>
      <c r="D155" s="36"/>
      <c r="E155" s="37">
        <v>10200</v>
      </c>
      <c r="F155" s="115">
        <f t="shared" si="19"/>
        <v>0</v>
      </c>
      <c r="G155" s="44">
        <f>C155/500</f>
        <v>15.4</v>
      </c>
      <c r="H155" s="38">
        <f t="shared" si="20"/>
        <v>0</v>
      </c>
      <c r="I155" s="39">
        <f t="shared" si="16"/>
        <v>17</v>
      </c>
      <c r="J155" s="40">
        <v>15.4</v>
      </c>
      <c r="K155" s="41"/>
      <c r="L155" s="42" t="s">
        <v>57</v>
      </c>
      <c r="M155" s="42"/>
      <c r="N155" s="43"/>
    </row>
    <row r="156" spans="1:14" ht="15" customHeight="1">
      <c r="A156" s="119" t="s">
        <v>289</v>
      </c>
      <c r="B156" s="125"/>
      <c r="C156" s="36">
        <v>3500</v>
      </c>
      <c r="D156" s="36">
        <v>4500</v>
      </c>
      <c r="E156" s="37"/>
      <c r="F156" s="115">
        <f t="shared" si="19"/>
        <v>0</v>
      </c>
      <c r="G156" s="38">
        <f>C156/600</f>
        <v>5.833333333333333</v>
      </c>
      <c r="H156" s="38">
        <f t="shared" si="20"/>
        <v>7.5</v>
      </c>
      <c r="I156" s="39">
        <f t="shared" si="16"/>
        <v>0</v>
      </c>
      <c r="K156" s="41"/>
      <c r="L156" s="42" t="s">
        <v>49</v>
      </c>
      <c r="M156" s="42"/>
      <c r="N156" s="43"/>
    </row>
    <row r="157" spans="1:14" ht="15" customHeight="1">
      <c r="A157" s="120" t="s">
        <v>290</v>
      </c>
      <c r="B157" s="125"/>
      <c r="C157" s="36">
        <v>4500</v>
      </c>
      <c r="D157" s="36"/>
      <c r="E157" s="37"/>
      <c r="F157" s="115">
        <f t="shared" si="19"/>
        <v>0</v>
      </c>
      <c r="G157" s="38">
        <f>C157/600</f>
        <v>7.5</v>
      </c>
      <c r="H157" s="38">
        <f t="shared" si="20"/>
        <v>0</v>
      </c>
      <c r="I157" s="39">
        <f t="shared" si="16"/>
        <v>0</v>
      </c>
      <c r="J157" s="40">
        <v>7.5</v>
      </c>
      <c r="K157" s="41"/>
      <c r="L157" s="42" t="s">
        <v>291</v>
      </c>
      <c r="M157" s="42"/>
      <c r="N157" s="43"/>
    </row>
    <row r="158" spans="1:14" ht="15" customHeight="1">
      <c r="A158" s="120" t="s">
        <v>292</v>
      </c>
      <c r="B158" s="125"/>
      <c r="C158" s="36">
        <v>4800</v>
      </c>
      <c r="D158" s="36">
        <v>7000</v>
      </c>
      <c r="E158" s="37">
        <v>6000</v>
      </c>
      <c r="F158" s="115">
        <f t="shared" si="19"/>
        <v>0</v>
      </c>
      <c r="G158" s="38">
        <f t="shared" si="19"/>
        <v>9.6</v>
      </c>
      <c r="H158" s="38">
        <f t="shared" si="20"/>
        <v>11.666666666666666</v>
      </c>
      <c r="I158" s="39">
        <f t="shared" si="16"/>
        <v>10</v>
      </c>
      <c r="J158" s="40">
        <v>10</v>
      </c>
      <c r="K158" s="41"/>
      <c r="L158" s="42" t="s">
        <v>76</v>
      </c>
      <c r="M158" s="47" t="s">
        <v>147</v>
      </c>
      <c r="N158" s="43" t="s">
        <v>84</v>
      </c>
    </row>
    <row r="159" spans="1:14" ht="15" customHeight="1">
      <c r="A159" s="120" t="s">
        <v>293</v>
      </c>
      <c r="B159" s="125"/>
      <c r="C159" s="36">
        <v>10600</v>
      </c>
      <c r="D159" s="36">
        <v>14000</v>
      </c>
      <c r="E159" s="37">
        <v>14200</v>
      </c>
      <c r="F159" s="115">
        <f t="shared" si="19"/>
        <v>0</v>
      </c>
      <c r="G159" s="38">
        <f t="shared" si="19"/>
        <v>21.2</v>
      </c>
      <c r="H159" s="38">
        <f t="shared" si="20"/>
        <v>23.333333333333332</v>
      </c>
      <c r="I159" s="48">
        <f t="shared" si="16"/>
        <v>23.666666666666668</v>
      </c>
      <c r="J159" s="40">
        <v>21.7</v>
      </c>
      <c r="K159" s="41"/>
      <c r="L159" s="42"/>
      <c r="M159" s="42" t="s">
        <v>253</v>
      </c>
      <c r="N159" s="43" t="s">
        <v>84</v>
      </c>
    </row>
    <row r="160" spans="1:14" ht="15" customHeight="1">
      <c r="A160" s="120" t="s">
        <v>294</v>
      </c>
      <c r="B160" s="125"/>
      <c r="C160" s="36">
        <v>7800</v>
      </c>
      <c r="D160" s="36">
        <v>11000</v>
      </c>
      <c r="E160" s="37">
        <v>9600</v>
      </c>
      <c r="F160" s="115">
        <f t="shared" si="19"/>
        <v>0</v>
      </c>
      <c r="G160" s="38">
        <f t="shared" si="19"/>
        <v>15.6</v>
      </c>
      <c r="H160" s="38">
        <f t="shared" si="20"/>
        <v>18.333333333333332</v>
      </c>
      <c r="I160" s="39">
        <f t="shared" si="16"/>
        <v>16</v>
      </c>
      <c r="J160" s="40">
        <v>16.7</v>
      </c>
      <c r="K160" s="41"/>
      <c r="L160" s="42" t="s">
        <v>295</v>
      </c>
      <c r="M160" s="47"/>
      <c r="N160" s="43" t="s">
        <v>189</v>
      </c>
    </row>
    <row r="161" spans="1:14" ht="15" customHeight="1">
      <c r="A161" s="120" t="s">
        <v>296</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297</v>
      </c>
      <c r="B162" s="125"/>
      <c r="C162" s="36">
        <v>10000</v>
      </c>
      <c r="D162" s="36"/>
      <c r="E162" s="37">
        <v>10000</v>
      </c>
      <c r="F162" s="115">
        <f t="shared" si="19"/>
        <v>0</v>
      </c>
      <c r="G162" s="38">
        <f t="shared" si="19"/>
        <v>20</v>
      </c>
      <c r="H162" s="38">
        <f t="shared" si="20"/>
        <v>0</v>
      </c>
      <c r="I162" s="48">
        <f t="shared" si="16"/>
        <v>16.666666666666668</v>
      </c>
      <c r="J162" s="40">
        <v>16.7</v>
      </c>
      <c r="K162" s="41"/>
      <c r="L162" s="42" t="s">
        <v>246</v>
      </c>
      <c r="M162" s="42"/>
      <c r="N162" s="43" t="s">
        <v>298</v>
      </c>
    </row>
    <row r="163" spans="1:14" ht="15" customHeight="1">
      <c r="A163" s="120" t="s">
        <v>299</v>
      </c>
      <c r="B163" s="125"/>
      <c r="C163" s="36"/>
      <c r="D163" s="36"/>
      <c r="E163" s="37"/>
      <c r="F163" s="115">
        <f t="shared" si="19"/>
        <v>0</v>
      </c>
      <c r="G163" s="38">
        <f t="shared" si="19"/>
        <v>0</v>
      </c>
      <c r="H163" s="38">
        <f t="shared" si="20"/>
        <v>0</v>
      </c>
      <c r="I163" s="39">
        <f t="shared" si="16"/>
        <v>0</v>
      </c>
      <c r="K163" s="41"/>
      <c r="L163" s="42"/>
      <c r="M163" s="42"/>
      <c r="N163" s="43"/>
    </row>
    <row r="164" spans="1:14" ht="15" customHeight="1">
      <c r="A164" s="120" t="s">
        <v>300</v>
      </c>
      <c r="B164" s="125"/>
      <c r="C164" s="36">
        <v>9500</v>
      </c>
      <c r="D164" s="36">
        <v>14000</v>
      </c>
      <c r="E164" s="37"/>
      <c r="F164" s="115">
        <f t="shared" si="19"/>
        <v>0</v>
      </c>
      <c r="G164" s="38">
        <f t="shared" si="19"/>
        <v>19</v>
      </c>
      <c r="H164" s="38">
        <f t="shared" si="20"/>
        <v>23.333333333333332</v>
      </c>
      <c r="I164" s="39">
        <f t="shared" si="16"/>
        <v>0</v>
      </c>
      <c r="J164" s="40">
        <v>23.3</v>
      </c>
      <c r="K164" s="41"/>
      <c r="L164" s="42"/>
      <c r="M164" s="42"/>
      <c r="N164" s="43"/>
    </row>
    <row r="165" spans="1:14" ht="15" customHeight="1">
      <c r="A165" s="120" t="s">
        <v>301</v>
      </c>
      <c r="B165" s="125">
        <v>8800</v>
      </c>
      <c r="C165" s="36">
        <v>5100</v>
      </c>
      <c r="D165" s="36">
        <v>5800</v>
      </c>
      <c r="E165" s="37">
        <v>7000</v>
      </c>
      <c r="F165" s="115">
        <f t="shared" si="19"/>
        <v>17.600000000000001</v>
      </c>
      <c r="G165" s="38">
        <f t="shared" si="19"/>
        <v>10.199999999999999</v>
      </c>
      <c r="H165" s="38">
        <f t="shared" si="20"/>
        <v>9.6666666666666661</v>
      </c>
      <c r="I165" s="48">
        <f t="shared" si="16"/>
        <v>11.666666666666666</v>
      </c>
      <c r="J165" s="40">
        <v>17.600000000000001</v>
      </c>
      <c r="K165" s="67"/>
      <c r="L165" s="68" t="s">
        <v>302</v>
      </c>
      <c r="M165" s="58" t="s">
        <v>303</v>
      </c>
      <c r="N165" s="66" t="s">
        <v>304</v>
      </c>
    </row>
    <row r="166" spans="1:14" ht="15" customHeight="1">
      <c r="A166" s="120" t="s">
        <v>305</v>
      </c>
      <c r="B166" s="125">
        <v>22500</v>
      </c>
      <c r="C166" s="36"/>
      <c r="D166" s="36"/>
      <c r="E166" s="37"/>
      <c r="F166" s="115">
        <f t="shared" si="19"/>
        <v>45</v>
      </c>
      <c r="G166" s="38">
        <f t="shared" si="19"/>
        <v>0</v>
      </c>
      <c r="H166" s="38">
        <f t="shared" si="20"/>
        <v>0</v>
      </c>
      <c r="I166" s="39">
        <f t="shared" si="16"/>
        <v>0</v>
      </c>
      <c r="J166" s="40">
        <v>45</v>
      </c>
      <c r="K166" s="41"/>
      <c r="L166" s="42"/>
      <c r="M166" s="42"/>
      <c r="N166" s="43"/>
    </row>
    <row r="167" spans="1:14" ht="15" customHeight="1" thickBot="1">
      <c r="A167" s="122" t="s">
        <v>306</v>
      </c>
      <c r="B167" s="126"/>
      <c r="C167" s="49"/>
      <c r="D167" s="49"/>
      <c r="E167" s="50"/>
      <c r="F167" s="73">
        <f t="shared" si="19"/>
        <v>0</v>
      </c>
      <c r="G167" s="51">
        <f t="shared" si="19"/>
        <v>0</v>
      </c>
      <c r="H167" s="51">
        <f t="shared" si="20"/>
        <v>0</v>
      </c>
      <c r="I167" s="60">
        <f t="shared" si="16"/>
        <v>0</v>
      </c>
      <c r="J167" s="52"/>
      <c r="K167" s="61"/>
      <c r="L167" s="53"/>
      <c r="M167" s="53"/>
      <c r="N167" s="62"/>
    </row>
    <row r="168" spans="1:14" ht="15" customHeight="1">
      <c r="A168" s="132" t="s">
        <v>307</v>
      </c>
      <c r="B168" s="128"/>
      <c r="C168" s="26">
        <v>5300</v>
      </c>
      <c r="D168" s="26">
        <v>14000</v>
      </c>
      <c r="E168" s="27"/>
      <c r="F168" s="28">
        <f t="shared" si="19"/>
        <v>0</v>
      </c>
      <c r="G168" s="29">
        <f t="shared" si="19"/>
        <v>10.6</v>
      </c>
      <c r="H168" s="29">
        <f t="shared" si="20"/>
        <v>23.333333333333332</v>
      </c>
      <c r="I168" s="56">
        <f t="shared" si="16"/>
        <v>0</v>
      </c>
      <c r="J168" s="31">
        <v>23.3</v>
      </c>
      <c r="K168" s="32"/>
      <c r="L168" s="33"/>
      <c r="M168" s="34"/>
      <c r="N168" s="35"/>
    </row>
    <row r="169" spans="1:14" ht="15" customHeight="1">
      <c r="A169" s="121" t="s">
        <v>308</v>
      </c>
      <c r="B169" s="125"/>
      <c r="C169" s="36"/>
      <c r="D169" s="36"/>
      <c r="E169" s="37"/>
      <c r="F169" s="115">
        <f t="shared" si="19"/>
        <v>0</v>
      </c>
      <c r="G169" s="38">
        <f t="shared" si="19"/>
        <v>0</v>
      </c>
      <c r="H169" s="38">
        <f t="shared" si="20"/>
        <v>0</v>
      </c>
      <c r="I169" s="39">
        <f t="shared" si="16"/>
        <v>0</v>
      </c>
      <c r="K169" s="41"/>
      <c r="L169" s="42"/>
      <c r="M169" s="42"/>
      <c r="N169" s="43"/>
    </row>
    <row r="170" spans="1:14" ht="15" customHeight="1">
      <c r="A170" s="121" t="s">
        <v>309</v>
      </c>
      <c r="B170" s="125"/>
      <c r="C170" s="36">
        <v>11000</v>
      </c>
      <c r="D170" s="36"/>
      <c r="E170" s="37">
        <v>16300</v>
      </c>
      <c r="F170" s="115">
        <f t="shared" si="19"/>
        <v>0</v>
      </c>
      <c r="G170" s="72">
        <f t="shared" si="19"/>
        <v>22</v>
      </c>
      <c r="H170" s="38">
        <f t="shared" si="20"/>
        <v>0</v>
      </c>
      <c r="I170" s="146">
        <f t="shared" si="16"/>
        <v>27.166666666666668</v>
      </c>
      <c r="J170" s="40">
        <v>22</v>
      </c>
      <c r="K170" s="41"/>
      <c r="L170" s="57" t="s">
        <v>50</v>
      </c>
      <c r="M170" s="42"/>
      <c r="N170" s="43" t="s">
        <v>84</v>
      </c>
    </row>
    <row r="171" spans="1:14" ht="15" customHeight="1">
      <c r="A171" s="121" t="s">
        <v>313</v>
      </c>
      <c r="B171" s="125">
        <v>31900</v>
      </c>
      <c r="C171" s="36"/>
      <c r="D171" s="36">
        <v>17000</v>
      </c>
      <c r="E171" s="37">
        <v>25800</v>
      </c>
      <c r="F171" s="115">
        <f t="shared" si="19"/>
        <v>63.8</v>
      </c>
      <c r="G171" s="38">
        <f t="shared" si="19"/>
        <v>0</v>
      </c>
      <c r="H171" s="38">
        <f t="shared" si="20"/>
        <v>28.333333333333332</v>
      </c>
      <c r="I171" s="39">
        <f t="shared" si="16"/>
        <v>43</v>
      </c>
      <c r="J171" s="40">
        <v>43</v>
      </c>
      <c r="K171" s="41" t="s">
        <v>310</v>
      </c>
      <c r="L171" s="42"/>
      <c r="M171" s="47" t="s">
        <v>311</v>
      </c>
      <c r="N171" s="66" t="s">
        <v>312</v>
      </c>
    </row>
    <row r="172" spans="1:14" ht="15" customHeight="1">
      <c r="A172" s="121" t="s">
        <v>314</v>
      </c>
      <c r="B172" s="125"/>
      <c r="C172" s="36">
        <v>5200</v>
      </c>
      <c r="D172" s="36">
        <v>14000</v>
      </c>
      <c r="E172" s="37">
        <v>6500</v>
      </c>
      <c r="F172" s="115">
        <f t="shared" si="19"/>
        <v>0</v>
      </c>
      <c r="G172" s="38">
        <f>C172/500</f>
        <v>10.4</v>
      </c>
      <c r="H172" s="38">
        <f t="shared" si="20"/>
        <v>23.333333333333332</v>
      </c>
      <c r="I172" s="39">
        <f t="shared" si="16"/>
        <v>10.833333333333334</v>
      </c>
      <c r="J172" s="40">
        <v>10.8</v>
      </c>
      <c r="K172" s="41"/>
      <c r="L172" s="42" t="s">
        <v>407</v>
      </c>
      <c r="M172" s="42" t="s">
        <v>152</v>
      </c>
      <c r="N172" s="43" t="s">
        <v>84</v>
      </c>
    </row>
    <row r="173" spans="1:14" ht="15" customHeight="1">
      <c r="A173" s="118" t="s">
        <v>315</v>
      </c>
      <c r="B173" s="125"/>
      <c r="C173" s="36"/>
      <c r="D173" s="36"/>
      <c r="E173" s="37">
        <v>12500</v>
      </c>
      <c r="F173" s="115">
        <f t="shared" si="19"/>
        <v>0</v>
      </c>
      <c r="G173" s="38">
        <f t="shared" si="19"/>
        <v>0</v>
      </c>
      <c r="H173" s="38">
        <f t="shared" si="20"/>
        <v>0</v>
      </c>
      <c r="I173" s="39">
        <f t="shared" si="16"/>
        <v>20.833333333333332</v>
      </c>
      <c r="J173" s="40">
        <v>20.8</v>
      </c>
      <c r="K173" s="41"/>
      <c r="L173" s="42"/>
      <c r="M173" s="42"/>
      <c r="N173" s="43" t="s">
        <v>42</v>
      </c>
    </row>
    <row r="174" spans="1:14" ht="15" customHeight="1">
      <c r="A174" s="121" t="s">
        <v>316</v>
      </c>
      <c r="B174" s="125"/>
      <c r="C174" s="36">
        <v>5800</v>
      </c>
      <c r="D174" s="36"/>
      <c r="E174" s="37"/>
      <c r="F174" s="115">
        <f t="shared" si="19"/>
        <v>0</v>
      </c>
      <c r="G174" s="38">
        <f t="shared" si="19"/>
        <v>11.6</v>
      </c>
      <c r="H174" s="38">
        <f t="shared" si="20"/>
        <v>0</v>
      </c>
      <c r="I174" s="39">
        <f t="shared" si="16"/>
        <v>0</v>
      </c>
      <c r="J174" s="40">
        <v>11.6</v>
      </c>
      <c r="K174" s="41"/>
      <c r="L174" s="42" t="s">
        <v>317</v>
      </c>
      <c r="M174" s="42"/>
      <c r="N174" s="43"/>
    </row>
    <row r="175" spans="1:14" ht="15" customHeight="1">
      <c r="A175" s="121" t="s">
        <v>318</v>
      </c>
      <c r="B175" s="125"/>
      <c r="C175" s="36">
        <v>21900</v>
      </c>
      <c r="D175" s="36">
        <v>24000</v>
      </c>
      <c r="E175" s="37">
        <v>24300</v>
      </c>
      <c r="F175" s="115">
        <f t="shared" si="19"/>
        <v>0</v>
      </c>
      <c r="G175" s="38">
        <f t="shared" si="19"/>
        <v>43.8</v>
      </c>
      <c r="H175" s="38">
        <f t="shared" si="20"/>
        <v>40</v>
      </c>
      <c r="I175" s="39">
        <f t="shared" si="16"/>
        <v>40.5</v>
      </c>
      <c r="J175" s="40">
        <v>40</v>
      </c>
      <c r="K175" s="41"/>
      <c r="L175" s="42" t="s">
        <v>65</v>
      </c>
      <c r="M175" s="47"/>
      <c r="N175" s="43" t="s">
        <v>84</v>
      </c>
    </row>
    <row r="176" spans="1:14" ht="15" customHeight="1">
      <c r="A176" s="121" t="s">
        <v>319</v>
      </c>
      <c r="B176" s="125"/>
      <c r="C176" s="36">
        <v>13800</v>
      </c>
      <c r="D176" s="36"/>
      <c r="E176" s="37">
        <v>17600</v>
      </c>
      <c r="F176" s="115">
        <f t="shared" si="19"/>
        <v>0</v>
      </c>
      <c r="G176" s="38">
        <f t="shared" si="19"/>
        <v>27.6</v>
      </c>
      <c r="H176" s="38">
        <f t="shared" si="20"/>
        <v>0</v>
      </c>
      <c r="I176" s="39">
        <f t="shared" si="16"/>
        <v>29.333333333333332</v>
      </c>
      <c r="J176" s="40">
        <v>28.5</v>
      </c>
      <c r="K176" s="41"/>
      <c r="L176" s="42" t="s">
        <v>246</v>
      </c>
      <c r="M176" s="42"/>
      <c r="N176" s="43" t="s">
        <v>320</v>
      </c>
    </row>
    <row r="177" spans="1:14" ht="15" customHeight="1">
      <c r="A177" s="121" t="s">
        <v>401</v>
      </c>
      <c r="B177" s="125"/>
      <c r="C177" s="36">
        <v>11000</v>
      </c>
      <c r="D177" s="36"/>
      <c r="E177" s="37">
        <v>11000</v>
      </c>
      <c r="F177" s="115">
        <f t="shared" si="19"/>
        <v>0</v>
      </c>
      <c r="G177" s="38">
        <f t="shared" si="19"/>
        <v>22</v>
      </c>
      <c r="H177" s="38">
        <f t="shared" si="20"/>
        <v>0</v>
      </c>
      <c r="I177" s="39">
        <f>E177/500</f>
        <v>22</v>
      </c>
      <c r="J177" s="40">
        <v>22</v>
      </c>
      <c r="K177" s="41"/>
      <c r="L177" s="42" t="s">
        <v>403</v>
      </c>
      <c r="M177" s="42"/>
      <c r="N177" s="43" t="s">
        <v>402</v>
      </c>
    </row>
    <row r="178" spans="1:14" ht="15" customHeight="1">
      <c r="A178" s="121" t="s">
        <v>321</v>
      </c>
      <c r="B178" s="125"/>
      <c r="C178" s="36">
        <v>11300</v>
      </c>
      <c r="D178" s="36"/>
      <c r="E178" s="37">
        <v>14200</v>
      </c>
      <c r="F178" s="115">
        <f t="shared" si="19"/>
        <v>0</v>
      </c>
      <c r="G178" s="38">
        <f t="shared" si="19"/>
        <v>22.6</v>
      </c>
      <c r="H178" s="38">
        <f t="shared" si="20"/>
        <v>0</v>
      </c>
      <c r="I178" s="39">
        <f t="shared" si="20"/>
        <v>23.666666666666668</v>
      </c>
      <c r="J178" s="40">
        <v>22.6</v>
      </c>
      <c r="K178" s="41"/>
      <c r="L178" s="42" t="s">
        <v>42</v>
      </c>
      <c r="M178" s="42"/>
      <c r="N178" s="43" t="s">
        <v>42</v>
      </c>
    </row>
    <row r="179" spans="1:14" ht="15" customHeight="1">
      <c r="A179" s="121" t="s">
        <v>322</v>
      </c>
      <c r="B179" s="125"/>
      <c r="C179" s="36"/>
      <c r="D179" s="36">
        <v>8500</v>
      </c>
      <c r="E179" s="37"/>
      <c r="F179" s="115">
        <f t="shared" si="19"/>
        <v>0</v>
      </c>
      <c r="G179" s="38">
        <f t="shared" si="19"/>
        <v>0</v>
      </c>
      <c r="H179" s="38">
        <f t="shared" si="20"/>
        <v>14.166666666666666</v>
      </c>
      <c r="I179" s="39">
        <f t="shared" si="20"/>
        <v>0</v>
      </c>
      <c r="J179" s="40">
        <v>14.2</v>
      </c>
      <c r="K179" s="41"/>
      <c r="L179" s="42"/>
      <c r="M179" s="42"/>
      <c r="N179" s="43"/>
    </row>
    <row r="180" spans="1:14" ht="15" customHeight="1">
      <c r="A180" s="121" t="s">
        <v>323</v>
      </c>
      <c r="B180" s="125"/>
      <c r="C180" s="36">
        <v>3300</v>
      </c>
      <c r="D180" s="36">
        <v>5800</v>
      </c>
      <c r="E180" s="37">
        <v>4400</v>
      </c>
      <c r="F180" s="115">
        <f t="shared" si="19"/>
        <v>0</v>
      </c>
      <c r="G180" s="38">
        <f t="shared" si="19"/>
        <v>6.6</v>
      </c>
      <c r="H180" s="38">
        <f t="shared" si="20"/>
        <v>9.6666666666666661</v>
      </c>
      <c r="I180" s="39">
        <f t="shared" si="20"/>
        <v>7.333333333333333</v>
      </c>
      <c r="J180" s="40">
        <v>7.3</v>
      </c>
      <c r="K180" s="41"/>
      <c r="L180" s="42"/>
      <c r="M180" s="42" t="s">
        <v>324</v>
      </c>
      <c r="N180" s="43" t="s">
        <v>84</v>
      </c>
    </row>
    <row r="181" spans="1:14" ht="15" customHeight="1">
      <c r="A181" s="121" t="s">
        <v>325</v>
      </c>
      <c r="B181" s="125"/>
      <c r="C181" s="36"/>
      <c r="D181" s="36"/>
      <c r="E181" s="37"/>
      <c r="F181" s="115">
        <f t="shared" si="19"/>
        <v>0</v>
      </c>
      <c r="G181" s="38">
        <f t="shared" si="19"/>
        <v>0</v>
      </c>
      <c r="H181" s="38">
        <f t="shared" si="20"/>
        <v>0</v>
      </c>
      <c r="I181" s="39">
        <f t="shared" si="20"/>
        <v>0</v>
      </c>
      <c r="K181" s="41"/>
      <c r="L181" s="42"/>
      <c r="M181" s="42"/>
      <c r="N181" s="43"/>
    </row>
    <row r="182" spans="1:14" ht="15" customHeight="1">
      <c r="A182" s="121" t="s">
        <v>326</v>
      </c>
      <c r="B182" s="125"/>
      <c r="C182" s="36"/>
      <c r="D182" s="36"/>
      <c r="E182" s="37"/>
      <c r="F182" s="115">
        <f t="shared" ref="F182:G187" si="21">B182/500</f>
        <v>0</v>
      </c>
      <c r="G182" s="38">
        <f t="shared" si="21"/>
        <v>0</v>
      </c>
      <c r="H182" s="38">
        <f t="shared" si="20"/>
        <v>0</v>
      </c>
      <c r="I182" s="39">
        <f t="shared" si="20"/>
        <v>0</v>
      </c>
      <c r="K182" s="41"/>
      <c r="L182" s="42"/>
      <c r="M182" s="42"/>
      <c r="N182" s="43"/>
    </row>
    <row r="183" spans="1:14" ht="15" customHeight="1">
      <c r="A183" s="121" t="s">
        <v>327</v>
      </c>
      <c r="B183" s="125"/>
      <c r="C183" s="36">
        <v>5800</v>
      </c>
      <c r="D183" s="36">
        <v>7000</v>
      </c>
      <c r="E183" s="37"/>
      <c r="F183" s="115">
        <f t="shared" si="21"/>
        <v>0</v>
      </c>
      <c r="G183" s="38">
        <f t="shared" si="21"/>
        <v>11.6</v>
      </c>
      <c r="H183" s="38">
        <f t="shared" si="20"/>
        <v>11.666666666666666</v>
      </c>
      <c r="I183" s="39">
        <f t="shared" si="20"/>
        <v>0</v>
      </c>
      <c r="J183" s="40">
        <v>11.7</v>
      </c>
      <c r="K183" s="41"/>
      <c r="L183" s="42" t="s">
        <v>273</v>
      </c>
      <c r="M183" s="42"/>
      <c r="N183" s="43"/>
    </row>
    <row r="184" spans="1:14" ht="15" customHeight="1">
      <c r="A184" s="121" t="s">
        <v>328</v>
      </c>
      <c r="B184" s="125"/>
      <c r="C184" s="36"/>
      <c r="D184" s="36"/>
      <c r="E184" s="37"/>
      <c r="F184" s="115">
        <f t="shared" si="21"/>
        <v>0</v>
      </c>
      <c r="G184" s="38">
        <f t="shared" si="21"/>
        <v>0</v>
      </c>
      <c r="H184" s="38">
        <f t="shared" si="20"/>
        <v>0</v>
      </c>
      <c r="I184" s="39">
        <f t="shared" si="20"/>
        <v>0</v>
      </c>
      <c r="K184" s="41"/>
      <c r="L184" s="42"/>
      <c r="M184" s="42"/>
      <c r="N184" s="43"/>
    </row>
    <row r="185" spans="1:14" ht="15" customHeight="1" thickBot="1">
      <c r="A185" s="133" t="s">
        <v>329</v>
      </c>
      <c r="B185" s="126">
        <v>10800</v>
      </c>
      <c r="C185" s="49">
        <v>13300</v>
      </c>
      <c r="D185" s="49">
        <v>7500</v>
      </c>
      <c r="E185" s="50">
        <v>15600</v>
      </c>
      <c r="F185" s="73">
        <f t="shared" si="21"/>
        <v>21.6</v>
      </c>
      <c r="G185" s="51">
        <f t="shared" si="21"/>
        <v>26.6</v>
      </c>
      <c r="H185" s="51">
        <f t="shared" si="20"/>
        <v>12.5</v>
      </c>
      <c r="I185" s="60">
        <f t="shared" si="20"/>
        <v>26</v>
      </c>
      <c r="J185" s="52">
        <v>26</v>
      </c>
      <c r="K185" s="142"/>
      <c r="L185" s="53" t="s">
        <v>42</v>
      </c>
      <c r="M185" s="54"/>
      <c r="N185" s="62" t="s">
        <v>189</v>
      </c>
    </row>
    <row r="186" spans="1:14" ht="15" customHeight="1">
      <c r="A186" s="134" t="s">
        <v>330</v>
      </c>
      <c r="B186" s="128"/>
      <c r="C186" s="26">
        <v>11800</v>
      </c>
      <c r="D186" s="26">
        <v>15000</v>
      </c>
      <c r="E186" s="27">
        <v>14200</v>
      </c>
      <c r="F186" s="28">
        <f t="shared" si="21"/>
        <v>0</v>
      </c>
      <c r="G186" s="29">
        <f t="shared" si="21"/>
        <v>23.6</v>
      </c>
      <c r="H186" s="29">
        <f t="shared" si="20"/>
        <v>25</v>
      </c>
      <c r="I186" s="56">
        <f t="shared" si="20"/>
        <v>23.666666666666668</v>
      </c>
      <c r="J186" s="31">
        <v>23.7</v>
      </c>
      <c r="K186" s="32"/>
      <c r="L186" s="143" t="s">
        <v>42</v>
      </c>
      <c r="M186" s="34" t="s">
        <v>62</v>
      </c>
      <c r="N186" s="35" t="s">
        <v>44</v>
      </c>
    </row>
    <row r="187" spans="1:14" ht="15" customHeight="1">
      <c r="A187" s="144" t="s">
        <v>331</v>
      </c>
      <c r="B187" s="125"/>
      <c r="C187" s="36">
        <v>5500</v>
      </c>
      <c r="D187" s="36"/>
      <c r="E187" s="37"/>
      <c r="F187" s="115"/>
      <c r="G187" s="38">
        <f t="shared" si="21"/>
        <v>11</v>
      </c>
      <c r="H187" s="38"/>
      <c r="I187" s="39"/>
      <c r="J187" s="40">
        <v>11</v>
      </c>
      <c r="K187" s="139"/>
      <c r="L187" s="42" t="s">
        <v>332</v>
      </c>
      <c r="M187" s="135"/>
      <c r="N187" s="145"/>
    </row>
    <row r="188" spans="1:14" ht="15" customHeight="1" thickBot="1">
      <c r="A188" s="122" t="s">
        <v>333</v>
      </c>
      <c r="B188" s="126"/>
      <c r="C188" s="49">
        <v>10000</v>
      </c>
      <c r="D188" s="49">
        <v>10000</v>
      </c>
      <c r="E188" s="50">
        <v>10300</v>
      </c>
      <c r="F188" s="73">
        <f t="shared" ref="F188:G208" si="22">B188/500</f>
        <v>0</v>
      </c>
      <c r="G188" s="51">
        <f t="shared" ref="G188:I196" si="23">C188/600</f>
        <v>16.666666666666668</v>
      </c>
      <c r="H188" s="51">
        <f t="shared" si="23"/>
        <v>16.666666666666668</v>
      </c>
      <c r="I188" s="60">
        <f t="shared" si="23"/>
        <v>17.166666666666668</v>
      </c>
      <c r="J188" s="52"/>
      <c r="K188" s="61"/>
      <c r="L188" s="53" t="s">
        <v>105</v>
      </c>
      <c r="M188" s="54" t="s">
        <v>334</v>
      </c>
      <c r="N188" s="62" t="s">
        <v>405</v>
      </c>
    </row>
    <row r="189" spans="1:14" ht="15" customHeight="1">
      <c r="A189" s="132" t="s">
        <v>335</v>
      </c>
      <c r="B189" s="128"/>
      <c r="C189" s="26">
        <v>4700</v>
      </c>
      <c r="D189" s="26">
        <v>5500</v>
      </c>
      <c r="E189" s="27">
        <v>4700</v>
      </c>
      <c r="F189" s="28">
        <f t="shared" si="22"/>
        <v>0</v>
      </c>
      <c r="G189" s="29">
        <f t="shared" si="23"/>
        <v>7.833333333333333</v>
      </c>
      <c r="H189" s="29">
        <f t="shared" si="23"/>
        <v>9.1666666666666661</v>
      </c>
      <c r="I189" s="56">
        <f t="shared" si="23"/>
        <v>7.833333333333333</v>
      </c>
      <c r="J189" s="31">
        <v>9.1999999999999993</v>
      </c>
      <c r="K189" s="32"/>
      <c r="L189" s="33" t="s">
        <v>336</v>
      </c>
      <c r="M189" s="34" t="s">
        <v>337</v>
      </c>
      <c r="N189" s="35" t="s">
        <v>338</v>
      </c>
    </row>
    <row r="190" spans="1:14" ht="15" customHeight="1">
      <c r="A190" s="121" t="s">
        <v>339</v>
      </c>
      <c r="B190" s="125"/>
      <c r="C190" s="36">
        <v>21000</v>
      </c>
      <c r="D190" s="36">
        <v>25500</v>
      </c>
      <c r="E190" s="37">
        <v>25400</v>
      </c>
      <c r="F190" s="115">
        <f t="shared" si="22"/>
        <v>0</v>
      </c>
      <c r="G190" s="44">
        <f t="shared" si="23"/>
        <v>35</v>
      </c>
      <c r="H190" s="38">
        <f t="shared" si="23"/>
        <v>42.5</v>
      </c>
      <c r="I190" s="39">
        <f t="shared" si="23"/>
        <v>42.333333333333336</v>
      </c>
      <c r="J190" s="40">
        <v>35</v>
      </c>
      <c r="K190" s="41"/>
      <c r="L190" s="42" t="s">
        <v>340</v>
      </c>
      <c r="M190" s="42"/>
      <c r="N190" s="43" t="s">
        <v>84</v>
      </c>
    </row>
    <row r="191" spans="1:14" ht="15" customHeight="1">
      <c r="A191" s="121" t="s">
        <v>341</v>
      </c>
      <c r="B191" s="125"/>
      <c r="C191" s="36">
        <v>19000</v>
      </c>
      <c r="D191" s="36">
        <v>19200</v>
      </c>
      <c r="E191" s="37">
        <v>19200</v>
      </c>
      <c r="F191" s="115">
        <f t="shared" si="22"/>
        <v>0</v>
      </c>
      <c r="G191" s="38">
        <f>C191/500</f>
        <v>38</v>
      </c>
      <c r="H191" s="38">
        <f t="shared" si="23"/>
        <v>32</v>
      </c>
      <c r="I191" s="39">
        <f t="shared" si="23"/>
        <v>32</v>
      </c>
      <c r="J191" s="40">
        <v>32</v>
      </c>
      <c r="K191" s="41"/>
      <c r="L191" s="42"/>
      <c r="M191" s="42"/>
      <c r="N191" s="43"/>
    </row>
    <row r="192" spans="1:14" ht="15" customHeight="1">
      <c r="A192" s="121" t="s">
        <v>342</v>
      </c>
      <c r="B192" s="125"/>
      <c r="C192" s="36"/>
      <c r="D192" s="36"/>
      <c r="E192" s="37"/>
      <c r="F192" s="115">
        <f t="shared" si="22"/>
        <v>0</v>
      </c>
      <c r="G192" s="38">
        <f>C192/500</f>
        <v>0</v>
      </c>
      <c r="H192" s="38">
        <f t="shared" si="23"/>
        <v>0</v>
      </c>
      <c r="I192" s="39">
        <f t="shared" si="23"/>
        <v>0</v>
      </c>
      <c r="K192" s="41"/>
      <c r="L192" s="42"/>
      <c r="M192" s="42"/>
      <c r="N192" s="43"/>
    </row>
    <row r="193" spans="1:14" ht="15" customHeight="1" thickBot="1">
      <c r="A193" s="133" t="s">
        <v>343</v>
      </c>
      <c r="B193" s="126"/>
      <c r="C193" s="49">
        <v>5200</v>
      </c>
      <c r="D193" s="49"/>
      <c r="E193" s="50">
        <v>5600</v>
      </c>
      <c r="F193" s="73">
        <f t="shared" si="22"/>
        <v>0</v>
      </c>
      <c r="G193" s="59">
        <f>C193/600</f>
        <v>8.6666666666666661</v>
      </c>
      <c r="H193" s="51">
        <f t="shared" si="23"/>
        <v>0</v>
      </c>
      <c r="I193" s="60">
        <f t="shared" si="23"/>
        <v>9.3333333333333339</v>
      </c>
      <c r="J193" s="52">
        <v>8.6999999999999993</v>
      </c>
      <c r="K193" s="61"/>
      <c r="L193" s="53" t="s">
        <v>73</v>
      </c>
      <c r="M193" s="53"/>
      <c r="N193" s="62" t="s">
        <v>50</v>
      </c>
    </row>
    <row r="194" spans="1:14" ht="15" customHeight="1">
      <c r="A194" s="134" t="s">
        <v>344</v>
      </c>
      <c r="B194" s="128"/>
      <c r="C194" s="26">
        <v>4000</v>
      </c>
      <c r="D194" s="26">
        <v>5500</v>
      </c>
      <c r="E194" s="27">
        <v>5100</v>
      </c>
      <c r="F194" s="28">
        <f t="shared" si="22"/>
        <v>0</v>
      </c>
      <c r="G194" s="29">
        <f t="shared" si="22"/>
        <v>8</v>
      </c>
      <c r="H194" s="29">
        <f t="shared" si="23"/>
        <v>9.1666666666666661</v>
      </c>
      <c r="I194" s="56">
        <f t="shared" si="23"/>
        <v>8.5</v>
      </c>
      <c r="J194" s="31">
        <v>8</v>
      </c>
      <c r="K194" s="32"/>
      <c r="L194" s="33" t="s">
        <v>50</v>
      </c>
      <c r="M194" s="33"/>
      <c r="N194" s="35"/>
    </row>
    <row r="195" spans="1:14" ht="15" customHeight="1">
      <c r="A195" s="120" t="s">
        <v>345</v>
      </c>
      <c r="B195" s="125"/>
      <c r="C195" s="36">
        <v>5900</v>
      </c>
      <c r="D195" s="36">
        <v>6500</v>
      </c>
      <c r="E195" s="37">
        <v>6900</v>
      </c>
      <c r="F195" s="115">
        <f t="shared" si="22"/>
        <v>0</v>
      </c>
      <c r="G195" s="38">
        <f t="shared" si="22"/>
        <v>11.8</v>
      </c>
      <c r="H195" s="38">
        <f t="shared" si="23"/>
        <v>10.833333333333334</v>
      </c>
      <c r="I195" s="39">
        <f t="shared" si="23"/>
        <v>11.5</v>
      </c>
      <c r="J195" s="40">
        <v>12</v>
      </c>
      <c r="K195" s="41"/>
      <c r="L195" s="42"/>
      <c r="M195" s="47" t="s">
        <v>346</v>
      </c>
      <c r="N195" s="43" t="s">
        <v>397</v>
      </c>
    </row>
    <row r="196" spans="1:14" ht="15" customHeight="1">
      <c r="A196" s="120" t="s">
        <v>347</v>
      </c>
      <c r="B196" s="125"/>
      <c r="C196" s="36">
        <v>7200</v>
      </c>
      <c r="D196" s="36">
        <v>9500</v>
      </c>
      <c r="E196" s="37">
        <v>8600</v>
      </c>
      <c r="F196" s="115">
        <f t="shared" si="22"/>
        <v>0</v>
      </c>
      <c r="G196" s="38">
        <f t="shared" si="22"/>
        <v>14.4</v>
      </c>
      <c r="H196" s="38">
        <f t="shared" si="23"/>
        <v>15.833333333333334</v>
      </c>
      <c r="I196" s="98">
        <f t="shared" si="23"/>
        <v>14.333333333333334</v>
      </c>
      <c r="J196" s="40">
        <v>14.7</v>
      </c>
      <c r="K196" s="41"/>
      <c r="L196" s="113" t="s">
        <v>42</v>
      </c>
      <c r="M196" s="47" t="s">
        <v>348</v>
      </c>
      <c r="N196" s="43" t="s">
        <v>42</v>
      </c>
    </row>
    <row r="197" spans="1:14" ht="15" customHeight="1">
      <c r="A197" s="120" t="s">
        <v>349</v>
      </c>
      <c r="B197" s="125"/>
      <c r="C197" s="36"/>
      <c r="D197" s="36"/>
      <c r="E197" s="37">
        <v>39000</v>
      </c>
      <c r="F197" s="115">
        <f t="shared" si="22"/>
        <v>0</v>
      </c>
      <c r="G197" s="38">
        <f t="shared" si="22"/>
        <v>0</v>
      </c>
      <c r="H197" s="38">
        <f>D197/600</f>
        <v>0</v>
      </c>
      <c r="I197" s="39">
        <f>E197/1000</f>
        <v>39</v>
      </c>
      <c r="J197" s="40">
        <v>39</v>
      </c>
      <c r="K197" s="41"/>
      <c r="L197" s="42"/>
      <c r="M197" s="42"/>
      <c r="N197" s="43" t="s">
        <v>350</v>
      </c>
    </row>
    <row r="198" spans="1:14" ht="15" customHeight="1">
      <c r="A198" s="120" t="s">
        <v>351</v>
      </c>
      <c r="B198" s="125"/>
      <c r="C198" s="36">
        <v>12000</v>
      </c>
      <c r="D198" s="36">
        <v>6000</v>
      </c>
      <c r="E198" s="37">
        <v>15300</v>
      </c>
      <c r="F198" s="115">
        <f t="shared" si="22"/>
        <v>0</v>
      </c>
      <c r="G198" s="38">
        <f t="shared" si="22"/>
        <v>24</v>
      </c>
      <c r="H198" s="38">
        <f>D198/600</f>
        <v>10</v>
      </c>
      <c r="I198" s="39">
        <f t="shared" ref="I198:I208" si="24">E198/600</f>
        <v>25.5</v>
      </c>
      <c r="J198" s="40">
        <v>24</v>
      </c>
      <c r="K198" s="41"/>
      <c r="L198" s="42" t="s">
        <v>352</v>
      </c>
      <c r="M198" s="42" t="s">
        <v>253</v>
      </c>
      <c r="N198" s="43" t="s">
        <v>389</v>
      </c>
    </row>
    <row r="199" spans="1:14" ht="15" customHeight="1">
      <c r="A199" s="120" t="s">
        <v>353</v>
      </c>
      <c r="B199" s="125"/>
      <c r="C199" s="36">
        <v>28000</v>
      </c>
      <c r="D199" s="36">
        <v>37000</v>
      </c>
      <c r="E199" s="37">
        <v>34800</v>
      </c>
      <c r="F199" s="115">
        <f t="shared" si="22"/>
        <v>0</v>
      </c>
      <c r="G199" s="38">
        <f>C199/600</f>
        <v>46.666666666666664</v>
      </c>
      <c r="H199" s="38">
        <f>D199/600</f>
        <v>61.666666666666664</v>
      </c>
      <c r="I199" s="39">
        <f t="shared" si="24"/>
        <v>58</v>
      </c>
      <c r="J199" s="40">
        <v>61.7</v>
      </c>
      <c r="K199" s="41"/>
      <c r="L199" s="42"/>
      <c r="M199" s="47"/>
      <c r="N199" s="43"/>
    </row>
    <row r="200" spans="1:14" ht="15" customHeight="1">
      <c r="A200" s="120" t="s">
        <v>354</v>
      </c>
      <c r="B200" s="125"/>
      <c r="C200" s="36">
        <v>9600</v>
      </c>
      <c r="D200" s="36"/>
      <c r="E200" s="37">
        <v>11900</v>
      </c>
      <c r="F200" s="115">
        <f t="shared" si="22"/>
        <v>0</v>
      </c>
      <c r="G200" s="38">
        <f t="shared" si="22"/>
        <v>19.2</v>
      </c>
      <c r="H200" s="38">
        <f>D200/600</f>
        <v>0</v>
      </c>
      <c r="I200" s="39">
        <f t="shared" si="24"/>
        <v>19.833333333333332</v>
      </c>
      <c r="J200" s="40">
        <v>19.8</v>
      </c>
      <c r="K200" s="41"/>
      <c r="L200" s="42" t="s">
        <v>295</v>
      </c>
      <c r="M200" s="42"/>
      <c r="N200" s="43" t="s">
        <v>394</v>
      </c>
    </row>
    <row r="201" spans="1:14" ht="15" customHeight="1">
      <c r="A201" s="120" t="s">
        <v>355</v>
      </c>
      <c r="B201" s="125"/>
      <c r="C201" s="36">
        <v>19500</v>
      </c>
      <c r="D201" s="36">
        <v>30000</v>
      </c>
      <c r="E201" s="37">
        <v>26000</v>
      </c>
      <c r="F201" s="115">
        <f t="shared" si="22"/>
        <v>0</v>
      </c>
      <c r="G201" s="38">
        <f t="shared" si="22"/>
        <v>39</v>
      </c>
      <c r="H201" s="38">
        <f>D201/600</f>
        <v>50</v>
      </c>
      <c r="I201" s="39">
        <f t="shared" si="24"/>
        <v>43.333333333333336</v>
      </c>
      <c r="J201" s="40">
        <v>44.2</v>
      </c>
      <c r="K201" s="41"/>
      <c r="L201" s="42" t="s">
        <v>356</v>
      </c>
      <c r="M201" s="47" t="s">
        <v>357</v>
      </c>
      <c r="N201" s="43" t="s">
        <v>65</v>
      </c>
    </row>
    <row r="202" spans="1:14" ht="15" customHeight="1">
      <c r="A202" s="120" t="s">
        <v>358</v>
      </c>
      <c r="B202" s="125"/>
      <c r="C202" s="36"/>
      <c r="D202" s="36">
        <v>8500</v>
      </c>
      <c r="E202" s="37"/>
      <c r="F202" s="115">
        <f t="shared" si="22"/>
        <v>0</v>
      </c>
      <c r="G202" s="38">
        <f t="shared" si="22"/>
        <v>0</v>
      </c>
      <c r="H202" s="38">
        <f>D202/1000</f>
        <v>8.5</v>
      </c>
      <c r="I202" s="39">
        <f t="shared" si="24"/>
        <v>0</v>
      </c>
      <c r="K202" s="41"/>
      <c r="L202" s="42"/>
      <c r="M202" s="47" t="s">
        <v>359</v>
      </c>
      <c r="N202" s="43"/>
    </row>
    <row r="203" spans="1:14" ht="15" customHeight="1">
      <c r="A203" s="120" t="s">
        <v>360</v>
      </c>
      <c r="B203" s="125"/>
      <c r="C203" s="36">
        <v>9000</v>
      </c>
      <c r="D203" s="36">
        <v>9000</v>
      </c>
      <c r="E203" s="37">
        <v>13500</v>
      </c>
      <c r="F203" s="115">
        <f t="shared" si="22"/>
        <v>0</v>
      </c>
      <c r="G203" s="38">
        <f t="shared" si="22"/>
        <v>18</v>
      </c>
      <c r="H203" s="38">
        <f t="shared" ref="H203:H208" si="25">D203/600</f>
        <v>15</v>
      </c>
      <c r="I203" s="48">
        <f t="shared" si="24"/>
        <v>22.5</v>
      </c>
      <c r="J203" s="40">
        <v>22.5</v>
      </c>
      <c r="K203" s="41"/>
      <c r="L203" s="42"/>
      <c r="M203" s="47"/>
      <c r="N203" s="43" t="s">
        <v>361</v>
      </c>
    </row>
    <row r="204" spans="1:14" ht="15" customHeight="1">
      <c r="A204" s="120" t="s">
        <v>362</v>
      </c>
      <c r="B204" s="125"/>
      <c r="C204" s="36">
        <v>11000</v>
      </c>
      <c r="D204" s="36">
        <v>24000</v>
      </c>
      <c r="E204" s="37">
        <v>14300</v>
      </c>
      <c r="F204" s="115">
        <f t="shared" si="22"/>
        <v>0</v>
      </c>
      <c r="G204" s="44">
        <f t="shared" si="22"/>
        <v>22</v>
      </c>
      <c r="H204" s="38">
        <f t="shared" si="25"/>
        <v>40</v>
      </c>
      <c r="I204" s="48">
        <f t="shared" si="24"/>
        <v>23.833333333333332</v>
      </c>
      <c r="J204" s="40">
        <v>22</v>
      </c>
      <c r="K204" s="41"/>
      <c r="L204" s="113" t="s">
        <v>363</v>
      </c>
      <c r="M204" s="47" t="s">
        <v>364</v>
      </c>
      <c r="N204" s="43" t="s">
        <v>365</v>
      </c>
    </row>
    <row r="205" spans="1:14" ht="15" customHeight="1">
      <c r="A205" s="120" t="s">
        <v>366</v>
      </c>
      <c r="B205" s="125"/>
      <c r="C205" s="36">
        <v>68400</v>
      </c>
      <c r="D205" s="36">
        <v>85000</v>
      </c>
      <c r="E205" s="37">
        <v>84800</v>
      </c>
      <c r="F205" s="115">
        <f t="shared" si="22"/>
        <v>0</v>
      </c>
      <c r="G205" s="38">
        <f t="shared" si="22"/>
        <v>136.80000000000001</v>
      </c>
      <c r="H205" s="44">
        <f t="shared" si="25"/>
        <v>141.66666666666666</v>
      </c>
      <c r="I205" s="39">
        <f t="shared" si="24"/>
        <v>141.33333333333334</v>
      </c>
      <c r="J205" s="40">
        <v>136.80000000000001</v>
      </c>
      <c r="K205" s="41"/>
      <c r="L205" s="42" t="s">
        <v>367</v>
      </c>
      <c r="M205" s="58" t="s">
        <v>368</v>
      </c>
      <c r="N205" s="43" t="s">
        <v>369</v>
      </c>
    </row>
    <row r="206" spans="1:14" ht="15" customHeight="1">
      <c r="A206" s="120" t="s">
        <v>370</v>
      </c>
      <c r="B206" s="125"/>
      <c r="C206" s="36">
        <v>12800</v>
      </c>
      <c r="D206" s="36">
        <v>9500</v>
      </c>
      <c r="E206" s="37">
        <v>16600</v>
      </c>
      <c r="F206" s="115">
        <f t="shared" si="22"/>
        <v>0</v>
      </c>
      <c r="G206" s="38">
        <f t="shared" si="22"/>
        <v>25.6</v>
      </c>
      <c r="H206" s="38">
        <f t="shared" si="25"/>
        <v>15.833333333333334</v>
      </c>
      <c r="I206" s="39">
        <f t="shared" si="24"/>
        <v>27.666666666666668</v>
      </c>
      <c r="J206" s="40">
        <v>27.7</v>
      </c>
      <c r="K206" s="41"/>
      <c r="L206" s="42"/>
      <c r="M206" s="47" t="s">
        <v>371</v>
      </c>
      <c r="N206" s="43" t="s">
        <v>372</v>
      </c>
    </row>
    <row r="207" spans="1:14" ht="15" customHeight="1">
      <c r="A207" s="120" t="s">
        <v>373</v>
      </c>
      <c r="B207" s="125"/>
      <c r="C207" s="36"/>
      <c r="D207" s="36">
        <v>9500</v>
      </c>
      <c r="E207" s="37"/>
      <c r="F207" s="115">
        <f t="shared" si="22"/>
        <v>0</v>
      </c>
      <c r="G207" s="38">
        <f t="shared" si="22"/>
        <v>0</v>
      </c>
      <c r="H207" s="38">
        <f t="shared" si="25"/>
        <v>15.833333333333334</v>
      </c>
      <c r="I207" s="39">
        <f t="shared" si="24"/>
        <v>0</v>
      </c>
      <c r="K207" s="41"/>
      <c r="L207" s="42"/>
      <c r="M207" s="42"/>
      <c r="N207" s="43"/>
    </row>
    <row r="208" spans="1:14" ht="15" customHeight="1" thickBot="1">
      <c r="A208" s="122" t="s">
        <v>374</v>
      </c>
      <c r="B208" s="126"/>
      <c r="C208" s="49">
        <v>4500</v>
      </c>
      <c r="D208" s="49">
        <v>4500</v>
      </c>
      <c r="E208" s="50">
        <v>5400</v>
      </c>
      <c r="F208" s="73">
        <f t="shared" si="22"/>
        <v>0</v>
      </c>
      <c r="G208" s="51">
        <f t="shared" si="22"/>
        <v>9</v>
      </c>
      <c r="H208" s="51">
        <f t="shared" si="25"/>
        <v>7.5</v>
      </c>
      <c r="I208" s="74">
        <f t="shared" si="24"/>
        <v>9</v>
      </c>
      <c r="J208" s="52">
        <v>9</v>
      </c>
      <c r="K208" s="61"/>
      <c r="L208" s="53" t="s">
        <v>375</v>
      </c>
      <c r="M208" s="54" t="s">
        <v>376</v>
      </c>
      <c r="N208" s="62" t="s">
        <v>377</v>
      </c>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A2372" s="75"/>
      <c r="B2372" s="76"/>
      <c r="C2372" s="76"/>
      <c r="D2372" s="76"/>
      <c r="E2372" s="76"/>
      <c r="F2372" s="77"/>
      <c r="G2372" s="77"/>
      <c r="H2372" s="77"/>
      <c r="I2372" s="77"/>
      <c r="J2372" s="78"/>
      <c r="K2372" s="79"/>
      <c r="L2372" s="79"/>
      <c r="M2372" s="79"/>
      <c r="N2372" s="79"/>
    </row>
    <row r="2373" spans="1:14" ht="15" customHeight="1">
      <c r="J2373"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처방전양식 (12)</vt:lpstr>
      <vt:lpstr>처방전양식 (11)</vt:lpstr>
      <vt:lpstr>처방전양식 (10)</vt:lpstr>
      <vt:lpstr>처방전양식 (9)</vt:lpstr>
      <vt:lpstr>처방전양식 (8)</vt:lpstr>
      <vt:lpstr>처방전양식 (7)</vt: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2026-03-13T03:01:14Z</cp:lastPrinted>
  <dcterms:created xsi:type="dcterms:W3CDTF">2024-09-12T16:35:01Z</dcterms:created>
  <dcterms:modified xsi:type="dcterms:W3CDTF">2026-05-13T00:42:56Z</dcterms:modified>
</cp:coreProperties>
</file>