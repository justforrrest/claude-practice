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16" documentId="8_{6EB8DC0A-AB56-415F-A9F3-EA1534264548}" xr6:coauthVersionLast="47" xr6:coauthVersionMax="47" xr10:uidLastSave="{AED5C1C4-750C-4CA1-A350-F47264BF9AF2}"/>
  <bookViews>
    <workbookView xWindow="11790" yWindow="360" windowWidth="16875" windowHeight="15450" xr2:uid="{8B9F1886-173A-4475-B0CF-D9F36CE30773}"/>
  </bookViews>
  <sheets>
    <sheet name="건비이사탕" sheetId="7" r:id="rId1"/>
    <sheet name="가미온중탕" sheetId="6" r:id="rId2"/>
    <sheet name="평진건비탕" sheetId="4" r:id="rId3"/>
    <sheet name="약재관리" sheetId="5"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7" l="1"/>
  <c r="J20" i="7"/>
  <c r="G19" i="7"/>
  <c r="G20" i="7"/>
  <c r="H21" i="7"/>
  <c r="H22" i="7"/>
  <c r="H23" i="7"/>
  <c r="H25" i="7"/>
  <c r="H26" i="7"/>
  <c r="H27" i="7"/>
  <c r="I28" i="7"/>
  <c r="H29" i="7"/>
  <c r="H30" i="7"/>
  <c r="H31" i="7"/>
  <c r="G18" i="7"/>
  <c r="H18" i="7" s="1"/>
  <c r="G6" i="7"/>
  <c r="H6" i="7" s="1"/>
  <c r="G7" i="7"/>
  <c r="G8" i="7"/>
  <c r="H8" i="7" s="1"/>
  <c r="G9" i="7"/>
  <c r="H9" i="7" s="1"/>
  <c r="G10" i="7"/>
  <c r="H10" i="7" s="1"/>
  <c r="G11" i="7"/>
  <c r="H11" i="7" s="1"/>
  <c r="G12" i="7"/>
  <c r="H12" i="7" s="1"/>
  <c r="G13" i="7"/>
  <c r="H13" i="7" s="1"/>
  <c r="G14" i="7"/>
  <c r="H14" i="7" s="1"/>
  <c r="G15" i="7"/>
  <c r="H15" i="7" s="1"/>
  <c r="G16" i="7"/>
  <c r="G17" i="7"/>
  <c r="H17" i="7" s="1"/>
  <c r="F31" i="7"/>
  <c r="F30" i="7"/>
  <c r="F29" i="7"/>
  <c r="F28" i="7"/>
  <c r="F27" i="7"/>
  <c r="F26" i="7"/>
  <c r="F25" i="7"/>
  <c r="F24" i="7"/>
  <c r="I24" i="7" s="1"/>
  <c r="F23" i="7"/>
  <c r="F22" i="7"/>
  <c r="F21" i="7"/>
  <c r="H20" i="7"/>
  <c r="F20" i="7"/>
  <c r="I20" i="7" s="1"/>
  <c r="H19" i="7"/>
  <c r="F19" i="7"/>
  <c r="I19" i="7" s="1"/>
  <c r="L18" i="7"/>
  <c r="L19" i="7" s="1"/>
  <c r="L20" i="7" s="1"/>
  <c r="F18" i="7"/>
  <c r="J18" i="7" s="1"/>
  <c r="F17" i="7"/>
  <c r="J17" i="7" s="1"/>
  <c r="H16" i="7"/>
  <c r="F16" i="7"/>
  <c r="J16" i="7" s="1"/>
  <c r="F15" i="7"/>
  <c r="J15" i="7" s="1"/>
  <c r="F14" i="7"/>
  <c r="J14" i="7" s="1"/>
  <c r="F13" i="7"/>
  <c r="J13" i="7" s="1"/>
  <c r="F12" i="7"/>
  <c r="J12" i="7" s="1"/>
  <c r="F11" i="7"/>
  <c r="J11" i="7" s="1"/>
  <c r="F10" i="7"/>
  <c r="J10" i="7" s="1"/>
  <c r="F9" i="7"/>
  <c r="J9" i="7" s="1"/>
  <c r="F8" i="7"/>
  <c r="J8" i="7" s="1"/>
  <c r="H7" i="7"/>
  <c r="F7" i="7"/>
  <c r="J7" i="7" s="1"/>
  <c r="F6" i="7"/>
  <c r="J6" i="7" s="1"/>
  <c r="G5" i="7"/>
  <c r="F5" i="7"/>
  <c r="J5" i="7" s="1"/>
  <c r="G4" i="7"/>
  <c r="F4" i="7"/>
  <c r="J4" i="7" s="1"/>
  <c r="G3" i="7"/>
  <c r="I3" i="7" s="1"/>
  <c r="F3" i="7"/>
  <c r="J3" i="7" s="1"/>
  <c r="G2" i="7"/>
  <c r="F2" i="7"/>
  <c r="I27" i="7" l="1"/>
  <c r="I22" i="7"/>
  <c r="I23" i="7"/>
  <c r="H28" i="7"/>
  <c r="I29" i="7"/>
  <c r="H24" i="7"/>
  <c r="I30" i="7"/>
  <c r="I25" i="7"/>
  <c r="I31" i="7"/>
  <c r="I26" i="7"/>
  <c r="I21" i="7"/>
  <c r="I18" i="7"/>
  <c r="I12" i="7"/>
  <c r="I15" i="7"/>
  <c r="I9" i="7"/>
  <c r="I6" i="7"/>
  <c r="I5" i="7"/>
  <c r="I4" i="7"/>
  <c r="I2" i="7"/>
  <c r="L23" i="7"/>
  <c r="H2" i="7"/>
  <c r="I7" i="7"/>
  <c r="I10" i="7"/>
  <c r="I13" i="7"/>
  <c r="I16" i="7"/>
  <c r="H4" i="7"/>
  <c r="J2" i="7"/>
  <c r="H5" i="7"/>
  <c r="I8" i="7"/>
  <c r="I11" i="7"/>
  <c r="I14" i="7"/>
  <c r="I17" i="7"/>
  <c r="H3" i="7"/>
  <c r="L31" i="7" l="1"/>
  <c r="L30" i="7"/>
  <c r="G19" i="6"/>
  <c r="H31" i="6"/>
  <c r="F31" i="6"/>
  <c r="I31" i="6" s="1"/>
  <c r="H30" i="6"/>
  <c r="F30" i="6"/>
  <c r="I30" i="6" s="1"/>
  <c r="H29" i="6"/>
  <c r="F29" i="6"/>
  <c r="I29" i="6" s="1"/>
  <c r="H28" i="6"/>
  <c r="F28" i="6"/>
  <c r="I28" i="6" s="1"/>
  <c r="I27" i="6"/>
  <c r="H27" i="6"/>
  <c r="F27" i="6"/>
  <c r="H26" i="6"/>
  <c r="F26" i="6"/>
  <c r="I26" i="6" s="1"/>
  <c r="H25" i="6"/>
  <c r="F25" i="6"/>
  <c r="I25" i="6" s="1"/>
  <c r="H24" i="6"/>
  <c r="F24" i="6"/>
  <c r="I24" i="6" s="1"/>
  <c r="H23" i="6"/>
  <c r="F23" i="6"/>
  <c r="I23" i="6" s="1"/>
  <c r="I22" i="6"/>
  <c r="H22" i="6"/>
  <c r="F22" i="6"/>
  <c r="I21" i="6"/>
  <c r="F21" i="6"/>
  <c r="F20" i="6"/>
  <c r="F19" i="6"/>
  <c r="L18" i="6"/>
  <c r="L19" i="6" s="1"/>
  <c r="L20" i="6" s="1"/>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H20" i="4"/>
  <c r="G20" i="4"/>
  <c r="G21" i="4"/>
  <c r="G19" i="4"/>
  <c r="I137" i="5"/>
  <c r="H57" i="5"/>
  <c r="G15" i="4"/>
  <c r="G16" i="4"/>
  <c r="G17" i="4"/>
  <c r="G18"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0" i="6" l="1"/>
  <c r="I3" i="6"/>
  <c r="I18" i="6"/>
  <c r="I19" i="6"/>
  <c r="I17" i="6"/>
  <c r="I13" i="6"/>
  <c r="I12" i="6"/>
  <c r="I11" i="6"/>
  <c r="I10" i="6"/>
  <c r="I7" i="6"/>
  <c r="I6" i="6"/>
  <c r="I5" i="6"/>
  <c r="I2" i="6"/>
  <c r="I9" i="6"/>
  <c r="I15" i="6"/>
  <c r="L23" i="6"/>
  <c r="I4" i="6"/>
  <c r="I16" i="6"/>
  <c r="I8" i="6"/>
  <c r="I14" i="6"/>
  <c r="H21" i="6"/>
  <c r="H4" i="6"/>
  <c r="H7" i="6"/>
  <c r="H10" i="6"/>
  <c r="H13" i="6"/>
  <c r="H16" i="6"/>
  <c r="H19" i="6"/>
  <c r="H2" i="6"/>
  <c r="H5" i="6"/>
  <c r="H8" i="6"/>
  <c r="H11" i="6"/>
  <c r="H14" i="6"/>
  <c r="H17" i="6"/>
  <c r="H20" i="6"/>
  <c r="H3" i="6"/>
  <c r="H6" i="6"/>
  <c r="H9" i="6"/>
  <c r="H12" i="6"/>
  <c r="H15" i="6"/>
  <c r="H18" i="6"/>
  <c r="F2" i="4"/>
  <c r="L31" i="6" l="1"/>
  <c r="L30" i="6"/>
  <c r="H4" i="4"/>
  <c r="H5" i="4"/>
  <c r="H6" i="4"/>
  <c r="H7" i="4"/>
  <c r="H8" i="4"/>
  <c r="H12" i="4"/>
  <c r="H13" i="4"/>
  <c r="H14" i="4"/>
  <c r="H15" i="4"/>
  <c r="H16"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<sst xmlns="http://schemas.openxmlformats.org/spreadsheetml/2006/main" count="736" uniqueCount="457">
  <si>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</si>
  <si>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</si>
  <si>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</si>
  <si>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</si>
  <si>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</si>
  <si>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</si>
  <si>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</si>
  <si>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</si>
  <si>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</si>
  <si>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</si>
  <si>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</si>
  <si>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</si>
  <si>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</si>
  <si>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</si>
  <si>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</si>
  <si>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</si>
  <si>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</si>
  <si>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</si>
  <si>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</si>
  <si>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</si>
  <si>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</si>
  <si>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</si>
  <si>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</si>
  <si>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</si>
  <si>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</si>
  <si>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</si>
  <si>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</si>
  <si>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</si>
  <si>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</si>
  <si>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</si>
  <si>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</si>
  <si>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</si>
  <si>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</si>
  <si>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</si>
  <si>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</si>
  <si>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</si>
  <si>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</si>
  <si>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</si>
  <si>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</si>
  <si>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</si>
  <si>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</si>
  <si>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</si>
  <si>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</si>
  <si>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</si>
  <si>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</si>
  <si>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</si>
  <si>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</si>
  <si>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</si>
  <si>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</si>
  <si>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</si>
  <si>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</si>
  <si>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</si>
  <si>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</si>
  <si>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</si>
  <si>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</si>
  <si>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</si>
  <si>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</si>
  <si>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</si>
  <si>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</si>
  <si>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</si>
  <si>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</si>
  <si>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</si>
  <si>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</si>
  <si>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</si>
  <si>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</si>
  <si>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</si>
  <si>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</si>
  <si>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</si>
  <si>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</si>
  <si>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</si>
  <si>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</si>
  <si>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</si>
  <si>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</si>
  <si>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</si>
  <si>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</si>
  <si>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</si>
  <si>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</si>
  <si>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</si>
  <si>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</si>
  <si>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</si>
  <si>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</si>
  <si>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</si>
  <si>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</si>
  <si>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</si>
  <si>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</si>
  <si>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</si>
  <si>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</si>
  <si>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</si>
  <si>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</si>
  <si>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</si>
  <si>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</si>
  <si>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</si>
  <si>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</si>
  <si>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</si>
  <si>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</si>
  <si>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</si>
  <si>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</si>
  <si>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</si>
  <si>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</si>
  <si>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</si>
  <si>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</si>
  <si>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</si>
  <si>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</si>
  <si>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</si>
  <si>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</si>
  <si>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</si>
  <si>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</si>
  <si>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</si>
  <si>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</si>
  <si>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</si>
  <si>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</si>
  <si>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</si>
  <si>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</si>
  <si>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</si>
  <si>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</si>
  <si>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</si>
  <si>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</si>
  <si>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</si>
  <si>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</si>
  <si>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</si>
  <si>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</si>
  <si>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</si>
  <si>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</si>
  <si>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</si>
  <si>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</si>
  <si>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</si>
  <si>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</si>
  <si>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</si>
  <si>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</si>
  <si>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</si>
  <si>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</si>
  <si>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</si>
  <si>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</si>
  <si>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</si>
  <si>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</si>
  <si>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</si>
  <si>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</si>
  <si>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</si>
  <si>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</si>
  <si>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</si>
  <si>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</si>
  <si>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</si>
  <si>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</si>
  <si>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</si>
  <si>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</si>
  <si>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</si>
  <si>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</si>
  <si>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</si>
  <si>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</si>
  <si>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</si>
  <si>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</si>
  <si>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</si>
  <si>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</si>
  <si>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</si>
  <si>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</si>
  <si>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</si>
  <si>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</si>
  <si>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</si>
  <si>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</si>
  <si>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</si>
  <si>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</si>
  <si>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</si>
  <si>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</si>
  <si>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</si>
  <si>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</si>
  <si>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</si>
  <si>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</si>
  <si>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</si>
  <si>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</si>
  <si>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</si>
  <si>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</si>
  <si>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</si>
  <si>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</si>
  <si>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</si>
  <si>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</si>
  <si>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</si>
  <si>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</si>
  <si>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</si>
  <si>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</si>
  <si>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</si>
  <si>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</si>
  <si>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</si>
  <si>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</si>
  <si>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</si>
  <si>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</si>
  <si>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</si>
  <si>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</si>
  <si>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</si>
  <si>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</si>
  <si>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</si>
  <si>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</si>
  <si>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</si>
  <si>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</si>
  <si>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</si>
  <si>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</si>
  <si>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</si>
  <si>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</si>
  <si>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</si>
  <si>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</si>
  <si>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</si>
  <si>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</si>
  <si>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</si>
  <si>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</si>
  <si>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</si>
  <si>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</si>
  <si>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</si>
  <si>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</si>
  <si>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</si>
  <si>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</si>
  <si>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</si>
  <si>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</si>
  <si>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</si>
  <si>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</si>
  <si>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</si>
  <si>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</si>
  <si>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</si>
  <si>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</si>
  <si>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</si>
  <si>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</si>
  <si>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</si>
  <si>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</si>
  <si>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</si>
  <si>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</si>
  <si>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</si>
  <si>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</si>
  <si>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</si>
  <si>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</si>
  <si>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</si>
  <si>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</si>
  <si>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</si>
  <si>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</si>
  <si>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</si>
  <si>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</si>
  <si>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</si>
  <si>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</si>
  <si>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</si>
  <si>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</si>
  <si>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</si>
  <si>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</si>
  <si>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</si>
  <si>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</si>
  <si>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</si>
  <si>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</si>
  <si>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</si>
  <si>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</si>
  <si>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</si>
  <si>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</si>
  <si>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</si>
  <si>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</si>
  <si>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</si>
  <si>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</si>
  <si>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</si>
  <si>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</si>
  <si>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</si>
  <si>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</si>
  <si>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</si>
  <si>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</si>
  <si>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</si>
  <si>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</si>
  <si>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</si>
  <si>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</si>
  <si>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</si>
  <si>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</si>
  <si>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</si>
  <si>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</si>
  <si>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</si>
  <si>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</si>
  <si>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</si>
  <si>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</si>
  <si>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</si>
  <si>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</si>
  <si>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</si>
  <si>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</si>
  <si>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</si>
  <si>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</si>
  <si>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</si>
  <si>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</si>
  <si>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</si>
  <si>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</si>
  <si>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</si>
  <si>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</si>
  <si>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</si>
  <si>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</si>
  <si>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</si>
  <si>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</si>
  <si>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</si>
  <si>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</si>
  <si>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</si>
  <si>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</si>
  <si>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</si>
  <si>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</si>
  <si>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</si>
  <si>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</si>
  <si>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</si>
  <si>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</si>
  <si>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</si>
  <si>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</si>
  <si>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</si>
  <si>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</si>
  <si>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</si>
  <si>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</si>
  <si>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</si>
  <si>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</si>
  <si>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</si>
  <si>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</si>
  <si>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</si>
  <si>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</si>
  <si>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</si>
  <si>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</si>
  <si>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</si>
  <si>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</si>
  <si>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</si>
  <si>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</si>
  <si>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</si>
  <si>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</si>
  <si>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</si>
  <si>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</si>
  <si>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</si>
  <si>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</si>
  <si>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</si>
  <si>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</si>
  <si>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</si>
  <si>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</si>
  <si>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</si>
  <si>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</si>
  <si>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</si>
  <si>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</si>
  <si>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</si>
  <si>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</si>
  <si>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</si>
  <si>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</si>
  <si>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</si>
  <si>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</si>
  <si>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</si>
  <si>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</si>
  <si>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</si>
  <si>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</si>
  <si>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</si>
  <si>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</si>
  <si>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</si>
  <si>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</si>
  <si>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</si>
  <si>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</si>
  <si>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</si>
  <si>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</si>
  <si>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</si>
  <si>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</si>
  <si>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</si>
  <si>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</si>
  <si>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</si>
  <si>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</si>
  <si>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</si>
  <si>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</si>
  <si>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</si>
  <si>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</si>
  <si>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</si>
  <si>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</si>
  <si>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</si>
  <si>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</si>
  <si>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</si>
  <si>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</si>
  <si>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</si>
  <si>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</si>
  <si>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</si>
  <si>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</si>
  <si>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</si>
  <si>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</si>
  <si>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</si>
  <si>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</si>
  <si>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</si>
  <si>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</si>
  <si>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</si>
  <si>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</si>
  <si>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</si>
  <si>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</si>
  <si>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</si>
  <si>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</si>
  <si>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</si>
  <si>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</si>
  <si>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</si>
  <si>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</si>
  <si>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</si>
  <si>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</si>
  <si>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</si>
  <si>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</si>
  <si>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</si>
  <si>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</si>
  <si>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</si>
  <si>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</si>
  <si>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</si>
  <si>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</si>
  <si>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</si>
  <si>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</si>
  <si>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</si>
  <si>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</si>
  <si>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</si>
  <si>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</si>
  <si>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</si>
  <si>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</si>
  <si>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</si>
  <si>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</si>
  <si>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</si>
  <si>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</si>
  <si>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</si>
  <si>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</si>
  <si>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</si>
  <si>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</si>
  <si>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</si>
  <si>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</si>
  <si>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</si>
  <si>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</si>
  <si>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</si>
  <si>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</si>
  <si>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</si>
  <si>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산사</t>
    <phoneticPr fontId="5" type="noConversion"/>
  </si>
  <si>
    <t>향부자</t>
    <phoneticPr fontId="5" type="noConversion"/>
  </si>
  <si>
    <t>반하</t>
    <phoneticPr fontId="5" type="noConversion"/>
  </si>
  <si>
    <t>생강</t>
    <phoneticPr fontId="5" type="noConversion"/>
  </si>
  <si>
    <t>후박</t>
    <phoneticPr fontId="5" type="noConversion"/>
  </si>
  <si>
    <t>맥아</t>
    <phoneticPr fontId="5" type="noConversion"/>
  </si>
  <si>
    <t>감초</t>
    <phoneticPr fontId="5" type="noConversion"/>
  </si>
  <si>
    <t>지실</t>
    <phoneticPr fontId="5" type="noConversion"/>
  </si>
  <si>
    <t>사인</t>
    <phoneticPr fontId="5" type="noConversion"/>
  </si>
  <si>
    <t>백출</t>
    <phoneticPr fontId="5" type="noConversion"/>
  </si>
  <si>
    <t>신곡</t>
    <phoneticPr fontId="5" type="noConversion"/>
  </si>
  <si>
    <t>대추</t>
    <phoneticPr fontId="5" type="noConversion"/>
  </si>
  <si>
    <t>목향</t>
    <phoneticPr fontId="5" type="noConversion"/>
  </si>
  <si>
    <t>치자</t>
    <phoneticPr fontId="5" type="noConversion"/>
  </si>
  <si>
    <t>진피1</t>
    <phoneticPr fontId="5" type="noConversion"/>
  </si>
  <si>
    <t>곽향1</t>
    <phoneticPr fontId="5" type="noConversion"/>
  </si>
  <si>
    <t>천궁1</t>
    <phoneticPr fontId="5" type="noConversion"/>
  </si>
  <si>
    <t>창출1</t>
    <phoneticPr fontId="5" type="noConversion"/>
  </si>
  <si>
    <t>평진건비탕</t>
    <phoneticPr fontId="5" type="noConversion"/>
  </si>
  <si>
    <t>한진규</t>
    <phoneticPr fontId="5" type="noConversion"/>
  </si>
  <si>
    <t>M</t>
    <phoneticPr fontId="5" type="noConversion"/>
  </si>
  <si>
    <t>오매</t>
    <phoneticPr fontId="5" type="noConversion"/>
  </si>
  <si>
    <t>인삼</t>
    <phoneticPr fontId="5" type="noConversion"/>
  </si>
  <si>
    <t>가미온중탕</t>
    <phoneticPr fontId="5" type="noConversion"/>
  </si>
  <si>
    <t>건강</t>
    <phoneticPr fontId="5" type="noConversion"/>
  </si>
  <si>
    <t>복령</t>
    <phoneticPr fontId="5" type="noConversion"/>
  </si>
  <si>
    <t>초두구</t>
    <phoneticPr fontId="5" type="noConversion"/>
  </si>
  <si>
    <t>육계</t>
    <phoneticPr fontId="5" type="noConversion"/>
  </si>
  <si>
    <t>빈랑</t>
    <phoneticPr fontId="5" type="noConversion"/>
  </si>
  <si>
    <t>산약</t>
    <phoneticPr fontId="5" type="noConversion"/>
  </si>
  <si>
    <t>육두구</t>
    <phoneticPr fontId="5" type="noConversion"/>
  </si>
  <si>
    <t>파고지</t>
    <phoneticPr fontId="5" type="noConversion"/>
  </si>
  <si>
    <t xml:space="preserve">청강의감 가미온중탕 + 신곡 빈랑 사인 곽향 인삼 산약 육두구 파고지
</t>
    <phoneticPr fontId="5" type="noConversion"/>
  </si>
  <si>
    <t>1일당</t>
    <phoneticPr fontId="5" type="noConversion"/>
  </si>
  <si>
    <t>건지황</t>
    <phoneticPr fontId="5" type="noConversion"/>
  </si>
  <si>
    <t>백작약</t>
    <phoneticPr fontId="5" type="noConversion"/>
  </si>
  <si>
    <t>맥문동</t>
    <phoneticPr fontId="5" type="noConversion"/>
  </si>
  <si>
    <t>천마</t>
    <phoneticPr fontId="5" type="noConversion"/>
  </si>
  <si>
    <t>형개</t>
    <phoneticPr fontId="5" type="noConversion"/>
  </si>
  <si>
    <t>원지</t>
    <phoneticPr fontId="5" type="noConversion"/>
  </si>
  <si>
    <t>당귀1</t>
    <phoneticPr fontId="5" type="noConversion"/>
  </si>
  <si>
    <t>방풍1</t>
    <phoneticPr fontId="5" type="noConversion"/>
  </si>
  <si>
    <t>건비이사탕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</si>
</sst>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70">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xf>
    <xf numFmtId="0" fontId="0" fillId="0" borderId="0" xfId="0" applyAlignment="1">
      <alignment horizontal="center" vertical="center"/>
    </xf>
    <xf numFmtId="179" fontId="0" fillId="0" borderId="14" xfId="0" applyNumberFormat="1" applyBorder="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47F90-0C53-4640-96C7-3513878FBB93}">
  <sheetPr>
    <pageSetUpPr fitToPage="1"/>
  </sheetPr>
  <dimension ref="B1:M31"/>
  <sheetViews>
    <sheetView tabSelected="1" topLeftCell="B1" workbookViewId="0">
      <selection activeCell="E18" sqref="E18"/>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4</v>
      </c>
      <c r="G1" s="145" t="s">
        <v>5</v>
      </c>
      <c r="H1" s="146" t="s">
        <v>6</v>
      </c>
      <c r="I1" s="147" t="s">
        <v>7</v>
      </c>
      <c r="J1" s="168" t="s">
        <v>447</v>
      </c>
      <c r="K1" s="150" t="s">
        <v>8</v>
      </c>
      <c r="L1" s="151"/>
      <c r="M1" s="152"/>
    </row>
    <row r="2" spans="2:13">
      <c r="B2" s="2">
        <v>1</v>
      </c>
      <c r="C2" t="s">
        <v>423</v>
      </c>
      <c r="D2" s="3"/>
      <c r="E2" s="87">
        <v>6</v>
      </c>
      <c r="F2" s="169">
        <f>E2*$L$15</f>
        <v>120</v>
      </c>
      <c r="G2">
        <f>VLOOKUP($C2,[1]약재관리!$A:$J,10,FALSE)</f>
        <v>13</v>
      </c>
      <c r="H2" s="4">
        <f>G2*E2</f>
        <v>78</v>
      </c>
      <c r="I2" s="5">
        <f t="shared" ref="I2:I31" si="0">G2*F2</f>
        <v>1560</v>
      </c>
      <c r="J2" s="100">
        <f>F2/$L$14</f>
        <v>8</v>
      </c>
      <c r="K2" s="6" t="s">
        <v>9</v>
      </c>
      <c r="L2" s="153">
        <v>122</v>
      </c>
      <c r="M2" s="154"/>
    </row>
    <row r="3" spans="2:13">
      <c r="B3" s="2">
        <v>2</v>
      </c>
      <c r="C3" t="s">
        <v>436</v>
      </c>
      <c r="D3" s="3"/>
      <c r="E3" s="87">
        <v>4</v>
      </c>
      <c r="F3" s="98">
        <f t="shared" ref="F3:F31" si="1">E3*$L$15</f>
        <v>80</v>
      </c>
      <c r="G3">
        <f>VLOOKUP($C3,[1]약재관리!$A:$J,10,FALSE)</f>
        <v>120</v>
      </c>
      <c r="H3" s="4">
        <f t="shared" ref="H3:H31" si="2">G3*E3</f>
        <v>480</v>
      </c>
      <c r="I3" s="5">
        <f t="shared" si="0"/>
        <v>9600</v>
      </c>
      <c r="J3" s="100">
        <f t="shared" ref="J3:J20" si="3">F3/$L$14</f>
        <v>5.333333333333333</v>
      </c>
      <c r="K3" s="7" t="s">
        <v>10</v>
      </c>
      <c r="L3" s="148" t="s">
        <v>456</v>
      </c>
      <c r="M3" s="149"/>
    </row>
    <row r="4" spans="2:13">
      <c r="B4" s="2">
        <v>3</v>
      </c>
      <c r="C4" t="s">
        <v>428</v>
      </c>
      <c r="D4" s="3"/>
      <c r="E4" s="87">
        <v>4</v>
      </c>
      <c r="F4" s="98">
        <f t="shared" si="1"/>
        <v>80</v>
      </c>
      <c r="G4">
        <f>VLOOKUP($C4,[1]약재관리!$A:$J,10,FALSE)</f>
        <v>17.600000000000001</v>
      </c>
      <c r="H4" s="4">
        <f t="shared" si="2"/>
        <v>70.400000000000006</v>
      </c>
      <c r="I4" s="5">
        <f t="shared" si="0"/>
        <v>1408</v>
      </c>
      <c r="J4" s="100">
        <f t="shared" si="3"/>
        <v>5.333333333333333</v>
      </c>
      <c r="K4" s="7" t="s">
        <v>11</v>
      </c>
      <c r="L4" s="155">
        <v>46125</v>
      </c>
      <c r="M4" s="149"/>
    </row>
    <row r="5" spans="2:13">
      <c r="B5" s="2">
        <v>4</v>
      </c>
      <c r="C5" t="s">
        <v>416</v>
      </c>
      <c r="D5" s="3"/>
      <c r="E5" s="87">
        <v>4</v>
      </c>
      <c r="F5" s="98">
        <f t="shared" si="1"/>
        <v>80</v>
      </c>
      <c r="G5">
        <f>VLOOKUP($C5,[1]약재관리!$A:$J,10,FALSE)</f>
        <v>41</v>
      </c>
      <c r="H5" s="4">
        <f t="shared" si="2"/>
        <v>164</v>
      </c>
      <c r="I5" s="5">
        <f t="shared" si="0"/>
        <v>3280</v>
      </c>
      <c r="J5" s="100">
        <f t="shared" si="3"/>
        <v>5.333333333333333</v>
      </c>
      <c r="K5" s="7" t="s">
        <v>12</v>
      </c>
      <c r="L5" s="148" t="s">
        <v>433</v>
      </c>
      <c r="M5" s="149"/>
    </row>
    <row r="6" spans="2:13">
      <c r="B6" s="2">
        <v>5</v>
      </c>
      <c r="C6" t="s">
        <v>439</v>
      </c>
      <c r="D6" s="3"/>
      <c r="E6" s="87">
        <v>4</v>
      </c>
      <c r="F6" s="98">
        <f t="shared" si="1"/>
        <v>80</v>
      </c>
      <c r="G6">
        <f>VLOOKUP($C6,[1]약재관리!$A:$J,10,FALSE)</f>
        <v>8.6999999999999993</v>
      </c>
      <c r="H6" s="4">
        <f t="shared" si="2"/>
        <v>34.799999999999997</v>
      </c>
      <c r="I6" s="5">
        <f t="shared" si="0"/>
        <v>696</v>
      </c>
      <c r="J6" s="100">
        <f t="shared" si="3"/>
        <v>5.333333333333333</v>
      </c>
      <c r="K6" s="7" t="s">
        <v>13</v>
      </c>
      <c r="L6" s="148">
        <v>64</v>
      </c>
      <c r="M6" s="149"/>
    </row>
    <row r="7" spans="2:13" ht="17.25" thickBot="1">
      <c r="B7" s="2">
        <v>6</v>
      </c>
      <c r="C7" t="s">
        <v>448</v>
      </c>
      <c r="D7" s="3"/>
      <c r="E7" s="87">
        <v>4</v>
      </c>
      <c r="F7" s="98">
        <f t="shared" si="1"/>
        <v>80</v>
      </c>
      <c r="G7">
        <f>VLOOKUP($C7,[1]약재관리!$A:$J,10,FALSE)</f>
        <v>18.3</v>
      </c>
      <c r="H7" s="4">
        <f t="shared" si="2"/>
        <v>73.2</v>
      </c>
      <c r="I7" s="5">
        <f t="shared" si="0"/>
        <v>1464</v>
      </c>
      <c r="J7" s="100">
        <f t="shared" si="3"/>
        <v>5.333333333333333</v>
      </c>
      <c r="K7" s="7" t="s">
        <v>14</v>
      </c>
      <c r="L7" s="156" t="s">
        <v>434</v>
      </c>
      <c r="M7" s="157"/>
    </row>
    <row r="8" spans="2:13" ht="17.25" thickBot="1">
      <c r="B8" s="2">
        <v>7</v>
      </c>
      <c r="C8" t="s">
        <v>454</v>
      </c>
      <c r="D8" s="3"/>
      <c r="E8" s="87">
        <v>4</v>
      </c>
      <c r="F8" s="98">
        <f t="shared" si="1"/>
        <v>80</v>
      </c>
      <c r="G8">
        <f>VLOOKUP($C8,[1]약재관리!$A:$J,10,FALSE)</f>
        <v>31.7</v>
      </c>
      <c r="H8" s="4">
        <f t="shared" si="2"/>
        <v>126.8</v>
      </c>
      <c r="I8" s="5">
        <f t="shared" si="0"/>
        <v>2536</v>
      </c>
      <c r="J8" s="100">
        <f t="shared" si="3"/>
        <v>5.333333333333333</v>
      </c>
      <c r="K8" s="150" t="s">
        <v>15</v>
      </c>
      <c r="L8" s="151"/>
      <c r="M8" s="152"/>
    </row>
    <row r="9" spans="2:13">
      <c r="B9" s="2">
        <v>8</v>
      </c>
      <c r="C9" t="s">
        <v>430</v>
      </c>
      <c r="D9" s="3"/>
      <c r="E9" s="87">
        <v>4</v>
      </c>
      <c r="F9" s="98">
        <f t="shared" si="1"/>
        <v>80</v>
      </c>
      <c r="G9">
        <f>VLOOKUP($C9,[1]약재관리!$A:$J,10,FALSE)</f>
        <v>10.8</v>
      </c>
      <c r="H9" s="4">
        <f t="shared" si="2"/>
        <v>43.2</v>
      </c>
      <c r="I9" s="5">
        <f t="shared" si="0"/>
        <v>864</v>
      </c>
      <c r="J9" s="100">
        <f t="shared" si="3"/>
        <v>5.333333333333333</v>
      </c>
      <c r="K9" s="158"/>
      <c r="L9" s="159"/>
      <c r="M9" s="160"/>
    </row>
    <row r="10" spans="2:13">
      <c r="B10" s="2">
        <v>9</v>
      </c>
      <c r="C10" t="s">
        <v>449</v>
      </c>
      <c r="D10" s="3"/>
      <c r="E10" s="87">
        <v>4</v>
      </c>
      <c r="F10" s="98">
        <f t="shared" si="1"/>
        <v>80</v>
      </c>
      <c r="G10">
        <f>VLOOKUP($C10,[1]약재관리!$A:$J,10,FALSE)</f>
        <v>19.600000000000001</v>
      </c>
      <c r="H10" s="4">
        <f t="shared" si="2"/>
        <v>78.400000000000006</v>
      </c>
      <c r="I10" s="5">
        <f t="shared" si="0"/>
        <v>1568</v>
      </c>
      <c r="J10" s="100">
        <f t="shared" si="3"/>
        <v>5.333333333333333</v>
      </c>
      <c r="K10" s="161"/>
      <c r="L10" s="162"/>
      <c r="M10" s="163"/>
    </row>
    <row r="11" spans="2:13">
      <c r="B11" s="2">
        <v>10</v>
      </c>
      <c r="C11" t="s">
        <v>450</v>
      </c>
      <c r="D11" s="3"/>
      <c r="E11" s="87">
        <v>4</v>
      </c>
      <c r="F11" s="98">
        <f t="shared" si="1"/>
        <v>80</v>
      </c>
      <c r="G11">
        <f>VLOOKUP($C11,[1]약재관리!$A:$J,10,FALSE)</f>
        <v>39.200000000000003</v>
      </c>
      <c r="H11" s="4">
        <f t="shared" si="2"/>
        <v>156.80000000000001</v>
      </c>
      <c r="I11" s="5">
        <f t="shared" si="0"/>
        <v>3136</v>
      </c>
      <c r="J11" s="100">
        <f t="shared" si="3"/>
        <v>5.333333333333333</v>
      </c>
      <c r="K11" s="161"/>
      <c r="L11" s="162"/>
      <c r="M11" s="163"/>
    </row>
    <row r="12" spans="2:13">
      <c r="B12" s="2">
        <v>11</v>
      </c>
      <c r="C12" t="s">
        <v>451</v>
      </c>
      <c r="D12" s="3"/>
      <c r="E12" s="87">
        <v>4</v>
      </c>
      <c r="F12" s="98">
        <f t="shared" si="1"/>
        <v>80</v>
      </c>
      <c r="G12">
        <f>VLOOKUP($C12,[1]약재관리!$A:$J,10,FALSE)</f>
        <v>52.8</v>
      </c>
      <c r="H12" s="4">
        <f t="shared" si="2"/>
        <v>211.2</v>
      </c>
      <c r="I12" s="5">
        <f t="shared" si="0"/>
        <v>4224</v>
      </c>
      <c r="J12" s="100">
        <f t="shared" si="3"/>
        <v>5.333333333333333</v>
      </c>
      <c r="K12" s="161"/>
      <c r="L12" s="162"/>
      <c r="M12" s="163"/>
    </row>
    <row r="13" spans="2:13" ht="17.25" thickBot="1">
      <c r="B13" s="2">
        <v>12</v>
      </c>
      <c r="C13" t="s">
        <v>455</v>
      </c>
      <c r="D13" s="3"/>
      <c r="E13" s="87">
        <v>4</v>
      </c>
      <c r="F13" s="98">
        <f t="shared" si="1"/>
        <v>80</v>
      </c>
      <c r="G13">
        <f>VLOOKUP($C13,[1]약재관리!$A:$J,10,FALSE)</f>
        <v>11.7</v>
      </c>
      <c r="H13" s="4">
        <f t="shared" si="2"/>
        <v>46.8</v>
      </c>
      <c r="I13" s="5">
        <f t="shared" si="0"/>
        <v>936</v>
      </c>
      <c r="J13" s="100">
        <f t="shared" si="3"/>
        <v>5.333333333333333</v>
      </c>
      <c r="K13" s="164"/>
      <c r="L13" s="165"/>
      <c r="M13" s="166"/>
    </row>
    <row r="14" spans="2:13">
      <c r="B14" s="2">
        <v>13</v>
      </c>
      <c r="C14" t="s">
        <v>452</v>
      </c>
      <c r="D14" s="3"/>
      <c r="E14" s="87">
        <v>2</v>
      </c>
      <c r="F14" s="98">
        <f t="shared" si="1"/>
        <v>40</v>
      </c>
      <c r="G14">
        <f>VLOOKUP($C14,[1]약재관리!$A:$J,10,FALSE)</f>
        <v>17.600000000000001</v>
      </c>
      <c r="H14" s="4">
        <f>G14*E14</f>
        <v>35.200000000000003</v>
      </c>
      <c r="I14" s="5">
        <f>G14*F14</f>
        <v>704</v>
      </c>
      <c r="J14" s="100">
        <f t="shared" si="3"/>
        <v>2.6666666666666665</v>
      </c>
      <c r="K14" s="91" t="s">
        <v>16</v>
      </c>
      <c r="L14" s="8">
        <v>15</v>
      </c>
      <c r="M14" s="9" t="s">
        <v>17</v>
      </c>
    </row>
    <row r="15" spans="2:13">
      <c r="B15" s="2">
        <v>14</v>
      </c>
      <c r="C15" t="s">
        <v>453</v>
      </c>
      <c r="D15" s="3"/>
      <c r="E15" s="87">
        <v>2</v>
      </c>
      <c r="F15" s="98">
        <f t="shared" si="1"/>
        <v>40</v>
      </c>
      <c r="G15">
        <f>VLOOKUP($C15,[1]약재관리!$A:$J,10,FALSE)</f>
        <v>68</v>
      </c>
      <c r="H15" s="4">
        <f>G15*E15</f>
        <v>136</v>
      </c>
      <c r="I15" s="5">
        <f>G15*F15</f>
        <v>2720</v>
      </c>
      <c r="J15" s="100">
        <f t="shared" si="3"/>
        <v>2.6666666666666665</v>
      </c>
      <c r="K15" s="90" t="s">
        <v>18</v>
      </c>
      <c r="L15">
        <v>20</v>
      </c>
      <c r="M15" s="3" t="s">
        <v>19</v>
      </c>
    </row>
    <row r="16" spans="2:13">
      <c r="B16" s="2">
        <v>15</v>
      </c>
      <c r="C16" t="s">
        <v>420</v>
      </c>
      <c r="D16" s="3"/>
      <c r="E16" s="87">
        <v>2</v>
      </c>
      <c r="F16" s="98">
        <f t="shared" si="1"/>
        <v>40</v>
      </c>
      <c r="G16">
        <f>VLOOKUP($C16,[1]약재관리!$A:$J,10,FALSE)</f>
        <v>30</v>
      </c>
      <c r="H16" s="4">
        <f t="shared" si="2"/>
        <v>60</v>
      </c>
      <c r="I16" s="5">
        <f t="shared" si="0"/>
        <v>1200</v>
      </c>
      <c r="J16" s="100">
        <f t="shared" si="3"/>
        <v>2.6666666666666665</v>
      </c>
      <c r="K16" s="90" t="s">
        <v>20</v>
      </c>
      <c r="L16">
        <v>30</v>
      </c>
      <c r="M16" s="3" t="s">
        <v>21</v>
      </c>
    </row>
    <row r="17" spans="2:13" ht="17.25" thickBot="1">
      <c r="B17" s="2">
        <v>16</v>
      </c>
      <c r="C17" t="s">
        <v>422</v>
      </c>
      <c r="D17" s="3"/>
      <c r="E17" s="87">
        <v>2</v>
      </c>
      <c r="F17" s="98">
        <f t="shared" si="1"/>
        <v>40</v>
      </c>
      <c r="G17">
        <f>VLOOKUP($C17,[1]약재관리!$A:$J,10,FALSE)</f>
        <v>21.8</v>
      </c>
      <c r="H17" s="4">
        <f t="shared" si="2"/>
        <v>43.6</v>
      </c>
      <c r="I17" s="5">
        <f t="shared" si="0"/>
        <v>872</v>
      </c>
      <c r="J17" s="100">
        <f t="shared" si="3"/>
        <v>2.6666666666666665</v>
      </c>
      <c r="K17" s="13" t="s">
        <v>22</v>
      </c>
      <c r="L17" s="10">
        <v>110</v>
      </c>
      <c r="M17" s="11" t="s">
        <v>23</v>
      </c>
    </row>
    <row r="18" spans="2:13">
      <c r="B18" s="2">
        <v>17</v>
      </c>
      <c r="C18" t="s">
        <v>438</v>
      </c>
      <c r="D18" s="3"/>
      <c r="E18" s="87">
        <v>2</v>
      </c>
      <c r="F18" s="98">
        <f t="shared" si="1"/>
        <v>40</v>
      </c>
      <c r="G18">
        <f>VLOOKUP($C18,[1]약재관리!$A:$J,10,FALSE)</f>
        <v>9.5</v>
      </c>
      <c r="H18" s="4">
        <f t="shared" si="2"/>
        <v>19</v>
      </c>
      <c r="I18" s="5">
        <f t="shared" si="0"/>
        <v>380</v>
      </c>
      <c r="J18" s="100">
        <f t="shared" si="3"/>
        <v>2.6666666666666665</v>
      </c>
      <c r="K18" s="91" t="s">
        <v>24</v>
      </c>
      <c r="L18" s="8">
        <f>SUM(E2:E31)</f>
        <v>66</v>
      </c>
      <c r="M18" s="9" t="s">
        <v>25</v>
      </c>
    </row>
    <row r="19" spans="2:13">
      <c r="B19" s="2">
        <v>18</v>
      </c>
      <c r="C19" t="s">
        <v>417</v>
      </c>
      <c r="D19" s="3"/>
      <c r="E19" s="87">
        <v>3</v>
      </c>
      <c r="F19" s="98">
        <f t="shared" si="1"/>
        <v>60</v>
      </c>
      <c r="G19">
        <f>VLOOKUP($C19,[1]약재관리!$A:$J,10,FALSE)</f>
        <v>20</v>
      </c>
      <c r="H19" s="4">
        <f t="shared" si="2"/>
        <v>60</v>
      </c>
      <c r="I19" s="5">
        <f t="shared" si="0"/>
        <v>1200</v>
      </c>
      <c r="J19" s="100">
        <f t="shared" si="3"/>
        <v>4</v>
      </c>
      <c r="K19" s="90" t="s">
        <v>26</v>
      </c>
      <c r="L19">
        <f>L15*L18</f>
        <v>1320</v>
      </c>
      <c r="M19" s="3" t="s">
        <v>25</v>
      </c>
    </row>
    <row r="20" spans="2:13" ht="17.25" thickBot="1">
      <c r="B20" s="2">
        <v>19</v>
      </c>
      <c r="C20" t="s">
        <v>425</v>
      </c>
      <c r="D20" s="3"/>
      <c r="E20" s="87">
        <v>3</v>
      </c>
      <c r="F20" s="98">
        <f t="shared" si="1"/>
        <v>60</v>
      </c>
      <c r="G20">
        <f>VLOOKUP($C20,[1]약재관리!$A:$J,10,FALSE)</f>
        <v>21.2</v>
      </c>
      <c r="H20" s="4">
        <f t="shared" si="2"/>
        <v>63.599999999999994</v>
      </c>
      <c r="I20" s="5">
        <f t="shared" si="0"/>
        <v>1272</v>
      </c>
      <c r="J20" s="100">
        <f t="shared" si="3"/>
        <v>4</v>
      </c>
      <c r="K20" s="13" t="s">
        <v>27</v>
      </c>
      <c r="L20" s="10">
        <f>L16*L17+L19*1.3+400</f>
        <v>5416</v>
      </c>
      <c r="M20" s="11" t="s">
        <v>23</v>
      </c>
    </row>
    <row r="21" spans="2:13" ht="17.25" thickBot="1">
      <c r="B21" s="2">
        <v>20</v>
      </c>
      <c r="D21" s="3"/>
      <c r="F21" s="98">
        <f t="shared" si="1"/>
        <v>0</v>
      </c>
      <c r="H21" s="4">
        <f t="shared" si="2"/>
        <v>0</v>
      </c>
      <c r="I21" s="5">
        <f t="shared" si="0"/>
        <v>0</v>
      </c>
      <c r="J21" s="90"/>
      <c r="M21" s="93"/>
    </row>
    <row r="22" spans="2:13" ht="17.25" thickBot="1">
      <c r="B22" s="2">
        <v>21</v>
      </c>
      <c r="D22" s="3"/>
      <c r="F22" s="98">
        <f t="shared" si="1"/>
        <v>0</v>
      </c>
      <c r="H22" s="4">
        <f t="shared" si="2"/>
        <v>0</v>
      </c>
      <c r="I22" s="5">
        <f t="shared" si="0"/>
        <v>0</v>
      </c>
      <c r="K22" s="150" t="s">
        <v>28</v>
      </c>
      <c r="L22" s="151"/>
      <c r="M22" s="152"/>
    </row>
    <row r="23" spans="2:13">
      <c r="B23" s="2">
        <v>22</v>
      </c>
      <c r="D23" s="3"/>
      <c r="F23" s="98">
        <f t="shared" si="1"/>
        <v>0</v>
      </c>
      <c r="H23" s="4">
        <f t="shared" si="2"/>
        <v>0</v>
      </c>
      <c r="I23" s="5">
        <f t="shared" si="0"/>
        <v>0</v>
      </c>
      <c r="K23" s="90" t="s">
        <v>29</v>
      </c>
      <c r="L23">
        <f>SUM(F2:F31)</f>
        <v>1320</v>
      </c>
      <c r="M23" s="3" t="s">
        <v>25</v>
      </c>
    </row>
    <row r="24" spans="2:13">
      <c r="B24" s="2">
        <v>23</v>
      </c>
      <c r="D24" s="3"/>
      <c r="F24" s="98">
        <f t="shared" si="1"/>
        <v>0</v>
      </c>
      <c r="H24" s="4">
        <f t="shared" si="2"/>
        <v>0</v>
      </c>
      <c r="I24" s="5">
        <f t="shared" si="0"/>
        <v>0</v>
      </c>
      <c r="K24" s="90" t="s">
        <v>30</v>
      </c>
      <c r="L24">
        <v>5000</v>
      </c>
      <c r="M24" s="3" t="s">
        <v>23</v>
      </c>
    </row>
    <row r="25" spans="2:13">
      <c r="B25" s="2">
        <v>24</v>
      </c>
      <c r="D25" s="3"/>
      <c r="F25" s="98">
        <f t="shared" si="1"/>
        <v>0</v>
      </c>
      <c r="H25" s="4">
        <f t="shared" si="2"/>
        <v>0</v>
      </c>
      <c r="I25" s="5">
        <f t="shared" si="0"/>
        <v>0</v>
      </c>
      <c r="K25" s="90" t="s">
        <v>31</v>
      </c>
      <c r="L25" s="92" t="s">
        <v>32</v>
      </c>
      <c r="M25" s="3" t="s">
        <v>25</v>
      </c>
    </row>
    <row r="26" spans="2:13">
      <c r="B26" s="2">
        <v>25</v>
      </c>
      <c r="D26" s="3"/>
      <c r="F26" s="98">
        <f t="shared" si="1"/>
        <v>0</v>
      </c>
      <c r="H26" s="4">
        <f t="shared" si="2"/>
        <v>0</v>
      </c>
      <c r="I26" s="5">
        <f t="shared" si="0"/>
        <v>0</v>
      </c>
      <c r="K26" s="90" t="s">
        <v>33</v>
      </c>
      <c r="L26" s="92">
        <v>1600</v>
      </c>
      <c r="M26" s="3" t="s">
        <v>25</v>
      </c>
    </row>
    <row r="27" spans="2:13" ht="17.25" thickBot="1">
      <c r="B27" s="2">
        <v>26</v>
      </c>
      <c r="D27" s="3"/>
      <c r="F27" s="98">
        <f t="shared" si="1"/>
        <v>0</v>
      </c>
      <c r="H27" s="4">
        <f t="shared" si="2"/>
        <v>0</v>
      </c>
      <c r="I27" s="5">
        <f t="shared" si="0"/>
        <v>0</v>
      </c>
      <c r="K27" s="13" t="s">
        <v>34</v>
      </c>
      <c r="L27" s="10">
        <v>4</v>
      </c>
      <c r="M27" s="11" t="s">
        <v>25</v>
      </c>
    </row>
    <row r="28" spans="2:13" ht="17.25" thickBot="1">
      <c r="B28" s="2">
        <v>27</v>
      </c>
      <c r="D28" s="3"/>
      <c r="F28" s="98">
        <f t="shared" si="1"/>
        <v>0</v>
      </c>
      <c r="H28" s="4">
        <f t="shared" si="2"/>
        <v>0</v>
      </c>
      <c r="I28" s="5">
        <f t="shared" si="0"/>
        <v>0</v>
      </c>
      <c r="J28" s="90"/>
      <c r="K28" s="10"/>
      <c r="L28" s="10"/>
      <c r="M28" s="93"/>
    </row>
    <row r="29" spans="2:13" ht="17.25" thickBot="1">
      <c r="B29" s="2">
        <v>28</v>
      </c>
      <c r="D29" s="3"/>
      <c r="F29" s="98">
        <f t="shared" si="1"/>
        <v>0</v>
      </c>
      <c r="H29" s="4">
        <f t="shared" si="2"/>
        <v>0</v>
      </c>
      <c r="I29" s="5">
        <f t="shared" si="0"/>
        <v>0</v>
      </c>
      <c r="K29" s="150" t="s">
        <v>35</v>
      </c>
      <c r="L29" s="151"/>
      <c r="M29" s="152"/>
    </row>
    <row r="30" spans="2:13">
      <c r="B30" s="2">
        <v>29</v>
      </c>
      <c r="D30" s="3"/>
      <c r="F30" s="98">
        <f t="shared" si="1"/>
        <v>0</v>
      </c>
      <c r="H30" s="4">
        <f t="shared" si="2"/>
        <v>0</v>
      </c>
      <c r="I30" s="5">
        <f t="shared" si="0"/>
        <v>0</v>
      </c>
      <c r="K30" s="90" t="s">
        <v>31</v>
      </c>
      <c r="L30" s="4">
        <f>SUM(H2:H31)</f>
        <v>1981</v>
      </c>
      <c r="M30" s="3" t="s">
        <v>36</v>
      </c>
    </row>
    <row r="31" spans="2:13" ht="17.25" thickBot="1">
      <c r="B31" s="12">
        <v>30</v>
      </c>
      <c r="C31" s="13"/>
      <c r="D31" s="11"/>
      <c r="E31" s="94"/>
      <c r="F31" s="99">
        <f t="shared" si="1"/>
        <v>0</v>
      </c>
      <c r="H31" s="14">
        <f t="shared" si="2"/>
        <v>0</v>
      </c>
      <c r="I31" s="15">
        <f t="shared" si="0"/>
        <v>0</v>
      </c>
      <c r="K31" s="13" t="s">
        <v>37</v>
      </c>
      <c r="L31" s="14">
        <f>SUM(I2:I31)</f>
        <v>39620</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1013-CA4A-408B-B86A-7DA86416AF20}">
  <sheetPr>
    <pageSetUpPr fitToPage="1"/>
  </sheetPr>
  <dimension ref="B1:M31"/>
  <sheetViews>
    <sheetView workbookViewId="0">
      <selection activeCell="L2" sqref="L2:M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423</v>
      </c>
      <c r="D2" s="3"/>
      <c r="E2" s="87">
        <v>8</v>
      </c>
      <c r="F2" s="98">
        <f>E2*$L$15</f>
        <v>160</v>
      </c>
      <c r="G2">
        <f>VLOOKUP($C2,약재관리!A:J,10,FALSE)</f>
        <v>30.3</v>
      </c>
      <c r="H2" s="4">
        <f>G2*E2</f>
        <v>242.4</v>
      </c>
      <c r="I2" s="89">
        <f>G2*F2</f>
        <v>4848</v>
      </c>
      <c r="K2" s="6" t="s">
        <v>9</v>
      </c>
      <c r="L2" s="153">
        <v>122</v>
      </c>
      <c r="M2" s="154"/>
    </row>
    <row r="3" spans="2:13">
      <c r="B3" s="2">
        <v>2</v>
      </c>
      <c r="C3" t="s">
        <v>438</v>
      </c>
      <c r="D3" s="3"/>
      <c r="E3" s="87">
        <v>6</v>
      </c>
      <c r="F3" s="98">
        <f t="shared" ref="F3:F31" si="0">E3*$L$15</f>
        <v>120</v>
      </c>
      <c r="G3">
        <f>VLOOKUP($C3,약재관리!A:J,10,FALSE)</f>
        <v>9.5</v>
      </c>
      <c r="H3" s="4">
        <f t="shared" ref="H3:H31" si="1">G3*E3</f>
        <v>57</v>
      </c>
      <c r="I3" s="5">
        <f t="shared" ref="I3:I31" si="2">G3*F3</f>
        <v>1140</v>
      </c>
      <c r="K3" s="7" t="s">
        <v>10</v>
      </c>
      <c r="L3" s="148" t="s">
        <v>437</v>
      </c>
      <c r="M3" s="149"/>
    </row>
    <row r="4" spans="2:13">
      <c r="B4" s="2">
        <v>3</v>
      </c>
      <c r="C4" t="s">
        <v>418</v>
      </c>
      <c r="D4" s="3"/>
      <c r="E4" s="87">
        <v>6</v>
      </c>
      <c r="F4" s="98">
        <f t="shared" si="0"/>
        <v>120</v>
      </c>
      <c r="G4">
        <f>VLOOKUP($C4,약재관리!A:J,10,FALSE)</f>
        <v>9</v>
      </c>
      <c r="H4" s="4">
        <f t="shared" si="1"/>
        <v>54</v>
      </c>
      <c r="I4" s="5">
        <f t="shared" si="2"/>
        <v>1080</v>
      </c>
      <c r="K4" s="7" t="s">
        <v>11</v>
      </c>
      <c r="L4" s="155">
        <v>45866</v>
      </c>
      <c r="M4" s="149"/>
    </row>
    <row r="5" spans="2:13">
      <c r="B5" s="2">
        <v>4</v>
      </c>
      <c r="C5" t="s">
        <v>414</v>
      </c>
      <c r="D5" s="3"/>
      <c r="E5" s="87">
        <v>4</v>
      </c>
      <c r="F5" s="98">
        <f t="shared" si="0"/>
        <v>80</v>
      </c>
      <c r="G5">
        <f>VLOOKUP($C5,약재관리!A:J,10,FALSE)</f>
        <v>7</v>
      </c>
      <c r="H5" s="4">
        <f t="shared" si="1"/>
        <v>28</v>
      </c>
      <c r="I5" s="5">
        <f t="shared" si="2"/>
        <v>560</v>
      </c>
      <c r="K5" s="7" t="s">
        <v>12</v>
      </c>
      <c r="L5" s="148" t="s">
        <v>433</v>
      </c>
      <c r="M5" s="149"/>
    </row>
    <row r="6" spans="2:13">
      <c r="B6" s="2">
        <v>5</v>
      </c>
      <c r="C6" t="s">
        <v>428</v>
      </c>
      <c r="D6" s="3"/>
      <c r="E6" s="87">
        <v>4</v>
      </c>
      <c r="F6" s="98">
        <f t="shared" si="0"/>
        <v>80</v>
      </c>
      <c r="G6">
        <f>VLOOKUP($C6,약재관리!A:J,10,FALSE)</f>
        <v>17.600000000000001</v>
      </c>
      <c r="H6" s="4">
        <f t="shared" si="1"/>
        <v>70.400000000000006</v>
      </c>
      <c r="I6" s="5">
        <f t="shared" si="2"/>
        <v>1408</v>
      </c>
      <c r="K6" s="7" t="s">
        <v>13</v>
      </c>
      <c r="L6" s="148">
        <v>64</v>
      </c>
      <c r="M6" s="149"/>
    </row>
    <row r="7" spans="2:13" ht="17.25" thickBot="1">
      <c r="B7" s="2">
        <v>6</v>
      </c>
      <c r="C7" t="s">
        <v>439</v>
      </c>
      <c r="D7" s="3"/>
      <c r="E7" s="87">
        <v>4</v>
      </c>
      <c r="F7" s="98">
        <f t="shared" si="0"/>
        <v>80</v>
      </c>
      <c r="G7">
        <f>VLOOKUP($C7,약재관리!A:J,10,FALSE)</f>
        <v>9.8000000000000007</v>
      </c>
      <c r="H7" s="4">
        <f t="shared" si="1"/>
        <v>39.200000000000003</v>
      </c>
      <c r="I7" s="5">
        <f t="shared" si="2"/>
        <v>784</v>
      </c>
      <c r="K7" s="7" t="s">
        <v>14</v>
      </c>
      <c r="L7" s="156" t="s">
        <v>434</v>
      </c>
      <c r="M7" s="157"/>
    </row>
    <row r="8" spans="2:13" ht="17.25" thickBot="1">
      <c r="B8" s="2">
        <v>7</v>
      </c>
      <c r="C8" t="s">
        <v>440</v>
      </c>
      <c r="D8" s="3"/>
      <c r="E8" s="87">
        <v>4</v>
      </c>
      <c r="F8" s="98">
        <f t="shared" si="0"/>
        <v>80</v>
      </c>
      <c r="G8">
        <f>VLOOKUP($C8,약재관리!A:J,10,FALSE)</f>
        <v>11.7</v>
      </c>
      <c r="H8" s="4">
        <f t="shared" si="1"/>
        <v>46.8</v>
      </c>
      <c r="I8" s="5">
        <f t="shared" si="2"/>
        <v>936</v>
      </c>
      <c r="K8" s="150" t="s">
        <v>15</v>
      </c>
      <c r="L8" s="151"/>
      <c r="M8" s="152"/>
    </row>
    <row r="9" spans="2:13">
      <c r="B9" s="2">
        <v>8</v>
      </c>
      <c r="C9" t="s">
        <v>441</v>
      </c>
      <c r="D9" s="3"/>
      <c r="E9" s="87">
        <v>4</v>
      </c>
      <c r="F9" s="98">
        <f t="shared" si="0"/>
        <v>80</v>
      </c>
      <c r="G9">
        <f>VLOOKUP($C9,약재관리!A:J,10,FALSE)</f>
        <v>14.8</v>
      </c>
      <c r="H9" s="4">
        <f t="shared" si="1"/>
        <v>59.2</v>
      </c>
      <c r="I9" s="5">
        <f t="shared" si="2"/>
        <v>1184</v>
      </c>
      <c r="K9" s="158" t="s">
        <v>446</v>
      </c>
      <c r="L9" s="159"/>
      <c r="M9" s="160"/>
    </row>
    <row r="10" spans="2:13">
      <c r="B10" s="2">
        <v>9</v>
      </c>
      <c r="C10" t="s">
        <v>426</v>
      </c>
      <c r="D10" s="3"/>
      <c r="E10" s="87">
        <v>3</v>
      </c>
      <c r="F10" s="98">
        <f t="shared" si="0"/>
        <v>60</v>
      </c>
      <c r="G10">
        <f>VLOOKUP($C10,약재관리!A:J,10,FALSE)</f>
        <v>12.2</v>
      </c>
      <c r="H10" s="4">
        <f t="shared" si="1"/>
        <v>36.599999999999994</v>
      </c>
      <c r="I10" s="5">
        <f t="shared" si="2"/>
        <v>732</v>
      </c>
      <c r="K10" s="161"/>
      <c r="L10" s="162"/>
      <c r="M10" s="163"/>
    </row>
    <row r="11" spans="2:13">
      <c r="B11" s="2">
        <v>10</v>
      </c>
      <c r="C11" t="s">
        <v>420</v>
      </c>
      <c r="D11" s="3"/>
      <c r="E11" s="87">
        <v>3</v>
      </c>
      <c r="F11" s="98">
        <f t="shared" si="0"/>
        <v>60</v>
      </c>
      <c r="G11">
        <f>VLOOKUP($C11,약재관리!A:J,10,FALSE)</f>
        <v>28.3</v>
      </c>
      <c r="H11" s="4">
        <f t="shared" si="1"/>
        <v>84.9</v>
      </c>
      <c r="I11" s="5">
        <f t="shared" si="2"/>
        <v>1698</v>
      </c>
      <c r="K11" s="161"/>
      <c r="L11" s="162"/>
      <c r="M11" s="163"/>
    </row>
    <row r="12" spans="2:13">
      <c r="B12" s="2">
        <v>11</v>
      </c>
      <c r="C12" t="s">
        <v>424</v>
      </c>
      <c r="D12" s="3"/>
      <c r="E12" s="87">
        <v>4</v>
      </c>
      <c r="F12" s="98">
        <f t="shared" si="0"/>
        <v>80</v>
      </c>
      <c r="G12">
        <f>VLOOKUP($C12,약재관리!A:J,10,FALSE)</f>
        <v>8</v>
      </c>
      <c r="H12" s="4">
        <f t="shared" si="1"/>
        <v>32</v>
      </c>
      <c r="I12" s="5">
        <f t="shared" si="2"/>
        <v>640</v>
      </c>
      <c r="K12" s="161"/>
      <c r="L12" s="162"/>
      <c r="M12" s="163"/>
    </row>
    <row r="13" spans="2:13" ht="17.25" thickBot="1">
      <c r="B13" s="2">
        <v>12</v>
      </c>
      <c r="C13" t="s">
        <v>442</v>
      </c>
      <c r="D13" s="3"/>
      <c r="E13" s="87">
        <v>4</v>
      </c>
      <c r="F13" s="98">
        <f t="shared" si="0"/>
        <v>80</v>
      </c>
      <c r="G13">
        <f>VLOOKUP($C13,약재관리!A:J,10,FALSE)</f>
        <v>8.3000000000000007</v>
      </c>
      <c r="H13" s="4">
        <f t="shared" si="1"/>
        <v>33.200000000000003</v>
      </c>
      <c r="I13" s="5">
        <f t="shared" si="2"/>
        <v>664</v>
      </c>
      <c r="K13" s="164"/>
      <c r="L13" s="165"/>
      <c r="M13" s="166"/>
    </row>
    <row r="14" spans="2:13">
      <c r="B14" s="2">
        <v>13</v>
      </c>
      <c r="C14" t="s">
        <v>422</v>
      </c>
      <c r="D14" s="3"/>
      <c r="E14" s="87">
        <v>3</v>
      </c>
      <c r="F14" s="98">
        <f t="shared" si="0"/>
        <v>60</v>
      </c>
      <c r="G14">
        <f>VLOOKUP($C14,약재관리!A:J,10,FALSE)</f>
        <v>21.8</v>
      </c>
      <c r="H14" s="4">
        <f t="shared" si="1"/>
        <v>65.400000000000006</v>
      </c>
      <c r="I14" s="5">
        <f t="shared" si="2"/>
        <v>1308</v>
      </c>
      <c r="K14" s="91" t="s">
        <v>16</v>
      </c>
      <c r="L14" s="8">
        <v>15</v>
      </c>
      <c r="M14" s="9" t="s">
        <v>17</v>
      </c>
    </row>
    <row r="15" spans="2:13">
      <c r="B15" s="2">
        <v>14</v>
      </c>
      <c r="C15" t="s">
        <v>429</v>
      </c>
      <c r="D15" s="3"/>
      <c r="E15" s="87">
        <v>4</v>
      </c>
      <c r="F15" s="98">
        <f t="shared" si="0"/>
        <v>80</v>
      </c>
      <c r="G15">
        <f>VLOOKUP($C15,약재관리!A:J,10,FALSE)</f>
        <v>13.8</v>
      </c>
      <c r="H15" s="4">
        <f t="shared" si="1"/>
        <v>55.2</v>
      </c>
      <c r="I15" s="5">
        <f t="shared" si="2"/>
        <v>1104</v>
      </c>
      <c r="K15" s="90" t="s">
        <v>18</v>
      </c>
      <c r="L15">
        <v>20</v>
      </c>
      <c r="M15" s="3" t="s">
        <v>19</v>
      </c>
    </row>
    <row r="16" spans="2:13">
      <c r="B16" s="2">
        <v>15</v>
      </c>
      <c r="C16" t="s">
        <v>436</v>
      </c>
      <c r="D16" s="3"/>
      <c r="E16" s="87">
        <v>1.7</v>
      </c>
      <c r="F16" s="98">
        <f t="shared" si="0"/>
        <v>34</v>
      </c>
      <c r="G16">
        <f>VLOOKUP($C16,약재관리!A:J,10,FALSE)</f>
        <v>108.3</v>
      </c>
      <c r="H16" s="4">
        <f t="shared" si="1"/>
        <v>184.10999999999999</v>
      </c>
      <c r="I16" s="5">
        <f t="shared" si="2"/>
        <v>3682.2</v>
      </c>
      <c r="K16" s="90" t="s">
        <v>20</v>
      </c>
      <c r="L16">
        <v>45</v>
      </c>
      <c r="M16" s="3" t="s">
        <v>21</v>
      </c>
    </row>
    <row r="17" spans="2:13" ht="17.25" thickBot="1">
      <c r="B17" s="2">
        <v>16</v>
      </c>
      <c r="C17" t="s">
        <v>443</v>
      </c>
      <c r="D17" s="3"/>
      <c r="E17" s="87">
        <v>4</v>
      </c>
      <c r="F17" s="98">
        <f t="shared" si="0"/>
        <v>80</v>
      </c>
      <c r="G17">
        <f>VLOOKUP($C17,약재관리!A:J,10,FALSE)</f>
        <v>18.3</v>
      </c>
      <c r="H17" s="4">
        <f t="shared" si="1"/>
        <v>73.2</v>
      </c>
      <c r="I17" s="5">
        <f t="shared" si="2"/>
        <v>1464</v>
      </c>
      <c r="K17" s="13" t="s">
        <v>22</v>
      </c>
      <c r="L17" s="10">
        <v>110</v>
      </c>
      <c r="M17" s="11" t="s">
        <v>23</v>
      </c>
    </row>
    <row r="18" spans="2:13">
      <c r="B18" s="2">
        <v>17</v>
      </c>
      <c r="C18" t="s">
        <v>444</v>
      </c>
      <c r="D18" s="3"/>
      <c r="E18" s="87">
        <v>3</v>
      </c>
      <c r="F18" s="98">
        <f t="shared" si="0"/>
        <v>60</v>
      </c>
      <c r="G18">
        <f>VLOOKUP($C18,약재관리!A:J,10,FALSE)</f>
        <v>29.2</v>
      </c>
      <c r="H18" s="4">
        <f t="shared" si="1"/>
        <v>87.6</v>
      </c>
      <c r="I18" s="5">
        <f t="shared" si="2"/>
        <v>1752</v>
      </c>
      <c r="K18" s="91" t="s">
        <v>24</v>
      </c>
      <c r="L18" s="8">
        <f>SUM(E2:E31)</f>
        <v>73.7</v>
      </c>
      <c r="M18" s="9" t="s">
        <v>25</v>
      </c>
    </row>
    <row r="19" spans="2:13">
      <c r="B19" s="2">
        <v>18</v>
      </c>
      <c r="C19" t="s">
        <v>445</v>
      </c>
      <c r="D19" s="3"/>
      <c r="E19" s="87">
        <v>4</v>
      </c>
      <c r="F19" s="98">
        <f t="shared" si="0"/>
        <v>80</v>
      </c>
      <c r="G19">
        <f>VLOOKUP($C19,약재관리!A:J,10,FALSE)</f>
        <v>9.1999999999999993</v>
      </c>
      <c r="H19" s="4">
        <f t="shared" si="1"/>
        <v>36.799999999999997</v>
      </c>
      <c r="I19" s="5">
        <f t="shared" si="2"/>
        <v>736</v>
      </c>
      <c r="K19" s="90" t="s">
        <v>26</v>
      </c>
      <c r="L19">
        <f>L15*L18</f>
        <v>1474</v>
      </c>
      <c r="M19" s="3" t="s">
        <v>25</v>
      </c>
    </row>
    <row r="20" spans="2:13" ht="17.25" thickBot="1">
      <c r="B20" s="2">
        <v>19</v>
      </c>
      <c r="D20" s="3"/>
      <c r="F20" s="98">
        <f t="shared" si="0"/>
        <v>0</v>
      </c>
      <c r="H20" s="4">
        <f t="shared" si="1"/>
        <v>0</v>
      </c>
      <c r="I20" s="5">
        <f t="shared" si="2"/>
        <v>0</v>
      </c>
      <c r="K20" s="13" t="s">
        <v>27</v>
      </c>
      <c r="L20" s="10">
        <f>L16*L17+L19</f>
        <v>6424</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1474</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1286.01</v>
      </c>
      <c r="M30" s="3" t="s">
        <v>36</v>
      </c>
    </row>
    <row r="31" spans="2:13" ht="17.25" thickBot="1">
      <c r="B31" s="12">
        <v>30</v>
      </c>
      <c r="C31" s="13"/>
      <c r="D31" s="11"/>
      <c r="E31" s="94"/>
      <c r="F31" s="99">
        <f t="shared" si="0"/>
        <v>0</v>
      </c>
      <c r="G31" s="10"/>
      <c r="H31" s="14">
        <f t="shared" si="1"/>
        <v>0</v>
      </c>
      <c r="I31" s="15">
        <f t="shared" si="2"/>
        <v>0</v>
      </c>
      <c r="K31" s="13" t="s">
        <v>37</v>
      </c>
      <c r="L31" s="14">
        <f>SUM(I2:I31)</f>
        <v>25720.2</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21" sqref="E2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6</v>
      </c>
      <c r="F2" s="98">
        <f>E2*$L$15</f>
        <v>120</v>
      </c>
      <c r="G2">
        <f>VLOOKUP($C2,약재관리!A:J,10,FALSE)</f>
        <v>7</v>
      </c>
      <c r="H2" s="4">
        <f>G2*E2</f>
        <v>42</v>
      </c>
      <c r="I2" s="89">
        <f>G2*F2</f>
        <v>840</v>
      </c>
      <c r="K2" s="6" t="s">
        <v>9</v>
      </c>
      <c r="L2" s="153">
        <v>122</v>
      </c>
      <c r="M2" s="154"/>
    </row>
    <row r="3" spans="2:13">
      <c r="B3" s="2">
        <v>2</v>
      </c>
      <c r="C3" t="s">
        <v>415</v>
      </c>
      <c r="D3" s="3"/>
      <c r="E3" s="87">
        <v>4</v>
      </c>
      <c r="F3" s="98">
        <f t="shared" ref="F3:F31" si="0">E3*$L$15</f>
        <v>80</v>
      </c>
      <c r="G3">
        <f>VLOOKUP($C3,약재관리!A:J,10,FALSE)</f>
        <v>14.7</v>
      </c>
      <c r="H3" s="4">
        <f t="shared" ref="H3:H31" si="1">G3*E3</f>
        <v>58.8</v>
      </c>
      <c r="I3" s="5">
        <f t="shared" ref="I3:I31" si="2">G3*F3</f>
        <v>1176</v>
      </c>
      <c r="K3" s="7" t="s">
        <v>10</v>
      </c>
      <c r="L3" s="148" t="s">
        <v>432</v>
      </c>
      <c r="M3" s="149"/>
    </row>
    <row r="4" spans="2:13">
      <c r="B4" s="2">
        <v>3</v>
      </c>
      <c r="C4" t="s">
        <v>416</v>
      </c>
      <c r="D4" s="3"/>
      <c r="E4" s="87">
        <v>4</v>
      </c>
      <c r="F4" s="98">
        <f t="shared" si="0"/>
        <v>80</v>
      </c>
      <c r="G4">
        <f>VLOOKUP($C4,약재관리!A:J,10,FALSE)</f>
        <v>41</v>
      </c>
      <c r="H4" s="4">
        <f t="shared" si="1"/>
        <v>164</v>
      </c>
      <c r="I4" s="5">
        <f t="shared" si="2"/>
        <v>3280</v>
      </c>
      <c r="K4" s="7" t="s">
        <v>11</v>
      </c>
      <c r="L4" s="155">
        <v>45845</v>
      </c>
      <c r="M4" s="149"/>
    </row>
    <row r="5" spans="2:13">
      <c r="B5" s="2">
        <v>4</v>
      </c>
      <c r="C5" t="s">
        <v>428</v>
      </c>
      <c r="D5" s="3"/>
      <c r="E5" s="87">
        <v>4</v>
      </c>
      <c r="F5" s="98">
        <f t="shared" si="0"/>
        <v>80</v>
      </c>
      <c r="G5">
        <f>VLOOKUP($C5,약재관리!A:J,10,FALSE)</f>
        <v>17.600000000000001</v>
      </c>
      <c r="H5" s="4">
        <f t="shared" si="1"/>
        <v>70.400000000000006</v>
      </c>
      <c r="I5" s="5">
        <f t="shared" si="2"/>
        <v>1408</v>
      </c>
      <c r="K5" s="7" t="s">
        <v>12</v>
      </c>
      <c r="L5" s="148" t="s">
        <v>433</v>
      </c>
      <c r="M5" s="149"/>
    </row>
    <row r="6" spans="2:13">
      <c r="B6" s="2">
        <v>5</v>
      </c>
      <c r="C6" t="s">
        <v>417</v>
      </c>
      <c r="D6" s="3"/>
      <c r="E6" s="87">
        <v>3</v>
      </c>
      <c r="F6" s="98">
        <f t="shared" si="0"/>
        <v>60</v>
      </c>
      <c r="G6">
        <f>VLOOKUP($C6,약재관리!A:J,10,FALSE)</f>
        <v>15</v>
      </c>
      <c r="H6" s="4">
        <f t="shared" si="1"/>
        <v>45</v>
      </c>
      <c r="I6" s="5">
        <f t="shared" si="2"/>
        <v>900</v>
      </c>
      <c r="K6" s="7" t="s">
        <v>13</v>
      </c>
      <c r="L6" s="148">
        <v>64</v>
      </c>
      <c r="M6" s="149"/>
    </row>
    <row r="7" spans="2:13" ht="17.25" thickBot="1">
      <c r="B7" s="2">
        <v>6</v>
      </c>
      <c r="C7" t="s">
        <v>418</v>
      </c>
      <c r="D7" s="3"/>
      <c r="E7" s="87">
        <v>3</v>
      </c>
      <c r="F7" s="98">
        <f t="shared" si="0"/>
        <v>60</v>
      </c>
      <c r="G7">
        <f>VLOOKUP($C7,약재관리!A:J,10,FALSE)</f>
        <v>9</v>
      </c>
      <c r="H7" s="4">
        <f t="shared" si="1"/>
        <v>27</v>
      </c>
      <c r="I7" s="5">
        <f t="shared" si="2"/>
        <v>540</v>
      </c>
      <c r="K7" s="7" t="s">
        <v>14</v>
      </c>
      <c r="L7" s="156" t="s">
        <v>434</v>
      </c>
      <c r="M7" s="157"/>
    </row>
    <row r="8" spans="2:13" ht="17.25" thickBot="1">
      <c r="B8" s="2">
        <v>7</v>
      </c>
      <c r="C8" t="s">
        <v>419</v>
      </c>
      <c r="D8" s="3"/>
      <c r="E8" s="87">
        <v>3</v>
      </c>
      <c r="F8" s="98">
        <f t="shared" si="0"/>
        <v>60</v>
      </c>
      <c r="G8">
        <f>VLOOKUP($C8,약재관리!A:J,10,FALSE)</f>
        <v>7.5</v>
      </c>
      <c r="H8" s="4">
        <f t="shared" si="1"/>
        <v>22.5</v>
      </c>
      <c r="I8" s="5">
        <f t="shared" si="2"/>
        <v>450</v>
      </c>
      <c r="K8" s="150" t="s">
        <v>15</v>
      </c>
      <c r="L8" s="151"/>
      <c r="M8" s="152"/>
    </row>
    <row r="9" spans="2:13">
      <c r="B9" s="2">
        <v>8</v>
      </c>
      <c r="C9" t="s">
        <v>420</v>
      </c>
      <c r="D9" s="3"/>
      <c r="E9" s="87">
        <v>3</v>
      </c>
      <c r="F9" s="98">
        <f t="shared" si="0"/>
        <v>60</v>
      </c>
      <c r="G9">
        <f>VLOOKUP($C9,약재관리!A:J,10,FALSE)</f>
        <v>28.3</v>
      </c>
      <c r="H9" s="4">
        <f t="shared" si="1"/>
        <v>84.9</v>
      </c>
      <c r="I9" s="5">
        <f t="shared" si="2"/>
        <v>1698</v>
      </c>
      <c r="K9" s="167"/>
      <c r="L9" s="159"/>
      <c r="M9" s="160"/>
    </row>
    <row r="10" spans="2:13">
      <c r="B10" s="2">
        <v>9</v>
      </c>
      <c r="C10" t="s">
        <v>429</v>
      </c>
      <c r="D10" s="3"/>
      <c r="E10" s="87">
        <v>3</v>
      </c>
      <c r="F10" s="98">
        <f t="shared" si="0"/>
        <v>60</v>
      </c>
      <c r="G10">
        <f>VLOOKUP($C10,약재관리!A:J,10,FALSE)</f>
        <v>13.8</v>
      </c>
      <c r="H10" s="4">
        <f t="shared" si="1"/>
        <v>41.400000000000006</v>
      </c>
      <c r="I10" s="5">
        <f t="shared" si="2"/>
        <v>828</v>
      </c>
      <c r="K10" s="161"/>
      <c r="L10" s="162"/>
      <c r="M10" s="163"/>
    </row>
    <row r="11" spans="2:13">
      <c r="B11" s="2">
        <v>10</v>
      </c>
      <c r="C11" t="s">
        <v>421</v>
      </c>
      <c r="D11" s="3"/>
      <c r="E11" s="87">
        <v>3</v>
      </c>
      <c r="F11" s="98">
        <f t="shared" si="0"/>
        <v>60</v>
      </c>
      <c r="G11">
        <f>VLOOKUP($C11,약재관리!A:J,10,FALSE)</f>
        <v>16.7</v>
      </c>
      <c r="H11" s="4">
        <f t="shared" si="1"/>
        <v>50.099999999999994</v>
      </c>
      <c r="I11" s="5">
        <f t="shared" si="2"/>
        <v>1002</v>
      </c>
      <c r="K11" s="161"/>
      <c r="L11" s="162"/>
      <c r="M11" s="163"/>
    </row>
    <row r="12" spans="2:13">
      <c r="B12" s="2">
        <v>11</v>
      </c>
      <c r="C12" t="s">
        <v>422</v>
      </c>
      <c r="D12" s="3"/>
      <c r="E12" s="87">
        <v>3</v>
      </c>
      <c r="F12" s="98">
        <f t="shared" si="0"/>
        <v>60</v>
      </c>
      <c r="G12">
        <f>VLOOKUP($C12,약재관리!A:J,10,FALSE)</f>
        <v>21.8</v>
      </c>
      <c r="H12" s="4">
        <f t="shared" si="1"/>
        <v>65.400000000000006</v>
      </c>
      <c r="I12" s="5">
        <f t="shared" si="2"/>
        <v>1308</v>
      </c>
      <c r="K12" s="161"/>
      <c r="L12" s="162"/>
      <c r="M12" s="163"/>
    </row>
    <row r="13" spans="2:13" ht="17.25" thickBot="1">
      <c r="B13" s="2">
        <v>12</v>
      </c>
      <c r="C13" t="s">
        <v>430</v>
      </c>
      <c r="D13" s="3"/>
      <c r="E13" s="87">
        <v>3</v>
      </c>
      <c r="F13" s="98">
        <f t="shared" si="0"/>
        <v>60</v>
      </c>
      <c r="G13">
        <f>VLOOKUP($C13,약재관리!A:J,10,FALSE)</f>
        <v>10.8</v>
      </c>
      <c r="H13" s="4">
        <f t="shared" si="1"/>
        <v>32.400000000000006</v>
      </c>
      <c r="I13" s="5">
        <f t="shared" si="2"/>
        <v>648</v>
      </c>
      <c r="K13" s="164"/>
      <c r="L13" s="165"/>
      <c r="M13" s="166"/>
    </row>
    <row r="14" spans="2:13">
      <c r="B14" s="2">
        <v>13</v>
      </c>
      <c r="C14" t="s">
        <v>423</v>
      </c>
      <c r="D14" s="3"/>
      <c r="E14" s="87">
        <v>3</v>
      </c>
      <c r="F14" s="98">
        <f t="shared" si="0"/>
        <v>60</v>
      </c>
      <c r="G14">
        <f>VLOOKUP($C14,약재관리!A:J,10,FALSE)</f>
        <v>30.3</v>
      </c>
      <c r="H14" s="4">
        <f t="shared" si="1"/>
        <v>90.9</v>
      </c>
      <c r="I14" s="5">
        <f t="shared" si="2"/>
        <v>1818</v>
      </c>
      <c r="K14" s="91" t="s">
        <v>16</v>
      </c>
      <c r="L14" s="8">
        <v>15</v>
      </c>
      <c r="M14" s="9" t="s">
        <v>17</v>
      </c>
    </row>
    <row r="15" spans="2:13">
      <c r="B15" s="2">
        <v>14</v>
      </c>
      <c r="C15" t="s">
        <v>431</v>
      </c>
      <c r="D15" s="3"/>
      <c r="E15" s="87">
        <v>3</v>
      </c>
      <c r="F15" s="98">
        <f t="shared" si="0"/>
        <v>60</v>
      </c>
      <c r="G15">
        <f>VLOOKUP($C15,약재관리!A:J,10,FALSE)</f>
        <v>22</v>
      </c>
      <c r="H15" s="4">
        <f t="shared" si="1"/>
        <v>66</v>
      </c>
      <c r="I15" s="5">
        <f t="shared" si="2"/>
        <v>1320</v>
      </c>
      <c r="K15" s="90" t="s">
        <v>18</v>
      </c>
      <c r="L15">
        <v>20</v>
      </c>
      <c r="M15" s="3" t="s">
        <v>19</v>
      </c>
    </row>
    <row r="16" spans="2:13">
      <c r="B16" s="2">
        <v>15</v>
      </c>
      <c r="C16" t="s">
        <v>424</v>
      </c>
      <c r="D16" s="3"/>
      <c r="E16" s="87">
        <v>3</v>
      </c>
      <c r="F16" s="98">
        <f t="shared" si="0"/>
        <v>60</v>
      </c>
      <c r="G16">
        <f>VLOOKUP($C16,약재관리!A:J,10,FALSE)</f>
        <v>8</v>
      </c>
      <c r="H16" s="4">
        <f t="shared" si="1"/>
        <v>24</v>
      </c>
      <c r="I16" s="5">
        <f t="shared" si="2"/>
        <v>480</v>
      </c>
      <c r="K16" s="90" t="s">
        <v>20</v>
      </c>
      <c r="L16">
        <v>45</v>
      </c>
      <c r="M16" s="3" t="s">
        <v>21</v>
      </c>
    </row>
    <row r="17" spans="2:13" ht="17.25" thickBot="1">
      <c r="B17" s="2">
        <v>16</v>
      </c>
      <c r="C17" t="s">
        <v>425</v>
      </c>
      <c r="D17" s="3"/>
      <c r="E17" s="87">
        <v>2</v>
      </c>
      <c r="F17" s="98">
        <f t="shared" si="0"/>
        <v>40</v>
      </c>
      <c r="G17">
        <f>VLOOKUP($C17,약재관리!A:J,10,FALSE)</f>
        <v>20.8</v>
      </c>
      <c r="H17" s="4">
        <f t="shared" si="1"/>
        <v>41.6</v>
      </c>
      <c r="I17" s="5">
        <f t="shared" si="2"/>
        <v>832</v>
      </c>
      <c r="K17" s="13" t="s">
        <v>22</v>
      </c>
      <c r="L17" s="10">
        <v>110</v>
      </c>
      <c r="M17" s="11" t="s">
        <v>23</v>
      </c>
    </row>
    <row r="18" spans="2:13">
      <c r="B18" s="2">
        <v>17</v>
      </c>
      <c r="C18" t="s">
        <v>426</v>
      </c>
      <c r="D18" s="3"/>
      <c r="E18" s="87">
        <v>2</v>
      </c>
      <c r="F18" s="98">
        <f t="shared" si="0"/>
        <v>40</v>
      </c>
      <c r="G18">
        <f>VLOOKUP($C18,약재관리!A:J,10,FALSE)</f>
        <v>12.2</v>
      </c>
      <c r="H18" s="4">
        <f t="shared" si="1"/>
        <v>24.4</v>
      </c>
      <c r="I18" s="5">
        <f t="shared" si="2"/>
        <v>488</v>
      </c>
      <c r="K18" s="91" t="s">
        <v>24</v>
      </c>
      <c r="L18" s="8">
        <f>SUM(E2:E31)</f>
        <v>63</v>
      </c>
      <c r="M18" s="9" t="s">
        <v>25</v>
      </c>
    </row>
    <row r="19" spans="2:13">
      <c r="B19" s="2">
        <v>18</v>
      </c>
      <c r="C19" t="s">
        <v>427</v>
      </c>
      <c r="D19" s="3"/>
      <c r="E19" s="87">
        <v>4</v>
      </c>
      <c r="F19" s="98">
        <f t="shared" si="0"/>
        <v>80</v>
      </c>
      <c r="G19">
        <f>VLOOKUP($C19,약재관리!A:J,10,FALSE)</f>
        <v>26</v>
      </c>
      <c r="H19" s="4">
        <f t="shared" si="1"/>
        <v>104</v>
      </c>
      <c r="I19" s="5">
        <f t="shared" si="2"/>
        <v>2080</v>
      </c>
      <c r="K19" s="90" t="s">
        <v>26</v>
      </c>
      <c r="L19">
        <f>L15*L18</f>
        <v>1260</v>
      </c>
      <c r="M19" s="3" t="s">
        <v>25</v>
      </c>
    </row>
    <row r="20" spans="2:13" ht="17.25" thickBot="1">
      <c r="B20" s="2">
        <v>19</v>
      </c>
      <c r="C20" t="s">
        <v>435</v>
      </c>
      <c r="D20" s="3"/>
      <c r="E20" s="87">
        <v>2</v>
      </c>
      <c r="F20" s="98">
        <f t="shared" si="0"/>
        <v>40</v>
      </c>
      <c r="G20">
        <f>VLOOKUP($C20,약재관리!A:J,10,FALSE)</f>
        <v>11.7</v>
      </c>
      <c r="H20" s="4">
        <f t="shared" si="1"/>
        <v>23.4</v>
      </c>
      <c r="I20" s="5">
        <f t="shared" si="2"/>
        <v>468</v>
      </c>
      <c r="K20" s="13" t="s">
        <v>27</v>
      </c>
      <c r="L20" s="10">
        <f>L16*L17+L19</f>
        <v>6210</v>
      </c>
      <c r="M20" s="11" t="s">
        <v>23</v>
      </c>
    </row>
    <row r="21" spans="2:13" ht="17.25" thickBot="1">
      <c r="B21" s="2">
        <v>20</v>
      </c>
      <c r="C21" t="s">
        <v>436</v>
      </c>
      <c r="D21" s="3"/>
      <c r="E21" s="87">
        <v>2</v>
      </c>
      <c r="F21" s="98">
        <f t="shared" si="0"/>
        <v>40</v>
      </c>
      <c r="G21">
        <f>VLOOKUP($C21,약재관리!A:J,10,FALSE)</f>
        <v>108.3</v>
      </c>
      <c r="H21" s="4">
        <f t="shared" si="1"/>
        <v>216.6</v>
      </c>
      <c r="I21" s="5">
        <f t="shared" si="2"/>
        <v>4332</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1260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1294.8</v>
      </c>
      <c r="M30" s="3" t="s">
        <v>36</v>
      </c>
    </row>
    <row r="31" spans="2:13" ht="17.25" thickBot="1">
      <c r="B31" s="12">
        <v>30</v>
      </c>
      <c r="C31" s="13"/>
      <c r="D31" s="11"/>
      <c r="E31" s="94"/>
      <c r="F31" s="99">
        <f t="shared" si="0"/>
        <v>0</v>
      </c>
      <c r="G31" s="10"/>
      <c r="H31" s="14">
        <f t="shared" si="1"/>
        <v>0</v>
      </c>
      <c r="I31" s="15">
        <f t="shared" si="2"/>
        <v>0</v>
      </c>
      <c r="K31" s="13" t="s">
        <v>37</v>
      </c>
      <c r="L31" s="14">
        <f>SUM(I2:I31)</f>
        <v>25896</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09" zoomScaleNormal="100" workbookViewId="0">
      <selection activeCell="J133" sqref="J133"/>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5800</v>
      </c>
      <c r="F82" s="112">
        <f t="shared" si="6"/>
        <v>19.8</v>
      </c>
      <c r="G82" s="37">
        <f t="shared" si="6"/>
        <v>8.8000000000000007</v>
      </c>
      <c r="H82" s="37">
        <f t="shared" si="8"/>
        <v>11.666666666666666</v>
      </c>
      <c r="I82" s="47">
        <f t="shared" si="8"/>
        <v>9.6666666666666661</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39800</v>
      </c>
      <c r="D132" s="35"/>
      <c r="E132" s="36">
        <v>55900</v>
      </c>
      <c r="F132" s="112">
        <f t="shared" si="12"/>
        <v>0</v>
      </c>
      <c r="G132" s="37">
        <f>C132/500</f>
        <v>79.599999999999994</v>
      </c>
      <c r="H132" s="37">
        <f t="shared" si="14"/>
        <v>0</v>
      </c>
      <c r="I132" s="38">
        <f t="shared" si="14"/>
        <v>93.166666666666671</v>
      </c>
      <c r="J132" s="39">
        <v>79.599999999999994</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v>13000</v>
      </c>
      <c r="F137" s="112">
        <f t="shared" si="12"/>
        <v>0</v>
      </c>
      <c r="G137" s="37">
        <f>C137/600</f>
        <v>22</v>
      </c>
      <c r="H137" s="37">
        <f t="shared" si="14"/>
        <v>23.333333333333332</v>
      </c>
      <c r="I137" s="38">
        <f>E137/500</f>
        <v>26</v>
      </c>
      <c r="J137" s="39">
        <v>22</v>
      </c>
      <c r="K137" s="68"/>
      <c r="L137" s="67" t="s">
        <v>120</v>
      </c>
      <c r="M137" s="67"/>
      <c r="N137" s="69" t="s">
        <v>413</v>
      </c>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60000</v>
      </c>
      <c r="D142" s="35">
        <v>30000</v>
      </c>
      <c r="E142" s="36">
        <v>67500</v>
      </c>
      <c r="F142" s="112">
        <f t="shared" si="12"/>
        <v>0</v>
      </c>
      <c r="G142" s="43">
        <f>C142/600</f>
        <v>100</v>
      </c>
      <c r="H142" s="37">
        <f>D142/300</f>
        <v>100</v>
      </c>
      <c r="I142" s="38">
        <f t="shared" si="14"/>
        <v>112.5</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13700</v>
      </c>
      <c r="F158" s="112">
        <f t="shared" si="19"/>
        <v>0</v>
      </c>
      <c r="G158" s="37">
        <f t="shared" si="19"/>
        <v>21.2</v>
      </c>
      <c r="H158" s="37">
        <f t="shared" si="20"/>
        <v>23.333333333333332</v>
      </c>
      <c r="I158" s="47">
        <f t="shared" si="16"/>
        <v>22.833333333333332</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13200</v>
      </c>
      <c r="D185" s="25">
        <v>15000</v>
      </c>
      <c r="E185" s="26">
        <v>16300</v>
      </c>
      <c r="F185" s="27">
        <f t="shared" si="21"/>
        <v>0</v>
      </c>
      <c r="G185" s="28">
        <f t="shared" si="21"/>
        <v>26.4</v>
      </c>
      <c r="H185" s="28">
        <f t="shared" si="20"/>
        <v>25</v>
      </c>
      <c r="I185" s="55">
        <f t="shared" si="20"/>
        <v>27.166666666666668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14500</v>
      </c>
      <c r="D198" s="35">
        <v>37000</v>
      </c>
      <c r="E198" s="36">
        <v>35800</v>
      </c>
      <c r="F198" s="112">
        <f t="shared" si="22"/>
        <v>0</v>
      </c>
      <c r="G198" s="37">
        <f>C198/600</f>
        <v>24.166666666666668</v>
      </c>
      <c r="H198" s="37">
        <f>D198/600</f>
        <v>61.666666666666664</v>
      </c>
      <c r="I198" s="38">
        <f t="shared" si="24"/>
        <v>59.666666666666664</v>
      </c>
      <c r="J198" s="39">
        <v>59.7</v>
      </c>
      <c r="K198" s="40"/>
      <c r="L198" s="41"/>
      <c r="M198" s="46"/>
      <c r="N198" s="42"/>
    </row>
    <row r="199" spans="1:14" ht="15" customHeight="1">
      <c r="A199" s="117" t="s">
        <v>390</v>
      </c>
      <c r="B199" s="122"/>
      <c r="C199" s="35">
        <v>8800</v>
      </c>
      <c r="D199" s="35"/>
      <c r="E199" s="36">
        <v>10500</v>
      </c>
      <c r="F199" s="112">
        <f t="shared" si="22"/>
        <v>0</v>
      </c>
      <c r="G199" s="37">
        <f t="shared" si="22"/>
        <v>17.600000000000001</v>
      </c>
      <c r="H199" s="37">
        <f>D199/600</f>
        <v>0</v>
      </c>
      <c r="I199" s="38">
        <f t="shared" si="24"/>
        <v>17.5</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건비이사탕</vt:lpstr>
      <vt:lpstr>가미온중탕</vt:lpstr>
      <vt:lpstr>평진건비탕</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2025-07-07T07:03:58Z</cp:lastPrinted>
  <dcterms:created xsi:type="dcterms:W3CDTF">2024-09-12T16:35:01Z</dcterms:created>
  <dcterms:modified xsi:type="dcterms:W3CDTF">2026-04-13T04:41:06Z</dcterms:modified>
  <cp:category/>
  <cp:contentStatus/>
</cp:coreProperties>
</file>