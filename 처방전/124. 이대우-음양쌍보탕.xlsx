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12" documentId="8_{6EB8DC0A-AB56-415F-A9F3-EA1534264548}" xr6:coauthVersionLast="47" xr6:coauthVersionMax="47" xr10:uidLastSave="{546096DC-F001-4991-A40F-3DE75376BF78}"/>
  <bookViews>
    <workbookView xWindow="-105" yWindow="0" windowWidth="14610" windowHeight="15585"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4" l="1"/>
  <c r="G24" i="4"/>
  <c r="G15" i="4"/>
  <c r="G16" i="4"/>
  <c r="G17" i="4"/>
  <c r="G18" i="4"/>
  <c r="G19" i="4"/>
  <c r="G20" i="4"/>
  <c r="G21" i="4"/>
  <c r="G22" i="4"/>
  <c r="G23" i="4"/>
  <c r="I137" i="5"/>
  <c r="H57" i="5"/>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6" i="4"/>
  <c r="H28" i="4"/>
  <c r="H29" i="4"/>
  <c r="H30" i="4"/>
  <c r="H31" i="4"/>
  <c r="F3" i="4"/>
  <c r="F4" i="4"/>
  <c r="F5" i="4"/>
  <c r="F6" i="4"/>
  <c r="F7" i="4"/>
  <c r="F8" i="4"/>
  <c r="F9" i="4"/>
  <c r="I9" i="4" s="1"/>
  <c r="F10" i="4"/>
  <c r="I10" i="4" s="1"/>
  <c r="F11" i="4"/>
  <c r="F12" i="4"/>
  <c r="F31" i="4"/>
  <c r="F30" i="4"/>
  <c r="F29" i="4"/>
  <c r="F28" i="4"/>
  <c r="F27" i="4"/>
  <c r="F26" i="4"/>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<sst xmlns="http://schemas.openxmlformats.org/spreadsheetml/2006/main" count="605" uniqueCount="442">
  <si>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</si>
  <si>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</si>
  <si>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</si>
  <si>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</si>
  <si>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</si>
  <si>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</si>
  <si>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</si>
  <si>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</si>
  <si>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</si>
  <si>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</si>
  <si>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</si>
  <si>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</si>
  <si>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</si>
  <si>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</si>
  <si>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</si>
  <si>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</si>
  <si>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</si>
  <si>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</si>
  <si>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</si>
  <si>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</si>
  <si>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</si>
  <si>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</si>
  <si>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</si>
  <si>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</si>
  <si>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</si>
  <si>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</si>
  <si>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</si>
  <si>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</si>
  <si>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</si>
  <si>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</si>
  <si>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</si>
  <si>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</si>
  <si>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</si>
  <si>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</si>
  <si>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</si>
  <si>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</si>
  <si>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</si>
  <si>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</si>
  <si>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</si>
  <si>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</si>
  <si>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</si>
  <si>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</si>
  <si>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</si>
  <si>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</si>
  <si>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</si>
  <si>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</si>
  <si>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</si>
  <si>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</si>
  <si>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</si>
  <si>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</si>
  <si>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</si>
  <si>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</si>
  <si>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</si>
  <si>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</si>
  <si>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</si>
  <si>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</si>
  <si>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</si>
  <si>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</si>
  <si>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</si>
  <si>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</si>
  <si>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</si>
  <si>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</si>
  <si>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</si>
  <si>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</si>
  <si>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</si>
  <si>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</si>
  <si>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</si>
  <si>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</si>
  <si>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</si>
  <si>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</si>
  <si>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</si>
  <si>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</si>
  <si>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</si>
  <si>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</si>
  <si>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</si>
  <si>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</si>
  <si>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</si>
  <si>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</si>
  <si>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</si>
  <si>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</si>
  <si>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</si>
  <si>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</si>
  <si>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</si>
  <si>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</si>
  <si>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</si>
  <si>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</si>
  <si>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</si>
  <si>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</si>
  <si>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</si>
  <si>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</si>
  <si>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</si>
  <si>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</si>
  <si>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</si>
  <si>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</si>
  <si>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</si>
  <si>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</si>
  <si>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</si>
  <si>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</si>
  <si>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</si>
  <si>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</si>
  <si>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</si>
  <si>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</si>
  <si>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</si>
  <si>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</si>
  <si>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</si>
  <si>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</si>
  <si>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</si>
  <si>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</si>
  <si>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</si>
  <si>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</si>
  <si>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</si>
  <si>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</si>
  <si>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</si>
  <si>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</si>
  <si>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</si>
  <si>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</si>
  <si>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</si>
  <si>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</si>
  <si>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</si>
  <si>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</si>
  <si>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</si>
  <si>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</si>
  <si>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</si>
  <si>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</si>
  <si>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</si>
  <si>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</si>
  <si>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</si>
  <si>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</si>
  <si>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</si>
  <si>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</si>
  <si>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</si>
  <si>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</si>
  <si>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</si>
  <si>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</si>
  <si>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</si>
  <si>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</si>
  <si>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</si>
  <si>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</si>
  <si>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</si>
  <si>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</si>
  <si>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</si>
  <si>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</si>
  <si>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</si>
  <si>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</si>
  <si>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</si>
  <si>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</si>
  <si>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</si>
  <si>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</si>
  <si>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</si>
  <si>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</si>
  <si>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</si>
  <si>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</si>
  <si>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</si>
  <si>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</si>
  <si>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</si>
  <si>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</si>
  <si>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</si>
  <si>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</si>
  <si>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</si>
  <si>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</si>
  <si>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</si>
  <si>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</si>
  <si>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</si>
  <si>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</si>
  <si>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</si>
  <si>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</si>
  <si>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</si>
  <si>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</si>
  <si>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</si>
  <si>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</si>
  <si>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</si>
  <si>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</si>
  <si>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</si>
  <si>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</si>
  <si>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</si>
  <si>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</si>
  <si>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</si>
  <si>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</si>
  <si>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</si>
  <si>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</si>
  <si>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</si>
  <si>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</si>
  <si>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</si>
  <si>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</si>
  <si>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</si>
  <si>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</si>
  <si>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</si>
  <si>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</si>
  <si>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</si>
  <si>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</si>
  <si>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</si>
  <si>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</si>
  <si>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</si>
  <si>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</si>
  <si>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</si>
  <si>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</si>
  <si>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</si>
  <si>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</si>
  <si>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</si>
  <si>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</si>
  <si>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</si>
  <si>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</si>
  <si>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</si>
  <si>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</si>
  <si>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</si>
  <si>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</si>
  <si>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</si>
  <si>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</si>
  <si>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</si>
  <si>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</si>
  <si>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</si>
  <si>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</si>
  <si>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</si>
  <si>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</si>
  <si>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</si>
  <si>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</si>
  <si>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</si>
  <si>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</si>
  <si>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</si>
  <si>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</si>
  <si>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</si>
  <si>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</si>
  <si>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</si>
  <si>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</si>
  <si>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</si>
  <si>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</si>
  <si>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</si>
  <si>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</si>
  <si>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</si>
  <si>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</si>
  <si>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</si>
  <si>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</si>
  <si>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</si>
  <si>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</si>
  <si>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</si>
  <si>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</si>
  <si>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</si>
  <si>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</si>
  <si>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</si>
  <si>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</si>
  <si>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</si>
  <si>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</si>
  <si>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</si>
  <si>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</si>
  <si>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</si>
  <si>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</si>
  <si>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</si>
  <si>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</si>
  <si>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</si>
  <si>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</si>
  <si>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</si>
  <si>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</si>
  <si>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</si>
  <si>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</si>
  <si>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</si>
  <si>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</si>
  <si>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</si>
  <si>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</si>
  <si>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</si>
  <si>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</si>
  <si>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</si>
  <si>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</si>
  <si>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</si>
  <si>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</si>
  <si>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</si>
  <si>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</si>
  <si>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</si>
  <si>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</si>
  <si>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</si>
  <si>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</si>
  <si>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</si>
  <si>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</si>
  <si>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</si>
  <si>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</si>
  <si>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</si>
  <si>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</si>
  <si>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</si>
  <si>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</si>
  <si>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</si>
  <si>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</si>
  <si>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</si>
  <si>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</si>
  <si>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</si>
  <si>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</si>
  <si>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</si>
  <si>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</si>
  <si>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</si>
  <si>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</si>
  <si>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</si>
  <si>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</si>
  <si>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</si>
  <si>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</si>
  <si>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</si>
  <si>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</si>
  <si>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</si>
  <si>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</si>
  <si>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</si>
  <si>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</si>
  <si>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</si>
  <si>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</si>
  <si>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</si>
  <si>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</si>
  <si>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</si>
  <si>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</si>
  <si>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</si>
  <si>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</si>
  <si>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</si>
  <si>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</si>
  <si>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</si>
  <si>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</si>
  <si>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</si>
  <si>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</si>
  <si>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</si>
  <si>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</si>
  <si>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</si>
  <si>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</si>
  <si>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</si>
  <si>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</si>
  <si>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</si>
  <si>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</si>
  <si>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</si>
  <si>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</si>
  <si>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</si>
  <si>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</si>
  <si>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</si>
  <si>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</si>
  <si>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</si>
  <si>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</si>
  <si>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</si>
  <si>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</si>
  <si>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</si>
  <si>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</si>
  <si>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</si>
  <si>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</si>
  <si>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</si>
  <si>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</si>
  <si>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</si>
  <si>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</si>
  <si>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</si>
  <si>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</si>
  <si>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</si>
  <si>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</si>
  <si>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</si>
  <si>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</si>
  <si>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</si>
  <si>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</si>
  <si>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</si>
  <si>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</si>
  <si>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</si>
  <si>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</si>
  <si>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</si>
  <si>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</si>
  <si>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</si>
  <si>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</si>
  <si>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</si>
  <si>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</si>
  <si>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</si>
  <si>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</si>
  <si>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</si>
  <si>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</si>
  <si>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</si>
  <si>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</si>
  <si>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</si>
  <si>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</si>
  <si>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</si>
  <si>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</si>
  <si>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</si>
  <si>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</si>
  <si>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</si>
  <si>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</si>
  <si>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</si>
  <si>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</si>
  <si>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</si>
  <si>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</si>
  <si>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</si>
  <si>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</si>
  <si>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</si>
  <si>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</si>
  <si>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</si>
  <si>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</si>
  <si>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</si>
  <si>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</si>
  <si>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</si>
  <si>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</si>
  <si>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</si>
  <si>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</si>
  <si>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</si>
  <si>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</si>
  <si>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</si>
  <si>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</si>
  <si>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</si>
  <si>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</si>
  <si>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</si>
  <si>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</si>
  <si>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</si>
  <si>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</si>
  <si>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</si>
  <si>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</si>
  <si>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</si>
  <si>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</si>
  <si>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</si>
  <si>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</si>
  <si>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</si>
  <si>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</si>
  <si>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</si>
  <si>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</si>
  <si>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</si>
  <si>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</si>
  <si>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</si>
  <si>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</si>
  <si>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</si>
  <si>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</si>
  <si>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</si>
  <si>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</si>
  <si>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음양쌍보탕</t>
    <phoneticPr fontId="5" type="noConversion"/>
  </si>
  <si>
    <t>이대우</t>
    <phoneticPr fontId="5" type="noConversion"/>
  </si>
  <si>
    <t>M</t>
    <phoneticPr fontId="5" type="noConversion"/>
  </si>
  <si>
    <t>원육</t>
    <phoneticPr fontId="5" type="noConversion"/>
  </si>
  <si>
    <t>백작약</t>
    <phoneticPr fontId="5" type="noConversion"/>
  </si>
  <si>
    <t>백출</t>
    <phoneticPr fontId="5" type="noConversion"/>
  </si>
  <si>
    <t>복령</t>
    <phoneticPr fontId="5" type="noConversion"/>
  </si>
  <si>
    <t>당귀1</t>
    <phoneticPr fontId="5" type="noConversion"/>
  </si>
  <si>
    <t>천궁1</t>
    <phoneticPr fontId="5" type="noConversion"/>
  </si>
  <si>
    <t>황기</t>
    <phoneticPr fontId="5" type="noConversion"/>
  </si>
  <si>
    <t>황백</t>
    <phoneticPr fontId="5" type="noConversion"/>
  </si>
  <si>
    <t>산약</t>
    <phoneticPr fontId="5" type="noConversion"/>
  </si>
  <si>
    <t>산수유</t>
    <phoneticPr fontId="5" type="noConversion"/>
  </si>
  <si>
    <t>백하수오</t>
    <phoneticPr fontId="5" type="noConversion"/>
  </si>
  <si>
    <t>목단피</t>
    <phoneticPr fontId="5" type="noConversion"/>
  </si>
  <si>
    <t>토사자</t>
    <phoneticPr fontId="5" type="noConversion"/>
  </si>
  <si>
    <t>구기자</t>
    <phoneticPr fontId="5" type="noConversion"/>
  </si>
  <si>
    <t>복분자</t>
    <phoneticPr fontId="5" type="noConversion"/>
  </si>
  <si>
    <t>차전자</t>
    <phoneticPr fontId="5" type="noConversion"/>
  </si>
  <si>
    <t>오미자</t>
    <phoneticPr fontId="5" type="noConversion"/>
  </si>
  <si>
    <t>연육</t>
    <phoneticPr fontId="5" type="noConversion"/>
  </si>
  <si>
    <t>두충</t>
    <phoneticPr fontId="5" type="noConversion"/>
  </si>
  <si>
    <t>육계</t>
    <phoneticPr fontId="5" type="noConversion"/>
  </si>
  <si>
    <t>감초</t>
    <phoneticPr fontId="5" type="noConversion"/>
  </si>
  <si>
    <t>택사1</t>
    <phoneticPr fontId="5" type="noConversion"/>
  </si>
  <si>
    <t>녹용</t>
    <phoneticPr fontId="5" type="noConversion"/>
  </si>
  <si>
    <t>사인</t>
    <phoneticPr fontId="5" type="noConversion"/>
  </si>
  <si>
    <t>음양쌍보탕+녹용 사인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</si>
</sst>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20" sqref="E2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417</v>
      </c>
      <c r="D2" s="3"/>
      <c r="E2" s="87">
        <v>4</v>
      </c>
      <c r="F2" s="98">
        <f>E2*$L$15</f>
        <v>80</v>
      </c>
      <c r="G2">
        <f>VLOOKUP($C2,약재관리!A:J,10,FALSE)</f>
        <v>19.2</v>
      </c>
      <c r="H2" s="4">
        <f>G2*E2</f>
        <v>76.8</v>
      </c>
      <c r="I2" s="89">
        <f>G2*F2</f>
        <v>1536</v>
      </c>
      <c r="K2" s="6" t="s">
        <v>9</v>
      </c>
      <c r="L2" s="153">
        <v>124</v>
      </c>
      <c r="M2" s="154"/>
    </row>
    <row r="3" spans="2:13">
      <c r="B3" s="2">
        <v>2</v>
      </c>
      <c r="C3" t="s">
        <v>421</v>
      </c>
      <c r="D3" s="3"/>
      <c r="E3" s="87">
        <v>4</v>
      </c>
      <c r="F3" s="98">
        <f t="shared" ref="F3:F31" si="0">E3*$L$15</f>
        <v>80</v>
      </c>
      <c r="G3">
        <f>VLOOKUP($C3,약재관리!A:J,10,FALSE)</f>
        <v>27.2</v>
      </c>
      <c r="H3" s="4">
        <f t="shared" ref="H3:H31" si="1">G3*E3</f>
        <v>108.8</v>
      </c>
      <c r="I3" s="5">
        <f t="shared" ref="I3:I31" si="2">G3*F3</f>
        <v>2176</v>
      </c>
      <c r="K3" s="7" t="s">
        <v>10</v>
      </c>
      <c r="L3" s="148" t="s">
        <v>414</v>
      </c>
      <c r="M3" s="149"/>
    </row>
    <row r="4" spans="2:13">
      <c r="B4" s="2">
        <v>3</v>
      </c>
      <c r="C4" t="s">
        <v>422</v>
      </c>
      <c r="D4" s="3"/>
      <c r="E4" s="87">
        <v>4</v>
      </c>
      <c r="F4" s="98">
        <f t="shared" si="0"/>
        <v>80</v>
      </c>
      <c r="G4">
        <f>VLOOKUP($C4,약재관리!A:J,10,FALSE)</f>
        <v>10.8</v>
      </c>
      <c r="H4" s="4">
        <f t="shared" si="1"/>
        <v>43.2</v>
      </c>
      <c r="I4" s="5">
        <f t="shared" si="2"/>
        <v>864</v>
      </c>
      <c r="K4" s="7" t="s">
        <v>11</v>
      </c>
      <c r="L4" s="155">
        <v>45847</v>
      </c>
      <c r="M4" s="149"/>
    </row>
    <row r="5" spans="2:13">
      <c r="B5" s="2">
        <v>4</v>
      </c>
      <c r="C5" t="s">
        <v>418</v>
      </c>
      <c r="D5" s="3"/>
      <c r="E5" s="87">
        <v>4</v>
      </c>
      <c r="F5" s="98">
        <f t="shared" si="0"/>
        <v>80</v>
      </c>
      <c r="G5">
        <f>VLOOKUP($C5,약재관리!A:J,10,FALSE)</f>
        <v>19.600000000000001</v>
      </c>
      <c r="H5" s="4">
        <f t="shared" si="1"/>
        <v>78.400000000000006</v>
      </c>
      <c r="I5" s="5">
        <f t="shared" si="2"/>
        <v>1568</v>
      </c>
      <c r="K5" s="7" t="s">
        <v>12</v>
      </c>
      <c r="L5" s="148" t="s">
        <v>415</v>
      </c>
      <c r="M5" s="149"/>
    </row>
    <row r="6" spans="2:13">
      <c r="B6" s="2">
        <v>5</v>
      </c>
      <c r="C6" t="s">
        <v>419</v>
      </c>
      <c r="D6" s="3"/>
      <c r="E6" s="87">
        <v>4</v>
      </c>
      <c r="F6" s="98">
        <f t="shared" si="0"/>
        <v>80</v>
      </c>
      <c r="G6">
        <f>VLOOKUP($C6,약재관리!A:J,10,FALSE)</f>
        <v>30.3</v>
      </c>
      <c r="H6" s="4">
        <f t="shared" si="1"/>
        <v>121.2</v>
      </c>
      <c r="I6" s="5">
        <f t="shared" si="2"/>
        <v>2424</v>
      </c>
      <c r="K6" s="7" t="s">
        <v>13</v>
      </c>
      <c r="L6" s="148">
        <v>71</v>
      </c>
      <c r="M6" s="149"/>
    </row>
    <row r="7" spans="2:13" ht="17.25" thickBot="1">
      <c r="B7" s="2">
        <v>6</v>
      </c>
      <c r="C7" t="s">
        <v>420</v>
      </c>
      <c r="D7" s="3"/>
      <c r="E7" s="87">
        <v>4</v>
      </c>
      <c r="F7" s="98">
        <f t="shared" si="0"/>
        <v>80</v>
      </c>
      <c r="G7">
        <f>VLOOKUP($C7,약재관리!A:J,10,FALSE)</f>
        <v>9.8000000000000007</v>
      </c>
      <c r="H7" s="4">
        <f t="shared" si="1"/>
        <v>39.200000000000003</v>
      </c>
      <c r="I7" s="5">
        <f t="shared" si="2"/>
        <v>784</v>
      </c>
      <c r="K7" s="7" t="s">
        <v>14</v>
      </c>
      <c r="L7" s="156" t="s">
        <v>416</v>
      </c>
      <c r="M7" s="157"/>
    </row>
    <row r="8" spans="2:13" ht="17.25" thickBot="1">
      <c r="B8" s="2">
        <v>7</v>
      </c>
      <c r="C8" t="s">
        <v>423</v>
      </c>
      <c r="D8" s="3"/>
      <c r="E8" s="87">
        <v>4</v>
      </c>
      <c r="F8" s="98">
        <f t="shared" si="0"/>
        <v>80</v>
      </c>
      <c r="G8">
        <f>VLOOKUP($C8,약재관리!A:J,10,FALSE)</f>
        <v>22</v>
      </c>
      <c r="H8" s="4">
        <f t="shared" si="1"/>
        <v>88</v>
      </c>
      <c r="I8" s="5">
        <f t="shared" si="2"/>
        <v>1760</v>
      </c>
      <c r="K8" s="150" t="s">
        <v>15</v>
      </c>
      <c r="L8" s="151"/>
      <c r="M8" s="152"/>
    </row>
    <row r="9" spans="2:13">
      <c r="B9" s="2">
        <v>8</v>
      </c>
      <c r="C9" t="s">
        <v>424</v>
      </c>
      <c r="D9" s="3"/>
      <c r="E9" s="87">
        <v>4</v>
      </c>
      <c r="F9" s="98">
        <f t="shared" si="0"/>
        <v>80</v>
      </c>
      <c r="G9">
        <f>VLOOKUP($C9,약재관리!A:J,10,FALSE)</f>
        <v>27.7</v>
      </c>
      <c r="H9" s="4">
        <f t="shared" si="1"/>
        <v>110.8</v>
      </c>
      <c r="I9" s="5">
        <f t="shared" si="2"/>
        <v>2216</v>
      </c>
      <c r="K9" s="158" t="s">
        <v>441</v>
      </c>
      <c r="L9" s="159"/>
      <c r="M9" s="160"/>
    </row>
    <row r="10" spans="2:13">
      <c r="B10" s="2">
        <v>9</v>
      </c>
      <c r="C10" t="s">
        <v>425</v>
      </c>
      <c r="D10" s="3"/>
      <c r="E10" s="87">
        <v>4</v>
      </c>
      <c r="F10" s="98">
        <f t="shared" si="0"/>
        <v>80</v>
      </c>
      <c r="G10">
        <f>VLOOKUP($C10,약재관리!A:J,10,FALSE)</f>
        <v>18.3</v>
      </c>
      <c r="H10" s="4">
        <f t="shared" si="1"/>
        <v>73.2</v>
      </c>
      <c r="I10" s="5">
        <f t="shared" si="2"/>
        <v>1464</v>
      </c>
      <c r="K10" s="161"/>
      <c r="L10" s="162"/>
      <c r="M10" s="163"/>
    </row>
    <row r="11" spans="2:13">
      <c r="B11" s="2">
        <v>10</v>
      </c>
      <c r="C11" t="s">
        <v>426</v>
      </c>
      <c r="D11" s="3"/>
      <c r="E11" s="87">
        <v>4</v>
      </c>
      <c r="F11" s="98">
        <f t="shared" si="0"/>
        <v>80</v>
      </c>
      <c r="G11">
        <f>VLOOKUP($C11,약재관리!A:J,10,FALSE)</f>
        <v>27.7</v>
      </c>
      <c r="H11" s="4">
        <f t="shared" si="1"/>
        <v>110.8</v>
      </c>
      <c r="I11" s="5">
        <f t="shared" si="2"/>
        <v>2216</v>
      </c>
      <c r="K11" s="161"/>
      <c r="L11" s="162"/>
      <c r="M11" s="163"/>
    </row>
    <row r="12" spans="2:13">
      <c r="B12" s="2">
        <v>11</v>
      </c>
      <c r="C12" t="s">
        <v>427</v>
      </c>
      <c r="D12" s="3"/>
      <c r="E12" s="87">
        <v>4</v>
      </c>
      <c r="F12" s="98">
        <f t="shared" si="0"/>
        <v>80</v>
      </c>
      <c r="G12">
        <f>VLOOKUP($C12,약재관리!A:J,10,FALSE)</f>
        <v>49.8</v>
      </c>
      <c r="H12" s="4">
        <f t="shared" si="1"/>
        <v>199.2</v>
      </c>
      <c r="I12" s="5">
        <f t="shared" si="2"/>
        <v>3984</v>
      </c>
      <c r="K12" s="161"/>
      <c r="L12" s="162"/>
      <c r="M12" s="163"/>
    </row>
    <row r="13" spans="2:13" ht="17.25" thickBot="1">
      <c r="B13" s="2">
        <v>12</v>
      </c>
      <c r="C13" t="s">
        <v>428</v>
      </c>
      <c r="D13" s="3"/>
      <c r="E13" s="87">
        <v>4</v>
      </c>
      <c r="F13" s="98">
        <f t="shared" si="0"/>
        <v>80</v>
      </c>
      <c r="G13">
        <f>VLOOKUP($C13,약재관리!A:J,10,FALSE)</f>
        <v>28</v>
      </c>
      <c r="H13" s="4">
        <f t="shared" si="1"/>
        <v>112</v>
      </c>
      <c r="I13" s="5">
        <f t="shared" si="2"/>
        <v>2240</v>
      </c>
      <c r="K13" s="164"/>
      <c r="L13" s="165"/>
      <c r="M13" s="166"/>
    </row>
    <row r="14" spans="2:13">
      <c r="B14" s="2">
        <v>13</v>
      </c>
      <c r="C14" t="s">
        <v>438</v>
      </c>
      <c r="D14" s="3"/>
      <c r="E14" s="87">
        <v>4</v>
      </c>
      <c r="F14" s="98">
        <f t="shared" si="0"/>
        <v>80</v>
      </c>
      <c r="G14">
        <f>VLOOKUP($C14,약재관리!A:J,10,FALSE)</f>
        <v>23.7</v>
      </c>
      <c r="H14" s="4">
        <f t="shared" si="1"/>
        <v>94.8</v>
      </c>
      <c r="I14" s="5">
        <f t="shared" si="2"/>
        <v>1896</v>
      </c>
      <c r="K14" s="91" t="s">
        <v>16</v>
      </c>
      <c r="L14" s="8">
        <v>15</v>
      </c>
      <c r="M14" s="9" t="s">
        <v>17</v>
      </c>
    </row>
    <row r="15" spans="2:13">
      <c r="B15" s="2">
        <v>14</v>
      </c>
      <c r="C15" t="s">
        <v>429</v>
      </c>
      <c r="D15" s="3"/>
      <c r="E15" s="87">
        <v>2</v>
      </c>
      <c r="F15" s="98">
        <f t="shared" si="0"/>
        <v>40</v>
      </c>
      <c r="G15">
        <f>VLOOKUP($C15,약재관리!A:J,10,FALSE)</f>
        <v>17.2</v>
      </c>
      <c r="H15" s="4">
        <f t="shared" si="1"/>
        <v>34.4</v>
      </c>
      <c r="I15" s="5">
        <f t="shared" si="2"/>
        <v>688</v>
      </c>
      <c r="K15" s="90" t="s">
        <v>18</v>
      </c>
      <c r="L15">
        <v>20</v>
      </c>
      <c r="M15" s="3" t="s">
        <v>19</v>
      </c>
    </row>
    <row r="16" spans="2:13">
      <c r="B16" s="2">
        <v>15</v>
      </c>
      <c r="C16" t="s">
        <v>430</v>
      </c>
      <c r="D16" s="3"/>
      <c r="E16" s="87">
        <v>2</v>
      </c>
      <c r="F16" s="98">
        <f t="shared" si="0"/>
        <v>40</v>
      </c>
      <c r="G16">
        <f>VLOOKUP($C16,약재관리!A:J,10,FALSE)</f>
        <v>13.7</v>
      </c>
      <c r="H16" s="4">
        <f t="shared" si="1"/>
        <v>27.4</v>
      </c>
      <c r="I16" s="5">
        <f t="shared" si="2"/>
        <v>548</v>
      </c>
      <c r="K16" s="90" t="s">
        <v>20</v>
      </c>
      <c r="L16">
        <v>45</v>
      </c>
      <c r="M16" s="3" t="s">
        <v>21</v>
      </c>
    </row>
    <row r="17" spans="2:13" ht="17.25" thickBot="1">
      <c r="B17" s="2">
        <v>16</v>
      </c>
      <c r="C17" t="s">
        <v>431</v>
      </c>
      <c r="D17" s="3"/>
      <c r="E17" s="87">
        <v>2</v>
      </c>
      <c r="F17" s="98">
        <f t="shared" si="0"/>
        <v>40</v>
      </c>
      <c r="G17">
        <f>VLOOKUP($C17,약재관리!A:J,10,FALSE)</f>
        <v>10.4</v>
      </c>
      <c r="H17" s="4">
        <f t="shared" si="1"/>
        <v>20.8</v>
      </c>
      <c r="I17" s="5">
        <f t="shared" si="2"/>
        <v>416</v>
      </c>
      <c r="K17" s="13" t="s">
        <v>22</v>
      </c>
      <c r="L17" s="10">
        <v>110</v>
      </c>
      <c r="M17" s="11" t="s">
        <v>23</v>
      </c>
    </row>
    <row r="18" spans="2:13">
      <c r="B18" s="2">
        <v>17</v>
      </c>
      <c r="C18" t="s">
        <v>432</v>
      </c>
      <c r="D18" s="3"/>
      <c r="E18" s="87">
        <v>2</v>
      </c>
      <c r="F18" s="98">
        <f t="shared" si="0"/>
        <v>40</v>
      </c>
      <c r="G18">
        <f>VLOOKUP($C18,약재관리!A:J,10,FALSE)</f>
        <v>23.3</v>
      </c>
      <c r="H18" s="4">
        <f t="shared" si="1"/>
        <v>46.6</v>
      </c>
      <c r="I18" s="5">
        <f t="shared" si="2"/>
        <v>932</v>
      </c>
      <c r="K18" s="91" t="s">
        <v>24</v>
      </c>
      <c r="L18" s="8">
        <f>SUM(E2:E31)</f>
        <v>84</v>
      </c>
      <c r="M18" s="9" t="s">
        <v>25</v>
      </c>
    </row>
    <row r="19" spans="2:13">
      <c r="B19" s="2">
        <v>18</v>
      </c>
      <c r="C19" t="s">
        <v>433</v>
      </c>
      <c r="D19" s="3"/>
      <c r="E19" s="87">
        <v>2</v>
      </c>
      <c r="F19" s="98">
        <f t="shared" si="0"/>
        <v>40</v>
      </c>
      <c r="G19">
        <f>VLOOKUP($C19,약재관리!A:J,10,FALSE)</f>
        <v>23.5</v>
      </c>
      <c r="H19" s="4">
        <f t="shared" si="1"/>
        <v>47</v>
      </c>
      <c r="I19" s="5">
        <f t="shared" si="2"/>
        <v>940</v>
      </c>
      <c r="K19" s="90" t="s">
        <v>26</v>
      </c>
      <c r="L19">
        <f>L15*L18</f>
        <v>1680</v>
      </c>
      <c r="M19" s="3" t="s">
        <v>25</v>
      </c>
    </row>
    <row r="20" spans="2:13" ht="17.25" thickBot="1">
      <c r="B20" s="2">
        <v>19</v>
      </c>
      <c r="C20" t="s">
        <v>434</v>
      </c>
      <c r="D20" s="3"/>
      <c r="E20" s="87">
        <v>4</v>
      </c>
      <c r="F20" s="98">
        <f t="shared" si="0"/>
        <v>80</v>
      </c>
      <c r="G20">
        <f>VLOOKUP($C20,약재관리!A:J,10,FALSE)</f>
        <v>9.1999999999999993</v>
      </c>
      <c r="H20" s="4">
        <f t="shared" si="1"/>
        <v>36.799999999999997</v>
      </c>
      <c r="I20" s="5">
        <f t="shared" si="2"/>
        <v>736</v>
      </c>
      <c r="K20" s="13" t="s">
        <v>27</v>
      </c>
      <c r="L20" s="10">
        <f>L16*L17+L19</f>
        <v>6630</v>
      </c>
      <c r="M20" s="11" t="s">
        <v>23</v>
      </c>
    </row>
    <row r="21" spans="2:13" ht="17.25" thickBot="1">
      <c r="B21" s="2">
        <v>20</v>
      </c>
      <c r="C21" t="s">
        <v>435</v>
      </c>
      <c r="D21" s="3"/>
      <c r="E21" s="87">
        <v>4</v>
      </c>
      <c r="F21" s="98">
        <f t="shared" si="0"/>
        <v>80</v>
      </c>
      <c r="G21">
        <f>VLOOKUP($C21,약재관리!A:J,10,FALSE)</f>
        <v>11.3</v>
      </c>
      <c r="H21" s="4">
        <f t="shared" si="1"/>
        <v>45.2</v>
      </c>
      <c r="I21" s="5">
        <f t="shared" si="2"/>
        <v>904</v>
      </c>
      <c r="J21" s="90"/>
      <c r="M21" s="93"/>
    </row>
    <row r="22" spans="2:13" ht="17.25" thickBot="1">
      <c r="B22" s="2">
        <v>21</v>
      </c>
      <c r="C22" t="s">
        <v>436</v>
      </c>
      <c r="D22" s="3"/>
      <c r="E22" s="87">
        <v>4</v>
      </c>
      <c r="F22" s="98">
        <f t="shared" si="0"/>
        <v>80</v>
      </c>
      <c r="G22">
        <f>VLOOKUP($C22,약재관리!A:J,10,FALSE)</f>
        <v>14.8</v>
      </c>
      <c r="H22" s="4">
        <f t="shared" si="1"/>
        <v>59.2</v>
      </c>
      <c r="I22" s="5">
        <f t="shared" si="2"/>
        <v>1184</v>
      </c>
      <c r="K22" s="150" t="s">
        <v>28</v>
      </c>
      <c r="L22" s="151"/>
      <c r="M22" s="152"/>
    </row>
    <row r="23" spans="2:13">
      <c r="B23" s="2">
        <v>22</v>
      </c>
      <c r="C23" t="s">
        <v>437</v>
      </c>
      <c r="D23" s="3"/>
      <c r="E23" s="87">
        <v>4</v>
      </c>
      <c r="F23" s="98">
        <f t="shared" si="0"/>
        <v>80</v>
      </c>
      <c r="G23">
        <f>VLOOKUP($C23,약재관리!A:J,10,FALSE)</f>
        <v>28.3</v>
      </c>
      <c r="H23" s="4">
        <f t="shared" si="1"/>
        <v>113.2</v>
      </c>
      <c r="I23" s="5">
        <f t="shared" si="2"/>
        <v>2264</v>
      </c>
      <c r="K23" s="90" t="s">
        <v>29</v>
      </c>
      <c r="L23">
        <f>SUM(F2:F31)</f>
        <v>1680</v>
      </c>
      <c r="M23" s="3" t="s">
        <v>25</v>
      </c>
    </row>
    <row r="24" spans="2:13">
      <c r="B24" s="2">
        <v>23</v>
      </c>
      <c r="C24" t="s">
        <v>439</v>
      </c>
      <c r="D24" s="3"/>
      <c r="E24" s="87">
        <v>2</v>
      </c>
      <c r="F24" s="98">
        <f t="shared" si="0"/>
        <v>40</v>
      </c>
      <c r="G24">
        <f>VLOOKUP($C24,약재관리!A:J,10,FALSE)</f>
        <v>463.3</v>
      </c>
      <c r="H24" s="4">
        <f t="shared" si="1"/>
        <v>926.6</v>
      </c>
      <c r="I24" s="5">
        <f t="shared" si="2"/>
        <v>18532</v>
      </c>
      <c r="K24" s="90" t="s">
        <v>30</v>
      </c>
      <c r="L24">
        <v>5000</v>
      </c>
      <c r="M24" s="3" t="s">
        <v>23</v>
      </c>
    </row>
    <row r="25" spans="2:13">
      <c r="B25" s="2">
        <v>24</v>
      </c>
      <c r="C25" t="s">
        <v>440</v>
      </c>
      <c r="D25" s="3"/>
      <c r="E25" s="87">
        <v>4</v>
      </c>
      <c r="F25" s="98">
        <f t="shared" si="0"/>
        <v>80</v>
      </c>
      <c r="G25">
        <f>VLOOKUP($C25,약재관리!A:J,10,FALSE)</f>
        <v>21.8</v>
      </c>
      <c r="H25" s="4">
        <f t="shared" si="1"/>
        <v>87.2</v>
      </c>
      <c r="I25" s="5">
        <f t="shared" si="2"/>
        <v>1744</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2700.7999999999997</v>
      </c>
      <c r="M30" s="3" t="s">
        <v>36</v>
      </c>
    </row>
    <row r="31" spans="2:13" ht="17.25" thickBot="1">
      <c r="B31" s="12">
        <v>30</v>
      </c>
      <c r="C31" s="13"/>
      <c r="D31" s="11"/>
      <c r="E31" s="94"/>
      <c r="F31" s="99">
        <f t="shared" si="0"/>
        <v>0</v>
      </c>
      <c r="G31" s="10"/>
      <c r="H31" s="14">
        <f t="shared" si="1"/>
        <v>0</v>
      </c>
      <c r="I31" s="15">
        <f t="shared" si="2"/>
        <v>0</v>
      </c>
      <c r="K31" s="13" t="s">
        <v>37</v>
      </c>
      <c r="L31" s="14">
        <f>SUM(I2:I31)</f>
        <v>54016</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60" zoomScaleNormal="100" workbookViewId="0">
      <selection activeCell="I186" sqref="I186"/>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v>13000</v>
      </c>
      <c r="F137" s="112">
        <f t="shared" si="12"/>
        <v>0</v>
      </c>
      <c r="G137" s="37">
        <f>C137/600</f>
        <v>22</v>
      </c>
      <c r="H137" s="37">
        <f t="shared" si="14"/>
        <v>23.333333333333332</v>
      </c>
      <c r="I137" s="38">
        <f>E137/500</f>
        <v>26</v>
      </c>
      <c r="J137" s="39">
        <v>22</v>
      </c>
      <c r="K137" s="68"/>
      <c r="L137" s="67" t="s">
        <v>120</v>
      </c>
      <c r="M137" s="67"/>
      <c r="N137" s="69" t="s">
        <v>413</v>
      </c>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60000</v>
      </c>
      <c r="D142" s="35">
        <v>30000</v>
      </c>
      <c r="E142" s="36">
        <v>67500</v>
      </c>
      <c r="F142" s="112">
        <f t="shared" si="12"/>
        <v>0</v>
      </c>
      <c r="G142" s="43">
        <f>C142/600</f>
        <v>100</v>
      </c>
      <c r="H142" s="37">
        <f>D142/300</f>
        <v>100</v>
      </c>
      <c r="I142" s="38">
        <f t="shared" si="14"/>
        <v>112.5</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v>17.2</v>
      </c>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10500</v>
      </c>
      <c r="F199" s="112">
        <f t="shared" si="22"/>
        <v>0</v>
      </c>
      <c r="G199" s="37">
        <f t="shared" si="22"/>
        <v>17.600000000000001</v>
      </c>
      <c r="H199" s="37">
        <f>D199/600</f>
        <v>0</v>
      </c>
      <c r="I199" s="38">
        <f t="shared" si="24"/>
        <v>17.5</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2025-07-08T08:39:42Z</dcterms:modified>
  <cp:category/>
  <cp:contentStatus/>
</cp:coreProperties>
</file>