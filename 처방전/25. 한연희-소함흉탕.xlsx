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61" documentId="8_{6EB8DC0A-AB56-415F-A9F3-EA1534264548}" xr6:coauthVersionLast="47" xr6:coauthVersionMax="47" xr10:uidLastSave="{3F57146D-7C61-4466-83AC-78A8CAF1B893}"/>
  <bookViews>
    <workbookView xWindow="13530" yWindow="30" windowWidth="15270" windowHeight="15450" xr2:uid="{8B9F1886-173A-4475-B0CF-D9F36CE30773}"/>
  </bookViews>
  <sheets>
    <sheet name="5차" sheetId="6" r:id="rId1"/>
    <sheet name="4차" sheetId="5" r:id="rId2"/>
    <sheet name="3차" sheetId="4"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6" l="1"/>
  <c r="H18" i="6"/>
  <c r="H31" i="6"/>
  <c r="F31" i="6"/>
  <c r="I31" i="6" s="1"/>
  <c r="H30" i="6"/>
  <c r="F30" i="6"/>
  <c r="I30" i="6" s="1"/>
  <c r="H29" i="6"/>
  <c r="F29" i="6"/>
  <c r="I29" i="6" s="1"/>
  <c r="I28" i="6"/>
  <c r="H28" i="6"/>
  <c r="F28" i="6"/>
  <c r="H27" i="6"/>
  <c r="F27" i="6"/>
  <c r="I27" i="6" s="1"/>
  <c r="H26" i="6"/>
  <c r="F26" i="6"/>
  <c r="I26" i="6" s="1"/>
  <c r="H25" i="6"/>
  <c r="F25" i="6"/>
  <c r="I25" i="6" s="1"/>
  <c r="I24" i="6"/>
  <c r="H24" i="6"/>
  <c r="F24" i="6"/>
  <c r="H23" i="6"/>
  <c r="F23" i="6"/>
  <c r="I23" i="6" s="1"/>
  <c r="H22" i="6"/>
  <c r="F22" i="6"/>
  <c r="I22" i="6" s="1"/>
  <c r="H21" i="6"/>
  <c r="F21" i="6"/>
  <c r="I21" i="6" s="1"/>
  <c r="H20" i="6"/>
  <c r="F20" i="6"/>
  <c r="I20" i="6" s="1"/>
  <c r="I19" i="6"/>
  <c r="H19" i="6"/>
  <c r="F19" i="6"/>
  <c r="L18" i="6"/>
  <c r="L19" i="6" s="1"/>
  <c r="L20" i="6" s="1"/>
  <c r="F18" i="6"/>
  <c r="F17" i="6"/>
  <c r="G16" i="6"/>
  <c r="H16" i="6" s="1"/>
  <c r="F16" i="6"/>
  <c r="G15" i="6"/>
  <c r="F15" i="6"/>
  <c r="G14" i="6"/>
  <c r="F14" i="6"/>
  <c r="G13" i="6"/>
  <c r="F13" i="6"/>
  <c r="G12" i="6"/>
  <c r="F12" i="6"/>
  <c r="G11" i="6"/>
  <c r="F11" i="6"/>
  <c r="G10" i="6"/>
  <c r="F10" i="6"/>
  <c r="G9" i="6"/>
  <c r="F9" i="6"/>
  <c r="G8" i="6"/>
  <c r="F8" i="6"/>
  <c r="G7" i="6"/>
  <c r="F7" i="6"/>
  <c r="G6" i="6"/>
  <c r="F6" i="6"/>
  <c r="G5" i="6"/>
  <c r="F5" i="6"/>
  <c r="G4" i="6"/>
  <c r="H4" i="6" s="1"/>
  <c r="F4" i="6"/>
  <c r="G3" i="6"/>
  <c r="F3" i="6"/>
  <c r="G2" i="6"/>
  <c r="F2" i="6"/>
  <c r="G18" i="4"/>
  <c r="H31" i="5"/>
  <c r="F31" i="5"/>
  <c r="I31" i="5" s="1"/>
  <c r="H30" i="5"/>
  <c r="F30" i="5"/>
  <c r="I30" i="5" s="1"/>
  <c r="H29" i="5"/>
  <c r="F29" i="5"/>
  <c r="I29" i="5" s="1"/>
  <c r="H28" i="5"/>
  <c r="F28" i="5"/>
  <c r="I28" i="5" s="1"/>
  <c r="H27" i="5"/>
  <c r="F27" i="5"/>
  <c r="I27" i="5" s="1"/>
  <c r="I26" i="5"/>
  <c r="H26" i="5"/>
  <c r="F26" i="5"/>
  <c r="H25" i="5"/>
  <c r="F25" i="5"/>
  <c r="I25" i="5" s="1"/>
  <c r="H24" i="5"/>
  <c r="F24" i="5"/>
  <c r="I24" i="5" s="1"/>
  <c r="I23" i="5"/>
  <c r="H23" i="5"/>
  <c r="F23" i="5"/>
  <c r="H22" i="5"/>
  <c r="F22" i="5"/>
  <c r="I22" i="5" s="1"/>
  <c r="I21" i="5"/>
  <c r="H21" i="5"/>
  <c r="F21" i="5"/>
  <c r="H20" i="5"/>
  <c r="F20" i="5"/>
  <c r="I20" i="5" s="1"/>
  <c r="L19" i="5"/>
  <c r="L20" i="5" s="1"/>
  <c r="I19" i="5"/>
  <c r="H19" i="5"/>
  <c r="F19" i="5"/>
  <c r="L18" i="5"/>
  <c r="I18" i="5"/>
  <c r="H18" i="5"/>
  <c r="F18" i="5"/>
  <c r="G17" i="5"/>
  <c r="H17" i="5" s="1"/>
  <c r="F17" i="5"/>
  <c r="G16" i="5"/>
  <c r="I16" i="5" s="1"/>
  <c r="F16" i="5"/>
  <c r="G15" i="5"/>
  <c r="I15" i="5" s="1"/>
  <c r="F15" i="5"/>
  <c r="G14" i="5"/>
  <c r="H14" i="5" s="1"/>
  <c r="F14" i="5"/>
  <c r="G13" i="5"/>
  <c r="I13" i="5" s="1"/>
  <c r="F13" i="5"/>
  <c r="G12" i="5"/>
  <c r="H12" i="5" s="1"/>
  <c r="F12" i="5"/>
  <c r="G11" i="5"/>
  <c r="H11" i="5" s="1"/>
  <c r="F11" i="5"/>
  <c r="G10" i="5"/>
  <c r="I10" i="5" s="1"/>
  <c r="F10" i="5"/>
  <c r="G9" i="5"/>
  <c r="I9" i="5" s="1"/>
  <c r="F9" i="5"/>
  <c r="G8" i="5"/>
  <c r="H8" i="5" s="1"/>
  <c r="F8" i="5"/>
  <c r="G7" i="5"/>
  <c r="I7" i="5" s="1"/>
  <c r="F7" i="5"/>
  <c r="G6" i="5"/>
  <c r="H6" i="5" s="1"/>
  <c r="F6" i="5"/>
  <c r="G5" i="5"/>
  <c r="H5" i="5" s="1"/>
  <c r="F5" i="5"/>
  <c r="G4" i="5"/>
  <c r="I4" i="5" s="1"/>
  <c r="F4" i="5"/>
  <c r="G3" i="5"/>
  <c r="I3" i="5" s="1"/>
  <c r="F3" i="5"/>
  <c r="G2" i="5"/>
  <c r="H2" i="5" s="1"/>
  <c r="F2" i="5"/>
  <c r="L23" i="5" s="1"/>
  <c r="G17" i="4"/>
  <c r="G13" i="4"/>
  <c r="G14" i="4"/>
  <c r="G15" i="4"/>
  <c r="G16" i="4"/>
  <c r="F2" i="4"/>
  <c r="F3" i="4"/>
  <c r="F4" i="4"/>
  <c r="F5" i="4"/>
  <c r="I17" i="6" l="1"/>
  <c r="I18" i="6"/>
  <c r="I15" i="6"/>
  <c r="I14" i="6"/>
  <c r="I13" i="6"/>
  <c r="I12" i="6"/>
  <c r="I11" i="6"/>
  <c r="I10" i="6"/>
  <c r="I9" i="6"/>
  <c r="I8" i="6"/>
  <c r="I7" i="6"/>
  <c r="I6" i="6"/>
  <c r="I5" i="6"/>
  <c r="I3" i="6"/>
  <c r="I2" i="6"/>
  <c r="L23" i="6"/>
  <c r="H3" i="6"/>
  <c r="H9" i="6"/>
  <c r="H15" i="6"/>
  <c r="H6" i="6"/>
  <c r="H12" i="6"/>
  <c r="H7" i="6"/>
  <c r="H13" i="6"/>
  <c r="H10" i="6"/>
  <c r="I4" i="6"/>
  <c r="I16" i="6"/>
  <c r="H2" i="6"/>
  <c r="H5" i="6"/>
  <c r="H8" i="6"/>
  <c r="H11" i="6"/>
  <c r="H14" i="6"/>
  <c r="H17" i="6"/>
  <c r="I2" i="5"/>
  <c r="I5" i="5"/>
  <c r="I8" i="5"/>
  <c r="I11" i="5"/>
  <c r="I14" i="5"/>
  <c r="I17" i="5"/>
  <c r="H3" i="5"/>
  <c r="L30" i="5" s="1"/>
  <c r="H9" i="5"/>
  <c r="H15" i="5"/>
  <c r="I6" i="5"/>
  <c r="I12" i="5"/>
  <c r="H4" i="5"/>
  <c r="H7" i="5"/>
  <c r="H10" i="5"/>
  <c r="H13" i="5"/>
  <c r="H16" i="5"/>
  <c r="I51" i="3"/>
  <c r="H51" i="3"/>
  <c r="G51" i="3"/>
  <c r="F51" i="3"/>
  <c r="L31" i="6" l="1"/>
  <c r="L30" i="6"/>
  <c r="L31" i="5"/>
  <c r="G3" i="4"/>
  <c r="G4" i="4"/>
  <c r="H4" i="4" s="1"/>
  <c r="G5" i="4"/>
  <c r="H5" i="4" s="1"/>
  <c r="G6" i="4"/>
  <c r="H6" i="4" s="1"/>
  <c r="G7" i="4"/>
  <c r="H7" i="4" s="1"/>
  <c r="G8" i="4"/>
  <c r="H8" i="4" s="1"/>
  <c r="G9" i="4"/>
  <c r="G10" i="4"/>
  <c r="G11" i="4"/>
  <c r="G12" i="4"/>
  <c r="H12" i="4" s="1"/>
  <c r="H13" i="4"/>
  <c r="H14" i="4"/>
  <c r="H15" i="4"/>
  <c r="H16" i="4"/>
  <c r="H20" i="4"/>
  <c r="H21" i="4"/>
  <c r="H22" i="4"/>
  <c r="H23" i="4"/>
  <c r="I25" i="4"/>
  <c r="I26" i="4"/>
  <c r="H28" i="4"/>
  <c r="H29" i="4"/>
  <c r="H30" i="4"/>
  <c r="H31" i="4"/>
  <c r="F6" i="4"/>
  <c r="F7" i="4"/>
  <c r="F8" i="4"/>
  <c r="F9" i="4"/>
  <c r="F10" i="4"/>
  <c r="F11" i="4"/>
  <c r="F12" i="4"/>
  <c r="F31" i="4"/>
  <c r="F30" i="4"/>
  <c r="F29" i="4"/>
  <c r="F28" i="4"/>
  <c r="F27" i="4"/>
  <c r="F26" i="4"/>
  <c r="F25" i="4"/>
  <c r="F24" i="4"/>
  <c r="L18" i="4"/>
  <c r="L19" i="4" s="1"/>
  <c r="L20" i="4" s="1"/>
  <c r="F23" i="4"/>
  <c r="F22" i="4"/>
  <c r="F21" i="4"/>
  <c r="F20" i="4"/>
  <c r="F19" i="4"/>
  <c r="F18" i="4"/>
  <c r="I18" i="4" s="1"/>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<sst xmlns="http://schemas.openxmlformats.org/spreadsheetml/2006/main" count="714" uniqueCount="439">
  <si>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</si>
  <si>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</si>
  <si>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</si>
  <si>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</si>
  <si>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</si>
  <si>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</si>
  <si>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</si>
  <si>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</si>
  <si>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</si>
  <si>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</si>
  <si>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</si>
  <si>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</si>
  <si>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</si>
  <si>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</si>
  <si>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</si>
  <si>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</si>
  <si>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</si>
  <si>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</si>
  <si>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</si>
  <si>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</si>
  <si>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</si>
  <si>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</si>
  <si>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</si>
  <si>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</si>
  <si>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</si>
  <si>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</si>
  <si>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</si>
  <si>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</si>
  <si>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</si>
  <si>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</si>
  <si>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</si>
  <si>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</si>
  <si>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</si>
  <si>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</si>
  <si>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</si>
  <si>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</si>
  <si>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</si>
  <si>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</si>
  <si>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</si>
  <si>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</si>
  <si>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</si>
  <si>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</si>
  <si>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</si>
  <si>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</si>
  <si>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</si>
  <si>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</si>
  <si>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</si>
  <si>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</si>
  <si>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</si>
  <si>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</si>
  <si>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</si>
  <si>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</si>
  <si>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</si>
  <si>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</si>
  <si>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</si>
  <si>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</si>
  <si>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</si>
  <si>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</si>
  <si>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</si>
  <si>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</si>
  <si>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</si>
  <si>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</si>
  <si>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</si>
  <si>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</si>
  <si>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</si>
  <si>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</si>
  <si>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</si>
  <si>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</si>
  <si>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</si>
  <si>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</si>
  <si>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</si>
  <si>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</si>
  <si>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</si>
  <si>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</si>
  <si>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</si>
  <si>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</si>
  <si>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</si>
  <si>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</si>
  <si>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</si>
  <si>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</si>
  <si>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</si>
  <si>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</si>
  <si>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</si>
  <si>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</si>
  <si>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</si>
  <si>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</si>
  <si>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</si>
  <si>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</si>
  <si>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</si>
  <si>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</si>
  <si>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</si>
  <si>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</si>
  <si>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</si>
  <si>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</si>
  <si>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</si>
  <si>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</si>
  <si>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</si>
  <si>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</si>
  <si>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</si>
  <si>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</si>
  <si>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</si>
  <si>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</si>
  <si>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</si>
  <si>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</si>
  <si>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</si>
  <si>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</si>
  <si>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</si>
  <si>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</si>
  <si>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</si>
  <si>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</si>
  <si>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</si>
  <si>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</si>
  <si>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</si>
  <si>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</si>
  <si>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</si>
  <si>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</si>
  <si>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</si>
  <si>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</si>
  <si>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</si>
  <si>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</si>
  <si>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</si>
  <si>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</si>
  <si>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</si>
  <si>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</si>
  <si>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</si>
  <si>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</si>
  <si>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</si>
  <si>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</si>
  <si>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</si>
  <si>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</si>
  <si>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</si>
  <si>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</si>
  <si>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</si>
  <si>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</si>
  <si>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</si>
  <si>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</si>
  <si>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</si>
  <si>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</si>
  <si>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</si>
  <si>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</si>
  <si>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</si>
  <si>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</si>
  <si>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</si>
  <si>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</si>
  <si>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</si>
  <si>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</si>
  <si>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</si>
  <si>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</si>
  <si>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</si>
  <si>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</si>
  <si>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</si>
  <si>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</si>
  <si>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</si>
  <si>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</si>
  <si>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</si>
  <si>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</si>
  <si>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</si>
  <si>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</si>
  <si>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</si>
  <si>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</si>
  <si>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</si>
  <si>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</si>
  <si>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</si>
  <si>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</si>
  <si>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</si>
  <si>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</si>
  <si>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</si>
  <si>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</si>
  <si>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</si>
  <si>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</si>
  <si>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</si>
  <si>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</si>
  <si>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</si>
  <si>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</si>
  <si>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</si>
  <si>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</si>
  <si>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</si>
  <si>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</si>
  <si>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</si>
  <si>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</si>
  <si>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</si>
  <si>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</si>
  <si>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</si>
  <si>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</si>
  <si>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</si>
  <si>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</si>
  <si>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</si>
  <si>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</si>
  <si>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</si>
  <si>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</si>
  <si>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</si>
  <si>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</si>
  <si>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</si>
  <si>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</si>
  <si>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</si>
  <si>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</si>
  <si>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</si>
  <si>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</si>
  <si>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</si>
  <si>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</si>
  <si>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</si>
  <si>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</si>
  <si>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</si>
  <si>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</si>
  <si>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</si>
  <si>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</si>
  <si>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</si>
  <si>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</si>
  <si>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</si>
  <si>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</si>
  <si>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</si>
  <si>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</si>
  <si>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</si>
  <si>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</si>
  <si>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</si>
  <si>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</si>
  <si>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</si>
  <si>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</si>
  <si>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</si>
  <si>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</si>
  <si>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</si>
  <si>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</si>
  <si>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</si>
  <si>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</si>
  <si>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</si>
  <si>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</si>
  <si>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</si>
  <si>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</si>
  <si>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</si>
  <si>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</si>
  <si>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</si>
  <si>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</si>
  <si>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</si>
  <si>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</si>
  <si>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</si>
  <si>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</si>
  <si>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</si>
  <si>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</si>
  <si>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</si>
  <si>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</si>
  <si>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</si>
  <si>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</si>
  <si>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</si>
  <si>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</si>
  <si>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</si>
  <si>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</si>
  <si>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</si>
  <si>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</si>
  <si>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</si>
  <si>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</si>
  <si>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</si>
  <si>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</si>
  <si>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</si>
  <si>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</si>
  <si>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</si>
  <si>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</si>
  <si>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</si>
  <si>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</si>
  <si>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</si>
  <si>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</si>
  <si>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</si>
  <si>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</si>
  <si>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</si>
  <si>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</si>
  <si>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</si>
  <si>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</si>
  <si>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</si>
  <si>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</si>
  <si>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</si>
  <si>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</si>
  <si>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</si>
  <si>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</si>
  <si>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</si>
  <si>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</si>
  <si>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</si>
  <si>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</si>
  <si>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</si>
  <si>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</si>
  <si>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</si>
  <si>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</si>
  <si>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</si>
  <si>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</si>
  <si>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</si>
  <si>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</si>
  <si>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</si>
  <si>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</si>
  <si>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</si>
  <si>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</si>
  <si>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</si>
  <si>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</si>
  <si>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</si>
  <si>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</si>
  <si>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</si>
  <si>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</si>
  <si>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</si>
  <si>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</si>
  <si>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</si>
  <si>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</si>
  <si>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</si>
  <si>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</si>
  <si>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</si>
  <si>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</si>
  <si>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</si>
  <si>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</si>
  <si>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</si>
  <si>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</si>
  <si>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</si>
  <si>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</si>
  <si>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</si>
  <si>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</si>
  <si>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</si>
  <si>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</si>
  <si>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</si>
  <si>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</si>
  <si>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</si>
  <si>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</si>
  <si>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</si>
  <si>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</si>
  <si>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</si>
  <si>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</si>
  <si>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</si>
  <si>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</si>
  <si>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</si>
  <si>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</si>
  <si>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</si>
  <si>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</si>
  <si>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</si>
  <si>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</si>
  <si>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</si>
  <si>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</si>
  <si>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</si>
  <si>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</si>
  <si>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</si>
  <si>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</si>
  <si>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</si>
  <si>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</si>
  <si>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</si>
  <si>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</si>
  <si>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</si>
  <si>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</si>
  <si>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</si>
  <si>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</si>
  <si>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</si>
  <si>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</si>
  <si>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</si>
  <si>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</si>
  <si>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</si>
  <si>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</si>
  <si>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</si>
  <si>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</si>
  <si>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</si>
  <si>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</si>
  <si>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</si>
  <si>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</si>
  <si>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</si>
  <si>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</si>
  <si>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</si>
  <si>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</si>
  <si>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</si>
  <si>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</si>
  <si>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</si>
  <si>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</si>
  <si>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</si>
  <si>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</si>
  <si>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</si>
  <si>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</si>
  <si>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</si>
  <si>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</si>
  <si>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</si>
  <si>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</si>
  <si>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</si>
  <si>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</si>
  <si>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</si>
  <si>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</si>
  <si>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</si>
  <si>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</si>
  <si>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</si>
  <si>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</si>
  <si>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</si>
  <si>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</si>
  <si>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</si>
  <si>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</si>
  <si>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</si>
  <si>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</si>
  <si>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</si>
  <si>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</si>
  <si>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</si>
  <si>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</si>
  <si>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</si>
  <si>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</si>
  <si>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</si>
  <si>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</si>
  <si>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</si>
  <si>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</si>
  <si>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</si>
  <si>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</si>
  <si>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</si>
  <si>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</si>
  <si>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</si>
  <si>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</si>
  <si>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</si>
  <si>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한연희</t>
    <phoneticPr fontId="5" type="noConversion"/>
  </si>
  <si>
    <t>F</t>
    <phoneticPr fontId="5" type="noConversion"/>
  </si>
  <si>
    <t>황련</t>
    <phoneticPr fontId="5" type="noConversion"/>
  </si>
  <si>
    <t>부자</t>
    <phoneticPr fontId="5" type="noConversion"/>
  </si>
  <si>
    <t>궁지향소산+소함흉탕</t>
    <phoneticPr fontId="5" type="noConversion"/>
  </si>
  <si>
    <t>향부자</t>
    <phoneticPr fontId="5" type="noConversion"/>
  </si>
  <si>
    <t>백지</t>
    <phoneticPr fontId="5" type="noConversion"/>
  </si>
  <si>
    <t>감초</t>
    <phoneticPr fontId="5" type="noConversion"/>
  </si>
  <si>
    <t>생강</t>
    <phoneticPr fontId="5" type="noConversion"/>
  </si>
  <si>
    <t>자소엽</t>
    <phoneticPr fontId="5" type="noConversion"/>
  </si>
  <si>
    <t>창출2</t>
    <phoneticPr fontId="5" type="noConversion"/>
  </si>
  <si>
    <t>진피1</t>
    <phoneticPr fontId="5" type="noConversion"/>
  </si>
  <si>
    <t>천궁1</t>
    <phoneticPr fontId="5" type="noConversion"/>
  </si>
  <si>
    <t>반하</t>
    <phoneticPr fontId="5" type="noConversion"/>
  </si>
  <si>
    <t>과루인</t>
    <phoneticPr fontId="5" type="noConversion"/>
  </si>
  <si>
    <t>주초</t>
    <phoneticPr fontId="5" type="noConversion"/>
  </si>
  <si>
    <t>원육</t>
    <phoneticPr fontId="5" type="noConversion"/>
  </si>
  <si>
    <t>복령</t>
    <phoneticPr fontId="5" type="noConversion"/>
  </si>
  <si>
    <t>석창포</t>
    <phoneticPr fontId="5" type="noConversion"/>
  </si>
  <si>
    <t>원지</t>
    <phoneticPr fontId="5" type="noConversion"/>
  </si>
  <si>
    <t>#두통, 가슴답답함, 기억력저하
말초시림
궁지향소산 + 소함흉탕 + 원육 원지 복신 석창포 + 부자</t>
    <phoneticPr fontId="5" type="noConversion"/>
  </si>
  <si>
    <t>육계</t>
    <phoneticPr fontId="5" type="noConversion"/>
  </si>
  <si>
    <t>백작약</t>
    <phoneticPr fontId="5" type="noConversion"/>
  </si>
  <si>
    <t>당귀1</t>
    <phoneticPr fontId="5" type="noConversion"/>
  </si>
  <si>
    <t>죽여1</t>
    <phoneticPr fontId="5" type="noConversion"/>
  </si>
  <si>
    <t>반총산+난간전</t>
    <phoneticPr fontId="5" type="noConversion"/>
  </si>
  <si>
    <t>오약</t>
    <phoneticPr fontId="5" type="noConversion"/>
  </si>
  <si>
    <t>청피</t>
    <phoneticPr fontId="5" type="noConversion"/>
  </si>
  <si>
    <t>현호색</t>
    <phoneticPr fontId="5" type="noConversion"/>
  </si>
  <si>
    <t>지각</t>
    <phoneticPr fontId="5" type="noConversion"/>
  </si>
  <si>
    <t>빈랑</t>
    <phoneticPr fontId="5" type="noConversion"/>
  </si>
  <si>
    <t>소회향</t>
    <phoneticPr fontId="5" type="noConversion"/>
  </si>
  <si>
    <t>사인</t>
    <phoneticPr fontId="5" type="noConversion"/>
  </si>
  <si>
    <t>건강</t>
    <phoneticPr fontId="5" type="noConversion"/>
  </si>
  <si>
    <t>창출1</t>
    <phoneticPr fontId="5" type="noConversion"/>
  </si>
  <si>
    <t>구기자</t>
    <phoneticPr fontId="5" type="noConversion"/>
  </si>
  <si>
    <t>목단피</t>
    <phoneticPr fontId="5" type="noConversion"/>
  </si>
  <si>
    <t>반총산 - 삼릉 봉출 + 목단피 오약 당귀 구기자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</si>
</sst>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47F2-0530-45D0-AEFB-D5813BF19382}">
  <sheetPr>
    <pageSetUpPr fitToPage="1"/>
  </sheetPr>
  <dimension ref="B1:M31"/>
  <sheetViews>
    <sheetView tabSelected="1" workbookViewId="0">
      <selection activeCell="E14" sqref="E14"/>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406</v>
      </c>
      <c r="D2" s="4"/>
      <c r="E2" s="151">
        <v>8</v>
      </c>
      <c r="F2" s="166">
        <f t="shared" ref="F2:F31" si="0">E2*$L$15</f>
        <v>160</v>
      </c>
      <c r="G2">
        <f>VLOOKUP($C2,약재관리!A:J,10,FALSE)</f>
        <v>14.4</v>
      </c>
      <c r="H2" s="5">
        <f>G2*E2</f>
        <v>115.2</v>
      </c>
      <c r="I2" s="154">
        <f>G2*F2</f>
        <v>2304</v>
      </c>
      <c r="K2" s="7" t="s">
        <v>9</v>
      </c>
      <c r="L2" s="183">
        <v>25</v>
      </c>
      <c r="M2" s="184"/>
    </row>
    <row r="3" spans="2:13">
      <c r="B3" s="3">
        <v>2</v>
      </c>
      <c r="C3" t="s">
        <v>435</v>
      </c>
      <c r="D3" s="4"/>
      <c r="E3" s="151">
        <v>6</v>
      </c>
      <c r="F3" s="166">
        <f t="shared" si="0"/>
        <v>120</v>
      </c>
      <c r="G3">
        <f>VLOOKUP($C3,약재관리!A:J,10,FALSE)</f>
        <v>43</v>
      </c>
      <c r="H3" s="5">
        <f t="shared" ref="H3:H31" si="1">G3*E3</f>
        <v>258</v>
      </c>
      <c r="I3" s="6">
        <f t="shared" ref="I3:I31" si="2">G3*F3</f>
        <v>5160</v>
      </c>
      <c r="K3" s="8" t="s">
        <v>10</v>
      </c>
      <c r="L3" s="185" t="s">
        <v>426</v>
      </c>
      <c r="M3" s="186"/>
    </row>
    <row r="4" spans="2:13">
      <c r="B4" s="3">
        <v>3</v>
      </c>
      <c r="C4" t="s">
        <v>427</v>
      </c>
      <c r="D4" s="4"/>
      <c r="E4" s="151">
        <v>4</v>
      </c>
      <c r="F4" s="166">
        <f t="shared" si="0"/>
        <v>80</v>
      </c>
      <c r="G4">
        <f>VLOOKUP($C4,약재관리!A:J,10,FALSE)</f>
        <v>9.1999999999999993</v>
      </c>
      <c r="H4" s="5">
        <f t="shared" si="1"/>
        <v>36.799999999999997</v>
      </c>
      <c r="I4" s="6">
        <f t="shared" si="2"/>
        <v>736</v>
      </c>
      <c r="K4" s="8" t="s">
        <v>11</v>
      </c>
      <c r="L4" s="187">
        <v>45860</v>
      </c>
      <c r="M4" s="186"/>
    </row>
    <row r="5" spans="2:13">
      <c r="B5" s="3">
        <v>4</v>
      </c>
      <c r="C5" t="s">
        <v>428</v>
      </c>
      <c r="D5" s="4"/>
      <c r="E5" s="151">
        <v>3</v>
      </c>
      <c r="F5" s="166">
        <f t="shared" si="0"/>
        <v>60</v>
      </c>
      <c r="G5">
        <f>VLOOKUP($C5,약재관리!A:J,10,FALSE)</f>
        <v>7.3</v>
      </c>
      <c r="H5" s="5">
        <f t="shared" si="1"/>
        <v>21.9</v>
      </c>
      <c r="I5" s="6">
        <f t="shared" si="2"/>
        <v>438</v>
      </c>
      <c r="K5" s="8" t="s">
        <v>12</v>
      </c>
      <c r="L5" s="185" t="s">
        <v>401</v>
      </c>
      <c r="M5" s="186"/>
    </row>
    <row r="6" spans="2:13">
      <c r="B6" s="3">
        <v>5</v>
      </c>
      <c r="C6" t="s">
        <v>429</v>
      </c>
      <c r="D6" s="4"/>
      <c r="E6" s="151">
        <v>2</v>
      </c>
      <c r="F6" s="166">
        <f t="shared" si="0"/>
        <v>40</v>
      </c>
      <c r="G6">
        <f>VLOOKUP($C6,약재관리!A:J,10,FALSE)</f>
        <v>46.7</v>
      </c>
      <c r="H6" s="5">
        <f t="shared" si="1"/>
        <v>93.4</v>
      </c>
      <c r="I6" s="6">
        <f t="shared" si="2"/>
        <v>1868</v>
      </c>
      <c r="K6" s="8" t="s">
        <v>13</v>
      </c>
      <c r="L6" s="185">
        <v>37</v>
      </c>
      <c r="M6" s="186"/>
    </row>
    <row r="7" spans="2:13" ht="17.25" thickBot="1">
      <c r="B7" s="3">
        <v>6</v>
      </c>
      <c r="C7" t="s">
        <v>418</v>
      </c>
      <c r="D7" s="4"/>
      <c r="E7" s="151">
        <v>4</v>
      </c>
      <c r="F7" s="166">
        <f t="shared" si="0"/>
        <v>80</v>
      </c>
      <c r="G7">
        <f>VLOOKUP($C7,약재관리!A:J,10,FALSE)</f>
        <v>11</v>
      </c>
      <c r="H7" s="5">
        <f t="shared" si="1"/>
        <v>44</v>
      </c>
      <c r="I7" s="6">
        <f t="shared" si="2"/>
        <v>880</v>
      </c>
      <c r="K7" s="8" t="s">
        <v>14</v>
      </c>
      <c r="L7" s="169" t="s">
        <v>402</v>
      </c>
      <c r="M7" s="170"/>
    </row>
    <row r="8" spans="2:13" ht="17.25" thickBot="1">
      <c r="B8" s="3">
        <v>7</v>
      </c>
      <c r="C8" t="s">
        <v>430</v>
      </c>
      <c r="D8" s="4"/>
      <c r="E8" s="151">
        <v>4</v>
      </c>
      <c r="F8" s="166">
        <f t="shared" si="0"/>
        <v>80</v>
      </c>
      <c r="G8">
        <f>VLOOKUP($C8,약재관리!A:J,10,FALSE)</f>
        <v>10</v>
      </c>
      <c r="H8" s="5">
        <f t="shared" si="1"/>
        <v>40</v>
      </c>
      <c r="I8" s="6">
        <f t="shared" si="2"/>
        <v>800</v>
      </c>
      <c r="K8" s="171" t="s">
        <v>15</v>
      </c>
      <c r="L8" s="172"/>
      <c r="M8" s="173"/>
    </row>
    <row r="9" spans="2:13">
      <c r="B9" s="3">
        <v>8</v>
      </c>
      <c r="C9" t="s">
        <v>431</v>
      </c>
      <c r="D9" s="4"/>
      <c r="E9" s="151">
        <v>4</v>
      </c>
      <c r="F9" s="166">
        <f t="shared" si="0"/>
        <v>80</v>
      </c>
      <c r="G9">
        <f>VLOOKUP($C9,약재관리!A:J,10,FALSE)</f>
        <v>8.3000000000000007</v>
      </c>
      <c r="H9" s="5">
        <f t="shared" si="1"/>
        <v>33.200000000000003</v>
      </c>
      <c r="I9" s="6">
        <f t="shared" si="2"/>
        <v>664</v>
      </c>
      <c r="K9" s="174" t="s">
        <v>438</v>
      </c>
      <c r="L9" s="175"/>
      <c r="M9" s="176"/>
    </row>
    <row r="10" spans="2:13">
      <c r="B10" s="3">
        <v>9</v>
      </c>
      <c r="C10" t="s">
        <v>432</v>
      </c>
      <c r="D10" s="4"/>
      <c r="E10" s="151">
        <v>3</v>
      </c>
      <c r="F10" s="166">
        <f t="shared" si="0"/>
        <v>60</v>
      </c>
      <c r="G10">
        <f>VLOOKUP($C10,약재관리!A:J,10,FALSE)</f>
        <v>10</v>
      </c>
      <c r="H10" s="5">
        <f t="shared" si="1"/>
        <v>30</v>
      </c>
      <c r="I10" s="6">
        <f t="shared" si="2"/>
        <v>600</v>
      </c>
      <c r="K10" s="177"/>
      <c r="L10" s="178"/>
      <c r="M10" s="179"/>
    </row>
    <row r="11" spans="2:13">
      <c r="B11" s="3">
        <v>10</v>
      </c>
      <c r="C11" t="s">
        <v>422</v>
      </c>
      <c r="D11" s="4"/>
      <c r="E11" s="151">
        <v>2</v>
      </c>
      <c r="F11" s="166">
        <f t="shared" si="0"/>
        <v>40</v>
      </c>
      <c r="G11">
        <f>VLOOKUP($C11,약재관리!A:J,10,FALSE)</f>
        <v>14.8</v>
      </c>
      <c r="H11" s="5">
        <f t="shared" si="1"/>
        <v>29.6</v>
      </c>
      <c r="I11" s="6">
        <f t="shared" si="2"/>
        <v>592</v>
      </c>
      <c r="K11" s="177"/>
      <c r="L11" s="178"/>
      <c r="M11" s="179"/>
    </row>
    <row r="12" spans="2:13">
      <c r="B12" s="3">
        <v>11</v>
      </c>
      <c r="C12" t="s">
        <v>433</v>
      </c>
      <c r="D12" s="4"/>
      <c r="E12" s="151">
        <v>2</v>
      </c>
      <c r="F12" s="166">
        <f t="shared" si="0"/>
        <v>40</v>
      </c>
      <c r="G12">
        <f>VLOOKUP($C12,약재관리!A:J,10,FALSE)</f>
        <v>21.8</v>
      </c>
      <c r="H12" s="5">
        <f t="shared" si="1"/>
        <v>43.6</v>
      </c>
      <c r="I12" s="6">
        <f t="shared" si="2"/>
        <v>872</v>
      </c>
      <c r="K12" s="177"/>
      <c r="L12" s="178"/>
      <c r="M12" s="179"/>
    </row>
    <row r="13" spans="2:13" ht="17.25" thickBot="1">
      <c r="B13" s="3">
        <v>12</v>
      </c>
      <c r="C13" t="s">
        <v>434</v>
      </c>
      <c r="D13" s="4"/>
      <c r="E13" s="151">
        <v>2</v>
      </c>
      <c r="F13" s="166">
        <f t="shared" si="0"/>
        <v>40</v>
      </c>
      <c r="G13">
        <f>VLOOKUP($C13,약재관리!A:J,10,FALSE)</f>
        <v>13.3</v>
      </c>
      <c r="H13" s="5">
        <f t="shared" si="1"/>
        <v>26.6</v>
      </c>
      <c r="I13" s="6">
        <f t="shared" si="2"/>
        <v>532</v>
      </c>
      <c r="K13" s="180"/>
      <c r="L13" s="181"/>
      <c r="M13" s="182"/>
    </row>
    <row r="14" spans="2:13">
      <c r="B14" s="3">
        <v>13</v>
      </c>
      <c r="C14" t="s">
        <v>408</v>
      </c>
      <c r="D14" s="4"/>
      <c r="E14" s="151">
        <v>2</v>
      </c>
      <c r="F14" s="166">
        <f t="shared" si="0"/>
        <v>40</v>
      </c>
      <c r="G14">
        <f>VLOOKUP($C14,약재관리!A:J,10,FALSE)</f>
        <v>28.3</v>
      </c>
      <c r="H14" s="5">
        <f t="shared" si="1"/>
        <v>56.6</v>
      </c>
      <c r="I14" s="6">
        <f t="shared" si="2"/>
        <v>1132</v>
      </c>
      <c r="K14" s="156" t="s">
        <v>16</v>
      </c>
      <c r="L14" s="9">
        <v>15</v>
      </c>
      <c r="M14" s="10" t="s">
        <v>17</v>
      </c>
    </row>
    <row r="15" spans="2:13">
      <c r="B15" s="3">
        <v>14</v>
      </c>
      <c r="C15" t="s">
        <v>436</v>
      </c>
      <c r="D15" s="4"/>
      <c r="E15" s="151">
        <v>6</v>
      </c>
      <c r="F15" s="166">
        <f t="shared" si="0"/>
        <v>120</v>
      </c>
      <c r="G15">
        <f>VLOOKUP($C15,약재관리!A:J,10,FALSE)</f>
        <v>13.3</v>
      </c>
      <c r="H15" s="5">
        <f t="shared" si="1"/>
        <v>79.800000000000011</v>
      </c>
      <c r="I15" s="6">
        <f t="shared" si="2"/>
        <v>1596</v>
      </c>
      <c r="K15" s="155" t="s">
        <v>18</v>
      </c>
      <c r="L15">
        <v>20</v>
      </c>
      <c r="M15" s="4" t="s">
        <v>19</v>
      </c>
    </row>
    <row r="16" spans="2:13">
      <c r="B16" s="3">
        <v>15</v>
      </c>
      <c r="C16" t="s">
        <v>424</v>
      </c>
      <c r="D16" s="4"/>
      <c r="E16" s="151">
        <v>6</v>
      </c>
      <c r="F16" s="166">
        <f t="shared" si="0"/>
        <v>120</v>
      </c>
      <c r="G16">
        <f>VLOOKUP($C16,약재관리!A:J,10,FALSE)</f>
        <v>25</v>
      </c>
      <c r="H16" s="5">
        <f t="shared" si="1"/>
        <v>150</v>
      </c>
      <c r="I16" s="6">
        <f t="shared" si="2"/>
        <v>3000</v>
      </c>
      <c r="K16" s="155" t="s">
        <v>20</v>
      </c>
      <c r="L16">
        <v>45</v>
      </c>
      <c r="M16" s="4" t="s">
        <v>21</v>
      </c>
    </row>
    <row r="17" spans="2:13" ht="17.25" thickBot="1">
      <c r="B17" s="3">
        <v>16</v>
      </c>
      <c r="C17" t="s">
        <v>437</v>
      </c>
      <c r="D17" s="4"/>
      <c r="E17" s="151">
        <v>4</v>
      </c>
      <c r="F17" s="166">
        <f t="shared" si="0"/>
        <v>80</v>
      </c>
      <c r="G17">
        <f>VLOOKUP($C17,약재관리!A:J,10,FALSE)</f>
        <v>31.5</v>
      </c>
      <c r="H17" s="5">
        <f t="shared" si="1"/>
        <v>126</v>
      </c>
      <c r="I17" s="6">
        <f t="shared" si="2"/>
        <v>2520</v>
      </c>
      <c r="K17" s="14" t="s">
        <v>22</v>
      </c>
      <c r="L17" s="11">
        <v>100</v>
      </c>
      <c r="M17" s="12" t="s">
        <v>23</v>
      </c>
    </row>
    <row r="18" spans="2:13">
      <c r="B18" s="3">
        <v>17</v>
      </c>
      <c r="D18" s="4"/>
      <c r="F18" s="166">
        <f t="shared" si="0"/>
        <v>0</v>
      </c>
      <c r="H18" s="5">
        <f t="shared" si="1"/>
        <v>0</v>
      </c>
      <c r="I18" s="6">
        <f t="shared" si="2"/>
        <v>0</v>
      </c>
      <c r="K18" s="156" t="s">
        <v>24</v>
      </c>
      <c r="L18" s="9">
        <f>SUM(E2:E31)</f>
        <v>62</v>
      </c>
      <c r="M18" s="10" t="s">
        <v>25</v>
      </c>
    </row>
    <row r="19" spans="2:13">
      <c r="B19" s="3">
        <v>18</v>
      </c>
      <c r="D19" s="4"/>
      <c r="F19" s="166">
        <f t="shared" si="0"/>
        <v>0</v>
      </c>
      <c r="H19" s="5">
        <f t="shared" si="1"/>
        <v>0</v>
      </c>
      <c r="I19" s="6">
        <f t="shared" si="2"/>
        <v>0</v>
      </c>
      <c r="K19" s="155" t="s">
        <v>26</v>
      </c>
      <c r="L19">
        <f>L15*L18</f>
        <v>1240</v>
      </c>
      <c r="M19" s="4" t="s">
        <v>25</v>
      </c>
    </row>
    <row r="20" spans="2:13" ht="17.25" thickBot="1">
      <c r="B20" s="3">
        <v>19</v>
      </c>
      <c r="D20" s="4"/>
      <c r="F20" s="166">
        <f t="shared" si="0"/>
        <v>0</v>
      </c>
      <c r="H20" s="5">
        <f t="shared" si="1"/>
        <v>0</v>
      </c>
      <c r="I20" s="6">
        <f t="shared" si="2"/>
        <v>0</v>
      </c>
      <c r="K20" s="14" t="s">
        <v>27</v>
      </c>
      <c r="L20" s="11">
        <f>L16*L17+L19</f>
        <v>5740</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1240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1184.7</v>
      </c>
      <c r="M30" s="4" t="s">
        <v>388</v>
      </c>
    </row>
    <row r="31" spans="2:13" ht="17.25" thickBot="1">
      <c r="B31" s="13">
        <v>30</v>
      </c>
      <c r="C31" s="14"/>
      <c r="D31" s="12"/>
      <c r="E31" s="159"/>
      <c r="F31" s="167">
        <f t="shared" si="0"/>
        <v>0</v>
      </c>
      <c r="G31" s="14"/>
      <c r="H31" s="15">
        <f t="shared" si="1"/>
        <v>0</v>
      </c>
      <c r="I31" s="16">
        <f t="shared" si="2"/>
        <v>0</v>
      </c>
      <c r="K31" s="14" t="s">
        <v>387</v>
      </c>
      <c r="L31" s="15">
        <f>SUM(I2:I31)</f>
        <v>23694</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7CCF-9F91-4898-9ECE-D9AFC7E8D83C}">
  <sheetPr>
    <pageSetUpPr fitToPage="1"/>
  </sheetPr>
  <dimension ref="B1:M31"/>
  <sheetViews>
    <sheetView workbookViewId="0">
      <selection activeCell="L4" sqref="L4:M4"/>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406</v>
      </c>
      <c r="D2" s="4"/>
      <c r="E2" s="151">
        <v>8</v>
      </c>
      <c r="F2" s="166">
        <f t="shared" ref="F2:F31" si="0">E2*$L$15</f>
        <v>160</v>
      </c>
      <c r="G2">
        <f>VLOOKUP($C2,약재관리!A:J,10,FALSE)</f>
        <v>14.4</v>
      </c>
      <c r="H2" s="5">
        <f>G2*E2</f>
        <v>115.2</v>
      </c>
      <c r="I2" s="154">
        <f>G2*F2</f>
        <v>2304</v>
      </c>
      <c r="K2" s="7" t="s">
        <v>9</v>
      </c>
      <c r="L2" s="183">
        <v>25</v>
      </c>
      <c r="M2" s="184"/>
    </row>
    <row r="3" spans="2:13">
      <c r="B3" s="3">
        <v>2</v>
      </c>
      <c r="C3" t="s">
        <v>410</v>
      </c>
      <c r="D3" s="4"/>
      <c r="E3" s="151">
        <v>8</v>
      </c>
      <c r="F3" s="166">
        <f t="shared" si="0"/>
        <v>160</v>
      </c>
      <c r="G3">
        <f>VLOOKUP($C3,약재관리!A:J,10,FALSE)</f>
        <v>12</v>
      </c>
      <c r="H3" s="5">
        <f t="shared" ref="H3:H31" si="1">G3*E3</f>
        <v>96</v>
      </c>
      <c r="I3" s="6">
        <f t="shared" ref="I3:I31" si="2">G3*F3</f>
        <v>1920</v>
      </c>
      <c r="K3" s="8" t="s">
        <v>10</v>
      </c>
      <c r="L3" s="185" t="s">
        <v>405</v>
      </c>
      <c r="M3" s="186"/>
    </row>
    <row r="4" spans="2:13">
      <c r="B4" s="3">
        <v>3</v>
      </c>
      <c r="C4" t="s">
        <v>411</v>
      </c>
      <c r="D4" s="4"/>
      <c r="E4" s="151">
        <v>6</v>
      </c>
      <c r="F4" s="166">
        <f t="shared" si="0"/>
        <v>120</v>
      </c>
      <c r="G4">
        <f>VLOOKUP($C4,약재관리!A:J,10,FALSE)</f>
        <v>24</v>
      </c>
      <c r="H4" s="5">
        <f t="shared" si="1"/>
        <v>144</v>
      </c>
      <c r="I4" s="6">
        <f t="shared" si="2"/>
        <v>2880</v>
      </c>
      <c r="K4" s="8" t="s">
        <v>11</v>
      </c>
      <c r="L4" s="187">
        <v>45577</v>
      </c>
      <c r="M4" s="186"/>
    </row>
    <row r="5" spans="2:13">
      <c r="B5" s="3">
        <v>4</v>
      </c>
      <c r="C5" t="s">
        <v>412</v>
      </c>
      <c r="D5" s="4"/>
      <c r="E5" s="151">
        <v>4</v>
      </c>
      <c r="F5" s="166">
        <f t="shared" si="0"/>
        <v>80</v>
      </c>
      <c r="G5">
        <f>VLOOKUP($C5,약재관리!A:J,10,FALSE)</f>
        <v>17.600000000000001</v>
      </c>
      <c r="H5" s="5">
        <f t="shared" si="1"/>
        <v>70.400000000000006</v>
      </c>
      <c r="I5" s="6">
        <f t="shared" si="2"/>
        <v>1408</v>
      </c>
      <c r="K5" s="8" t="s">
        <v>12</v>
      </c>
      <c r="L5" s="185" t="s">
        <v>401</v>
      </c>
      <c r="M5" s="186"/>
    </row>
    <row r="6" spans="2:13">
      <c r="B6" s="3">
        <v>5</v>
      </c>
      <c r="C6" t="s">
        <v>413</v>
      </c>
      <c r="D6" s="4"/>
      <c r="E6" s="151">
        <v>4</v>
      </c>
      <c r="F6" s="166">
        <f t="shared" si="0"/>
        <v>80</v>
      </c>
      <c r="G6">
        <f>VLOOKUP($C6,약재관리!A:J,10,FALSE)</f>
        <v>10.8</v>
      </c>
      <c r="H6" s="5">
        <f t="shared" si="1"/>
        <v>43.2</v>
      </c>
      <c r="I6" s="6">
        <f t="shared" si="2"/>
        <v>864</v>
      </c>
      <c r="K6" s="8" t="s">
        <v>13</v>
      </c>
      <c r="L6" s="185">
        <v>36</v>
      </c>
      <c r="M6" s="186"/>
    </row>
    <row r="7" spans="2:13" ht="17.25" thickBot="1">
      <c r="B7" s="3">
        <v>6</v>
      </c>
      <c r="C7" t="s">
        <v>407</v>
      </c>
      <c r="D7" s="4"/>
      <c r="E7" s="151">
        <v>4</v>
      </c>
      <c r="F7" s="166">
        <f t="shared" si="0"/>
        <v>80</v>
      </c>
      <c r="G7">
        <f>VLOOKUP($C7,약재관리!A:J,10,FALSE)</f>
        <v>26.4</v>
      </c>
      <c r="H7" s="5">
        <f t="shared" si="1"/>
        <v>105.6</v>
      </c>
      <c r="I7" s="6">
        <f t="shared" si="2"/>
        <v>2112</v>
      </c>
      <c r="K7" s="8" t="s">
        <v>14</v>
      </c>
      <c r="L7" s="169" t="s">
        <v>402</v>
      </c>
      <c r="M7" s="170"/>
    </row>
    <row r="8" spans="2:13" ht="17.25" thickBot="1">
      <c r="B8" s="3">
        <v>7</v>
      </c>
      <c r="C8" t="s">
        <v>408</v>
      </c>
      <c r="D8" s="4"/>
      <c r="E8" s="151">
        <v>2</v>
      </c>
      <c r="F8" s="166">
        <f t="shared" si="0"/>
        <v>40</v>
      </c>
      <c r="G8">
        <f>VLOOKUP($C8,약재관리!A:J,10,FALSE)</f>
        <v>28.3</v>
      </c>
      <c r="H8" s="5">
        <f t="shared" si="1"/>
        <v>56.6</v>
      </c>
      <c r="I8" s="6">
        <f t="shared" si="2"/>
        <v>1132</v>
      </c>
      <c r="K8" s="171" t="s">
        <v>15</v>
      </c>
      <c r="L8" s="172"/>
      <c r="M8" s="173"/>
    </row>
    <row r="9" spans="2:13">
      <c r="B9" s="3">
        <v>8</v>
      </c>
      <c r="C9" t="s">
        <v>409</v>
      </c>
      <c r="D9" s="4"/>
      <c r="E9" s="151">
        <v>3</v>
      </c>
      <c r="F9" s="166">
        <f t="shared" si="0"/>
        <v>60</v>
      </c>
      <c r="G9">
        <f>VLOOKUP($C9,약재관리!A:J,10,FALSE)</f>
        <v>18</v>
      </c>
      <c r="H9" s="5">
        <f t="shared" si="1"/>
        <v>54</v>
      </c>
      <c r="I9" s="6">
        <f t="shared" si="2"/>
        <v>1080</v>
      </c>
      <c r="K9" s="174" t="s">
        <v>421</v>
      </c>
      <c r="L9" s="175"/>
      <c r="M9" s="176"/>
    </row>
    <row r="10" spans="2:13">
      <c r="B10" s="3">
        <v>9</v>
      </c>
      <c r="C10" t="s">
        <v>403</v>
      </c>
      <c r="D10" s="4" t="s">
        <v>416</v>
      </c>
      <c r="E10" s="151">
        <v>4</v>
      </c>
      <c r="F10" s="166">
        <f t="shared" si="0"/>
        <v>80</v>
      </c>
      <c r="G10">
        <f>VLOOKUP($C10,약재관리!A:J,10,FALSE)</f>
        <v>134.30000000000001</v>
      </c>
      <c r="H10" s="5">
        <f t="shared" si="1"/>
        <v>537.20000000000005</v>
      </c>
      <c r="I10" s="6">
        <f t="shared" si="2"/>
        <v>10744</v>
      </c>
      <c r="K10" s="177"/>
      <c r="L10" s="178"/>
      <c r="M10" s="179"/>
    </row>
    <row r="11" spans="2:13">
      <c r="B11" s="3">
        <v>10</v>
      </c>
      <c r="C11" t="s">
        <v>415</v>
      </c>
      <c r="D11" s="4"/>
      <c r="E11" s="151">
        <v>3</v>
      </c>
      <c r="F11" s="166">
        <f t="shared" si="0"/>
        <v>60</v>
      </c>
      <c r="G11">
        <f>VLOOKUP($C11,약재관리!A:J,10,FALSE)</f>
        <v>10.8</v>
      </c>
      <c r="H11" s="5">
        <f t="shared" si="1"/>
        <v>32.400000000000006</v>
      </c>
      <c r="I11" s="6">
        <f t="shared" si="2"/>
        <v>648</v>
      </c>
      <c r="K11" s="177"/>
      <c r="L11" s="178"/>
      <c r="M11" s="179"/>
    </row>
    <row r="12" spans="2:13">
      <c r="B12" s="3">
        <v>11</v>
      </c>
      <c r="C12" t="s">
        <v>414</v>
      </c>
      <c r="D12" s="4"/>
      <c r="E12" s="151">
        <v>6</v>
      </c>
      <c r="F12" s="166">
        <f t="shared" si="0"/>
        <v>120</v>
      </c>
      <c r="G12">
        <f>VLOOKUP($C12,약재관리!A:J,10,FALSE)</f>
        <v>53</v>
      </c>
      <c r="H12" s="5">
        <f t="shared" si="1"/>
        <v>318</v>
      </c>
      <c r="I12" s="6">
        <f t="shared" si="2"/>
        <v>6360</v>
      </c>
      <c r="K12" s="177"/>
      <c r="L12" s="178"/>
      <c r="M12" s="179"/>
    </row>
    <row r="13" spans="2:13" ht="17.25" thickBot="1">
      <c r="B13" s="3">
        <v>12</v>
      </c>
      <c r="C13" t="s">
        <v>417</v>
      </c>
      <c r="D13" s="4"/>
      <c r="E13" s="151">
        <v>4</v>
      </c>
      <c r="F13" s="166">
        <f t="shared" si="0"/>
        <v>80</v>
      </c>
      <c r="G13">
        <f>VLOOKUP($C13,약재관리!A:J,10,FALSE)</f>
        <v>19.2</v>
      </c>
      <c r="H13" s="5">
        <f t="shared" si="1"/>
        <v>76.8</v>
      </c>
      <c r="I13" s="6">
        <f t="shared" si="2"/>
        <v>1536</v>
      </c>
      <c r="K13" s="180"/>
      <c r="L13" s="181"/>
      <c r="M13" s="182"/>
    </row>
    <row r="14" spans="2:13">
      <c r="B14" s="3">
        <v>13</v>
      </c>
      <c r="C14" t="s">
        <v>418</v>
      </c>
      <c r="D14" s="4"/>
      <c r="E14" s="151">
        <v>4</v>
      </c>
      <c r="F14" s="166">
        <f t="shared" si="0"/>
        <v>80</v>
      </c>
      <c r="G14">
        <f>VLOOKUP($C14,약재관리!A:J,10,FALSE)</f>
        <v>11</v>
      </c>
      <c r="H14" s="5">
        <f t="shared" si="1"/>
        <v>44</v>
      </c>
      <c r="I14" s="6">
        <f t="shared" si="2"/>
        <v>880</v>
      </c>
      <c r="K14" s="156" t="s">
        <v>16</v>
      </c>
      <c r="L14" s="9">
        <v>15</v>
      </c>
      <c r="M14" s="10" t="s">
        <v>17</v>
      </c>
    </row>
    <row r="15" spans="2:13">
      <c r="B15" s="3">
        <v>14</v>
      </c>
      <c r="C15" t="s">
        <v>419</v>
      </c>
      <c r="D15" s="4"/>
      <c r="E15" s="151">
        <v>4</v>
      </c>
      <c r="F15" s="166">
        <f t="shared" si="0"/>
        <v>80</v>
      </c>
      <c r="G15">
        <f>VLOOKUP($C15,약재관리!A:J,10,FALSE)</f>
        <v>31.5</v>
      </c>
      <c r="H15" s="5">
        <f t="shared" si="1"/>
        <v>126</v>
      </c>
      <c r="I15" s="6">
        <f t="shared" si="2"/>
        <v>2520</v>
      </c>
      <c r="K15" s="155" t="s">
        <v>18</v>
      </c>
      <c r="L15">
        <v>20</v>
      </c>
      <c r="M15" s="4" t="s">
        <v>19</v>
      </c>
    </row>
    <row r="16" spans="2:13">
      <c r="B16" s="3">
        <v>15</v>
      </c>
      <c r="C16" t="s">
        <v>420</v>
      </c>
      <c r="D16" s="4"/>
      <c r="E16" s="151">
        <v>4</v>
      </c>
      <c r="F16" s="166">
        <f t="shared" si="0"/>
        <v>80</v>
      </c>
      <c r="G16">
        <f>VLOOKUP($C16,약재관리!A:J,10,FALSE)</f>
        <v>68</v>
      </c>
      <c r="H16" s="5">
        <f t="shared" si="1"/>
        <v>272</v>
      </c>
      <c r="I16" s="6">
        <f t="shared" si="2"/>
        <v>5440</v>
      </c>
      <c r="K16" s="155" t="s">
        <v>20</v>
      </c>
      <c r="L16">
        <v>45</v>
      </c>
      <c r="M16" s="4" t="s">
        <v>21</v>
      </c>
    </row>
    <row r="17" spans="2:13" ht="17.25" thickBot="1">
      <c r="B17" s="3">
        <v>16</v>
      </c>
      <c r="C17" t="s">
        <v>404</v>
      </c>
      <c r="D17" s="4"/>
      <c r="E17" s="151">
        <v>2</v>
      </c>
      <c r="F17" s="166">
        <f t="shared" si="0"/>
        <v>40</v>
      </c>
      <c r="G17">
        <f>VLOOKUP($C17,약재관리!A:J,10,FALSE)</f>
        <v>18.3</v>
      </c>
      <c r="H17" s="5">
        <f t="shared" si="1"/>
        <v>36.6</v>
      </c>
      <c r="I17" s="6">
        <f t="shared" si="2"/>
        <v>732</v>
      </c>
      <c r="K17" s="14" t="s">
        <v>22</v>
      </c>
      <c r="L17" s="11">
        <v>100</v>
      </c>
      <c r="M17" s="12" t="s">
        <v>23</v>
      </c>
    </row>
    <row r="18" spans="2:13">
      <c r="B18" s="3">
        <v>17</v>
      </c>
      <c r="D18" s="4"/>
      <c r="F18" s="166">
        <f t="shared" si="0"/>
        <v>0</v>
      </c>
      <c r="H18" s="5">
        <f t="shared" si="1"/>
        <v>0</v>
      </c>
      <c r="I18" s="6">
        <f t="shared" si="2"/>
        <v>0</v>
      </c>
      <c r="K18" s="156" t="s">
        <v>24</v>
      </c>
      <c r="L18" s="9">
        <f>SUM(E2:E31)</f>
        <v>70</v>
      </c>
      <c r="M18" s="10" t="s">
        <v>25</v>
      </c>
    </row>
    <row r="19" spans="2:13">
      <c r="B19" s="3">
        <v>18</v>
      </c>
      <c r="D19" s="4"/>
      <c r="F19" s="166">
        <f t="shared" si="0"/>
        <v>0</v>
      </c>
      <c r="H19" s="5">
        <f t="shared" si="1"/>
        <v>0</v>
      </c>
      <c r="I19" s="6">
        <f t="shared" si="2"/>
        <v>0</v>
      </c>
      <c r="K19" s="155" t="s">
        <v>26</v>
      </c>
      <c r="L19">
        <f>L15*L18</f>
        <v>1400</v>
      </c>
      <c r="M19" s="4" t="s">
        <v>25</v>
      </c>
    </row>
    <row r="20" spans="2:13" ht="17.25" thickBot="1">
      <c r="B20" s="3">
        <v>19</v>
      </c>
      <c r="D20" s="4"/>
      <c r="F20" s="166">
        <f t="shared" si="0"/>
        <v>0</v>
      </c>
      <c r="H20" s="5">
        <f t="shared" si="1"/>
        <v>0</v>
      </c>
      <c r="I20" s="6">
        <f t="shared" si="2"/>
        <v>0</v>
      </c>
      <c r="K20" s="14" t="s">
        <v>27</v>
      </c>
      <c r="L20" s="11">
        <f>L16*L17+L19</f>
        <v>5900</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1400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2128</v>
      </c>
      <c r="M30" s="4" t="s">
        <v>388</v>
      </c>
    </row>
    <row r="31" spans="2:13" ht="17.25" thickBot="1">
      <c r="B31" s="13">
        <v>30</v>
      </c>
      <c r="C31" s="14"/>
      <c r="D31" s="12"/>
      <c r="E31" s="159"/>
      <c r="F31" s="167">
        <f t="shared" si="0"/>
        <v>0</v>
      </c>
      <c r="G31" s="14"/>
      <c r="H31" s="15">
        <f t="shared" si="1"/>
        <v>0</v>
      </c>
      <c r="I31" s="16">
        <f t="shared" si="2"/>
        <v>0</v>
      </c>
      <c r="K31" s="14" t="s">
        <v>387</v>
      </c>
      <c r="L31" s="15">
        <f>SUM(I2:I31)</f>
        <v>42560</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23" sqref="F23"/>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406</v>
      </c>
      <c r="D2" s="4"/>
      <c r="E2" s="151">
        <v>10</v>
      </c>
      <c r="F2" s="166">
        <f t="shared" ref="F2:F31" si="0">E2*$L$15</f>
        <v>200</v>
      </c>
      <c r="G2">
        <f>VLOOKUP($C2,약재관리!A:J,10,FALSE)</f>
        <v>14.4</v>
      </c>
      <c r="H2" s="5">
        <f>G2*E2</f>
        <v>144</v>
      </c>
      <c r="I2" s="154">
        <f>G2*F2</f>
        <v>2880</v>
      </c>
      <c r="K2" s="7" t="s">
        <v>9</v>
      </c>
      <c r="L2" s="183">
        <v>25</v>
      </c>
      <c r="M2" s="184"/>
    </row>
    <row r="3" spans="2:13">
      <c r="B3" s="3">
        <v>2</v>
      </c>
      <c r="C3" t="s">
        <v>410</v>
      </c>
      <c r="D3" s="4"/>
      <c r="E3" s="151">
        <v>8</v>
      </c>
      <c r="F3" s="166">
        <f t="shared" si="0"/>
        <v>160</v>
      </c>
      <c r="G3">
        <f>VLOOKUP($C3,약재관리!A:J,10,FALSE)</f>
        <v>12</v>
      </c>
      <c r="H3" s="5">
        <f t="shared" ref="H3:H31" si="1">G3*E3</f>
        <v>96</v>
      </c>
      <c r="I3" s="6">
        <f t="shared" ref="I3:I31" si="2">G3*F3</f>
        <v>1920</v>
      </c>
      <c r="K3" s="8" t="s">
        <v>10</v>
      </c>
      <c r="L3" s="185" t="s">
        <v>405</v>
      </c>
      <c r="M3" s="186"/>
    </row>
    <row r="4" spans="2:13">
      <c r="B4" s="3">
        <v>3</v>
      </c>
      <c r="C4" t="s">
        <v>411</v>
      </c>
      <c r="D4" s="4"/>
      <c r="E4" s="151">
        <v>6</v>
      </c>
      <c r="F4" s="166">
        <f t="shared" si="0"/>
        <v>120</v>
      </c>
      <c r="G4">
        <f>VLOOKUP($C4,약재관리!A:J,10,FALSE)</f>
        <v>24</v>
      </c>
      <c r="H4" s="5">
        <f t="shared" si="1"/>
        <v>144</v>
      </c>
      <c r="I4" s="6">
        <f t="shared" si="2"/>
        <v>2880</v>
      </c>
      <c r="K4" s="8" t="s">
        <v>11</v>
      </c>
      <c r="L4" s="187">
        <v>45540</v>
      </c>
      <c r="M4" s="186"/>
    </row>
    <row r="5" spans="2:13">
      <c r="B5" s="3">
        <v>4</v>
      </c>
      <c r="C5" t="s">
        <v>412</v>
      </c>
      <c r="D5" s="4"/>
      <c r="E5" s="151">
        <v>4</v>
      </c>
      <c r="F5" s="166">
        <f t="shared" si="0"/>
        <v>80</v>
      </c>
      <c r="G5">
        <f>VLOOKUP($C5,약재관리!A:J,10,FALSE)</f>
        <v>17.600000000000001</v>
      </c>
      <c r="H5" s="5">
        <f t="shared" si="1"/>
        <v>70.400000000000006</v>
      </c>
      <c r="I5" s="6">
        <f t="shared" si="2"/>
        <v>1408</v>
      </c>
      <c r="K5" s="8" t="s">
        <v>12</v>
      </c>
      <c r="L5" s="185" t="s">
        <v>401</v>
      </c>
      <c r="M5" s="186"/>
    </row>
    <row r="6" spans="2:13">
      <c r="B6" s="3">
        <v>5</v>
      </c>
      <c r="C6" t="s">
        <v>413</v>
      </c>
      <c r="D6" s="4"/>
      <c r="E6" s="151">
        <v>4</v>
      </c>
      <c r="F6" s="166">
        <f t="shared" si="0"/>
        <v>80</v>
      </c>
      <c r="G6">
        <f>VLOOKUP($C6,약재관리!A:J,10,FALSE)</f>
        <v>10.8</v>
      </c>
      <c r="H6" s="5">
        <f t="shared" si="1"/>
        <v>43.2</v>
      </c>
      <c r="I6" s="6">
        <f t="shared" si="2"/>
        <v>864</v>
      </c>
      <c r="K6" s="8" t="s">
        <v>13</v>
      </c>
      <c r="L6" s="185">
        <v>36</v>
      </c>
      <c r="M6" s="186"/>
    </row>
    <row r="7" spans="2:13" ht="17.25" thickBot="1">
      <c r="B7" s="3">
        <v>6</v>
      </c>
      <c r="C7" t="s">
        <v>407</v>
      </c>
      <c r="D7" s="4"/>
      <c r="E7" s="151">
        <v>4</v>
      </c>
      <c r="F7" s="166">
        <f t="shared" si="0"/>
        <v>80</v>
      </c>
      <c r="G7">
        <f>VLOOKUP($C7,약재관리!A:J,10,FALSE)</f>
        <v>26.4</v>
      </c>
      <c r="H7" s="5">
        <f t="shared" si="1"/>
        <v>105.6</v>
      </c>
      <c r="I7" s="6">
        <f t="shared" si="2"/>
        <v>2112</v>
      </c>
      <c r="K7" s="8" t="s">
        <v>14</v>
      </c>
      <c r="L7" s="169" t="s">
        <v>402</v>
      </c>
      <c r="M7" s="170"/>
    </row>
    <row r="8" spans="2:13" ht="17.25" thickBot="1">
      <c r="B8" s="3">
        <v>7</v>
      </c>
      <c r="C8" t="s">
        <v>408</v>
      </c>
      <c r="D8" s="4"/>
      <c r="E8" s="151">
        <v>2</v>
      </c>
      <c r="F8" s="166">
        <f t="shared" si="0"/>
        <v>40</v>
      </c>
      <c r="G8">
        <f>VLOOKUP($C8,약재관리!A:J,10,FALSE)</f>
        <v>28.3</v>
      </c>
      <c r="H8" s="5">
        <f t="shared" si="1"/>
        <v>56.6</v>
      </c>
      <c r="I8" s="6">
        <f t="shared" si="2"/>
        <v>1132</v>
      </c>
      <c r="K8" s="171" t="s">
        <v>15</v>
      </c>
      <c r="L8" s="172"/>
      <c r="M8" s="173"/>
    </row>
    <row r="9" spans="2:13">
      <c r="B9" s="3">
        <v>8</v>
      </c>
      <c r="C9" t="s">
        <v>409</v>
      </c>
      <c r="D9" s="4"/>
      <c r="E9" s="151">
        <v>6</v>
      </c>
      <c r="F9" s="166">
        <f t="shared" si="0"/>
        <v>120</v>
      </c>
      <c r="G9">
        <f>VLOOKUP($C9,약재관리!A:J,10,FALSE)</f>
        <v>18</v>
      </c>
      <c r="H9" s="5">
        <f t="shared" si="1"/>
        <v>108</v>
      </c>
      <c r="I9" s="6">
        <f t="shared" si="2"/>
        <v>2160</v>
      </c>
      <c r="K9" s="174" t="s">
        <v>421</v>
      </c>
      <c r="L9" s="175"/>
      <c r="M9" s="176"/>
    </row>
    <row r="10" spans="2:13">
      <c r="B10" s="3">
        <v>9</v>
      </c>
      <c r="C10" t="s">
        <v>403</v>
      </c>
      <c r="D10" s="4" t="s">
        <v>416</v>
      </c>
      <c r="E10" s="151">
        <v>2</v>
      </c>
      <c r="F10" s="166">
        <f t="shared" si="0"/>
        <v>40</v>
      </c>
      <c r="G10">
        <f>VLOOKUP($C10,약재관리!A:J,10,FALSE)</f>
        <v>134.30000000000001</v>
      </c>
      <c r="H10" s="5">
        <f t="shared" si="1"/>
        <v>268.60000000000002</v>
      </c>
      <c r="I10" s="6">
        <f t="shared" si="2"/>
        <v>5372</v>
      </c>
      <c r="K10" s="177"/>
      <c r="L10" s="178"/>
      <c r="M10" s="179"/>
    </row>
    <row r="11" spans="2:13">
      <c r="B11" s="3">
        <v>10</v>
      </c>
      <c r="C11" t="s">
        <v>415</v>
      </c>
      <c r="D11" s="4"/>
      <c r="E11" s="151">
        <v>3</v>
      </c>
      <c r="F11" s="166">
        <f t="shared" si="0"/>
        <v>60</v>
      </c>
      <c r="G11">
        <f>VLOOKUP($C11,약재관리!A:J,10,FALSE)</f>
        <v>10.8</v>
      </c>
      <c r="H11" s="5">
        <f t="shared" si="1"/>
        <v>32.400000000000006</v>
      </c>
      <c r="I11" s="6">
        <f t="shared" si="2"/>
        <v>648</v>
      </c>
      <c r="K11" s="177"/>
      <c r="L11" s="178"/>
      <c r="M11" s="179"/>
    </row>
    <row r="12" spans="2:13">
      <c r="B12" s="3">
        <v>11</v>
      </c>
      <c r="C12" t="s">
        <v>414</v>
      </c>
      <c r="D12" s="4"/>
      <c r="E12" s="151">
        <v>6</v>
      </c>
      <c r="F12" s="166">
        <f t="shared" si="0"/>
        <v>120</v>
      </c>
      <c r="G12">
        <f>VLOOKUP($C12,약재관리!A:J,10,FALSE)</f>
        <v>53</v>
      </c>
      <c r="H12" s="5">
        <f t="shared" si="1"/>
        <v>318</v>
      </c>
      <c r="I12" s="6">
        <f t="shared" si="2"/>
        <v>6360</v>
      </c>
      <c r="K12" s="177"/>
      <c r="L12" s="178"/>
      <c r="M12" s="179"/>
    </row>
    <row r="13" spans="2:13" ht="17.25" thickBot="1">
      <c r="B13" s="3">
        <v>12</v>
      </c>
      <c r="C13" t="s">
        <v>417</v>
      </c>
      <c r="D13" s="4"/>
      <c r="E13" s="151">
        <v>8</v>
      </c>
      <c r="F13" s="166">
        <f t="shared" si="0"/>
        <v>160</v>
      </c>
      <c r="G13">
        <f>VLOOKUP($C13,약재관리!A:J,10,FALSE)</f>
        <v>19.2</v>
      </c>
      <c r="H13" s="5">
        <f t="shared" si="1"/>
        <v>153.6</v>
      </c>
      <c r="I13" s="6">
        <f t="shared" si="2"/>
        <v>3072</v>
      </c>
      <c r="K13" s="180"/>
      <c r="L13" s="181"/>
      <c r="M13" s="182"/>
    </row>
    <row r="14" spans="2:13">
      <c r="B14" s="3">
        <v>13</v>
      </c>
      <c r="C14" t="s">
        <v>418</v>
      </c>
      <c r="D14" s="4"/>
      <c r="E14" s="151">
        <v>4</v>
      </c>
      <c r="F14" s="166">
        <f t="shared" si="0"/>
        <v>80</v>
      </c>
      <c r="G14">
        <f>VLOOKUP($C14,약재관리!A:J,10,FALSE)</f>
        <v>11</v>
      </c>
      <c r="H14" s="5">
        <f t="shared" si="1"/>
        <v>44</v>
      </c>
      <c r="I14" s="6">
        <f t="shared" si="2"/>
        <v>880</v>
      </c>
      <c r="K14" s="156" t="s">
        <v>16</v>
      </c>
      <c r="L14" s="9">
        <v>15</v>
      </c>
      <c r="M14" s="10" t="s">
        <v>17</v>
      </c>
    </row>
    <row r="15" spans="2:13">
      <c r="B15" s="3">
        <v>14</v>
      </c>
      <c r="C15" t="s">
        <v>422</v>
      </c>
      <c r="D15" s="4"/>
      <c r="E15" s="151">
        <v>4</v>
      </c>
      <c r="F15" s="166">
        <f t="shared" si="0"/>
        <v>80</v>
      </c>
      <c r="G15">
        <f>VLOOKUP($C15,약재관리!A:J,10,FALSE)</f>
        <v>14.8</v>
      </c>
      <c r="H15" s="5">
        <f t="shared" si="1"/>
        <v>59.2</v>
      </c>
      <c r="I15" s="6">
        <f t="shared" si="2"/>
        <v>1184</v>
      </c>
      <c r="K15" s="155" t="s">
        <v>18</v>
      </c>
      <c r="L15">
        <v>20</v>
      </c>
      <c r="M15" s="4" t="s">
        <v>19</v>
      </c>
    </row>
    <row r="16" spans="2:13">
      <c r="B16" s="3">
        <v>15</v>
      </c>
      <c r="C16" t="s">
        <v>424</v>
      </c>
      <c r="D16" s="4"/>
      <c r="E16" s="151">
        <v>4</v>
      </c>
      <c r="F16" s="166">
        <f t="shared" si="0"/>
        <v>80</v>
      </c>
      <c r="G16">
        <f>VLOOKUP($C16,약재관리!A:J,10,FALSE)</f>
        <v>25</v>
      </c>
      <c r="H16" s="5">
        <f t="shared" si="1"/>
        <v>100</v>
      </c>
      <c r="I16" s="6">
        <f t="shared" si="2"/>
        <v>2000</v>
      </c>
      <c r="K16" s="155" t="s">
        <v>20</v>
      </c>
      <c r="L16">
        <v>45</v>
      </c>
      <c r="M16" s="4" t="s">
        <v>21</v>
      </c>
    </row>
    <row r="17" spans="2:13" ht="17.25" thickBot="1">
      <c r="B17" s="3">
        <v>16</v>
      </c>
      <c r="C17" t="s">
        <v>423</v>
      </c>
      <c r="D17" s="4"/>
      <c r="E17" s="151">
        <v>4</v>
      </c>
      <c r="F17" s="166">
        <f t="shared" si="0"/>
        <v>80</v>
      </c>
      <c r="G17">
        <f>VLOOKUP($C17,약재관리!A:J,10,FALSE)</f>
        <v>19.600000000000001</v>
      </c>
      <c r="H17" s="5">
        <f t="shared" si="1"/>
        <v>78.400000000000006</v>
      </c>
      <c r="I17" s="6">
        <f t="shared" si="2"/>
        <v>1568</v>
      </c>
      <c r="K17" s="14" t="s">
        <v>22</v>
      </c>
      <c r="L17" s="11">
        <v>100</v>
      </c>
      <c r="M17" s="12" t="s">
        <v>23</v>
      </c>
    </row>
    <row r="18" spans="2:13">
      <c r="B18" s="3">
        <v>17</v>
      </c>
      <c r="C18" t="s">
        <v>425</v>
      </c>
      <c r="D18" s="4"/>
      <c r="E18" s="151">
        <v>4</v>
      </c>
      <c r="F18" s="166">
        <f t="shared" si="0"/>
        <v>80</v>
      </c>
      <c r="G18">
        <f>VLOOKUP($C18,약재관리!A:J,10,FALSE)</f>
        <v>15.4</v>
      </c>
      <c r="H18" s="5">
        <f t="shared" si="1"/>
        <v>61.6</v>
      </c>
      <c r="I18" s="6">
        <f t="shared" si="2"/>
        <v>1232</v>
      </c>
      <c r="K18" s="156" t="s">
        <v>24</v>
      </c>
      <c r="L18" s="9">
        <f>SUM(E2:E31)</f>
        <v>83</v>
      </c>
      <c r="M18" s="10" t="s">
        <v>25</v>
      </c>
    </row>
    <row r="19" spans="2:13">
      <c r="B19" s="3">
        <v>18</v>
      </c>
      <c r="D19" s="4"/>
      <c r="F19" s="166">
        <f t="shared" si="0"/>
        <v>0</v>
      </c>
      <c r="H19" s="5">
        <f t="shared" si="1"/>
        <v>0</v>
      </c>
      <c r="I19" s="6">
        <f t="shared" si="2"/>
        <v>0</v>
      </c>
      <c r="K19" s="155" t="s">
        <v>26</v>
      </c>
      <c r="L19">
        <f>L15*L18</f>
        <v>1660</v>
      </c>
      <c r="M19" s="4" t="s">
        <v>25</v>
      </c>
    </row>
    <row r="20" spans="2:13" ht="17.25" thickBot="1">
      <c r="B20" s="3">
        <v>19</v>
      </c>
      <c r="D20" s="4"/>
      <c r="F20" s="166">
        <f t="shared" si="0"/>
        <v>0</v>
      </c>
      <c r="H20" s="5">
        <f t="shared" si="1"/>
        <v>0</v>
      </c>
      <c r="I20" s="6">
        <f t="shared" si="2"/>
        <v>0</v>
      </c>
      <c r="K20" s="14" t="s">
        <v>27</v>
      </c>
      <c r="L20" s="11">
        <f>L16*L17+L19</f>
        <v>6160</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1660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1883.6000000000001</v>
      </c>
      <c r="M30" s="4" t="s">
        <v>388</v>
      </c>
    </row>
    <row r="31" spans="2:13" ht="17.25" thickBot="1">
      <c r="B31" s="13">
        <v>30</v>
      </c>
      <c r="C31" s="14"/>
      <c r="D31" s="12"/>
      <c r="E31" s="159"/>
      <c r="F31" s="167">
        <f t="shared" si="0"/>
        <v>0</v>
      </c>
      <c r="G31" s="14"/>
      <c r="H31" s="15">
        <f t="shared" si="1"/>
        <v>0</v>
      </c>
      <c r="I31" s="16">
        <f t="shared" si="2"/>
        <v>0</v>
      </c>
      <c r="K31" s="14" t="s">
        <v>387</v>
      </c>
      <c r="L31" s="15">
        <f>SUM(I2:I31)</f>
        <v>37672</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27" zoomScaleNormal="100" workbookViewId="0">
      <selection activeCell="C146" sqref="C146"/>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3">
        <v>45566</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8900</v>
      </c>
      <c r="F35" s="41">
        <f t="shared" si="3"/>
        <v>0</v>
      </c>
      <c r="G35" s="42">
        <f t="shared" ref="G35:G47" si="7">C35/500</f>
        <v>13.2</v>
      </c>
      <c r="H35" s="42">
        <f t="shared" ref="H35:H47" si="8">D35/600</f>
        <v>0</v>
      </c>
      <c r="I35" s="43">
        <f t="shared" si="6"/>
        <v>14.833333333333334</v>
      </c>
      <c r="J35" s="44">
        <v>14.8</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2"/>
      <c r="L71" s="58"/>
      <c r="M71" s="58"/>
      <c r="N71" s="152"/>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3"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v>20700</v>
      </c>
      <c r="F143" s="53">
        <f t="shared" si="25"/>
        <v>0</v>
      </c>
      <c r="G143" s="54">
        <f>C143/500</f>
        <v>41</v>
      </c>
      <c r="H143" s="54">
        <f>D143/600</f>
        <v>38.333333333333336</v>
      </c>
      <c r="I143" s="68">
        <f t="shared" si="23"/>
        <v>34.5</v>
      </c>
      <c r="J143" s="56">
        <v>38</v>
      </c>
      <c r="K143" s="57"/>
      <c r="L143" s="58" t="s">
        <v>105</v>
      </c>
      <c r="M143" s="58"/>
      <c r="N143" s="59" t="s">
        <v>400</v>
      </c>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2">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5차</vt:lpstr>
      <vt:lpstr>4차</vt:lpstr>
      <vt:lpstr>3차</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2024-10-11T04:19:04Z</cp:lastPrinted>
  <dcterms:created xsi:type="dcterms:W3CDTF">2024-09-12T16:35:01Z</dcterms:created>
  <dcterms:modified xsi:type="dcterms:W3CDTF">2025-07-23T00:35:56Z</dcterms:modified>
</cp:coreProperties>
</file>