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23" documentId="8_{6EB8DC0A-AB56-415F-A9F3-EA1534264548}" xr6:coauthVersionLast="47" xr6:coauthVersionMax="47" xr10:uidLastSave="{70BA0941-C9FC-4E6E-BFA9-2DBB83F5173A}"/>
  <bookViews>
    <workbookView xWindow="-120" yWindow="-120" windowWidth="29040" windowHeight="1572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 l="1"/>
  <c r="G3" i="4"/>
  <c r="G4" i="4"/>
  <c r="G5" i="4"/>
  <c r="G6" i="4"/>
  <c r="G7" i="4"/>
  <c r="G141" i="3"/>
  <c r="G196" i="3"/>
  <c r="I100" i="3"/>
  <c r="H100" i="3"/>
  <c r="I26" i="3"/>
  <c r="H26" i="3"/>
  <c r="G26" i="3"/>
  <c r="F26" i="3"/>
  <c r="G2" i="4"/>
  <c r="I174" i="3"/>
  <c r="G40" i="3"/>
  <c r="I63" i="3" l="1"/>
  <c r="G121" i="3"/>
  <c r="I121" i="3"/>
  <c r="H121" i="3"/>
  <c r="F121" i="3"/>
  <c r="F2" i="4"/>
  <c r="I52" i="3"/>
  <c r="H52" i="3"/>
  <c r="G52" i="3"/>
  <c r="F52" i="3"/>
  <c r="H4" i="4" l="1"/>
  <c r="H5" i="4"/>
  <c r="H6" i="4"/>
  <c r="H7" i="4"/>
  <c r="H8" i="4"/>
  <c r="H12" i="4"/>
  <c r="H13" i="4"/>
  <c r="H14" i="4"/>
  <c r="H15" i="4"/>
  <c r="H16" i="4"/>
  <c r="H20" i="4"/>
  <c r="H21" i="4"/>
  <c r="H22" i="4"/>
  <c r="H23" i="4"/>
  <c r="H28" i="4"/>
  <c r="H29" i="4"/>
  <c r="H30" i="4"/>
  <c r="H31" i="4"/>
  <c r="F3" i="4"/>
  <c r="F4" i="4"/>
  <c r="F5" i="4"/>
  <c r="F6" i="4"/>
  <c r="F7" i="4"/>
  <c r="F8" i="4"/>
  <c r="F9" i="4"/>
  <c r="F10" i="4"/>
  <c r="F11" i="4"/>
  <c r="F12" i="4"/>
  <c r="F31" i="4"/>
  <c r="F27" i="4"/>
  <c r="F26" i="4"/>
  <c r="I26" i="4" s="1"/>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25" i="4"/>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<sst xmlns="http://schemas.openxmlformats.org/spreadsheetml/2006/main" count="579" uniqueCount="418">
  <si>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</si>
  <si>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</si>
  <si>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</si>
  <si>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</si>
  <si>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</si>
  <si>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</si>
  <si>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</si>
  <si>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</si>
  <si>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</si>
  <si>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</si>
  <si>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</si>
  <si>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</si>
  <si>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</si>
  <si>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</si>
  <si>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</si>
  <si>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</si>
  <si>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</si>
  <si>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</si>
  <si>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</si>
  <si>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</si>
  <si>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</si>
  <si>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</si>
  <si>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</si>
  <si>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</si>
  <si>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</si>
  <si>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</si>
  <si>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</si>
  <si>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</si>
  <si>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</si>
  <si>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</si>
  <si>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</si>
  <si>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</si>
  <si>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</si>
  <si>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</si>
  <si>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</si>
  <si>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</si>
  <si>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</si>
  <si>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</si>
  <si>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</si>
  <si>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</si>
  <si>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</si>
  <si>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</si>
  <si>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</si>
  <si>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</si>
  <si>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</si>
  <si>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</si>
  <si>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</si>
  <si>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</si>
  <si>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</si>
  <si>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</si>
  <si>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</si>
  <si>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</si>
  <si>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</si>
  <si>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</si>
  <si>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</si>
  <si>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</si>
  <si>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</si>
  <si>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</si>
  <si>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</si>
  <si>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</si>
  <si>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</si>
  <si>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</si>
  <si>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</si>
  <si>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</si>
  <si>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</si>
  <si>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</si>
  <si>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</si>
  <si>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</si>
  <si>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</si>
  <si>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</si>
  <si>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</si>
  <si>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</si>
  <si>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</si>
  <si>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</si>
  <si>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</si>
  <si>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</si>
  <si>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</si>
  <si>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</si>
  <si>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</si>
  <si>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</si>
  <si>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</si>
  <si>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</si>
  <si>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</si>
  <si>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</si>
  <si>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</si>
  <si>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</si>
  <si>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</si>
  <si>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</si>
  <si>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</si>
  <si>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</si>
  <si>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</si>
  <si>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</si>
  <si>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</si>
  <si>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</si>
  <si>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</si>
  <si>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</si>
  <si>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</si>
  <si>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</si>
  <si>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</si>
  <si>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</si>
  <si>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</si>
  <si>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</si>
  <si>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</si>
  <si>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</si>
  <si>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</si>
  <si>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</si>
  <si>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</si>
  <si>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</si>
  <si>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</si>
  <si>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</si>
  <si>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</si>
  <si>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</si>
  <si>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</si>
  <si>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</si>
  <si>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</si>
  <si>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</si>
  <si>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</si>
  <si>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</si>
  <si>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</si>
  <si>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</si>
  <si>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</si>
  <si>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</si>
  <si>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</si>
  <si>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</si>
  <si>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</si>
  <si>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</si>
  <si>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</si>
  <si>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</si>
  <si>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</si>
  <si>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</si>
  <si>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</si>
  <si>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</si>
  <si>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</si>
  <si>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</si>
  <si>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</si>
  <si>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</si>
  <si>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</si>
  <si>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</si>
  <si>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</si>
  <si>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</si>
  <si>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</si>
  <si>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</si>
  <si>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</si>
  <si>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</si>
  <si>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</si>
  <si>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</si>
  <si>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</si>
  <si>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</si>
  <si>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</si>
  <si>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</si>
  <si>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</si>
  <si>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</si>
  <si>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</si>
  <si>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</si>
  <si>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</si>
  <si>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</si>
  <si>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</si>
  <si>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</si>
  <si>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</si>
  <si>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</si>
  <si>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</si>
  <si>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</si>
  <si>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</si>
  <si>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</si>
  <si>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</si>
  <si>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</si>
  <si>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</si>
  <si>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</si>
  <si>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</si>
  <si>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</si>
  <si>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</si>
  <si>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</si>
  <si>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</si>
  <si>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</si>
  <si>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</si>
  <si>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</si>
  <si>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</si>
  <si>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</si>
  <si>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</si>
  <si>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</si>
  <si>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</si>
  <si>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</si>
  <si>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</si>
  <si>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</si>
  <si>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</si>
  <si>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</si>
  <si>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</si>
  <si>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</si>
  <si>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</si>
  <si>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</si>
  <si>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</si>
  <si>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</si>
  <si>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</si>
  <si>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</si>
  <si>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</si>
  <si>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</si>
  <si>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</si>
  <si>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</si>
  <si>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</si>
  <si>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</si>
  <si>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</si>
  <si>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</si>
  <si>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</si>
  <si>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</si>
  <si>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</si>
  <si>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</si>
  <si>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</si>
  <si>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</si>
  <si>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</si>
  <si>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</si>
  <si>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</si>
  <si>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</si>
  <si>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</si>
  <si>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</si>
  <si>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</si>
  <si>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</si>
  <si>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</si>
  <si>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</si>
  <si>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</si>
  <si>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</si>
  <si>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</si>
  <si>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</si>
  <si>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</si>
  <si>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</si>
  <si>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</si>
  <si>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</si>
  <si>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</si>
  <si>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</si>
  <si>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</si>
  <si>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</si>
  <si>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</si>
  <si>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</si>
  <si>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</si>
  <si>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</si>
  <si>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</si>
  <si>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</si>
  <si>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</si>
  <si>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</si>
  <si>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</si>
  <si>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</si>
  <si>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</si>
  <si>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</si>
  <si>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</si>
  <si>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</si>
  <si>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</si>
  <si>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</si>
  <si>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</si>
  <si>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</si>
  <si>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</si>
  <si>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</si>
  <si>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</si>
  <si>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</si>
  <si>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</si>
  <si>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</si>
  <si>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</si>
  <si>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</si>
  <si>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</si>
  <si>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</si>
  <si>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</si>
  <si>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</si>
  <si>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</si>
  <si>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</si>
  <si>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</si>
  <si>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</si>
  <si>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</si>
  <si>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</si>
  <si>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</si>
  <si>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</si>
  <si>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</si>
  <si>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</si>
  <si>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</si>
  <si>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</si>
  <si>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</si>
  <si>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</si>
  <si>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</si>
  <si>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</si>
  <si>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</si>
  <si>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</si>
  <si>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</si>
  <si>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</si>
  <si>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</si>
  <si>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</si>
  <si>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</si>
  <si>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</si>
  <si>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</si>
  <si>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</si>
  <si>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</si>
  <si>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</si>
  <si>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</si>
  <si>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</si>
  <si>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</si>
  <si>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</si>
  <si>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</si>
  <si>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</si>
  <si>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</si>
  <si>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</si>
  <si>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</si>
  <si>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</si>
  <si>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</si>
  <si>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</si>
  <si>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</si>
  <si>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</si>
  <si>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</si>
  <si>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</si>
  <si>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</si>
  <si>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</si>
  <si>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</si>
  <si>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</si>
  <si>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</si>
  <si>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</si>
  <si>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</si>
  <si>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</si>
  <si>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</si>
  <si>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</si>
  <si>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</si>
  <si>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</si>
  <si>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</si>
  <si>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</si>
  <si>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</si>
  <si>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</si>
  <si>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</si>
  <si>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</si>
  <si>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</si>
  <si>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</si>
  <si>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</si>
  <si>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</si>
  <si>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</si>
  <si>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</si>
  <si>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</si>
  <si>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</si>
  <si>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</si>
  <si>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</si>
  <si>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</si>
  <si>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</si>
  <si>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</si>
  <si>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</si>
  <si>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</si>
  <si>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</si>
  <si>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</si>
  <si>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</si>
  <si>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</si>
  <si>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</si>
  <si>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</si>
  <si>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</si>
  <si>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</si>
  <si>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</si>
  <si>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</si>
  <si>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</si>
  <si>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</si>
  <si>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</si>
  <si>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</si>
  <si>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</si>
  <si>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</si>
  <si>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</si>
  <si>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</si>
  <si>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</si>
  <si>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</si>
  <si>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</si>
  <si>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</si>
  <si>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</si>
  <si>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</si>
  <si>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</si>
  <si>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</si>
  <si>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</si>
  <si>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</si>
  <si>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</si>
  <si>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</si>
  <si>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</si>
  <si>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</si>
  <si>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</si>
  <si>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</si>
  <si>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</si>
  <si>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</si>
  <si>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</si>
  <si>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</si>
  <si>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</si>
  <si>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</si>
  <si>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</si>
  <si>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</si>
  <si>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</si>
  <si>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</si>
  <si>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</si>
  <si>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</si>
  <si>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</si>
  <si>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</si>
  <si>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</si>
  <si>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</si>
  <si>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</si>
  <si>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</si>
  <si>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</si>
  <si>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</si>
  <si>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</si>
  <si>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</si>
  <si>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</si>
  <si>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</si>
  <si>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</si>
  <si>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</si>
  <si>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</si>
  <si>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</si>
  <si>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</si>
  <si>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</si>
  <si>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</si>
  <si>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</si>
  <si>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</si>
  <si>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</si>
  <si>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</si>
  <si>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</si>
  <si>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</si>
  <si>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감초</t>
    <phoneticPr fontId="5" type="noConversion"/>
  </si>
  <si>
    <t>상비약</t>
    <phoneticPr fontId="5" type="noConversion"/>
  </si>
  <si>
    <t>맥문동탕</t>
    <phoneticPr fontId="5" type="noConversion"/>
  </si>
  <si>
    <t>맥문동</t>
    <phoneticPr fontId="5" type="noConversion"/>
  </si>
  <si>
    <t>반하</t>
    <phoneticPr fontId="5" type="noConversion"/>
  </si>
  <si>
    <t>대추</t>
    <phoneticPr fontId="5" type="noConversion"/>
  </si>
  <si>
    <t>산약</t>
    <phoneticPr fontId="5" type="noConversion"/>
  </si>
  <si>
    <t>사삼</t>
    <phoneticPr fontId="5" type="noConversion"/>
  </si>
  <si>
    <t>인삼</t>
    <phoneticPr fontId="5" type="noConversion"/>
  </si>
  <si>
    <t>마른기침</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</si>
</sst>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F13" sqref="F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15</v>
      </c>
      <c r="F2" s="101">
        <f>E2*$L$15</f>
        <v>300</v>
      </c>
      <c r="G2">
        <f>VLOOKUP($C2,약재관리!A:J,10,FALSE)</f>
        <v>44.3</v>
      </c>
      <c r="H2" s="5">
        <f>G2*E2</f>
        <v>664.5</v>
      </c>
      <c r="I2" s="90">
        <f>G2*F2</f>
        <v>13290</v>
      </c>
      <c r="K2" s="7" t="s">
        <v>9</v>
      </c>
      <c r="L2" s="152">
        <v>67</v>
      </c>
      <c r="M2" s="153"/>
    </row>
    <row r="3" spans="2:13">
      <c r="B3" s="3">
        <v>2</v>
      </c>
      <c r="C3" t="s">
        <v>412</v>
      </c>
      <c r="D3" s="4"/>
      <c r="E3" s="88">
        <v>10</v>
      </c>
      <c r="F3" s="101">
        <f t="shared" ref="F3:F31" si="0">E3*$L$15</f>
        <v>200</v>
      </c>
      <c r="G3">
        <f>VLOOKUP($C3,약재관리!A:J,10,FALSE)</f>
        <v>47</v>
      </c>
      <c r="H3" s="5">
        <f t="shared" ref="H3:H31" si="1">G3*E3</f>
        <v>470</v>
      </c>
      <c r="I3" s="6">
        <f t="shared" ref="I3:I31" si="2">G3*F3</f>
        <v>9400</v>
      </c>
      <c r="K3" s="8" t="s">
        <v>10</v>
      </c>
      <c r="L3" s="147" t="s">
        <v>410</v>
      </c>
      <c r="M3" s="148"/>
    </row>
    <row r="4" spans="2:13">
      <c r="B4" s="3">
        <v>3</v>
      </c>
      <c r="C4" t="s">
        <v>415</v>
      </c>
      <c r="D4" s="4"/>
      <c r="E4" s="88">
        <v>4</v>
      </c>
      <c r="F4" s="101">
        <f t="shared" si="0"/>
        <v>80</v>
      </c>
      <c r="G4">
        <f>VLOOKUP($C4,약재관리!A:J,10,FALSE)</f>
        <v>27.2</v>
      </c>
      <c r="H4" s="5">
        <f t="shared" si="1"/>
        <v>108.8</v>
      </c>
      <c r="I4" s="6">
        <f t="shared" si="2"/>
        <v>2176</v>
      </c>
      <c r="K4" s="8" t="s">
        <v>11</v>
      </c>
      <c r="L4" s="154">
        <v>45758</v>
      </c>
      <c r="M4" s="148"/>
    </row>
    <row r="5" spans="2:13">
      <c r="B5" s="3">
        <v>4</v>
      </c>
      <c r="C5" t="s">
        <v>408</v>
      </c>
      <c r="D5" s="4"/>
      <c r="E5" s="88">
        <v>4</v>
      </c>
      <c r="F5" s="101">
        <f t="shared" si="0"/>
        <v>80</v>
      </c>
      <c r="G5">
        <f>VLOOKUP($C5,약재관리!A:J,10,FALSE)</f>
        <v>28.3</v>
      </c>
      <c r="H5" s="5">
        <f t="shared" si="1"/>
        <v>113.2</v>
      </c>
      <c r="I5" s="6">
        <f t="shared" si="2"/>
        <v>2264</v>
      </c>
      <c r="K5" s="8" t="s">
        <v>12</v>
      </c>
      <c r="L5" s="147" t="s">
        <v>409</v>
      </c>
      <c r="M5" s="148"/>
    </row>
    <row r="6" spans="2:13">
      <c r="B6" s="3">
        <v>5</v>
      </c>
      <c r="C6" t="s">
        <v>414</v>
      </c>
      <c r="D6" s="4"/>
      <c r="E6" s="88">
        <v>10</v>
      </c>
      <c r="F6" s="101">
        <f t="shared" si="0"/>
        <v>200</v>
      </c>
      <c r="G6">
        <f>VLOOKUP($C6,약재관리!A:J,10,FALSE)</f>
        <v>18.3</v>
      </c>
      <c r="H6" s="5">
        <f t="shared" si="1"/>
        <v>183</v>
      </c>
      <c r="I6" s="6">
        <f t="shared" si="2"/>
        <v>3660</v>
      </c>
      <c r="K6" s="8" t="s">
        <v>13</v>
      </c>
      <c r="L6" s="147"/>
      <c r="M6" s="148"/>
    </row>
    <row r="7" spans="2:13" ht="17.25" thickBot="1">
      <c r="B7" s="3">
        <v>6</v>
      </c>
      <c r="C7" t="s">
        <v>413</v>
      </c>
      <c r="D7" s="4"/>
      <c r="E7" s="88">
        <v>6</v>
      </c>
      <c r="F7" s="101">
        <f t="shared" si="0"/>
        <v>120</v>
      </c>
      <c r="G7">
        <f>VLOOKUP($C7,약재관리!A:J,10,FALSE)</f>
        <v>20.8</v>
      </c>
      <c r="H7" s="5">
        <f t="shared" si="1"/>
        <v>124.80000000000001</v>
      </c>
      <c r="I7" s="6">
        <f t="shared" si="2"/>
        <v>2496</v>
      </c>
      <c r="K7" s="8" t="s">
        <v>14</v>
      </c>
      <c r="L7" s="155"/>
      <c r="M7" s="156"/>
    </row>
    <row r="8" spans="2:13" ht="17.25" thickBot="1">
      <c r="B8" s="3">
        <v>7</v>
      </c>
      <c r="C8" t="s">
        <v>416</v>
      </c>
      <c r="D8" s="4"/>
      <c r="E8" s="88">
        <v>2</v>
      </c>
      <c r="F8" s="101">
        <f t="shared" si="0"/>
        <v>40</v>
      </c>
      <c r="G8">
        <f>VLOOKUP($C8,약재관리!A:J,10,FALSE)</f>
        <v>90</v>
      </c>
      <c r="H8" s="5">
        <f t="shared" si="1"/>
        <v>180</v>
      </c>
      <c r="I8" s="6">
        <f t="shared" si="2"/>
        <v>3600</v>
      </c>
      <c r="K8" s="149" t="s">
        <v>15</v>
      </c>
      <c r="L8" s="150"/>
      <c r="M8" s="151"/>
    </row>
    <row r="9" spans="2:13">
      <c r="B9" s="3">
        <v>8</v>
      </c>
      <c r="D9" s="4"/>
      <c r="F9" s="101">
        <f t="shared" si="0"/>
        <v>0</v>
      </c>
      <c r="H9" s="5">
        <f t="shared" si="1"/>
        <v>0</v>
      </c>
      <c r="I9" s="6">
        <f t="shared" si="2"/>
        <v>0</v>
      </c>
      <c r="K9" s="157" t="s">
        <v>417</v>
      </c>
      <c r="L9" s="158"/>
      <c r="M9" s="159"/>
    </row>
    <row r="10" spans="2:13">
      <c r="B10" s="3">
        <v>9</v>
      </c>
      <c r="D10" s="4"/>
      <c r="F10" s="101">
        <f t="shared" si="0"/>
        <v>0</v>
      </c>
      <c r="H10" s="5">
        <f t="shared" si="1"/>
        <v>0</v>
      </c>
      <c r="I10" s="6">
        <f t="shared" si="2"/>
        <v>0</v>
      </c>
      <c r="K10" s="160"/>
      <c r="L10" s="161"/>
      <c r="M10" s="162"/>
    </row>
    <row r="11" spans="2:13">
      <c r="B11" s="3">
        <v>10</v>
      </c>
      <c r="D11" s="4"/>
      <c r="F11" s="101">
        <f t="shared" si="0"/>
        <v>0</v>
      </c>
      <c r="H11" s="5">
        <f t="shared" si="1"/>
        <v>0</v>
      </c>
      <c r="I11" s="6">
        <f t="shared" si="2"/>
        <v>0</v>
      </c>
      <c r="K11" s="160"/>
      <c r="L11" s="161"/>
      <c r="M11" s="162"/>
    </row>
    <row r="12" spans="2:13">
      <c r="B12" s="3">
        <v>11</v>
      </c>
      <c r="D12" s="4"/>
      <c r="F12" s="101">
        <f t="shared" si="0"/>
        <v>0</v>
      </c>
      <c r="H12" s="5">
        <f t="shared" si="1"/>
        <v>0</v>
      </c>
      <c r="I12" s="6">
        <f t="shared" si="2"/>
        <v>0</v>
      </c>
      <c r="K12" s="160"/>
      <c r="L12" s="161"/>
      <c r="M12" s="162"/>
    </row>
    <row r="13" spans="2:13" ht="17.25" thickBot="1">
      <c r="B13" s="3">
        <v>12</v>
      </c>
      <c r="D13" s="4"/>
      <c r="F13" s="101">
        <f t="shared" si="0"/>
        <v>0</v>
      </c>
      <c r="H13" s="5">
        <f t="shared" si="1"/>
        <v>0</v>
      </c>
      <c r="I13" s="6">
        <f t="shared" si="2"/>
        <v>0</v>
      </c>
      <c r="K13" s="163"/>
      <c r="L13" s="164"/>
      <c r="M13" s="165"/>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51</v>
      </c>
      <c r="M18" s="10" t="s">
        <v>25</v>
      </c>
    </row>
    <row r="19" spans="2:13">
      <c r="B19" s="3">
        <v>18</v>
      </c>
      <c r="D19" s="4"/>
      <c r="F19" s="101">
        <f t="shared" si="0"/>
        <v>0</v>
      </c>
      <c r="H19" s="5">
        <f t="shared" si="1"/>
        <v>0</v>
      </c>
      <c r="I19" s="6">
        <f t="shared" si="2"/>
        <v>0</v>
      </c>
      <c r="K19" s="91" t="s">
        <v>26</v>
      </c>
      <c r="L19">
        <f>L15*L18</f>
        <v>1020</v>
      </c>
      <c r="M19" s="4" t="s">
        <v>25</v>
      </c>
    </row>
    <row r="20" spans="2:13" ht="17.25" thickBot="1">
      <c r="B20" s="3">
        <v>19</v>
      </c>
      <c r="D20" s="4"/>
      <c r="F20" s="101">
        <f t="shared" si="0"/>
        <v>0</v>
      </c>
      <c r="H20" s="5">
        <f t="shared" si="1"/>
        <v>0</v>
      </c>
      <c r="I20" s="6">
        <f t="shared" si="2"/>
        <v>0</v>
      </c>
      <c r="K20" s="14" t="s">
        <v>27</v>
      </c>
      <c r="L20" s="11">
        <f>L16*L17+L19</f>
        <v>5520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1020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c r="H28" s="5">
        <f t="shared" si="1"/>
        <v>0</v>
      </c>
      <c r="I28" s="6">
        <f t="shared" si="2"/>
        <v>0</v>
      </c>
      <c r="J28" s="91"/>
      <c r="K28" s="11"/>
      <c r="L28" s="11"/>
      <c r="M28" s="94"/>
    </row>
    <row r="29" spans="2:13" ht="17.25" thickBot="1">
      <c r="B29" s="3">
        <v>28</v>
      </c>
      <c r="D29" s="4"/>
      <c r="F29" s="101"/>
      <c r="H29" s="5">
        <f t="shared" si="1"/>
        <v>0</v>
      </c>
      <c r="I29" s="6">
        <f t="shared" si="2"/>
        <v>0</v>
      </c>
      <c r="K29" s="149" t="s">
        <v>387</v>
      </c>
      <c r="L29" s="150"/>
      <c r="M29" s="151"/>
    </row>
    <row r="30" spans="2:13">
      <c r="B30" s="3">
        <v>29</v>
      </c>
      <c r="D30" s="4"/>
      <c r="F30" s="101"/>
      <c r="H30" s="5">
        <f t="shared" si="1"/>
        <v>0</v>
      </c>
      <c r="I30" s="6">
        <f t="shared" si="2"/>
        <v>0</v>
      </c>
      <c r="K30" s="91" t="s">
        <v>28</v>
      </c>
      <c r="L30" s="5">
        <f>SUM(H2:H31)</f>
        <v>1844.3</v>
      </c>
      <c r="M30" s="4" t="s">
        <v>386</v>
      </c>
    </row>
    <row r="31" spans="2:13" ht="17.25" thickBot="1">
      <c r="B31" s="13">
        <v>30</v>
      </c>
      <c r="C31" s="14"/>
      <c r="D31" s="12"/>
      <c r="E31" s="95"/>
      <c r="F31" s="102">
        <f t="shared" si="0"/>
        <v>0</v>
      </c>
      <c r="G31" s="14"/>
      <c r="H31" s="15">
        <f t="shared" si="1"/>
        <v>0</v>
      </c>
      <c r="I31" s="16">
        <f t="shared" si="2"/>
        <v>0</v>
      </c>
      <c r="K31" s="14" t="s">
        <v>385</v>
      </c>
      <c r="L31" s="15">
        <f>SUM(I2:I31)</f>
        <v>36886</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48" zoomScaleNormal="100" workbookViewId="0">
      <selection activeCell="J103" sqref="J10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45662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3"/>
        <v>23</v>
      </c>
      <c r="G32" s="51">
        <f>C32/500</f>
        <v>25.8</v>
      </c>
      <c r="H32" s="51">
        <f t="shared" si="1"/>
        <v>12.5</v>
      </c>
      <c r="I32" s="138">
        <f t="shared" si="2"/>
        <v>11.5</v>
      </c>
      <c r="J32" s="52">
        <v>11.5</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v>14000</v>
      </c>
      <c r="D78" s="36"/>
      <c r="E78" s="37">
        <v>22000</v>
      </c>
      <c r="F78" s="115">
        <f t="shared" si="15"/>
        <v>0</v>
      </c>
      <c r="G78" s="38">
        <f t="shared" si="12"/>
        <v>28</v>
      </c>
      <c r="H78" s="38">
        <f t="shared" si="13"/>
        <v>0</v>
      </c>
      <c r="I78" s="39">
        <f t="shared" si="14"/>
        <v>36.666666666666664</v>
      </c>
      <c r="J78" s="40">
        <v>28</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4400</v>
      </c>
      <c r="D82" s="36">
        <v>7000</v>
      </c>
      <c r="E82" s="37">
        <v>5900</v>
      </c>
      <c r="F82" s="115">
        <f t="shared" si="15"/>
        <v>19.8</v>
      </c>
      <c r="G82" s="38">
        <f t="shared" ref="G82:G99" si="16">C82/500</f>
        <v>8.8000000000000007</v>
      </c>
      <c r="H82" s="38">
        <f t="shared" si="13"/>
        <v>11.666666666666666</v>
      </c>
      <c r="I82" s="48">
        <f t="shared" si="14"/>
        <v>9.8333333333333339</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66000</v>
      </c>
      <c r="D104" s="36"/>
      <c r="E104" s="37">
        <v>87100</v>
      </c>
      <c r="F104" s="115">
        <f t="shared" si="20"/>
        <v>0</v>
      </c>
      <c r="G104" s="44">
        <f t="shared" si="17"/>
        <v>132</v>
      </c>
      <c r="H104" s="38">
        <f t="shared" si="18"/>
        <v>0</v>
      </c>
      <c r="I104" s="39">
        <f t="shared" si="19"/>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30000</v>
      </c>
      <c r="D141" s="36">
        <v>30000</v>
      </c>
      <c r="E141" s="37">
        <v>62500</v>
      </c>
      <c r="F141" s="115">
        <f t="shared" si="26"/>
        <v>0</v>
      </c>
      <c r="G141" s="44">
        <f>C141/300</f>
        <v>100</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19000</v>
      </c>
      <c r="D188" s="36">
        <v>19200</v>
      </c>
      <c r="E188" s="37">
        <v>19200</v>
      </c>
      <c r="F188" s="115">
        <f t="shared" si="33"/>
        <v>0</v>
      </c>
      <c r="G188" s="38">
        <f>C188/500</f>
        <v>38</v>
      </c>
      <c r="H188" s="38">
        <f t="shared" ref="H188:I193" si="35">D188/600</f>
        <v>32</v>
      </c>
      <c r="I188" s="39">
        <f t="shared" si="35"/>
        <v>32</v>
      </c>
      <c r="J188" s="40">
        <v>32</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8600</v>
      </c>
      <c r="F193" s="115">
        <f t="shared" si="33"/>
        <v>0</v>
      </c>
      <c r="G193" s="38">
        <f t="shared" si="36"/>
        <v>14.4</v>
      </c>
      <c r="H193" s="38">
        <f t="shared" si="35"/>
        <v>15.833333333333334</v>
      </c>
      <c r="I193" s="98">
        <f t="shared" si="35"/>
        <v>14.333333333333334</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33"/>
        <v>0</v>
      </c>
      <c r="G196" s="38">
        <f>C196/600</f>
        <v>46.666666666666664</v>
      </c>
      <c r="H196" s="38">
        <f>D196/600</f>
        <v>46.666666666666664</v>
      </c>
      <c r="I196" s="39">
        <f t="shared" si="37"/>
        <v>58</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33"/>
        <v>0</v>
      </c>
      <c r="G198" s="38">
        <f t="shared" si="36"/>
        <v>39</v>
      </c>
      <c r="H198" s="38">
        <f>D198/600</f>
        <v>50</v>
      </c>
      <c r="I198" s="39">
        <f t="shared" si="37"/>
        <v>43.333333333333336</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2025-01-13T09:35:48Z</cp:lastPrinted>
  <dcterms:created xsi:type="dcterms:W3CDTF">2024-09-12T16:35:01Z</dcterms:created>
  <dcterms:modified xsi:type="dcterms:W3CDTF">2025-04-11T09:10:51Z</dcterms:modified>
</cp:coreProperties>
</file>