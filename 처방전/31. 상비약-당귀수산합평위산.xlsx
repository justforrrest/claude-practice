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50" documentId="8_{6EB8DC0A-AB56-415F-A9F3-EA1534264548}" xr6:coauthVersionLast="47" xr6:coauthVersionMax="47" xr10:uidLastSave="{9533E86F-AF0F-4E85-8420-F7BE40532EEA}"/>
  <bookViews>
    <workbookView xWindow="13560" yWindow="30" windowWidth="15240" windowHeight="15450" xr2:uid="{8B9F1886-173A-4475-B0CF-D9F36CE30773}"/>
  </bookViews>
  <sheets>
    <sheet name="처방전양식 (4)" sheetId="7" r:id="rId1"/>
    <sheet name="처방전양식 (3)" sheetId="6" r:id="rId2"/>
    <sheet name="처방전양식 (2)" sheetId="5" r:id="rId3"/>
    <sheet name="처방전양식" sheetId="4" r:id="rId4"/>
    <sheet name="약재관리"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H16" i="7" s="1"/>
  <c r="G17" i="7"/>
  <c r="I17" i="7" s="1"/>
  <c r="F17" i="7"/>
  <c r="I31" i="7"/>
  <c r="H31" i="7"/>
  <c r="F31" i="7"/>
  <c r="H30" i="7"/>
  <c r="F30" i="7"/>
  <c r="I30" i="7" s="1"/>
  <c r="I29" i="7"/>
  <c r="H29" i="7"/>
  <c r="F29" i="7"/>
  <c r="H28" i="7"/>
  <c r="F28" i="7"/>
  <c r="I28" i="7" s="1"/>
  <c r="H27" i="7"/>
  <c r="F27" i="7"/>
  <c r="I27" i="7" s="1"/>
  <c r="H26" i="7"/>
  <c r="F26" i="7"/>
  <c r="I26" i="7" s="1"/>
  <c r="I25" i="7"/>
  <c r="H25" i="7"/>
  <c r="F25" i="7"/>
  <c r="H24" i="7"/>
  <c r="F24" i="7"/>
  <c r="I24" i="7" s="1"/>
  <c r="I23" i="7"/>
  <c r="H23" i="7"/>
  <c r="F23" i="7"/>
  <c r="H22" i="7"/>
  <c r="F22" i="7"/>
  <c r="I22" i="7" s="1"/>
  <c r="I21" i="7"/>
  <c r="H21" i="7"/>
  <c r="F21" i="7"/>
  <c r="I20" i="7"/>
  <c r="H20" i="7"/>
  <c r="F20" i="7"/>
  <c r="H19" i="7"/>
  <c r="F19" i="7"/>
  <c r="I19" i="7" s="1"/>
  <c r="L18" i="7"/>
  <c r="L19" i="7" s="1"/>
  <c r="L20" i="7" s="1"/>
  <c r="I18" i="7"/>
  <c r="H18" i="7"/>
  <c r="F18" i="7"/>
  <c r="F16" i="7"/>
  <c r="G15" i="7"/>
  <c r="I15" i="7" s="1"/>
  <c r="F15" i="7"/>
  <c r="G14" i="7"/>
  <c r="I14" i="7" s="1"/>
  <c r="F14" i="7"/>
  <c r="G13" i="7"/>
  <c r="I13" i="7" s="1"/>
  <c r="F13" i="7"/>
  <c r="G12" i="7"/>
  <c r="H12" i="7" s="1"/>
  <c r="F12" i="7"/>
  <c r="G11" i="7"/>
  <c r="I11" i="7" s="1"/>
  <c r="F11" i="7"/>
  <c r="G10" i="7"/>
  <c r="I10" i="7" s="1"/>
  <c r="F10" i="7"/>
  <c r="G9" i="7"/>
  <c r="I9" i="7" s="1"/>
  <c r="F9" i="7"/>
  <c r="G8" i="7"/>
  <c r="I8" i="7" s="1"/>
  <c r="F8" i="7"/>
  <c r="G7" i="7"/>
  <c r="I7" i="7" s="1"/>
  <c r="F7" i="7"/>
  <c r="G6" i="7"/>
  <c r="H6" i="7" s="1"/>
  <c r="F6" i="7"/>
  <c r="G5" i="7"/>
  <c r="I5" i="7" s="1"/>
  <c r="F5" i="7"/>
  <c r="G4" i="7"/>
  <c r="I4" i="7" s="1"/>
  <c r="F4" i="7"/>
  <c r="G3" i="7"/>
  <c r="I3" i="7" s="1"/>
  <c r="F3" i="7"/>
  <c r="G2" i="7"/>
  <c r="I2" i="7" s="1"/>
  <c r="F2" i="7"/>
  <c r="L23" i="7" s="1"/>
  <c r="H31" i="6"/>
  <c r="F31" i="6"/>
  <c r="I31" i="6" s="1"/>
  <c r="I30" i="6"/>
  <c r="H30" i="6"/>
  <c r="F30" i="6"/>
  <c r="H29" i="6"/>
  <c r="F29" i="6"/>
  <c r="I29" i="6" s="1"/>
  <c r="H28" i="6"/>
  <c r="F28" i="6"/>
  <c r="I28" i="6" s="1"/>
  <c r="I27" i="6"/>
  <c r="H27" i="6"/>
  <c r="F27" i="6"/>
  <c r="I26" i="6"/>
  <c r="H26" i="6"/>
  <c r="F26" i="6"/>
  <c r="H25" i="6"/>
  <c r="F25" i="6"/>
  <c r="I25" i="6" s="1"/>
  <c r="H24" i="6"/>
  <c r="F24" i="6"/>
  <c r="I24" i="6" s="1"/>
  <c r="I23" i="6"/>
  <c r="H23" i="6"/>
  <c r="F23" i="6"/>
  <c r="I22" i="6"/>
  <c r="H22" i="6"/>
  <c r="F22" i="6"/>
  <c r="I21" i="6"/>
  <c r="H21" i="6"/>
  <c r="F21" i="6"/>
  <c r="H20" i="6"/>
  <c r="F20" i="6"/>
  <c r="I20" i="6" s="1"/>
  <c r="I19" i="6"/>
  <c r="H19" i="6"/>
  <c r="F19" i="6"/>
  <c r="L18" i="6"/>
  <c r="L19" i="6" s="1"/>
  <c r="L20" i="6" s="1"/>
  <c r="I18" i="6"/>
  <c r="H18" i="6"/>
  <c r="F18" i="6"/>
  <c r="I17" i="6"/>
  <c r="H17" i="6"/>
  <c r="I16" i="6"/>
  <c r="F16" i="6"/>
  <c r="G15" i="6"/>
  <c r="F15" i="6"/>
  <c r="G14" i="6"/>
  <c r="F14" i="6"/>
  <c r="G13" i="6"/>
  <c r="I13" i="6" s="1"/>
  <c r="F13" i="6"/>
  <c r="G12" i="6"/>
  <c r="I12" i="6" s="1"/>
  <c r="F12" i="6"/>
  <c r="G11" i="6"/>
  <c r="I11" i="6" s="1"/>
  <c r="F11" i="6"/>
  <c r="G10" i="6"/>
  <c r="I10" i="6" s="1"/>
  <c r="F10" i="6"/>
  <c r="G9" i="6"/>
  <c r="I9" i="6" s="1"/>
  <c r="F9" i="6"/>
  <c r="G8" i="6"/>
  <c r="I8" i="6" s="1"/>
  <c r="F8" i="6"/>
  <c r="G7" i="6"/>
  <c r="I7" i="6" s="1"/>
  <c r="F7" i="6"/>
  <c r="G6" i="6"/>
  <c r="I6" i="6" s="1"/>
  <c r="F6" i="6"/>
  <c r="G5" i="6"/>
  <c r="I5" i="6" s="1"/>
  <c r="F5" i="6"/>
  <c r="G4" i="6"/>
  <c r="I4" i="6" s="1"/>
  <c r="F4" i="6"/>
  <c r="G3" i="6"/>
  <c r="I3" i="6" s="1"/>
  <c r="F3" i="6"/>
  <c r="G2" i="6"/>
  <c r="I2" i="6" s="1"/>
  <c r="F2" i="6"/>
  <c r="G14" i="5"/>
  <c r="H14" i="5" s="1"/>
  <c r="G15" i="5"/>
  <c r="H15" i="5" s="1"/>
  <c r="G16" i="5"/>
  <c r="H16" i="5" s="1"/>
  <c r="H17" i="5"/>
  <c r="H31" i="5"/>
  <c r="F31" i="5"/>
  <c r="I31" i="5" s="1"/>
  <c r="H30" i="5"/>
  <c r="F30" i="5"/>
  <c r="I30" i="5" s="1"/>
  <c r="H29" i="5"/>
  <c r="F29" i="5"/>
  <c r="I29" i="5" s="1"/>
  <c r="I28" i="5"/>
  <c r="H28" i="5"/>
  <c r="F28" i="5"/>
  <c r="H27" i="5"/>
  <c r="F27" i="5"/>
  <c r="I27" i="5" s="1"/>
  <c r="H26" i="5"/>
  <c r="F26" i="5"/>
  <c r="I26" i="5" s="1"/>
  <c r="I25" i="5"/>
  <c r="H25" i="5"/>
  <c r="F25" i="5"/>
  <c r="I24" i="5"/>
  <c r="H24" i="5"/>
  <c r="F24" i="5"/>
  <c r="H23" i="5"/>
  <c r="F23" i="5"/>
  <c r="I23" i="5" s="1"/>
  <c r="H22" i="5"/>
  <c r="F22" i="5"/>
  <c r="I22" i="5" s="1"/>
  <c r="H21" i="5"/>
  <c r="F21" i="5"/>
  <c r="I21" i="5" s="1"/>
  <c r="I20" i="5"/>
  <c r="H20" i="5"/>
  <c r="F20" i="5"/>
  <c r="H19" i="5"/>
  <c r="F19" i="5"/>
  <c r="I19" i="5" s="1"/>
  <c r="L18" i="5"/>
  <c r="L19" i="5" s="1"/>
  <c r="L20" i="5" s="1"/>
  <c r="H18" i="5"/>
  <c r="F18" i="5"/>
  <c r="I18" i="5" s="1"/>
  <c r="F16" i="5"/>
  <c r="F15" i="5"/>
  <c r="F14" i="5"/>
  <c r="G13" i="5"/>
  <c r="F13" i="5"/>
  <c r="G12" i="5"/>
  <c r="F12" i="5"/>
  <c r="G11" i="5"/>
  <c r="F11" i="5"/>
  <c r="G10" i="5"/>
  <c r="I10" i="5" s="1"/>
  <c r="F10" i="5"/>
  <c r="G9" i="5"/>
  <c r="I9" i="5" s="1"/>
  <c r="F9" i="5"/>
  <c r="G8" i="5"/>
  <c r="I8" i="5" s="1"/>
  <c r="F8" i="5"/>
  <c r="G7" i="5"/>
  <c r="I7" i="5" s="1"/>
  <c r="F7" i="5"/>
  <c r="G6" i="5"/>
  <c r="H6" i="5" s="1"/>
  <c r="F6" i="5"/>
  <c r="G5" i="5"/>
  <c r="F5" i="5"/>
  <c r="G4" i="5"/>
  <c r="I4" i="5" s="1"/>
  <c r="F4" i="5"/>
  <c r="G3" i="5"/>
  <c r="I3" i="5" s="1"/>
  <c r="F3" i="5"/>
  <c r="G2" i="5"/>
  <c r="I2" i="5" s="1"/>
  <c r="F2" i="5"/>
  <c r="G11" i="4"/>
  <c r="G12" i="4"/>
  <c r="G13" i="4"/>
  <c r="I16" i="7" l="1"/>
  <c r="H17" i="7"/>
  <c r="H2" i="7"/>
  <c r="H5" i="7"/>
  <c r="H8" i="7"/>
  <c r="H11" i="7"/>
  <c r="H14" i="7"/>
  <c r="H3" i="7"/>
  <c r="H9" i="7"/>
  <c r="H15" i="7"/>
  <c r="I6" i="7"/>
  <c r="L31" i="7" s="1"/>
  <c r="I12" i="7"/>
  <c r="H4" i="7"/>
  <c r="H7" i="7"/>
  <c r="H10" i="7"/>
  <c r="H13" i="7"/>
  <c r="L23" i="6"/>
  <c r="I15" i="6"/>
  <c r="I14" i="6"/>
  <c r="L31" i="6"/>
  <c r="H2" i="6"/>
  <c r="H5" i="6"/>
  <c r="H8" i="6"/>
  <c r="H11" i="6"/>
  <c r="H14" i="6"/>
  <c r="H3" i="6"/>
  <c r="H6" i="6"/>
  <c r="H9" i="6"/>
  <c r="H12" i="6"/>
  <c r="H15" i="6"/>
  <c r="H4" i="6"/>
  <c r="H7" i="6"/>
  <c r="H10" i="6"/>
  <c r="H13" i="6"/>
  <c r="H16" i="6"/>
  <c r="I5" i="5"/>
  <c r="I13" i="5"/>
  <c r="I12" i="5"/>
  <c r="I11" i="5"/>
  <c r="I17" i="5"/>
  <c r="I15" i="5"/>
  <c r="I14" i="5"/>
  <c r="I16" i="5"/>
  <c r="L23" i="5"/>
  <c r="H2" i="5"/>
  <c r="H5" i="5"/>
  <c r="H8" i="5"/>
  <c r="H11" i="5"/>
  <c r="H3" i="5"/>
  <c r="H12" i="5"/>
  <c r="H9" i="5"/>
  <c r="I6" i="5"/>
  <c r="H4" i="5"/>
  <c r="H7" i="5"/>
  <c r="H10" i="5"/>
  <c r="H13" i="5"/>
  <c r="F2" i="4"/>
  <c r="L30" i="7" l="1"/>
  <c r="L30" i="6"/>
  <c r="L31" i="5"/>
  <c r="L30" i="5"/>
  <c r="F3" i="4"/>
  <c r="F4" i="4"/>
  <c r="I62" i="3"/>
  <c r="G120" i="3"/>
  <c r="I120" i="3"/>
  <c r="H120" i="3"/>
  <c r="F120" i="3"/>
  <c r="I51" i="3"/>
  <c r="H51" i="3"/>
  <c r="G51" i="3"/>
  <c r="F51" i="3"/>
  <c r="G3" i="4" l="1"/>
  <c r="G4" i="4"/>
  <c r="H4" i="4" s="1"/>
  <c r="G5" i="4"/>
  <c r="H5" i="4" s="1"/>
  <c r="G6" i="4"/>
  <c r="H6" i="4" s="1"/>
  <c r="G7" i="4"/>
  <c r="H7" i="4" s="1"/>
  <c r="G8" i="4"/>
  <c r="H8" i="4" s="1"/>
  <c r="G9" i="4"/>
  <c r="G10" i="4"/>
  <c r="H12" i="4"/>
  <c r="H13" i="4"/>
  <c r="H14" i="4"/>
  <c r="H15" i="4"/>
  <c r="H16" i="4"/>
  <c r="H20" i="4"/>
  <c r="H21" i="4"/>
  <c r="H22" i="4"/>
  <c r="H23" i="4"/>
  <c r="H28" i="4"/>
  <c r="H29" i="4"/>
  <c r="H30" i="4"/>
  <c r="H31"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6" i="4"/>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<sst xmlns="http://schemas.openxmlformats.org/spreadsheetml/2006/main" count="771" uniqueCount="424">
  <si>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</si>
  <si>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</si>
  <si>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</si>
  <si>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</si>
  <si>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</si>
  <si>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</si>
  <si>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</si>
  <si>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</si>
  <si>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</si>
  <si>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</si>
  <si>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</si>
  <si>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</si>
  <si>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</si>
  <si>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</si>
  <si>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</si>
  <si>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</si>
  <si>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</si>
  <si>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</si>
  <si>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</si>
  <si>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</si>
  <si>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</si>
  <si>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</si>
  <si>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</si>
  <si>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</si>
  <si>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</si>
  <si>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</si>
  <si>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</si>
  <si>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</si>
  <si>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</si>
  <si>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</si>
  <si>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</si>
  <si>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</si>
  <si>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</si>
  <si>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</si>
  <si>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</si>
  <si>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</si>
  <si>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</si>
  <si>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</si>
  <si>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</si>
  <si>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</si>
  <si>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</si>
  <si>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</si>
  <si>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</si>
  <si>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</si>
  <si>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</si>
  <si>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</si>
  <si>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</si>
  <si>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</si>
  <si>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</si>
  <si>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</si>
  <si>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</si>
  <si>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</si>
  <si>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</si>
  <si>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</si>
  <si>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</si>
  <si>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</si>
  <si>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</si>
  <si>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</si>
  <si>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</si>
  <si>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</si>
  <si>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</si>
  <si>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</si>
  <si>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</si>
  <si>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</si>
  <si>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</si>
  <si>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</si>
  <si>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</si>
  <si>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</si>
  <si>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</si>
  <si>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</si>
  <si>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</si>
  <si>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</si>
  <si>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</si>
  <si>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</si>
  <si>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</si>
  <si>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</si>
  <si>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</si>
  <si>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</si>
  <si>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</si>
  <si>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</si>
  <si>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</si>
  <si>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</si>
  <si>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</si>
  <si>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</si>
  <si>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</si>
  <si>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</si>
  <si>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</si>
  <si>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</si>
  <si>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</si>
  <si>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</si>
  <si>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</si>
  <si>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</si>
  <si>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</si>
  <si>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</si>
  <si>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</si>
  <si>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</si>
  <si>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</si>
  <si>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</si>
  <si>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</si>
  <si>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</si>
  <si>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</si>
  <si>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</si>
  <si>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</si>
  <si>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</si>
  <si>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</si>
  <si>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</si>
  <si>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</si>
  <si>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</si>
  <si>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</si>
  <si>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</si>
  <si>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</si>
  <si>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</si>
  <si>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</si>
  <si>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</si>
  <si>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</si>
  <si>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</si>
  <si>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</si>
  <si>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</si>
  <si>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</si>
  <si>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</si>
  <si>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</si>
  <si>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</si>
  <si>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</si>
  <si>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</si>
  <si>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</si>
  <si>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</si>
  <si>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</si>
  <si>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</si>
  <si>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</si>
  <si>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</si>
  <si>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</si>
  <si>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</si>
  <si>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</si>
  <si>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</si>
  <si>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</si>
  <si>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</si>
  <si>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</si>
  <si>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</si>
  <si>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</si>
  <si>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</si>
  <si>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</si>
  <si>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</si>
  <si>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</si>
  <si>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</si>
  <si>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</si>
  <si>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</si>
  <si>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</si>
  <si>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</si>
  <si>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</si>
  <si>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</si>
  <si>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</si>
  <si>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</si>
  <si>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</si>
  <si>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</si>
  <si>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</si>
  <si>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</si>
  <si>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</si>
  <si>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</si>
  <si>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</si>
  <si>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</si>
  <si>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</si>
  <si>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</si>
  <si>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</si>
  <si>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</si>
  <si>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</si>
  <si>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</si>
  <si>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</si>
  <si>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</si>
  <si>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</si>
  <si>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</si>
  <si>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</si>
  <si>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</si>
  <si>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</si>
  <si>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</si>
  <si>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</si>
  <si>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</si>
  <si>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</si>
  <si>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</si>
  <si>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</si>
  <si>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</si>
  <si>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</si>
  <si>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</si>
  <si>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</si>
  <si>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</si>
  <si>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</si>
  <si>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</si>
  <si>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</si>
  <si>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</si>
  <si>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</si>
  <si>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</si>
  <si>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</si>
  <si>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</si>
  <si>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</si>
  <si>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</si>
  <si>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</si>
  <si>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</si>
  <si>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</si>
  <si>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</si>
  <si>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</si>
  <si>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</si>
  <si>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</si>
  <si>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</si>
  <si>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</si>
  <si>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</si>
  <si>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</si>
  <si>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</si>
  <si>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</si>
  <si>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</si>
  <si>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</si>
  <si>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</si>
  <si>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</si>
  <si>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</si>
  <si>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</si>
  <si>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</si>
  <si>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</si>
  <si>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</si>
  <si>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</si>
  <si>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</si>
  <si>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</si>
  <si>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</si>
  <si>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</si>
  <si>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</si>
  <si>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</si>
  <si>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</si>
  <si>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</si>
  <si>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</si>
  <si>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</si>
  <si>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</si>
  <si>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</si>
  <si>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</si>
  <si>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</si>
  <si>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</si>
  <si>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</si>
  <si>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</si>
  <si>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</si>
  <si>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</si>
  <si>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</si>
  <si>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</si>
  <si>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</si>
  <si>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</si>
  <si>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</si>
  <si>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</si>
  <si>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</si>
  <si>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</si>
  <si>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</si>
  <si>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</si>
  <si>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</si>
  <si>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</si>
  <si>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</si>
  <si>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</si>
  <si>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</si>
  <si>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</si>
  <si>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</si>
  <si>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</si>
  <si>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</si>
  <si>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</si>
  <si>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</si>
  <si>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</si>
  <si>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</si>
  <si>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</si>
  <si>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</si>
  <si>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</si>
  <si>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</si>
  <si>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</si>
  <si>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</si>
  <si>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</si>
  <si>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</si>
  <si>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</si>
  <si>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</si>
  <si>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</si>
  <si>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</si>
  <si>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</si>
  <si>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</si>
  <si>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</si>
  <si>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</si>
  <si>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</si>
  <si>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</si>
  <si>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</si>
  <si>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</si>
  <si>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</si>
  <si>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</si>
  <si>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</si>
  <si>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</si>
  <si>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</si>
  <si>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</si>
  <si>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</si>
  <si>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</si>
  <si>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</si>
  <si>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</si>
  <si>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</si>
  <si>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</si>
  <si>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</si>
  <si>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</si>
  <si>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</si>
  <si>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</si>
  <si>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</si>
  <si>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</si>
  <si>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</si>
  <si>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</si>
  <si>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</si>
  <si>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</si>
  <si>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</si>
  <si>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</si>
  <si>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</si>
  <si>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</si>
  <si>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</si>
  <si>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</si>
  <si>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</si>
  <si>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</si>
  <si>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</si>
  <si>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</si>
  <si>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</si>
  <si>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</si>
  <si>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</si>
  <si>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</si>
  <si>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</si>
  <si>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</si>
  <si>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</si>
  <si>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</si>
  <si>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</si>
  <si>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</si>
  <si>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</si>
  <si>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</si>
  <si>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</si>
  <si>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</si>
  <si>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</si>
  <si>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</si>
  <si>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</si>
  <si>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</si>
  <si>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</si>
  <si>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</si>
  <si>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</si>
  <si>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</si>
  <si>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</si>
  <si>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</si>
  <si>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</si>
  <si>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</si>
  <si>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</si>
  <si>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</si>
  <si>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</si>
  <si>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</si>
  <si>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</si>
  <si>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</si>
  <si>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</si>
  <si>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</si>
  <si>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</si>
  <si>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</si>
  <si>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</si>
  <si>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</si>
  <si>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</si>
  <si>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</si>
  <si>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</si>
  <si>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</si>
  <si>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</si>
  <si>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</si>
  <si>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</si>
  <si>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</si>
  <si>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</si>
  <si>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</si>
  <si>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</si>
  <si>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</si>
  <si>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</si>
  <si>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</si>
  <si>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</si>
  <si>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</si>
  <si>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</si>
  <si>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</si>
  <si>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</si>
  <si>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</si>
  <si>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</si>
  <si>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</si>
  <si>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</si>
  <si>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</si>
  <si>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</si>
  <si>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</si>
  <si>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</si>
  <si>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</si>
  <si>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</si>
  <si>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</si>
  <si>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</si>
  <si>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</si>
  <si>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</si>
  <si>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</si>
  <si>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</si>
  <si>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</si>
  <si>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</si>
  <si>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</si>
  <si>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</si>
  <si>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</si>
  <si>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</si>
  <si>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</si>
  <si>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</si>
  <si>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</si>
  <si>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</si>
  <si>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</si>
  <si>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</si>
  <si>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</si>
  <si>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</si>
  <si>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</si>
  <si>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</si>
  <si>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</si>
  <si>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</si>
  <si>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</si>
  <si>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향부자</t>
    <phoneticPr fontId="5" type="noConversion"/>
  </si>
  <si>
    <t>오약</t>
    <phoneticPr fontId="5" type="noConversion"/>
  </si>
  <si>
    <t>소목</t>
    <phoneticPr fontId="5" type="noConversion"/>
  </si>
  <si>
    <t>육계</t>
    <phoneticPr fontId="5" type="noConversion"/>
  </si>
  <si>
    <t>홍화</t>
    <phoneticPr fontId="5" type="noConversion"/>
  </si>
  <si>
    <t>백작약</t>
    <phoneticPr fontId="5" type="noConversion"/>
  </si>
  <si>
    <t>당귀1</t>
    <phoneticPr fontId="5" type="noConversion"/>
  </si>
  <si>
    <t>청피</t>
    <phoneticPr fontId="5" type="noConversion"/>
  </si>
  <si>
    <t>도인</t>
    <phoneticPr fontId="5" type="noConversion"/>
  </si>
  <si>
    <t>백개자</t>
    <phoneticPr fontId="5" type="noConversion"/>
  </si>
  <si>
    <t>현호색</t>
    <phoneticPr fontId="5" type="noConversion"/>
  </si>
  <si>
    <t>천궁1</t>
    <phoneticPr fontId="5" type="noConversion"/>
  </si>
  <si>
    <t>당귀수산</t>
    <phoneticPr fontId="5" type="noConversion"/>
  </si>
  <si>
    <t>상비약</t>
    <phoneticPr fontId="5" type="noConversion"/>
  </si>
  <si>
    <t>주수상반 (담금주 30도 1.2L)</t>
    <phoneticPr fontId="5" type="noConversion"/>
  </si>
  <si>
    <t>당귀수산+평위산</t>
    <phoneticPr fontId="5" type="noConversion"/>
  </si>
  <si>
    <t>후박</t>
    <phoneticPr fontId="5" type="noConversion"/>
  </si>
  <si>
    <t>감초</t>
    <phoneticPr fontId="5" type="noConversion"/>
  </si>
  <si>
    <t>창출1</t>
    <phoneticPr fontId="5" type="noConversion"/>
  </si>
  <si>
    <t>진피1</t>
    <phoneticPr fontId="5" type="noConversion"/>
  </si>
  <si>
    <t>우슬</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</si>
</sst>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11"/>
      <color theme="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8">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xf numFmtId="42" fontId="14" fillId="0" borderId="0" applyFont="0" applyFill="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176" fontId="0" fillId="0" borderId="0" xfId="7" applyNumberFormat="1" applyFo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8">
    <cellStyle name="나쁨" xfId="2" builtinId="27"/>
    <cellStyle name="보통 2" xfId="6" xr:uid="{6F7258C2-7D2E-4BF7-A343-0244E78BBB3C}"/>
    <cellStyle name="셀 확인" xfId="4" builtinId="23"/>
    <cellStyle name="입력" xfId="3" builtinId="20"/>
    <cellStyle name="좋음" xfId="1" builtinId="26"/>
    <cellStyle name="통화 [0]" xfId="7" builtinId="7"/>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2D2AE-8156-4496-8B90-C65BAD0367AB}">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409</v>
      </c>
      <c r="D2" s="4"/>
      <c r="E2" s="95">
        <v>8</v>
      </c>
      <c r="F2" s="108">
        <f t="shared" ref="F2:F31" si="0">E2*$L$15</f>
        <v>160</v>
      </c>
      <c r="G2">
        <f>VLOOKUP($C2,약재관리!A:J,10,FALSE)</f>
        <v>25</v>
      </c>
      <c r="H2" s="5">
        <f>G2*E2</f>
        <v>200</v>
      </c>
      <c r="I2" s="97">
        <f>G2*F2</f>
        <v>4000</v>
      </c>
      <c r="K2" s="7" t="s">
        <v>9</v>
      </c>
      <c r="L2" s="161">
        <v>31</v>
      </c>
      <c r="M2" s="162"/>
    </row>
    <row r="3" spans="2:13">
      <c r="B3" s="3">
        <v>2</v>
      </c>
      <c r="C3" t="s">
        <v>403</v>
      </c>
      <c r="D3" s="4"/>
      <c r="E3" s="95">
        <v>6</v>
      </c>
      <c r="F3" s="108">
        <f t="shared" si="0"/>
        <v>120</v>
      </c>
      <c r="G3">
        <f>VLOOKUP($C3,약재관리!A:J,10,FALSE)</f>
        <v>14.4</v>
      </c>
      <c r="H3" s="5">
        <f t="shared" ref="H3:H31" si="1">G3*E3</f>
        <v>86.4</v>
      </c>
      <c r="I3" s="6">
        <f t="shared" ref="I3:I31" si="2">G3*F3</f>
        <v>1728</v>
      </c>
      <c r="K3" s="8" t="s">
        <v>10</v>
      </c>
      <c r="L3" s="163" t="s">
        <v>418</v>
      </c>
      <c r="M3" s="164"/>
    </row>
    <row r="4" spans="2:13">
      <c r="B4" s="3">
        <v>3</v>
      </c>
      <c r="C4" t="s">
        <v>404</v>
      </c>
      <c r="D4" s="4"/>
      <c r="E4" s="95">
        <v>6</v>
      </c>
      <c r="F4" s="108">
        <f t="shared" si="0"/>
        <v>120</v>
      </c>
      <c r="G4">
        <f>VLOOKUP($C4,약재관리!A:J,10,FALSE)</f>
        <v>9.1999999999999993</v>
      </c>
      <c r="H4" s="5">
        <f t="shared" si="1"/>
        <v>55.199999999999996</v>
      </c>
      <c r="I4" s="6">
        <f t="shared" si="2"/>
        <v>1104</v>
      </c>
      <c r="K4" s="8" t="s">
        <v>11</v>
      </c>
      <c r="L4" s="165">
        <v>45771</v>
      </c>
      <c r="M4" s="164"/>
    </row>
    <row r="5" spans="2:13">
      <c r="B5" s="3">
        <v>4</v>
      </c>
      <c r="C5" t="s">
        <v>405</v>
      </c>
      <c r="D5" s="4"/>
      <c r="E5" s="95">
        <v>6</v>
      </c>
      <c r="F5" s="108">
        <f t="shared" si="0"/>
        <v>120</v>
      </c>
      <c r="G5">
        <f>VLOOKUP($C5,약재관리!A:J,10,FALSE)</f>
        <v>6.2</v>
      </c>
      <c r="H5" s="5">
        <f t="shared" si="1"/>
        <v>37.200000000000003</v>
      </c>
      <c r="I5" s="6">
        <f t="shared" si="2"/>
        <v>744</v>
      </c>
      <c r="K5" s="8" t="s">
        <v>12</v>
      </c>
      <c r="L5" s="163" t="s">
        <v>416</v>
      </c>
      <c r="M5" s="164"/>
    </row>
    <row r="6" spans="2:13">
      <c r="B6" s="3">
        <v>5</v>
      </c>
      <c r="C6" t="s">
        <v>408</v>
      </c>
      <c r="D6" s="4"/>
      <c r="E6" s="95">
        <v>6</v>
      </c>
      <c r="F6" s="108">
        <f t="shared" si="0"/>
        <v>120</v>
      </c>
      <c r="G6">
        <f>VLOOKUP($C6,약재관리!A:J,10,FALSE)</f>
        <v>19.600000000000001</v>
      </c>
      <c r="H6" s="5">
        <f t="shared" si="1"/>
        <v>117.60000000000001</v>
      </c>
      <c r="I6" s="6">
        <f t="shared" si="2"/>
        <v>2352</v>
      </c>
      <c r="K6" s="8" t="s">
        <v>13</v>
      </c>
      <c r="L6" s="163"/>
      <c r="M6" s="164"/>
    </row>
    <row r="7" spans="2:13" ht="17.25" thickBot="1">
      <c r="B7" s="3">
        <v>6</v>
      </c>
      <c r="C7" t="s">
        <v>406</v>
      </c>
      <c r="D7" s="4"/>
      <c r="E7" s="95">
        <v>3</v>
      </c>
      <c r="F7" s="108">
        <f t="shared" si="0"/>
        <v>60</v>
      </c>
      <c r="G7">
        <f>VLOOKUP($C7,약재관리!A:J,10,FALSE)</f>
        <v>14.8</v>
      </c>
      <c r="H7" s="5">
        <f t="shared" si="1"/>
        <v>44.400000000000006</v>
      </c>
      <c r="I7" s="6">
        <f t="shared" si="2"/>
        <v>888</v>
      </c>
      <c r="K7" s="8" t="s">
        <v>14</v>
      </c>
      <c r="L7" s="147"/>
      <c r="M7" s="148"/>
    </row>
    <row r="8" spans="2:13" ht="17.25" thickBot="1">
      <c r="B8" s="3">
        <v>7</v>
      </c>
      <c r="C8" t="s">
        <v>407</v>
      </c>
      <c r="D8" s="4"/>
      <c r="E8" s="95">
        <v>3</v>
      </c>
      <c r="F8" s="108">
        <f t="shared" si="0"/>
        <v>60</v>
      </c>
      <c r="G8">
        <f>VLOOKUP($C8,약재관리!A:J,10,FALSE)</f>
        <v>44.2</v>
      </c>
      <c r="H8" s="5">
        <f t="shared" si="1"/>
        <v>132.60000000000002</v>
      </c>
      <c r="I8" s="6">
        <f t="shared" si="2"/>
        <v>2652</v>
      </c>
      <c r="K8" s="149" t="s">
        <v>15</v>
      </c>
      <c r="L8" s="150"/>
      <c r="M8" s="151"/>
    </row>
    <row r="9" spans="2:13">
      <c r="B9" s="3">
        <v>8</v>
      </c>
      <c r="C9" t="s">
        <v>414</v>
      </c>
      <c r="D9" s="4"/>
      <c r="E9" s="95">
        <v>3</v>
      </c>
      <c r="F9" s="108">
        <f t="shared" si="0"/>
        <v>60</v>
      </c>
      <c r="G9">
        <f>VLOOKUP($C9,약재관리!A:J,10,FALSE)</f>
        <v>10.8</v>
      </c>
      <c r="H9" s="5">
        <f t="shared" si="1"/>
        <v>32.400000000000006</v>
      </c>
      <c r="I9" s="6">
        <f t="shared" si="2"/>
        <v>648</v>
      </c>
      <c r="K9" s="152" t="s">
        <v>417</v>
      </c>
      <c r="L9" s="153"/>
      <c r="M9" s="154"/>
    </row>
    <row r="10" spans="2:13">
      <c r="B10" s="3">
        <v>9</v>
      </c>
      <c r="C10" t="s">
        <v>411</v>
      </c>
      <c r="D10" s="4"/>
      <c r="E10" s="95">
        <v>3</v>
      </c>
      <c r="F10" s="108">
        <f t="shared" si="0"/>
        <v>60</v>
      </c>
      <c r="G10">
        <f>VLOOKUP($C10,약재관리!A:J,10,FALSE)</f>
        <v>13.3</v>
      </c>
      <c r="H10" s="5">
        <f t="shared" si="1"/>
        <v>39.900000000000006</v>
      </c>
      <c r="I10" s="6">
        <f t="shared" si="2"/>
        <v>798</v>
      </c>
      <c r="K10" s="155"/>
      <c r="L10" s="156"/>
      <c r="M10" s="157"/>
    </row>
    <row r="11" spans="2:13">
      <c r="B11" s="3">
        <v>10</v>
      </c>
      <c r="C11" t="s">
        <v>412</v>
      </c>
      <c r="D11" s="4"/>
      <c r="E11" s="95">
        <v>2</v>
      </c>
      <c r="F11" s="108">
        <f t="shared" si="0"/>
        <v>40</v>
      </c>
      <c r="G11">
        <f>VLOOKUP($C11,약재관리!A:J,10,FALSE)</f>
        <v>7.2</v>
      </c>
      <c r="H11" s="5">
        <f t="shared" si="1"/>
        <v>14.4</v>
      </c>
      <c r="I11" s="6">
        <f t="shared" si="2"/>
        <v>288</v>
      </c>
      <c r="K11" s="155"/>
      <c r="L11" s="156"/>
      <c r="M11" s="157"/>
    </row>
    <row r="12" spans="2:13">
      <c r="B12" s="3">
        <v>11</v>
      </c>
      <c r="C12" t="s">
        <v>413</v>
      </c>
      <c r="D12" s="4"/>
      <c r="E12" s="95">
        <v>4</v>
      </c>
      <c r="F12" s="108">
        <f t="shared" si="0"/>
        <v>80</v>
      </c>
      <c r="G12">
        <f>VLOOKUP($C12,약재관리!A:J,10,FALSE)</f>
        <v>46.7</v>
      </c>
      <c r="H12" s="5">
        <f t="shared" si="1"/>
        <v>186.8</v>
      </c>
      <c r="I12" s="6">
        <f t="shared" si="2"/>
        <v>3736</v>
      </c>
      <c r="K12" s="155"/>
      <c r="L12" s="156"/>
      <c r="M12" s="157"/>
    </row>
    <row r="13" spans="2:13" ht="17.25" thickBot="1">
      <c r="B13" s="3">
        <v>12</v>
      </c>
      <c r="C13" t="s">
        <v>421</v>
      </c>
      <c r="D13" s="4"/>
      <c r="E13" s="95">
        <v>4</v>
      </c>
      <c r="F13" s="108">
        <f t="shared" si="0"/>
        <v>80</v>
      </c>
      <c r="G13">
        <f>VLOOKUP($C13,약재관리!A:J,10,FALSE)</f>
        <v>24</v>
      </c>
      <c r="H13" s="5">
        <f t="shared" si="1"/>
        <v>96</v>
      </c>
      <c r="I13" s="6">
        <f t="shared" si="2"/>
        <v>1920</v>
      </c>
      <c r="K13" s="158"/>
      <c r="L13" s="159"/>
      <c r="M13" s="160"/>
    </row>
    <row r="14" spans="2:13">
      <c r="B14" s="3">
        <v>13</v>
      </c>
      <c r="C14" t="s">
        <v>419</v>
      </c>
      <c r="D14" s="4"/>
      <c r="E14" s="95">
        <v>3</v>
      </c>
      <c r="F14" s="108">
        <f t="shared" si="0"/>
        <v>60</v>
      </c>
      <c r="G14">
        <f>VLOOKUP($C14,약재관리!A:J,10,FALSE)</f>
        <v>8.8000000000000007</v>
      </c>
      <c r="H14" s="5">
        <f t="shared" si="1"/>
        <v>26.400000000000002</v>
      </c>
      <c r="I14" s="6">
        <f t="shared" si="2"/>
        <v>528</v>
      </c>
      <c r="K14" s="99" t="s">
        <v>16</v>
      </c>
      <c r="L14" s="9">
        <v>15</v>
      </c>
      <c r="M14" s="10" t="s">
        <v>17</v>
      </c>
    </row>
    <row r="15" spans="2:13">
      <c r="B15" s="3">
        <v>14</v>
      </c>
      <c r="C15" t="s">
        <v>420</v>
      </c>
      <c r="D15" s="4"/>
      <c r="E15" s="95">
        <v>3</v>
      </c>
      <c r="F15" s="108">
        <f t="shared" si="0"/>
        <v>60</v>
      </c>
      <c r="G15">
        <f>VLOOKUP($C15,약재관리!A:J,10,FALSE)</f>
        <v>28.3</v>
      </c>
      <c r="H15" s="5">
        <f t="shared" si="1"/>
        <v>84.9</v>
      </c>
      <c r="I15" s="6">
        <f t="shared" si="2"/>
        <v>1698</v>
      </c>
      <c r="K15" s="98" t="s">
        <v>18</v>
      </c>
      <c r="L15">
        <v>20</v>
      </c>
      <c r="M15" s="4" t="s">
        <v>19</v>
      </c>
    </row>
    <row r="16" spans="2:13">
      <c r="B16" s="3">
        <v>15</v>
      </c>
      <c r="C16" t="s">
        <v>410</v>
      </c>
      <c r="D16" s="4"/>
      <c r="E16" s="95">
        <v>4</v>
      </c>
      <c r="F16" s="108">
        <f t="shared" si="0"/>
        <v>80</v>
      </c>
      <c r="G16">
        <f>VLOOKUP($C16,약재관리!A:J,10,FALSE)</f>
        <v>7.3</v>
      </c>
      <c r="H16" s="5">
        <f t="shared" si="1"/>
        <v>29.2</v>
      </c>
      <c r="I16" s="6">
        <f t="shared" si="2"/>
        <v>584</v>
      </c>
      <c r="K16" s="98" t="s">
        <v>20</v>
      </c>
      <c r="L16">
        <v>45</v>
      </c>
      <c r="M16" s="4" t="s">
        <v>21</v>
      </c>
    </row>
    <row r="17" spans="2:13" ht="17.25" thickBot="1">
      <c r="B17" s="3">
        <v>16</v>
      </c>
      <c r="C17" t="s">
        <v>423</v>
      </c>
      <c r="D17" s="4"/>
      <c r="E17" s="95">
        <v>4</v>
      </c>
      <c r="F17" s="108">
        <f t="shared" si="0"/>
        <v>80</v>
      </c>
      <c r="G17">
        <f>VLOOKUP($C17,약재관리!A:J,10,FALSE)</f>
        <v>17.7</v>
      </c>
      <c r="H17" s="5">
        <f t="shared" si="1"/>
        <v>70.8</v>
      </c>
      <c r="I17" s="6">
        <f t="shared" si="2"/>
        <v>1416</v>
      </c>
      <c r="K17" s="14" t="s">
        <v>22</v>
      </c>
      <c r="L17" s="11">
        <v>90</v>
      </c>
      <c r="M17" s="12" t="s">
        <v>23</v>
      </c>
    </row>
    <row r="18" spans="2:13">
      <c r="B18" s="3">
        <v>17</v>
      </c>
      <c r="D18" s="4"/>
      <c r="F18" s="108">
        <f t="shared" si="0"/>
        <v>0</v>
      </c>
      <c r="H18" s="5">
        <f t="shared" si="1"/>
        <v>0</v>
      </c>
      <c r="I18" s="6">
        <f t="shared" si="2"/>
        <v>0</v>
      </c>
      <c r="K18" s="99" t="s">
        <v>24</v>
      </c>
      <c r="L18" s="9">
        <f>SUM(E2:E31)</f>
        <v>68</v>
      </c>
      <c r="M18" s="10" t="s">
        <v>25</v>
      </c>
    </row>
    <row r="19" spans="2:13">
      <c r="B19" s="3">
        <v>18</v>
      </c>
      <c r="D19" s="4"/>
      <c r="F19" s="108">
        <f t="shared" si="0"/>
        <v>0</v>
      </c>
      <c r="H19" s="5">
        <f t="shared" si="1"/>
        <v>0</v>
      </c>
      <c r="I19" s="6">
        <f t="shared" si="2"/>
        <v>0</v>
      </c>
      <c r="K19" s="98" t="s">
        <v>26</v>
      </c>
      <c r="L19">
        <f>L15*L18</f>
        <v>1360</v>
      </c>
      <c r="M19" s="4" t="s">
        <v>25</v>
      </c>
    </row>
    <row r="20" spans="2:13" ht="17.25" thickBot="1">
      <c r="B20" s="3">
        <v>19</v>
      </c>
      <c r="D20" s="4"/>
      <c r="F20" s="108">
        <f t="shared" si="0"/>
        <v>0</v>
      </c>
      <c r="H20" s="5">
        <f t="shared" si="1"/>
        <v>0</v>
      </c>
      <c r="I20" s="6">
        <f t="shared" si="2"/>
        <v>0</v>
      </c>
      <c r="K20" s="14" t="s">
        <v>27</v>
      </c>
      <c r="L20" s="11">
        <f>L16*L17+L19</f>
        <v>5410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389</v>
      </c>
      <c r="L22" s="150"/>
      <c r="M22" s="151"/>
    </row>
    <row r="23" spans="2:13">
      <c r="B23" s="3">
        <v>22</v>
      </c>
      <c r="D23" s="4"/>
      <c r="F23" s="108">
        <f t="shared" si="0"/>
        <v>0</v>
      </c>
      <c r="H23" s="5">
        <f t="shared" si="1"/>
        <v>0</v>
      </c>
      <c r="I23" s="6">
        <f t="shared" si="2"/>
        <v>0</v>
      </c>
      <c r="K23" s="98" t="s">
        <v>383</v>
      </c>
      <c r="L23">
        <f>SUM(F2:F31)</f>
        <v>1360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388</v>
      </c>
      <c r="L29" s="150"/>
      <c r="M29" s="151"/>
    </row>
    <row r="30" spans="2:13">
      <c r="B30" s="3">
        <v>29</v>
      </c>
      <c r="D30" s="4"/>
      <c r="F30" s="108">
        <f t="shared" si="0"/>
        <v>0</v>
      </c>
      <c r="H30" s="5">
        <f t="shared" si="1"/>
        <v>0</v>
      </c>
      <c r="I30" s="6">
        <f t="shared" si="2"/>
        <v>0</v>
      </c>
      <c r="K30" s="98" t="s">
        <v>28</v>
      </c>
      <c r="L30" s="5">
        <f>SUM(H2:H31)</f>
        <v>1254.2</v>
      </c>
      <c r="M30" s="4" t="s">
        <v>387</v>
      </c>
    </row>
    <row r="31" spans="2:13" ht="17.25" thickBot="1">
      <c r="B31" s="13">
        <v>30</v>
      </c>
      <c r="C31" s="14"/>
      <c r="D31" s="12"/>
      <c r="E31" s="102"/>
      <c r="F31" s="109">
        <f t="shared" si="0"/>
        <v>0</v>
      </c>
      <c r="G31" s="14"/>
      <c r="H31" s="15">
        <f t="shared" si="1"/>
        <v>0</v>
      </c>
      <c r="I31" s="16">
        <f t="shared" si="2"/>
        <v>0</v>
      </c>
      <c r="K31" s="14" t="s">
        <v>386</v>
      </c>
      <c r="L31" s="15">
        <f>SUM(I2:I31)</f>
        <v>25084</v>
      </c>
      <c r="M31" s="12" t="s">
        <v>387</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EB85-22DB-41E2-8123-AAFC80972874}">
  <sheetPr>
    <pageSetUpPr fitToPage="1"/>
  </sheetPr>
  <dimension ref="B1:M31"/>
  <sheetViews>
    <sheetView workbookViewId="0">
      <selection activeCell="K29" sqref="K29:M29"/>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409</v>
      </c>
      <c r="D2" s="4"/>
      <c r="E2" s="95">
        <v>8</v>
      </c>
      <c r="F2" s="108">
        <f t="shared" ref="F2:F31" si="0">E2*$L$15</f>
        <v>160</v>
      </c>
      <c r="G2">
        <f>VLOOKUP($C2,약재관리!A:J,10,FALSE)</f>
        <v>25</v>
      </c>
      <c r="H2" s="5">
        <f>G2*E2</f>
        <v>200</v>
      </c>
      <c r="I2" s="97">
        <f>G2*F2</f>
        <v>4000</v>
      </c>
      <c r="K2" s="7" t="s">
        <v>9</v>
      </c>
      <c r="L2" s="161">
        <v>31</v>
      </c>
      <c r="M2" s="162"/>
    </row>
    <row r="3" spans="2:13">
      <c r="B3" s="3">
        <v>2</v>
      </c>
      <c r="C3" t="s">
        <v>403</v>
      </c>
      <c r="D3" s="4"/>
      <c r="E3" s="95">
        <v>6</v>
      </c>
      <c r="F3" s="108">
        <f t="shared" si="0"/>
        <v>120</v>
      </c>
      <c r="G3">
        <f>VLOOKUP($C3,약재관리!A:J,10,FALSE)</f>
        <v>14.4</v>
      </c>
      <c r="H3" s="5">
        <f t="shared" ref="H3:H31" si="1">G3*E3</f>
        <v>86.4</v>
      </c>
      <c r="I3" s="6">
        <f t="shared" ref="I3:I31" si="2">G3*F3</f>
        <v>1728</v>
      </c>
      <c r="K3" s="8" t="s">
        <v>10</v>
      </c>
      <c r="L3" s="163" t="s">
        <v>418</v>
      </c>
      <c r="M3" s="164"/>
    </row>
    <row r="4" spans="2:13">
      <c r="B4" s="3">
        <v>3</v>
      </c>
      <c r="C4" t="s">
        <v>404</v>
      </c>
      <c r="D4" s="4"/>
      <c r="E4" s="95">
        <v>6</v>
      </c>
      <c r="F4" s="108">
        <f t="shared" si="0"/>
        <v>120</v>
      </c>
      <c r="G4">
        <f>VLOOKUP($C4,약재관리!A:J,10,FALSE)</f>
        <v>9.1999999999999993</v>
      </c>
      <c r="H4" s="5">
        <f t="shared" si="1"/>
        <v>55.199999999999996</v>
      </c>
      <c r="I4" s="6">
        <f t="shared" si="2"/>
        <v>1104</v>
      </c>
      <c r="K4" s="8" t="s">
        <v>11</v>
      </c>
      <c r="L4" s="165">
        <v>45673</v>
      </c>
      <c r="M4" s="164"/>
    </row>
    <row r="5" spans="2:13">
      <c r="B5" s="3">
        <v>4</v>
      </c>
      <c r="C5" t="s">
        <v>405</v>
      </c>
      <c r="D5" s="4"/>
      <c r="E5" s="95">
        <v>6</v>
      </c>
      <c r="F5" s="108">
        <f t="shared" si="0"/>
        <v>120</v>
      </c>
      <c r="G5">
        <f>VLOOKUP($C5,약재관리!A:J,10,FALSE)</f>
        <v>6.2</v>
      </c>
      <c r="H5" s="5">
        <f t="shared" si="1"/>
        <v>37.200000000000003</v>
      </c>
      <c r="I5" s="6">
        <f t="shared" si="2"/>
        <v>744</v>
      </c>
      <c r="K5" s="8" t="s">
        <v>12</v>
      </c>
      <c r="L5" s="163" t="s">
        <v>416</v>
      </c>
      <c r="M5" s="164"/>
    </row>
    <row r="6" spans="2:13">
      <c r="B6" s="3">
        <v>5</v>
      </c>
      <c r="C6" t="s">
        <v>408</v>
      </c>
      <c r="D6" s="4"/>
      <c r="E6" s="95">
        <v>6</v>
      </c>
      <c r="F6" s="108">
        <f t="shared" si="0"/>
        <v>120</v>
      </c>
      <c r="G6">
        <f>VLOOKUP($C6,약재관리!A:J,10,FALSE)</f>
        <v>19.600000000000001</v>
      </c>
      <c r="H6" s="5">
        <f t="shared" si="1"/>
        <v>117.60000000000001</v>
      </c>
      <c r="I6" s="6">
        <f t="shared" si="2"/>
        <v>2352</v>
      </c>
      <c r="K6" s="8" t="s">
        <v>13</v>
      </c>
      <c r="L6" s="163"/>
      <c r="M6" s="164"/>
    </row>
    <row r="7" spans="2:13" ht="17.25" thickBot="1">
      <c r="B7" s="3">
        <v>6</v>
      </c>
      <c r="C7" t="s">
        <v>406</v>
      </c>
      <c r="D7" s="4"/>
      <c r="E7" s="95">
        <v>3</v>
      </c>
      <c r="F7" s="108">
        <f t="shared" si="0"/>
        <v>60</v>
      </c>
      <c r="G7">
        <f>VLOOKUP($C7,약재관리!A:J,10,FALSE)</f>
        <v>14.8</v>
      </c>
      <c r="H7" s="5">
        <f t="shared" si="1"/>
        <v>44.400000000000006</v>
      </c>
      <c r="I7" s="6">
        <f t="shared" si="2"/>
        <v>888</v>
      </c>
      <c r="K7" s="8" t="s">
        <v>14</v>
      </c>
      <c r="L7" s="147"/>
      <c r="M7" s="148"/>
    </row>
    <row r="8" spans="2:13" ht="17.25" thickBot="1">
      <c r="B8" s="3">
        <v>7</v>
      </c>
      <c r="C8" t="s">
        <v>407</v>
      </c>
      <c r="D8" s="4"/>
      <c r="E8" s="95">
        <v>3</v>
      </c>
      <c r="F8" s="108">
        <f t="shared" si="0"/>
        <v>60</v>
      </c>
      <c r="G8">
        <f>VLOOKUP($C8,약재관리!A:J,10,FALSE)</f>
        <v>44.2</v>
      </c>
      <c r="H8" s="5">
        <f t="shared" si="1"/>
        <v>132.60000000000002</v>
      </c>
      <c r="I8" s="6">
        <f t="shared" si="2"/>
        <v>2652</v>
      </c>
      <c r="K8" s="149" t="s">
        <v>15</v>
      </c>
      <c r="L8" s="150"/>
      <c r="M8" s="151"/>
    </row>
    <row r="9" spans="2:13">
      <c r="B9" s="3">
        <v>8</v>
      </c>
      <c r="C9" t="s">
        <v>414</v>
      </c>
      <c r="D9" s="4"/>
      <c r="E9" s="95">
        <v>3</v>
      </c>
      <c r="F9" s="108">
        <f t="shared" si="0"/>
        <v>60</v>
      </c>
      <c r="G9">
        <f>VLOOKUP($C9,약재관리!A:J,10,FALSE)</f>
        <v>10.8</v>
      </c>
      <c r="H9" s="5">
        <f t="shared" si="1"/>
        <v>32.400000000000006</v>
      </c>
      <c r="I9" s="6">
        <f t="shared" si="2"/>
        <v>648</v>
      </c>
      <c r="K9" s="152" t="s">
        <v>417</v>
      </c>
      <c r="L9" s="153"/>
      <c r="M9" s="154"/>
    </row>
    <row r="10" spans="2:13">
      <c r="B10" s="3">
        <v>9</v>
      </c>
      <c r="C10" t="s">
        <v>411</v>
      </c>
      <c r="D10" s="4"/>
      <c r="E10" s="95">
        <v>3</v>
      </c>
      <c r="F10" s="108">
        <f t="shared" si="0"/>
        <v>60</v>
      </c>
      <c r="G10">
        <f>VLOOKUP($C10,약재관리!A:J,10,FALSE)</f>
        <v>13.3</v>
      </c>
      <c r="H10" s="5">
        <f t="shared" si="1"/>
        <v>39.900000000000006</v>
      </c>
      <c r="I10" s="6">
        <f t="shared" si="2"/>
        <v>798</v>
      </c>
      <c r="K10" s="155"/>
      <c r="L10" s="156"/>
      <c r="M10" s="157"/>
    </row>
    <row r="11" spans="2:13">
      <c r="B11" s="3">
        <v>10</v>
      </c>
      <c r="C11" t="s">
        <v>412</v>
      </c>
      <c r="D11" s="4"/>
      <c r="E11" s="95">
        <v>2</v>
      </c>
      <c r="F11" s="108">
        <f t="shared" si="0"/>
        <v>40</v>
      </c>
      <c r="G11">
        <f>VLOOKUP($C11,약재관리!A:J,10,FALSE)</f>
        <v>7.2</v>
      </c>
      <c r="H11" s="5">
        <f t="shared" si="1"/>
        <v>14.4</v>
      </c>
      <c r="I11" s="6">
        <f t="shared" si="2"/>
        <v>288</v>
      </c>
      <c r="K11" s="155"/>
      <c r="L11" s="156"/>
      <c r="M11" s="157"/>
    </row>
    <row r="12" spans="2:13">
      <c r="B12" s="3">
        <v>11</v>
      </c>
      <c r="C12" t="s">
        <v>413</v>
      </c>
      <c r="D12" s="4"/>
      <c r="E12" s="95">
        <v>4</v>
      </c>
      <c r="F12" s="108">
        <f t="shared" si="0"/>
        <v>80</v>
      </c>
      <c r="G12">
        <f>VLOOKUP($C12,약재관리!A:J,10,FALSE)</f>
        <v>46.7</v>
      </c>
      <c r="H12" s="5">
        <f t="shared" si="1"/>
        <v>186.8</v>
      </c>
      <c r="I12" s="6">
        <f t="shared" si="2"/>
        <v>3736</v>
      </c>
      <c r="K12" s="155"/>
      <c r="L12" s="156"/>
      <c r="M12" s="157"/>
    </row>
    <row r="13" spans="2:13" ht="17.25" thickBot="1">
      <c r="B13" s="3">
        <v>12</v>
      </c>
      <c r="C13" t="s">
        <v>421</v>
      </c>
      <c r="D13" s="4"/>
      <c r="E13" s="95">
        <v>4</v>
      </c>
      <c r="F13" s="108">
        <f t="shared" si="0"/>
        <v>80</v>
      </c>
      <c r="G13">
        <f>VLOOKUP($C13,약재관리!A:J,10,FALSE)</f>
        <v>24</v>
      </c>
      <c r="H13" s="5">
        <f t="shared" si="1"/>
        <v>96</v>
      </c>
      <c r="I13" s="6">
        <f t="shared" si="2"/>
        <v>1920</v>
      </c>
      <c r="K13" s="158"/>
      <c r="L13" s="159"/>
      <c r="M13" s="160"/>
    </row>
    <row r="14" spans="2:13">
      <c r="B14" s="3">
        <v>13</v>
      </c>
      <c r="C14" t="s">
        <v>419</v>
      </c>
      <c r="D14" s="4"/>
      <c r="E14" s="95">
        <v>3</v>
      </c>
      <c r="F14" s="108">
        <f t="shared" si="0"/>
        <v>60</v>
      </c>
      <c r="G14">
        <f>VLOOKUP($C14,약재관리!A:J,10,FALSE)</f>
        <v>8.8000000000000007</v>
      </c>
      <c r="H14" s="5">
        <f t="shared" si="1"/>
        <v>26.400000000000002</v>
      </c>
      <c r="I14" s="6">
        <f t="shared" si="2"/>
        <v>528</v>
      </c>
      <c r="K14" s="99" t="s">
        <v>16</v>
      </c>
      <c r="L14" s="9">
        <v>15</v>
      </c>
      <c r="M14" s="10" t="s">
        <v>17</v>
      </c>
    </row>
    <row r="15" spans="2:13">
      <c r="B15" s="3">
        <v>14</v>
      </c>
      <c r="C15" t="s">
        <v>420</v>
      </c>
      <c r="D15" s="4"/>
      <c r="E15" s="95">
        <v>3</v>
      </c>
      <c r="F15" s="108">
        <f t="shared" si="0"/>
        <v>60</v>
      </c>
      <c r="G15">
        <f>VLOOKUP($C15,약재관리!A:J,10,FALSE)</f>
        <v>28.3</v>
      </c>
      <c r="H15" s="5">
        <f t="shared" si="1"/>
        <v>84.9</v>
      </c>
      <c r="I15" s="6">
        <f t="shared" si="2"/>
        <v>1698</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60</v>
      </c>
      <c r="M18" s="10" t="s">
        <v>25</v>
      </c>
    </row>
    <row r="19" spans="2:13">
      <c r="B19" s="3">
        <v>18</v>
      </c>
      <c r="D19" s="4"/>
      <c r="F19" s="108">
        <f t="shared" si="0"/>
        <v>0</v>
      </c>
      <c r="H19" s="5">
        <f t="shared" si="1"/>
        <v>0</v>
      </c>
      <c r="I19" s="6">
        <f t="shared" si="2"/>
        <v>0</v>
      </c>
      <c r="K19" s="98" t="s">
        <v>26</v>
      </c>
      <c r="L19">
        <f>L15*L18</f>
        <v>1200</v>
      </c>
      <c r="M19" s="4" t="s">
        <v>25</v>
      </c>
    </row>
    <row r="20" spans="2:13" ht="17.25" thickBot="1">
      <c r="B20" s="3">
        <v>19</v>
      </c>
      <c r="D20" s="4"/>
      <c r="F20" s="108">
        <f t="shared" si="0"/>
        <v>0</v>
      </c>
      <c r="H20" s="5">
        <f t="shared" si="1"/>
        <v>0</v>
      </c>
      <c r="I20" s="6">
        <f t="shared" si="2"/>
        <v>0</v>
      </c>
      <c r="K20" s="14" t="s">
        <v>27</v>
      </c>
      <c r="L20" s="11">
        <f>L16*L17+L19</f>
        <v>5250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389</v>
      </c>
      <c r="L22" s="150"/>
      <c r="M22" s="151"/>
    </row>
    <row r="23" spans="2:13">
      <c r="B23" s="3">
        <v>22</v>
      </c>
      <c r="D23" s="4"/>
      <c r="F23" s="108">
        <f t="shared" si="0"/>
        <v>0</v>
      </c>
      <c r="H23" s="5">
        <f t="shared" si="1"/>
        <v>0</v>
      </c>
      <c r="I23" s="6">
        <f t="shared" si="2"/>
        <v>0</v>
      </c>
      <c r="K23" s="98" t="s">
        <v>383</v>
      </c>
      <c r="L23">
        <f>SUM(F2:F31)</f>
        <v>1200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388</v>
      </c>
      <c r="L29" s="150"/>
      <c r="M29" s="151"/>
    </row>
    <row r="30" spans="2:13">
      <c r="B30" s="3">
        <v>29</v>
      </c>
      <c r="D30" s="4"/>
      <c r="F30" s="108">
        <f t="shared" si="0"/>
        <v>0</v>
      </c>
      <c r="H30" s="5">
        <f t="shared" si="1"/>
        <v>0</v>
      </c>
      <c r="I30" s="6">
        <f t="shared" si="2"/>
        <v>0</v>
      </c>
      <c r="K30" s="98" t="s">
        <v>28</v>
      </c>
      <c r="L30" s="5">
        <f>SUM(H2:H31)</f>
        <v>1154.2</v>
      </c>
      <c r="M30" s="4" t="s">
        <v>387</v>
      </c>
    </row>
    <row r="31" spans="2:13" ht="17.25" thickBot="1">
      <c r="B31" s="13">
        <v>30</v>
      </c>
      <c r="C31" s="14"/>
      <c r="D31" s="12"/>
      <c r="E31" s="102"/>
      <c r="F31" s="109">
        <f t="shared" si="0"/>
        <v>0</v>
      </c>
      <c r="G31" s="14"/>
      <c r="H31" s="15">
        <f t="shared" si="1"/>
        <v>0</v>
      </c>
      <c r="I31" s="16">
        <f t="shared" si="2"/>
        <v>0</v>
      </c>
      <c r="K31" s="14" t="s">
        <v>386</v>
      </c>
      <c r="L31" s="15">
        <f>SUM(I2:I31)</f>
        <v>23084</v>
      </c>
      <c r="M31" s="12" t="s">
        <v>387</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0F64-1FAD-4A97-81BF-AA3AF022829E}">
  <sheetPr>
    <pageSetUpPr fitToPage="1"/>
  </sheetPr>
  <dimension ref="B1:M31"/>
  <sheetViews>
    <sheetView workbookViewId="0">
      <selection activeCell="D6" sqref="D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409</v>
      </c>
      <c r="D2" s="4"/>
      <c r="E2" s="95">
        <v>8</v>
      </c>
      <c r="F2" s="108">
        <f t="shared" ref="F2:F31" si="0">E2*$L$15</f>
        <v>160</v>
      </c>
      <c r="G2">
        <f>VLOOKUP($C2,약재관리!A:J,10,FALSE)</f>
        <v>25</v>
      </c>
      <c r="H2" s="5">
        <f>G2*E2</f>
        <v>200</v>
      </c>
      <c r="I2" s="97">
        <f>G2*F2</f>
        <v>4000</v>
      </c>
      <c r="K2" s="7" t="s">
        <v>9</v>
      </c>
      <c r="L2" s="161">
        <v>31</v>
      </c>
      <c r="M2" s="162"/>
    </row>
    <row r="3" spans="2:13">
      <c r="B3" s="3">
        <v>2</v>
      </c>
      <c r="C3" t="s">
        <v>403</v>
      </c>
      <c r="D3" s="4"/>
      <c r="E3" s="95">
        <v>6</v>
      </c>
      <c r="F3" s="108">
        <f t="shared" si="0"/>
        <v>120</v>
      </c>
      <c r="G3">
        <f>VLOOKUP($C3,약재관리!A:J,10,FALSE)</f>
        <v>14.4</v>
      </c>
      <c r="H3" s="5">
        <f t="shared" ref="H3:H31" si="1">G3*E3</f>
        <v>86.4</v>
      </c>
      <c r="I3" s="6">
        <f t="shared" ref="I3:I31" si="2">G3*F3</f>
        <v>1728</v>
      </c>
      <c r="K3" s="8" t="s">
        <v>10</v>
      </c>
      <c r="L3" s="163" t="s">
        <v>418</v>
      </c>
      <c r="M3" s="164"/>
    </row>
    <row r="4" spans="2:13">
      <c r="B4" s="3">
        <v>3</v>
      </c>
      <c r="C4" t="s">
        <v>404</v>
      </c>
      <c r="D4" s="4"/>
      <c r="E4" s="95">
        <v>6</v>
      </c>
      <c r="F4" s="108">
        <f t="shared" si="0"/>
        <v>120</v>
      </c>
      <c r="G4">
        <f>VLOOKUP($C4,약재관리!A:J,10,FALSE)</f>
        <v>9.1999999999999993</v>
      </c>
      <c r="H4" s="5">
        <f t="shared" si="1"/>
        <v>55.199999999999996</v>
      </c>
      <c r="I4" s="6">
        <f t="shared" si="2"/>
        <v>1104</v>
      </c>
      <c r="K4" s="8" t="s">
        <v>11</v>
      </c>
      <c r="L4" s="165">
        <v>45636</v>
      </c>
      <c r="M4" s="164"/>
    </row>
    <row r="5" spans="2:13">
      <c r="B5" s="3">
        <v>4</v>
      </c>
      <c r="C5" t="s">
        <v>405</v>
      </c>
      <c r="D5" s="4"/>
      <c r="E5" s="95">
        <v>6</v>
      </c>
      <c r="F5" s="108">
        <f t="shared" si="0"/>
        <v>120</v>
      </c>
      <c r="G5">
        <f>VLOOKUP($C5,약재관리!A:J,10,FALSE)</f>
        <v>6.2</v>
      </c>
      <c r="H5" s="5">
        <f t="shared" si="1"/>
        <v>37.200000000000003</v>
      </c>
      <c r="I5" s="6">
        <f t="shared" si="2"/>
        <v>744</v>
      </c>
      <c r="K5" s="8" t="s">
        <v>12</v>
      </c>
      <c r="L5" s="163" t="s">
        <v>416</v>
      </c>
      <c r="M5" s="164"/>
    </row>
    <row r="6" spans="2:13">
      <c r="B6" s="3">
        <v>5</v>
      </c>
      <c r="C6" t="s">
        <v>408</v>
      </c>
      <c r="D6" s="4"/>
      <c r="E6" s="95">
        <v>6</v>
      </c>
      <c r="F6" s="108">
        <f t="shared" si="0"/>
        <v>120</v>
      </c>
      <c r="G6">
        <f>VLOOKUP($C6,약재관리!A:J,10,FALSE)</f>
        <v>19.600000000000001</v>
      </c>
      <c r="H6" s="5">
        <f t="shared" si="1"/>
        <v>117.60000000000001</v>
      </c>
      <c r="I6" s="6">
        <f t="shared" si="2"/>
        <v>2352</v>
      </c>
      <c r="K6" s="8" t="s">
        <v>13</v>
      </c>
      <c r="L6" s="163"/>
      <c r="M6" s="164"/>
    </row>
    <row r="7" spans="2:13" ht="17.25" thickBot="1">
      <c r="B7" s="3">
        <v>6</v>
      </c>
      <c r="C7" t="s">
        <v>406</v>
      </c>
      <c r="D7" s="4"/>
      <c r="E7" s="95">
        <v>3</v>
      </c>
      <c r="F7" s="108">
        <f t="shared" si="0"/>
        <v>60</v>
      </c>
      <c r="G7">
        <f>VLOOKUP($C7,약재관리!A:J,10,FALSE)</f>
        <v>14.8</v>
      </c>
      <c r="H7" s="5">
        <f t="shared" si="1"/>
        <v>44.400000000000006</v>
      </c>
      <c r="I7" s="6">
        <f t="shared" si="2"/>
        <v>888</v>
      </c>
      <c r="K7" s="8" t="s">
        <v>14</v>
      </c>
      <c r="L7" s="147"/>
      <c r="M7" s="148"/>
    </row>
    <row r="8" spans="2:13" ht="17.25" thickBot="1">
      <c r="B8" s="3">
        <v>7</v>
      </c>
      <c r="C8" t="s">
        <v>407</v>
      </c>
      <c r="D8" s="4"/>
      <c r="E8" s="95">
        <v>3</v>
      </c>
      <c r="F8" s="108">
        <f t="shared" si="0"/>
        <v>60</v>
      </c>
      <c r="G8">
        <f>VLOOKUP($C8,약재관리!A:J,10,FALSE)</f>
        <v>44.2</v>
      </c>
      <c r="H8" s="5">
        <f t="shared" si="1"/>
        <v>132.60000000000002</v>
      </c>
      <c r="I8" s="6">
        <f t="shared" si="2"/>
        <v>2652</v>
      </c>
      <c r="K8" s="149" t="s">
        <v>15</v>
      </c>
      <c r="L8" s="150"/>
      <c r="M8" s="151"/>
    </row>
    <row r="9" spans="2:13">
      <c r="B9" s="3">
        <v>8</v>
      </c>
      <c r="C9" t="s">
        <v>414</v>
      </c>
      <c r="D9" s="4"/>
      <c r="E9" s="95">
        <v>3</v>
      </c>
      <c r="F9" s="108">
        <f t="shared" si="0"/>
        <v>60</v>
      </c>
      <c r="G9">
        <f>VLOOKUP($C9,약재관리!A:J,10,FALSE)</f>
        <v>10.8</v>
      </c>
      <c r="H9" s="5">
        <f t="shared" si="1"/>
        <v>32.400000000000006</v>
      </c>
      <c r="I9" s="6">
        <f t="shared" si="2"/>
        <v>648</v>
      </c>
      <c r="K9" s="152" t="s">
        <v>417</v>
      </c>
      <c r="L9" s="153"/>
      <c r="M9" s="154"/>
    </row>
    <row r="10" spans="2:13">
      <c r="B10" s="3">
        <v>9</v>
      </c>
      <c r="C10" t="s">
        <v>411</v>
      </c>
      <c r="D10" s="4"/>
      <c r="E10" s="95">
        <v>3</v>
      </c>
      <c r="F10" s="108">
        <f t="shared" si="0"/>
        <v>60</v>
      </c>
      <c r="G10">
        <f>VLOOKUP($C10,약재관리!A:J,10,FALSE)</f>
        <v>13.3</v>
      </c>
      <c r="H10" s="5">
        <f t="shared" si="1"/>
        <v>39.900000000000006</v>
      </c>
      <c r="I10" s="6">
        <f t="shared" si="2"/>
        <v>798</v>
      </c>
      <c r="K10" s="155"/>
      <c r="L10" s="156"/>
      <c r="M10" s="157"/>
    </row>
    <row r="11" spans="2:13">
      <c r="B11" s="3">
        <v>10</v>
      </c>
      <c r="C11" t="s">
        <v>412</v>
      </c>
      <c r="D11" s="4"/>
      <c r="E11" s="95">
        <v>2</v>
      </c>
      <c r="F11" s="108">
        <f t="shared" si="0"/>
        <v>40</v>
      </c>
      <c r="G11">
        <f>VLOOKUP($C11,약재관리!A:J,10,FALSE)</f>
        <v>7.2</v>
      </c>
      <c r="H11" s="5">
        <f t="shared" si="1"/>
        <v>14.4</v>
      </c>
      <c r="I11" s="6">
        <f t="shared" si="2"/>
        <v>288</v>
      </c>
      <c r="K11" s="155"/>
      <c r="L11" s="156"/>
      <c r="M11" s="157"/>
    </row>
    <row r="12" spans="2:13">
      <c r="B12" s="3">
        <v>11</v>
      </c>
      <c r="C12" t="s">
        <v>413</v>
      </c>
      <c r="D12" s="4"/>
      <c r="E12" s="95">
        <v>4</v>
      </c>
      <c r="F12" s="108">
        <f t="shared" si="0"/>
        <v>80</v>
      </c>
      <c r="G12">
        <f>VLOOKUP($C12,약재관리!A:J,10,FALSE)</f>
        <v>46.7</v>
      </c>
      <c r="H12" s="5">
        <f t="shared" si="1"/>
        <v>186.8</v>
      </c>
      <c r="I12" s="6">
        <f t="shared" si="2"/>
        <v>3736</v>
      </c>
      <c r="K12" s="155"/>
      <c r="L12" s="156"/>
      <c r="M12" s="157"/>
    </row>
    <row r="13" spans="2:13" ht="17.25" thickBot="1">
      <c r="B13" s="3">
        <v>12</v>
      </c>
      <c r="C13" t="s">
        <v>421</v>
      </c>
      <c r="D13" s="4"/>
      <c r="E13" s="95">
        <v>6</v>
      </c>
      <c r="F13" s="108">
        <f t="shared" si="0"/>
        <v>120</v>
      </c>
      <c r="G13">
        <f>VLOOKUP($C13,약재관리!A:J,10,FALSE)</f>
        <v>24</v>
      </c>
      <c r="H13" s="5">
        <f t="shared" si="1"/>
        <v>144</v>
      </c>
      <c r="I13" s="6">
        <f t="shared" si="2"/>
        <v>2880</v>
      </c>
      <c r="K13" s="158"/>
      <c r="L13" s="159"/>
      <c r="M13" s="160"/>
    </row>
    <row r="14" spans="2:13">
      <c r="B14" s="3">
        <v>13</v>
      </c>
      <c r="C14" t="s">
        <v>419</v>
      </c>
      <c r="D14" s="4"/>
      <c r="E14" s="95">
        <v>4</v>
      </c>
      <c r="F14" s="108">
        <f t="shared" si="0"/>
        <v>80</v>
      </c>
      <c r="G14">
        <f>VLOOKUP($C14,약재관리!A:J,10,FALSE)</f>
        <v>8.8000000000000007</v>
      </c>
      <c r="H14" s="5">
        <f t="shared" si="1"/>
        <v>35.200000000000003</v>
      </c>
      <c r="I14" s="6">
        <f t="shared" si="2"/>
        <v>704</v>
      </c>
      <c r="K14" s="99" t="s">
        <v>16</v>
      </c>
      <c r="L14" s="9">
        <v>15</v>
      </c>
      <c r="M14" s="10" t="s">
        <v>17</v>
      </c>
    </row>
    <row r="15" spans="2:13">
      <c r="B15" s="3">
        <v>14</v>
      </c>
      <c r="C15" t="s">
        <v>422</v>
      </c>
      <c r="D15" s="4"/>
      <c r="E15" s="95">
        <v>4</v>
      </c>
      <c r="F15" s="108">
        <f t="shared" si="0"/>
        <v>80</v>
      </c>
      <c r="G15">
        <f>VLOOKUP($C15,약재관리!A:J,10,FALSE)</f>
        <v>17.600000000000001</v>
      </c>
      <c r="H15" s="5">
        <f t="shared" si="1"/>
        <v>70.400000000000006</v>
      </c>
      <c r="I15" s="6">
        <f t="shared" si="2"/>
        <v>1408</v>
      </c>
      <c r="K15" s="98" t="s">
        <v>18</v>
      </c>
      <c r="L15">
        <v>20</v>
      </c>
      <c r="M15" s="4" t="s">
        <v>19</v>
      </c>
    </row>
    <row r="16" spans="2:13">
      <c r="B16" s="3">
        <v>15</v>
      </c>
      <c r="C16" t="s">
        <v>420</v>
      </c>
      <c r="D16" s="4"/>
      <c r="E16" s="95">
        <v>3</v>
      </c>
      <c r="F16" s="108">
        <f t="shared" si="0"/>
        <v>60</v>
      </c>
      <c r="G16">
        <f>VLOOKUP($C16,약재관리!A:J,10,FALSE)</f>
        <v>28.3</v>
      </c>
      <c r="H16" s="5">
        <f t="shared" si="1"/>
        <v>84.9</v>
      </c>
      <c r="I16" s="6">
        <f t="shared" si="2"/>
        <v>1698</v>
      </c>
      <c r="K16" s="98" t="s">
        <v>20</v>
      </c>
      <c r="L16">
        <v>45</v>
      </c>
      <c r="M16" s="4" t="s">
        <v>21</v>
      </c>
    </row>
    <row r="17" spans="2:13" ht="17.25" thickBot="1">
      <c r="B17" s="3">
        <v>16</v>
      </c>
      <c r="D17" s="4"/>
      <c r="F17" s="108"/>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67</v>
      </c>
      <c r="M18" s="10" t="s">
        <v>25</v>
      </c>
    </row>
    <row r="19" spans="2:13">
      <c r="B19" s="3">
        <v>18</v>
      </c>
      <c r="D19" s="4"/>
      <c r="F19" s="108">
        <f t="shared" si="0"/>
        <v>0</v>
      </c>
      <c r="H19" s="5">
        <f t="shared" si="1"/>
        <v>0</v>
      </c>
      <c r="I19" s="6">
        <f t="shared" si="2"/>
        <v>0</v>
      </c>
      <c r="K19" s="98" t="s">
        <v>26</v>
      </c>
      <c r="L19">
        <f>L15*L18</f>
        <v>1340</v>
      </c>
      <c r="M19" s="4" t="s">
        <v>25</v>
      </c>
    </row>
    <row r="20" spans="2:13" ht="17.25" thickBot="1">
      <c r="B20" s="3">
        <v>19</v>
      </c>
      <c r="D20" s="4"/>
      <c r="F20" s="108">
        <f t="shared" si="0"/>
        <v>0</v>
      </c>
      <c r="H20" s="5">
        <f t="shared" si="1"/>
        <v>0</v>
      </c>
      <c r="I20" s="6">
        <f t="shared" si="2"/>
        <v>0</v>
      </c>
      <c r="K20" s="14" t="s">
        <v>27</v>
      </c>
      <c r="L20" s="11">
        <f>L16*L17+L19</f>
        <v>5390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389</v>
      </c>
      <c r="L22" s="150"/>
      <c r="M22" s="151"/>
    </row>
    <row r="23" spans="2:13">
      <c r="B23" s="3">
        <v>22</v>
      </c>
      <c r="D23" s="4"/>
      <c r="F23" s="108">
        <f t="shared" si="0"/>
        <v>0</v>
      </c>
      <c r="H23" s="5">
        <f t="shared" si="1"/>
        <v>0</v>
      </c>
      <c r="I23" s="6">
        <f t="shared" si="2"/>
        <v>0</v>
      </c>
      <c r="K23" s="98" t="s">
        <v>383</v>
      </c>
      <c r="L23">
        <f>SUM(F2:F31)</f>
        <v>1340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388</v>
      </c>
      <c r="L29" s="150"/>
      <c r="M29" s="151"/>
    </row>
    <row r="30" spans="2:13">
      <c r="B30" s="3">
        <v>29</v>
      </c>
      <c r="D30" s="4"/>
      <c r="F30" s="108">
        <f t="shared" si="0"/>
        <v>0</v>
      </c>
      <c r="H30" s="5">
        <f t="shared" si="1"/>
        <v>0</v>
      </c>
      <c r="I30" s="6">
        <f t="shared" si="2"/>
        <v>0</v>
      </c>
      <c r="K30" s="98" t="s">
        <v>28</v>
      </c>
      <c r="L30" s="5">
        <f>SUM(H2:H31)</f>
        <v>1281.4000000000001</v>
      </c>
      <c r="M30" s="4" t="s">
        <v>387</v>
      </c>
    </row>
    <row r="31" spans="2:13" ht="17.25" thickBot="1">
      <c r="B31" s="13">
        <v>30</v>
      </c>
      <c r="C31" s="14"/>
      <c r="D31" s="12"/>
      <c r="E31" s="102"/>
      <c r="F31" s="109">
        <f t="shared" si="0"/>
        <v>0</v>
      </c>
      <c r="G31" s="14"/>
      <c r="H31" s="15">
        <f t="shared" si="1"/>
        <v>0</v>
      </c>
      <c r="I31" s="16">
        <f t="shared" si="2"/>
        <v>0</v>
      </c>
      <c r="K31" s="14" t="s">
        <v>386</v>
      </c>
      <c r="L31" s="15">
        <f>SUM(I2:I31)</f>
        <v>25628</v>
      </c>
      <c r="M31" s="12" t="s">
        <v>387</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U11" sqref="U11"/>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409</v>
      </c>
      <c r="D2" s="4"/>
      <c r="E2" s="95">
        <v>8</v>
      </c>
      <c r="F2" s="108">
        <f t="shared" ref="F2:F31" si="0">E2*$L$15</f>
        <v>160</v>
      </c>
      <c r="G2">
        <f>VLOOKUP($C2,약재관리!A:J,10,FALSE)</f>
        <v>25</v>
      </c>
      <c r="H2" s="5">
        <f>G2*E2</f>
        <v>200</v>
      </c>
      <c r="I2" s="97">
        <f>G2*F2</f>
        <v>4000</v>
      </c>
      <c r="K2" s="7" t="s">
        <v>9</v>
      </c>
      <c r="L2" s="161">
        <v>31</v>
      </c>
      <c r="M2" s="162"/>
    </row>
    <row r="3" spans="2:13">
      <c r="B3" s="3">
        <v>2</v>
      </c>
      <c r="C3" t="s">
        <v>403</v>
      </c>
      <c r="D3" s="4"/>
      <c r="E3" s="95">
        <v>6</v>
      </c>
      <c r="F3" s="108">
        <f t="shared" si="0"/>
        <v>120</v>
      </c>
      <c r="G3">
        <f>VLOOKUP($C3,약재관리!A:J,10,FALSE)</f>
        <v>14.4</v>
      </c>
      <c r="H3" s="5">
        <f t="shared" ref="H3:H31" si="1">G3*E3</f>
        <v>86.4</v>
      </c>
      <c r="I3" s="6">
        <f t="shared" ref="I3:I31" si="2">G3*F3</f>
        <v>1728</v>
      </c>
      <c r="K3" s="8" t="s">
        <v>10</v>
      </c>
      <c r="L3" s="163" t="s">
        <v>415</v>
      </c>
      <c r="M3" s="164"/>
    </row>
    <row r="4" spans="2:13">
      <c r="B4" s="3">
        <v>3</v>
      </c>
      <c r="C4" t="s">
        <v>404</v>
      </c>
      <c r="D4" s="4"/>
      <c r="E4" s="95">
        <v>6</v>
      </c>
      <c r="F4" s="108">
        <f t="shared" si="0"/>
        <v>120</v>
      </c>
      <c r="G4">
        <f>VLOOKUP($C4,약재관리!A:J,10,FALSE)</f>
        <v>9.1999999999999993</v>
      </c>
      <c r="H4" s="5">
        <f t="shared" si="1"/>
        <v>55.199999999999996</v>
      </c>
      <c r="I4" s="6">
        <f t="shared" si="2"/>
        <v>1104</v>
      </c>
      <c r="K4" s="8" t="s">
        <v>11</v>
      </c>
      <c r="L4" s="165">
        <v>45581</v>
      </c>
      <c r="M4" s="164"/>
    </row>
    <row r="5" spans="2:13">
      <c r="B5" s="3">
        <v>4</v>
      </c>
      <c r="C5" t="s">
        <v>405</v>
      </c>
      <c r="D5" s="4"/>
      <c r="E5" s="95">
        <v>8</v>
      </c>
      <c r="F5" s="108">
        <f t="shared" si="0"/>
        <v>160</v>
      </c>
      <c r="G5">
        <f>VLOOKUP($C5,약재관리!A:J,10,FALSE)</f>
        <v>6.2</v>
      </c>
      <c r="H5" s="5">
        <f t="shared" si="1"/>
        <v>49.6</v>
      </c>
      <c r="I5" s="6">
        <f t="shared" si="2"/>
        <v>992</v>
      </c>
      <c r="K5" s="8" t="s">
        <v>12</v>
      </c>
      <c r="L5" s="163" t="s">
        <v>416</v>
      </c>
      <c r="M5" s="164"/>
    </row>
    <row r="6" spans="2:13">
      <c r="B6" s="3">
        <v>5</v>
      </c>
      <c r="C6" t="s">
        <v>408</v>
      </c>
      <c r="D6" s="4"/>
      <c r="E6" s="95">
        <v>6</v>
      </c>
      <c r="F6" s="108">
        <f t="shared" si="0"/>
        <v>120</v>
      </c>
      <c r="G6">
        <f>VLOOKUP($C6,약재관리!A:J,10,FALSE)</f>
        <v>19.600000000000001</v>
      </c>
      <c r="H6" s="5">
        <f t="shared" si="1"/>
        <v>117.60000000000001</v>
      </c>
      <c r="I6" s="6">
        <f t="shared" si="2"/>
        <v>2352</v>
      </c>
      <c r="K6" s="8" t="s">
        <v>13</v>
      </c>
      <c r="L6" s="163"/>
      <c r="M6" s="164"/>
    </row>
    <row r="7" spans="2:13" ht="17.25" thickBot="1">
      <c r="B7" s="3">
        <v>6</v>
      </c>
      <c r="C7" t="s">
        <v>406</v>
      </c>
      <c r="D7" s="4"/>
      <c r="E7" s="95">
        <v>3</v>
      </c>
      <c r="F7" s="108">
        <f t="shared" si="0"/>
        <v>60</v>
      </c>
      <c r="G7">
        <f>VLOOKUP($C7,약재관리!A:J,10,FALSE)</f>
        <v>14.8</v>
      </c>
      <c r="H7" s="5">
        <f t="shared" si="1"/>
        <v>44.400000000000006</v>
      </c>
      <c r="I7" s="6">
        <f t="shared" si="2"/>
        <v>888</v>
      </c>
      <c r="K7" s="8" t="s">
        <v>14</v>
      </c>
      <c r="L7" s="147"/>
      <c r="M7" s="148"/>
    </row>
    <row r="8" spans="2:13" ht="17.25" thickBot="1">
      <c r="B8" s="3">
        <v>7</v>
      </c>
      <c r="C8" t="s">
        <v>407</v>
      </c>
      <c r="D8" s="4"/>
      <c r="E8" s="95">
        <v>3</v>
      </c>
      <c r="F8" s="108">
        <f t="shared" si="0"/>
        <v>60</v>
      </c>
      <c r="G8">
        <f>VLOOKUP($C8,약재관리!A:J,10,FALSE)</f>
        <v>44.2</v>
      </c>
      <c r="H8" s="5">
        <f t="shared" si="1"/>
        <v>132.60000000000002</v>
      </c>
      <c r="I8" s="6">
        <f t="shared" si="2"/>
        <v>2652</v>
      </c>
      <c r="K8" s="149" t="s">
        <v>15</v>
      </c>
      <c r="L8" s="150"/>
      <c r="M8" s="151"/>
    </row>
    <row r="9" spans="2:13">
      <c r="B9" s="3">
        <v>8</v>
      </c>
      <c r="C9" t="s">
        <v>414</v>
      </c>
      <c r="D9" s="4"/>
      <c r="E9" s="95">
        <v>3</v>
      </c>
      <c r="F9" s="108">
        <f t="shared" si="0"/>
        <v>60</v>
      </c>
      <c r="G9">
        <f>VLOOKUP($C9,약재관리!A:J,10,FALSE)</f>
        <v>10.8</v>
      </c>
      <c r="H9" s="5">
        <f t="shared" si="1"/>
        <v>32.400000000000006</v>
      </c>
      <c r="I9" s="6">
        <f t="shared" si="2"/>
        <v>648</v>
      </c>
      <c r="K9" s="152" t="s">
        <v>417</v>
      </c>
      <c r="L9" s="153"/>
      <c r="M9" s="154"/>
    </row>
    <row r="10" spans="2:13">
      <c r="B10" s="3">
        <v>9</v>
      </c>
      <c r="C10" t="s">
        <v>410</v>
      </c>
      <c r="D10" s="4"/>
      <c r="E10" s="95">
        <v>3</v>
      </c>
      <c r="F10" s="108">
        <f t="shared" si="0"/>
        <v>60</v>
      </c>
      <c r="G10">
        <f>VLOOKUP($C10,약재관리!A:J,10,FALSE)</f>
        <v>7.3</v>
      </c>
      <c r="H10" s="5">
        <f t="shared" si="1"/>
        <v>21.9</v>
      </c>
      <c r="I10" s="6">
        <f t="shared" si="2"/>
        <v>438</v>
      </c>
      <c r="K10" s="155"/>
      <c r="L10" s="156"/>
      <c r="M10" s="157"/>
    </row>
    <row r="11" spans="2:13">
      <c r="B11" s="3">
        <v>10</v>
      </c>
      <c r="C11" t="s">
        <v>411</v>
      </c>
      <c r="D11" s="4"/>
      <c r="E11" s="95">
        <v>3</v>
      </c>
      <c r="F11" s="108">
        <f t="shared" si="0"/>
        <v>60</v>
      </c>
      <c r="G11">
        <f>VLOOKUP($C11,약재관리!A:J,10,FALSE)</f>
        <v>13.3</v>
      </c>
      <c r="H11" s="5">
        <f t="shared" si="1"/>
        <v>39.900000000000006</v>
      </c>
      <c r="I11" s="6">
        <f t="shared" si="2"/>
        <v>798</v>
      </c>
      <c r="K11" s="155"/>
      <c r="L11" s="156"/>
      <c r="M11" s="157"/>
    </row>
    <row r="12" spans="2:13">
      <c r="B12" s="3">
        <v>11</v>
      </c>
      <c r="C12" t="s">
        <v>412</v>
      </c>
      <c r="D12" s="4"/>
      <c r="E12" s="95">
        <v>2</v>
      </c>
      <c r="F12" s="108">
        <f t="shared" si="0"/>
        <v>40</v>
      </c>
      <c r="G12">
        <f>VLOOKUP($C12,약재관리!A:J,10,FALSE)</f>
        <v>7.2</v>
      </c>
      <c r="H12" s="5">
        <f t="shared" si="1"/>
        <v>14.4</v>
      </c>
      <c r="I12" s="6">
        <f t="shared" si="2"/>
        <v>288</v>
      </c>
      <c r="K12" s="155"/>
      <c r="L12" s="156"/>
      <c r="M12" s="157"/>
    </row>
    <row r="13" spans="2:13" ht="17.25" thickBot="1">
      <c r="B13" s="3">
        <v>12</v>
      </c>
      <c r="C13" t="s">
        <v>413</v>
      </c>
      <c r="D13" s="4"/>
      <c r="E13" s="95">
        <v>4</v>
      </c>
      <c r="F13" s="108">
        <f t="shared" si="0"/>
        <v>80</v>
      </c>
      <c r="G13">
        <f>VLOOKUP($C13,약재관리!A:J,10,FALSE)</f>
        <v>46.7</v>
      </c>
      <c r="H13" s="5">
        <f t="shared" si="1"/>
        <v>186.8</v>
      </c>
      <c r="I13" s="6">
        <f t="shared" si="2"/>
        <v>3736</v>
      </c>
      <c r="K13" s="158"/>
      <c r="L13" s="159"/>
      <c r="M13" s="160"/>
    </row>
    <row r="14" spans="2:13">
      <c r="B14" s="3">
        <v>13</v>
      </c>
      <c r="D14" s="4"/>
      <c r="F14" s="108">
        <f t="shared" si="0"/>
        <v>0</v>
      </c>
      <c r="H14" s="5">
        <f t="shared" si="1"/>
        <v>0</v>
      </c>
      <c r="I14" s="6">
        <f t="shared" si="2"/>
        <v>0</v>
      </c>
      <c r="K14" s="99" t="s">
        <v>16</v>
      </c>
      <c r="L14" s="9">
        <v>15</v>
      </c>
      <c r="M14" s="10" t="s">
        <v>17</v>
      </c>
    </row>
    <row r="15" spans="2:13">
      <c r="B15" s="3">
        <v>14</v>
      </c>
      <c r="D15" s="4"/>
      <c r="F15" s="108">
        <f t="shared" si="0"/>
        <v>0</v>
      </c>
      <c r="H15" s="5">
        <f t="shared" si="1"/>
        <v>0</v>
      </c>
      <c r="I15" s="6">
        <f t="shared" si="2"/>
        <v>0</v>
      </c>
      <c r="K15" s="98" t="s">
        <v>18</v>
      </c>
      <c r="L15">
        <v>20</v>
      </c>
      <c r="M15" s="4" t="s">
        <v>19</v>
      </c>
    </row>
    <row r="16" spans="2:13">
      <c r="B16" s="3">
        <v>15</v>
      </c>
      <c r="D16" s="4"/>
      <c r="F16" s="108">
        <f t="shared" si="0"/>
        <v>0</v>
      </c>
      <c r="H16" s="5">
        <f t="shared" si="1"/>
        <v>0</v>
      </c>
      <c r="I16" s="6">
        <f t="shared" si="2"/>
        <v>0</v>
      </c>
      <c r="K16" s="98" t="s">
        <v>20</v>
      </c>
      <c r="L16">
        <v>45</v>
      </c>
      <c r="M16" s="4" t="s">
        <v>21</v>
      </c>
    </row>
    <row r="17" spans="2:13" ht="17.25" thickBot="1">
      <c r="B17" s="3">
        <v>16</v>
      </c>
      <c r="D17" s="4"/>
      <c r="F17" s="108">
        <f t="shared" si="0"/>
        <v>0</v>
      </c>
      <c r="H17" s="5">
        <f t="shared" si="1"/>
        <v>0</v>
      </c>
      <c r="I17" s="6">
        <f t="shared" si="2"/>
        <v>0</v>
      </c>
      <c r="K17" s="14" t="s">
        <v>22</v>
      </c>
      <c r="L17" s="11">
        <v>90</v>
      </c>
      <c r="M17" s="12" t="s">
        <v>23</v>
      </c>
    </row>
    <row r="18" spans="2:13">
      <c r="B18" s="3">
        <v>17</v>
      </c>
      <c r="D18" s="4"/>
      <c r="F18" s="108">
        <f t="shared" si="0"/>
        <v>0</v>
      </c>
      <c r="H18" s="5">
        <f t="shared" si="1"/>
        <v>0</v>
      </c>
      <c r="I18" s="6">
        <f t="shared" si="2"/>
        <v>0</v>
      </c>
      <c r="K18" s="99" t="s">
        <v>24</v>
      </c>
      <c r="L18" s="9">
        <f>SUM(E2:E31)</f>
        <v>55</v>
      </c>
      <c r="M18" s="10" t="s">
        <v>25</v>
      </c>
    </row>
    <row r="19" spans="2:13">
      <c r="B19" s="3">
        <v>18</v>
      </c>
      <c r="D19" s="4"/>
      <c r="F19" s="108">
        <f t="shared" si="0"/>
        <v>0</v>
      </c>
      <c r="H19" s="5">
        <f t="shared" si="1"/>
        <v>0</v>
      </c>
      <c r="I19" s="6">
        <f t="shared" si="2"/>
        <v>0</v>
      </c>
      <c r="K19" s="98" t="s">
        <v>26</v>
      </c>
      <c r="L19">
        <f>L15*L18</f>
        <v>1100</v>
      </c>
      <c r="M19" s="4" t="s">
        <v>25</v>
      </c>
    </row>
    <row r="20" spans="2:13" ht="17.25" thickBot="1">
      <c r="B20" s="3">
        <v>19</v>
      </c>
      <c r="D20" s="4"/>
      <c r="F20" s="108">
        <f t="shared" si="0"/>
        <v>0</v>
      </c>
      <c r="H20" s="5">
        <f t="shared" si="1"/>
        <v>0</v>
      </c>
      <c r="I20" s="6">
        <f t="shared" si="2"/>
        <v>0</v>
      </c>
      <c r="K20" s="14" t="s">
        <v>27</v>
      </c>
      <c r="L20" s="11">
        <f>L16*L17+L19</f>
        <v>5150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389</v>
      </c>
      <c r="L22" s="150"/>
      <c r="M22" s="151"/>
    </row>
    <row r="23" spans="2:13">
      <c r="B23" s="3">
        <v>22</v>
      </c>
      <c r="D23" s="4"/>
      <c r="F23" s="108">
        <f t="shared" si="0"/>
        <v>0</v>
      </c>
      <c r="H23" s="5">
        <f t="shared" si="1"/>
        <v>0</v>
      </c>
      <c r="I23" s="6">
        <f t="shared" si="2"/>
        <v>0</v>
      </c>
      <c r="K23" s="98" t="s">
        <v>383</v>
      </c>
      <c r="L23">
        <f>SUM(F2:F31)</f>
        <v>1100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388</v>
      </c>
      <c r="L29" s="150"/>
      <c r="M29" s="151"/>
    </row>
    <row r="30" spans="2:13">
      <c r="B30" s="3">
        <v>29</v>
      </c>
      <c r="D30" s="4"/>
      <c r="F30" s="108">
        <f t="shared" si="0"/>
        <v>0</v>
      </c>
      <c r="H30" s="5">
        <f t="shared" si="1"/>
        <v>0</v>
      </c>
      <c r="I30" s="6">
        <f t="shared" si="2"/>
        <v>0</v>
      </c>
      <c r="K30" s="98" t="s">
        <v>28</v>
      </c>
      <c r="L30" s="5">
        <f>SUM(H2:H31)</f>
        <v>981.2</v>
      </c>
      <c r="M30" s="4" t="s">
        <v>387</v>
      </c>
    </row>
    <row r="31" spans="2:13" ht="17.25" thickBot="1">
      <c r="B31" s="13">
        <v>30</v>
      </c>
      <c r="C31" s="14"/>
      <c r="D31" s="12"/>
      <c r="E31" s="102"/>
      <c r="F31" s="109">
        <f t="shared" si="0"/>
        <v>0</v>
      </c>
      <c r="G31" s="14"/>
      <c r="H31" s="15">
        <f t="shared" si="1"/>
        <v>0</v>
      </c>
      <c r="I31" s="16">
        <f t="shared" si="2"/>
        <v>0</v>
      </c>
      <c r="K31" s="14" t="s">
        <v>386</v>
      </c>
      <c r="L31" s="15">
        <f>SUM(I2:I31)</f>
        <v>19624</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98" zoomScaleNormal="100" workbookViewId="0">
      <selection activeCell="G122" sqref="G122"/>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146">
        <f t="shared" si="12"/>
        <v>53</v>
      </c>
      <c r="H62" s="146">
        <f>D62/500</f>
        <v>53</v>
      </c>
      <c r="I62" s="48">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처방전양식 (4)</vt: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2025-01-16T07:45:20Z</cp:lastPrinted>
  <dcterms:created xsi:type="dcterms:W3CDTF">2024-09-12T16:35:01Z</dcterms:created>
  <dcterms:modified xsi:type="dcterms:W3CDTF">2025-04-24T05:16:43Z</dcterms:modified>
</cp:coreProperties>
</file>