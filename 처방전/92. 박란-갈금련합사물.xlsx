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53" documentId="8_{6EB8DC0A-AB56-415F-A9F3-EA1534264548}" xr6:coauthVersionLast="47" xr6:coauthVersionMax="47" xr10:uidLastSave="{33D8296D-04CD-44A5-B274-6EBB87215D42}"/>
  <bookViews>
    <workbookView xWindow="1170" yWindow="30" windowWidth="16890" windowHeight="15450" xr2:uid="{8B9F1886-173A-4475-B0CF-D9F36CE30773}"/>
  </bookViews>
  <sheets>
    <sheet name="처방전양식 (5)" sheetId="10" r:id="rId1"/>
    <sheet name="처방전양식 (4)" sheetId="9" r:id="rId2"/>
    <sheet name="처방전양식 (3)" sheetId="7" r:id="rId3"/>
    <sheet name="처방전양식 (2)" sheetId="6" r:id="rId4"/>
    <sheet name="처방전양식" sheetId="4" r:id="rId5"/>
    <sheet name="약재관리" sheetId="5"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0" l="1"/>
  <c r="H11" i="10" s="1"/>
  <c r="H31" i="10"/>
  <c r="F31" i="10"/>
  <c r="I31" i="10" s="1"/>
  <c r="H30" i="10"/>
  <c r="F30" i="10"/>
  <c r="I30" i="10" s="1"/>
  <c r="H29" i="10"/>
  <c r="F29" i="10"/>
  <c r="I29" i="10" s="1"/>
  <c r="H28" i="10"/>
  <c r="F28" i="10"/>
  <c r="I28" i="10" s="1"/>
  <c r="H27" i="10"/>
  <c r="F27" i="10"/>
  <c r="I27" i="10" s="1"/>
  <c r="H26" i="10"/>
  <c r="F26" i="10"/>
  <c r="I26" i="10" s="1"/>
  <c r="H25" i="10"/>
  <c r="F25" i="10"/>
  <c r="I25" i="10" s="1"/>
  <c r="H24" i="10"/>
  <c r="F24" i="10"/>
  <c r="I24" i="10" s="1"/>
  <c r="H23" i="10"/>
  <c r="F23" i="10"/>
  <c r="I23" i="10" s="1"/>
  <c r="H22" i="10"/>
  <c r="F22" i="10"/>
  <c r="I22" i="10" s="1"/>
  <c r="H21" i="10"/>
  <c r="F21" i="10"/>
  <c r="I21" i="10" s="1"/>
  <c r="H20" i="10"/>
  <c r="F20" i="10"/>
  <c r="I20" i="10" s="1"/>
  <c r="H19" i="10"/>
  <c r="F19" i="10"/>
  <c r="I19" i="10" s="1"/>
  <c r="L18" i="10"/>
  <c r="L19" i="10" s="1"/>
  <c r="L20" i="10" s="1"/>
  <c r="H18" i="10"/>
  <c r="F18" i="10"/>
  <c r="I18" i="10" s="1"/>
  <c r="H17" i="10"/>
  <c r="F17" i="10"/>
  <c r="I17" i="10" s="1"/>
  <c r="H16" i="10"/>
  <c r="F16" i="10"/>
  <c r="I16" i="10" s="1"/>
  <c r="H15" i="10"/>
  <c r="F15" i="10"/>
  <c r="I15" i="10" s="1"/>
  <c r="H14" i="10"/>
  <c r="F14" i="10"/>
  <c r="I14" i="10" s="1"/>
  <c r="H13" i="10"/>
  <c r="F13" i="10"/>
  <c r="I13" i="10" s="1"/>
  <c r="H12" i="10"/>
  <c r="F12" i="10"/>
  <c r="I12" i="10" s="1"/>
  <c r="F11" i="10"/>
  <c r="G10" i="10"/>
  <c r="F10" i="10"/>
  <c r="G9" i="10"/>
  <c r="F9" i="10"/>
  <c r="G8" i="10"/>
  <c r="F8" i="10"/>
  <c r="G7" i="10"/>
  <c r="F7" i="10"/>
  <c r="G6" i="10"/>
  <c r="F6" i="10"/>
  <c r="G5" i="10"/>
  <c r="F5" i="10"/>
  <c r="G4" i="10"/>
  <c r="I4" i="10" s="1"/>
  <c r="F4" i="10"/>
  <c r="G3" i="10"/>
  <c r="I3" i="10" s="1"/>
  <c r="F3" i="10"/>
  <c r="G2" i="10"/>
  <c r="I2" i="10" s="1"/>
  <c r="F2" i="10"/>
  <c r="G2" i="9"/>
  <c r="I2" i="9" s="1"/>
  <c r="G3" i="9"/>
  <c r="I3" i="9" s="1"/>
  <c r="G4" i="9"/>
  <c r="I4" i="9" s="1"/>
  <c r="G5" i="9"/>
  <c r="G6" i="9"/>
  <c r="G7" i="9"/>
  <c r="G8" i="9"/>
  <c r="H8" i="9" s="1"/>
  <c r="G9" i="9"/>
  <c r="H31" i="9"/>
  <c r="F31" i="9"/>
  <c r="I31" i="9" s="1"/>
  <c r="H30" i="9"/>
  <c r="F30" i="9"/>
  <c r="I30" i="9" s="1"/>
  <c r="H29" i="9"/>
  <c r="F29" i="9"/>
  <c r="I29" i="9" s="1"/>
  <c r="H28" i="9"/>
  <c r="F28" i="9"/>
  <c r="I28" i="9" s="1"/>
  <c r="H27" i="9"/>
  <c r="F27" i="9"/>
  <c r="I27" i="9" s="1"/>
  <c r="H26" i="9"/>
  <c r="F26" i="9"/>
  <c r="I26" i="9" s="1"/>
  <c r="H25" i="9"/>
  <c r="F25" i="9"/>
  <c r="I25" i="9" s="1"/>
  <c r="H24" i="9"/>
  <c r="F24" i="9"/>
  <c r="I24" i="9" s="1"/>
  <c r="H23" i="9"/>
  <c r="F23" i="9"/>
  <c r="I23" i="9" s="1"/>
  <c r="H22" i="9"/>
  <c r="F22" i="9"/>
  <c r="I22" i="9" s="1"/>
  <c r="H21" i="9"/>
  <c r="F21" i="9"/>
  <c r="I21" i="9" s="1"/>
  <c r="H20" i="9"/>
  <c r="F20" i="9"/>
  <c r="I20" i="9" s="1"/>
  <c r="H19" i="9"/>
  <c r="F19" i="9"/>
  <c r="I19" i="9" s="1"/>
  <c r="L18" i="9"/>
  <c r="L19" i="9" s="1"/>
  <c r="L20" i="9" s="1"/>
  <c r="F18" i="9"/>
  <c r="H17" i="9"/>
  <c r="F17" i="9"/>
  <c r="F16" i="9"/>
  <c r="F15" i="9"/>
  <c r="F14" i="9"/>
  <c r="F13" i="9"/>
  <c r="H12" i="9"/>
  <c r="F12" i="9"/>
  <c r="H11" i="9"/>
  <c r="F11" i="9"/>
  <c r="G10" i="9"/>
  <c r="F10" i="9"/>
  <c r="F9" i="9"/>
  <c r="F8" i="9"/>
  <c r="F7" i="9"/>
  <c r="F6" i="9"/>
  <c r="F5" i="9"/>
  <c r="F4" i="9"/>
  <c r="F3" i="9"/>
  <c r="F2" i="9"/>
  <c r="I6" i="10" l="1"/>
  <c r="I5" i="10"/>
  <c r="I7" i="10"/>
  <c r="I8" i="10"/>
  <c r="I9" i="10"/>
  <c r="I10" i="10"/>
  <c r="L23" i="10"/>
  <c r="I11" i="10"/>
  <c r="L31" i="10" s="1"/>
  <c r="H4" i="10"/>
  <c r="H7" i="10"/>
  <c r="H10" i="10"/>
  <c r="H2" i="10"/>
  <c r="H5" i="10"/>
  <c r="H8" i="10"/>
  <c r="H3" i="10"/>
  <c r="H6" i="10"/>
  <c r="H9" i="10"/>
  <c r="I5" i="9"/>
  <c r="I9" i="9"/>
  <c r="I7" i="9"/>
  <c r="I6" i="9"/>
  <c r="I8" i="9"/>
  <c r="I16" i="9"/>
  <c r="I13" i="9"/>
  <c r="I10" i="9"/>
  <c r="I18" i="9"/>
  <c r="I14" i="9"/>
  <c r="L23" i="9"/>
  <c r="I15" i="9"/>
  <c r="H9" i="9"/>
  <c r="H15" i="9"/>
  <c r="H18" i="9"/>
  <c r="H6" i="9"/>
  <c r="I12" i="9"/>
  <c r="H3" i="9"/>
  <c r="H10" i="9"/>
  <c r="H13" i="9"/>
  <c r="H16" i="9"/>
  <c r="H7" i="9"/>
  <c r="H4" i="9"/>
  <c r="H14" i="9"/>
  <c r="H2" i="9"/>
  <c r="H5" i="9"/>
  <c r="I11" i="9"/>
  <c r="I17" i="9"/>
  <c r="L30" i="10" l="1"/>
  <c r="L31" i="9"/>
  <c r="L30" i="9"/>
  <c r="H31" i="7" l="1"/>
  <c r="F31" i="7"/>
  <c r="I31" i="7" s="1"/>
  <c r="H30" i="7"/>
  <c r="F30" i="7"/>
  <c r="I30" i="7" s="1"/>
  <c r="H29" i="7"/>
  <c r="F29" i="7"/>
  <c r="I29" i="7" s="1"/>
  <c r="H28" i="7"/>
  <c r="F28" i="7"/>
  <c r="I28" i="7" s="1"/>
  <c r="H27" i="7"/>
  <c r="F27" i="7"/>
  <c r="I27" i="7" s="1"/>
  <c r="I26" i="7"/>
  <c r="H26" i="7"/>
  <c r="F26" i="7"/>
  <c r="H25" i="7"/>
  <c r="F25" i="7"/>
  <c r="I25" i="7" s="1"/>
  <c r="H24" i="7"/>
  <c r="F24" i="7"/>
  <c r="I24" i="7" s="1"/>
  <c r="H23" i="7"/>
  <c r="F23" i="7"/>
  <c r="I23" i="7" s="1"/>
  <c r="H22" i="7"/>
  <c r="F22" i="7"/>
  <c r="I22" i="7" s="1"/>
  <c r="I21" i="7"/>
  <c r="H21" i="7"/>
  <c r="F21" i="7"/>
  <c r="I20" i="7"/>
  <c r="H20" i="7"/>
  <c r="F20" i="7"/>
  <c r="I19" i="7"/>
  <c r="H19" i="7"/>
  <c r="F19" i="7"/>
  <c r="L18" i="7"/>
  <c r="L19" i="7" s="1"/>
  <c r="L20" i="7" s="1"/>
  <c r="I18" i="7"/>
  <c r="H18" i="7"/>
  <c r="F18" i="7"/>
  <c r="I17" i="7"/>
  <c r="H17" i="7"/>
  <c r="F17" i="7"/>
  <c r="H16" i="7"/>
  <c r="F16" i="7"/>
  <c r="I16" i="7" s="1"/>
  <c r="H15" i="7"/>
  <c r="F15" i="7"/>
  <c r="I15" i="7" s="1"/>
  <c r="I14" i="7"/>
  <c r="F14" i="7"/>
  <c r="I13" i="7"/>
  <c r="F13" i="7"/>
  <c r="I12" i="7"/>
  <c r="F12" i="7"/>
  <c r="I11" i="7"/>
  <c r="F11" i="7"/>
  <c r="I10" i="7"/>
  <c r="F10" i="7"/>
  <c r="I9" i="7"/>
  <c r="F9" i="7"/>
  <c r="I8" i="7"/>
  <c r="F8" i="7"/>
  <c r="I7" i="7"/>
  <c r="F7" i="7"/>
  <c r="I6" i="7"/>
  <c r="F6" i="7"/>
  <c r="G5" i="7"/>
  <c r="I5" i="7" s="1"/>
  <c r="F5" i="7"/>
  <c r="G4" i="7"/>
  <c r="F4" i="7"/>
  <c r="G3" i="7"/>
  <c r="F3" i="7"/>
  <c r="G2" i="7"/>
  <c r="F2" i="7"/>
  <c r="H19" i="6"/>
  <c r="H31" i="6"/>
  <c r="F31" i="6"/>
  <c r="I31" i="6" s="1"/>
  <c r="H30" i="6"/>
  <c r="F30" i="6"/>
  <c r="I30" i="6" s="1"/>
  <c r="H29" i="6"/>
  <c r="F29" i="6"/>
  <c r="I29" i="6" s="1"/>
  <c r="H28" i="6"/>
  <c r="F28" i="6"/>
  <c r="I28" i="6" s="1"/>
  <c r="H27" i="6"/>
  <c r="F27" i="6"/>
  <c r="I27" i="6" s="1"/>
  <c r="I26" i="6"/>
  <c r="H26" i="6"/>
  <c r="F26" i="6"/>
  <c r="H25" i="6"/>
  <c r="F25" i="6"/>
  <c r="I25" i="6" s="1"/>
  <c r="H24" i="6"/>
  <c r="F24" i="6"/>
  <c r="I24" i="6" s="1"/>
  <c r="H23" i="6"/>
  <c r="F23" i="6"/>
  <c r="I23" i="6" s="1"/>
  <c r="H22" i="6"/>
  <c r="F22" i="6"/>
  <c r="I22" i="6" s="1"/>
  <c r="H21" i="6"/>
  <c r="F21" i="6"/>
  <c r="I21" i="6" s="1"/>
  <c r="H20" i="6"/>
  <c r="F20" i="6"/>
  <c r="I20" i="6" s="1"/>
  <c r="F19" i="6"/>
  <c r="L18" i="6"/>
  <c r="L19" i="6" s="1"/>
  <c r="L20" i="6" s="1"/>
  <c r="F18" i="6"/>
  <c r="F17" i="6"/>
  <c r="F16" i="6"/>
  <c r="F15" i="6"/>
  <c r="G14" i="6"/>
  <c r="F14" i="6"/>
  <c r="G13" i="6"/>
  <c r="F13" i="6"/>
  <c r="G12" i="6"/>
  <c r="F12" i="6"/>
  <c r="G11" i="6"/>
  <c r="F11" i="6"/>
  <c r="G10" i="6"/>
  <c r="F10" i="6"/>
  <c r="G9" i="6"/>
  <c r="F9" i="6"/>
  <c r="G8" i="6"/>
  <c r="F8" i="6"/>
  <c r="G7" i="6"/>
  <c r="F7" i="6"/>
  <c r="G6" i="6"/>
  <c r="F6" i="6"/>
  <c r="G5" i="6"/>
  <c r="F5" i="6"/>
  <c r="G4" i="6"/>
  <c r="F4" i="6"/>
  <c r="G3" i="6"/>
  <c r="I3" i="6" s="1"/>
  <c r="F3" i="6"/>
  <c r="G2" i="6"/>
  <c r="F2" i="6"/>
  <c r="G18" i="4"/>
  <c r="G15" i="4"/>
  <c r="G16" i="4"/>
  <c r="G17" i="4"/>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4" i="7" l="1"/>
  <c r="I3" i="7"/>
  <c r="I2" i="7"/>
  <c r="L23" i="7"/>
  <c r="L31" i="7"/>
  <c r="H5" i="7"/>
  <c r="H2" i="7"/>
  <c r="H8" i="7"/>
  <c r="H11" i="7"/>
  <c r="H14" i="7"/>
  <c r="H3" i="7"/>
  <c r="H6" i="7"/>
  <c r="H9" i="7"/>
  <c r="H12" i="7"/>
  <c r="H4" i="7"/>
  <c r="H7" i="7"/>
  <c r="H10" i="7"/>
  <c r="H13" i="7"/>
  <c r="I16" i="6"/>
  <c r="I19" i="6"/>
  <c r="I17" i="6"/>
  <c r="I15" i="6"/>
  <c r="I8" i="6"/>
  <c r="I7" i="6"/>
  <c r="I6" i="6"/>
  <c r="I4" i="6"/>
  <c r="I14" i="6"/>
  <c r="I9" i="6"/>
  <c r="I13" i="6"/>
  <c r="I12" i="6"/>
  <c r="I11" i="6"/>
  <c r="I10" i="6"/>
  <c r="I5" i="6"/>
  <c r="I18" i="6"/>
  <c r="I2" i="6"/>
  <c r="L23" i="6"/>
  <c r="H3" i="6"/>
  <c r="H6" i="6"/>
  <c r="H9" i="6"/>
  <c r="H12" i="6"/>
  <c r="H15" i="6"/>
  <c r="H18" i="6"/>
  <c r="H4" i="6"/>
  <c r="H7" i="6"/>
  <c r="H10" i="6"/>
  <c r="H13" i="6"/>
  <c r="H16" i="6"/>
  <c r="H2" i="6"/>
  <c r="H5" i="6"/>
  <c r="H8" i="6"/>
  <c r="H11" i="6"/>
  <c r="H14" i="6"/>
  <c r="H17" i="6"/>
  <c r="F2" i="4"/>
  <c r="L30" i="7" l="1"/>
  <c r="L31" i="6"/>
  <c r="L30"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<sst xmlns="http://schemas.openxmlformats.org/spreadsheetml/2006/main" count="831" uniqueCount="456">
  <si>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</si>
  <si>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</si>
  <si>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</si>
  <si>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</si>
  <si>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</si>
  <si>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</si>
  <si>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</si>
  <si>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</si>
  <si>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</si>
  <si>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</si>
  <si>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</si>
  <si>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</si>
  <si>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</si>
  <si>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</si>
  <si>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</si>
  <si>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</si>
  <si>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</si>
  <si>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</si>
  <si>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</si>
  <si>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</si>
  <si>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</si>
  <si>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</si>
  <si>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</si>
  <si>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</si>
  <si>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</si>
  <si>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</si>
  <si>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</si>
  <si>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</si>
  <si>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</si>
  <si>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</si>
  <si>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</si>
  <si>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</si>
  <si>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</si>
  <si>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</si>
  <si>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</si>
  <si>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</si>
  <si>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</si>
  <si>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</si>
  <si>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</si>
  <si>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</si>
  <si>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</si>
  <si>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</si>
  <si>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</si>
  <si>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</si>
  <si>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</si>
  <si>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</si>
  <si>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</si>
  <si>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</si>
  <si>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</si>
  <si>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</si>
  <si>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</si>
  <si>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</si>
  <si>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</si>
  <si>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</si>
  <si>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</si>
  <si>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</si>
  <si>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</si>
  <si>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</si>
  <si>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</si>
  <si>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</si>
  <si>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</si>
  <si>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</si>
  <si>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</si>
  <si>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</si>
  <si>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</si>
  <si>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</si>
  <si>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</si>
  <si>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</si>
  <si>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</si>
  <si>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</si>
  <si>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</si>
  <si>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</si>
  <si>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</si>
  <si>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</si>
  <si>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</si>
  <si>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</si>
  <si>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</si>
  <si>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</si>
  <si>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</si>
  <si>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</si>
  <si>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</si>
  <si>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</si>
  <si>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</si>
  <si>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</si>
  <si>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</si>
  <si>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</si>
  <si>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</si>
  <si>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</si>
  <si>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</si>
  <si>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</si>
  <si>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</si>
  <si>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</si>
  <si>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</si>
  <si>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</si>
  <si>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</si>
  <si>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</si>
  <si>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</si>
  <si>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</si>
  <si>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</si>
  <si>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</si>
  <si>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</si>
  <si>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</si>
  <si>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</si>
  <si>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</si>
  <si>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</si>
  <si>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</si>
  <si>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</si>
  <si>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</si>
  <si>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</si>
  <si>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</si>
  <si>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</si>
  <si>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</si>
  <si>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</si>
  <si>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</si>
  <si>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</si>
  <si>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</si>
  <si>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</si>
  <si>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</si>
  <si>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</si>
  <si>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</si>
  <si>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</si>
  <si>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</si>
  <si>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</si>
  <si>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</si>
  <si>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</si>
  <si>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</si>
  <si>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</si>
  <si>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</si>
  <si>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</si>
  <si>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</si>
  <si>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</si>
  <si>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</si>
  <si>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</si>
  <si>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</si>
  <si>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</si>
  <si>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</si>
  <si>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</si>
  <si>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</si>
  <si>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</si>
  <si>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</si>
  <si>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</si>
  <si>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</si>
  <si>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</si>
  <si>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</si>
  <si>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</si>
  <si>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</si>
  <si>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</si>
  <si>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</si>
  <si>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</si>
  <si>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</si>
  <si>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</si>
  <si>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</si>
  <si>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</si>
  <si>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</si>
  <si>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</si>
  <si>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</si>
  <si>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</si>
  <si>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</si>
  <si>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</si>
  <si>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</si>
  <si>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</si>
  <si>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</si>
  <si>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</si>
  <si>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</si>
  <si>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</si>
  <si>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</si>
  <si>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</si>
  <si>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</si>
  <si>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</si>
  <si>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</si>
  <si>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</si>
  <si>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</si>
  <si>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</si>
  <si>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</si>
  <si>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</si>
  <si>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</si>
  <si>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</si>
  <si>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</si>
  <si>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</si>
  <si>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</si>
  <si>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</si>
  <si>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</si>
  <si>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</si>
  <si>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</si>
  <si>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</si>
  <si>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</si>
  <si>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</si>
  <si>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</si>
  <si>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</si>
  <si>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</si>
  <si>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</si>
  <si>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</si>
  <si>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</si>
  <si>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</si>
  <si>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</si>
  <si>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</si>
  <si>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</si>
  <si>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</si>
  <si>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</si>
  <si>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</si>
  <si>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</si>
  <si>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</si>
  <si>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</si>
  <si>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</si>
  <si>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</si>
  <si>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</si>
  <si>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</si>
  <si>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</si>
  <si>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</si>
  <si>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</si>
  <si>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</si>
  <si>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</si>
  <si>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</si>
  <si>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</si>
  <si>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</si>
  <si>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</si>
  <si>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</si>
  <si>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</si>
  <si>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</si>
  <si>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</si>
  <si>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</si>
  <si>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</si>
  <si>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</si>
  <si>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</si>
  <si>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</si>
  <si>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</si>
  <si>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</si>
  <si>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</si>
  <si>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</si>
  <si>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</si>
  <si>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</si>
  <si>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</si>
  <si>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</si>
  <si>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</si>
  <si>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</si>
  <si>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</si>
  <si>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</si>
  <si>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</si>
  <si>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</si>
  <si>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</si>
  <si>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</si>
  <si>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</si>
  <si>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</si>
  <si>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</si>
  <si>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</si>
  <si>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</si>
  <si>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</si>
  <si>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</si>
  <si>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</si>
  <si>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</si>
  <si>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</si>
  <si>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</si>
  <si>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</si>
  <si>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</si>
  <si>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</si>
  <si>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</si>
  <si>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</si>
  <si>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</si>
  <si>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</si>
  <si>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</si>
  <si>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</si>
  <si>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</si>
  <si>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</si>
  <si>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</si>
  <si>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</si>
  <si>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</si>
  <si>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</si>
  <si>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</si>
  <si>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</si>
  <si>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</si>
  <si>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</si>
  <si>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</si>
  <si>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</si>
  <si>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</si>
  <si>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</si>
  <si>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</si>
  <si>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</si>
  <si>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</si>
  <si>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</si>
  <si>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</si>
  <si>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</si>
  <si>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</si>
  <si>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</si>
  <si>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</si>
  <si>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</si>
  <si>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</si>
  <si>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</si>
  <si>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</si>
  <si>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</si>
  <si>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</si>
  <si>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</si>
  <si>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</si>
  <si>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</si>
  <si>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</si>
  <si>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</si>
  <si>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</si>
  <si>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</si>
  <si>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</si>
  <si>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</si>
  <si>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</si>
  <si>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</si>
  <si>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</si>
  <si>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</si>
  <si>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</si>
  <si>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</si>
  <si>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</si>
  <si>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</si>
  <si>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</si>
  <si>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</si>
  <si>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</si>
  <si>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</si>
  <si>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</si>
  <si>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</si>
  <si>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</si>
  <si>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</si>
  <si>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</si>
  <si>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</si>
  <si>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</si>
  <si>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</si>
  <si>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</si>
  <si>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</si>
  <si>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</si>
  <si>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</si>
  <si>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</si>
  <si>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</si>
  <si>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</si>
  <si>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</si>
  <si>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</si>
  <si>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</si>
  <si>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</si>
  <si>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</si>
  <si>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</si>
  <si>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</si>
  <si>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</si>
  <si>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</si>
  <si>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</si>
  <si>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</si>
  <si>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</si>
  <si>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</si>
  <si>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</si>
  <si>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</si>
  <si>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</si>
  <si>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</si>
  <si>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</si>
  <si>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</si>
  <si>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</si>
  <si>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</si>
  <si>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</si>
  <si>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</si>
  <si>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</si>
  <si>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</si>
  <si>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</si>
  <si>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</si>
  <si>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</si>
  <si>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</si>
  <si>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</si>
  <si>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</si>
  <si>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</si>
  <si>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</si>
  <si>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</si>
  <si>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</si>
  <si>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</si>
  <si>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</si>
  <si>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</si>
  <si>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</si>
  <si>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</si>
  <si>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</si>
  <si>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</si>
  <si>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</si>
  <si>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</si>
  <si>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</si>
  <si>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</si>
  <si>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</si>
  <si>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</si>
  <si>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</si>
  <si>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</si>
  <si>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</si>
  <si>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</si>
  <si>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</si>
  <si>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</si>
  <si>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</si>
  <si>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</si>
  <si>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</si>
  <si>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</si>
  <si>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</si>
  <si>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</si>
  <si>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</si>
  <si>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</si>
  <si>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</si>
  <si>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</si>
  <si>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</si>
  <si>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</si>
  <si>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</si>
  <si>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</si>
  <si>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</si>
  <si>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</si>
  <si>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</si>
  <si>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</si>
  <si>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</si>
  <si>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</si>
  <si>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</si>
  <si>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</si>
  <si>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</si>
  <si>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</si>
  <si>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</si>
  <si>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</si>
  <si>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</si>
  <si>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</si>
  <si>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</si>
  <si>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</si>
  <si>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</si>
  <si>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</si>
  <si>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고본</t>
    <phoneticPr fontId="5" type="noConversion"/>
  </si>
  <si>
    <t>복령</t>
    <phoneticPr fontId="5" type="noConversion"/>
  </si>
  <si>
    <t>황금</t>
    <phoneticPr fontId="5" type="noConversion"/>
  </si>
  <si>
    <t>감초</t>
    <phoneticPr fontId="5" type="noConversion"/>
  </si>
  <si>
    <t>세신</t>
    <phoneticPr fontId="5" type="noConversion"/>
  </si>
  <si>
    <t>홍화</t>
    <phoneticPr fontId="5" type="noConversion"/>
  </si>
  <si>
    <t>승마</t>
    <phoneticPr fontId="5" type="noConversion"/>
  </si>
  <si>
    <t>백작약</t>
    <phoneticPr fontId="5" type="noConversion"/>
  </si>
  <si>
    <t>방풍1</t>
    <phoneticPr fontId="5" type="noConversion"/>
  </si>
  <si>
    <t>당귀1</t>
    <phoneticPr fontId="5" type="noConversion"/>
  </si>
  <si>
    <t>천궁1</t>
    <phoneticPr fontId="5" type="noConversion"/>
  </si>
  <si>
    <t>황련</t>
    <phoneticPr fontId="5" type="noConversion"/>
  </si>
  <si>
    <t>생지황</t>
    <phoneticPr fontId="5" type="noConversion"/>
  </si>
  <si>
    <t>갈근1</t>
    <phoneticPr fontId="5" type="noConversion"/>
  </si>
  <si>
    <t>건지황</t>
    <phoneticPr fontId="5" type="noConversion"/>
  </si>
  <si>
    <t>창출1</t>
    <phoneticPr fontId="5" type="noConversion"/>
  </si>
  <si>
    <t>가미양혈음+갈금련</t>
    <phoneticPr fontId="5" type="noConversion"/>
  </si>
  <si>
    <t>박란</t>
    <phoneticPr fontId="5" type="noConversion"/>
  </si>
  <si>
    <t>F</t>
    <phoneticPr fontId="5" type="noConversion"/>
  </si>
  <si>
    <t>치자</t>
    <phoneticPr fontId="5" type="noConversion"/>
  </si>
  <si>
    <t xml:space="preserve">#원형탈모, 두통, 간헐적 속쓰림, 열리
가미양혈음+갈근, 황련, 창출, 치자
</t>
    <phoneticPr fontId="5" type="noConversion"/>
  </si>
  <si>
    <t>초</t>
    <phoneticPr fontId="5" type="noConversion"/>
  </si>
  <si>
    <t>토사자</t>
    <phoneticPr fontId="5" type="noConversion"/>
  </si>
  <si>
    <t>단삼</t>
    <phoneticPr fontId="5" type="noConversion"/>
  </si>
  <si>
    <t>황기</t>
    <phoneticPr fontId="5" type="noConversion"/>
  </si>
  <si>
    <t>파고지</t>
    <phoneticPr fontId="5" type="noConversion"/>
  </si>
  <si>
    <t>당삼</t>
    <phoneticPr fontId="5" type="noConversion"/>
  </si>
  <si>
    <t>고삼</t>
    <phoneticPr fontId="5" type="noConversion"/>
  </si>
  <si>
    <t>육미생발음가감</t>
    <phoneticPr fontId="5" type="noConversion"/>
  </si>
  <si>
    <t>적하수오</t>
    <phoneticPr fontId="5" type="noConversion"/>
  </si>
  <si>
    <t xml:space="preserve">#원형탈모, 두통, 간헐적 속쓰림, 열리
</t>
    <phoneticPr fontId="5" type="noConversion"/>
  </si>
  <si>
    <t>맥문동</t>
    <phoneticPr fontId="5" type="noConversion"/>
  </si>
  <si>
    <t>갈금황금황련탕</t>
    <phoneticPr fontId="5" type="noConversion"/>
  </si>
  <si>
    <t xml:space="preserve">주증상) 매운 음식 먹으면 상복부쓰림 + 설사
</t>
    <phoneticPr fontId="5" type="noConversion"/>
  </si>
  <si>
    <t>간위백합탕</t>
    <phoneticPr fontId="5" type="noConversion"/>
  </si>
  <si>
    <t>백합</t>
    <phoneticPr fontId="5" type="noConversion"/>
  </si>
  <si>
    <t>천련자</t>
    <phoneticPr fontId="5" type="noConversion"/>
  </si>
  <si>
    <t>오약</t>
    <phoneticPr fontId="5" type="noConversion"/>
  </si>
  <si>
    <t>시호1</t>
    <phoneticPr fontId="5" type="noConversion"/>
  </si>
  <si>
    <t>사삼</t>
    <phoneticPr fontId="5" type="noConversion"/>
  </si>
  <si>
    <t>강황</t>
    <phoneticPr fontId="5" type="noConversion"/>
  </si>
  <si>
    <t>간위백합탕 + 사삼</t>
    <phoneticPr fontId="5" type="noConversion"/>
  </si>
  <si>
    <t>유백피</t>
    <phoneticPr fontId="5" type="noConversion"/>
  </si>
  <si>
    <t>간위백합탕 + 사삼 유백피</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</si>
</sst>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9">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9" fontId="0" fillId="0" borderId="12" xfId="0" applyNumberFormat="1" applyBorder="1">
      <alignment vertical="center"/>
    </xf>
    <xf numFmtId="179" fontId="0" fillId="0" borderId="14" xfId="0" applyNumberFormat="1" applyBorder="1">
      <alignment vertical="center"/>
    </xf>
    <xf numFmtId="179" fontId="0" fillId="0" borderId="15"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15000</v>
          </cell>
          <cell r="E39">
            <v>16900</v>
          </cell>
          <cell r="F39">
            <v>29.8</v>
          </cell>
          <cell r="G39">
            <v>29</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60000</v>
          </cell>
          <cell r="D153">
            <v>30000</v>
          </cell>
          <cell r="E153">
            <v>69600</v>
          </cell>
          <cell r="F153">
            <v>0</v>
          </cell>
          <cell r="G153">
            <v>100</v>
          </cell>
          <cell r="H153">
            <v>100</v>
          </cell>
          <cell r="I153">
            <v>116</v>
          </cell>
          <cell r="J153">
            <v>116</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저령</v>
          </cell>
          <cell r="B157"/>
          <cell r="C157">
            <v>22500</v>
          </cell>
          <cell r="D157">
            <v>28000</v>
          </cell>
          <cell r="E157">
            <v>26900</v>
          </cell>
          <cell r="F157">
            <v>0</v>
          </cell>
          <cell r="G157">
            <v>45</v>
          </cell>
          <cell r="H157">
            <v>46.666666666666664</v>
          </cell>
          <cell r="I157">
            <v>44.833333333333336</v>
          </cell>
          <cell r="J157">
            <v>46.7</v>
          </cell>
        </row>
        <row r="158">
          <cell r="A158" t="str">
            <v>적복령</v>
          </cell>
          <cell r="B158"/>
          <cell r="C158"/>
          <cell r="D158">
            <v>9000</v>
          </cell>
          <cell r="E158"/>
          <cell r="F158">
            <v>0</v>
          </cell>
          <cell r="G158">
            <v>0</v>
          </cell>
          <cell r="H158">
            <v>15</v>
          </cell>
          <cell r="I158">
            <v>0</v>
          </cell>
          <cell r="J158">
            <v>15</v>
          </cell>
        </row>
        <row r="159">
          <cell r="A159" t="str">
            <v>적하수오</v>
          </cell>
          <cell r="B159"/>
          <cell r="C159">
            <v>20000</v>
          </cell>
          <cell r="D159">
            <v>20000</v>
          </cell>
          <cell r="E159"/>
          <cell r="F159">
            <v>0</v>
          </cell>
          <cell r="G159">
            <v>20</v>
          </cell>
          <cell r="H159">
            <v>20</v>
          </cell>
          <cell r="I159">
            <v>0</v>
          </cell>
          <cell r="J159">
            <v>20</v>
          </cell>
        </row>
        <row r="160">
          <cell r="A160" t="str">
            <v>전호</v>
          </cell>
          <cell r="B160"/>
          <cell r="C160">
            <v>11500</v>
          </cell>
          <cell r="D160">
            <v>16000</v>
          </cell>
          <cell r="E160">
            <v>16500</v>
          </cell>
          <cell r="F160">
            <v>0</v>
          </cell>
          <cell r="G160">
            <v>23</v>
          </cell>
          <cell r="H160">
            <v>26.666666666666668</v>
          </cell>
          <cell r="I160">
            <v>27.5</v>
          </cell>
          <cell r="J160">
            <v>23</v>
          </cell>
        </row>
        <row r="161">
          <cell r="A161" t="str">
            <v>정향</v>
          </cell>
          <cell r="B161"/>
          <cell r="C161"/>
          <cell r="D161"/>
          <cell r="E161"/>
          <cell r="F161">
            <v>0</v>
          </cell>
          <cell r="G161">
            <v>0</v>
          </cell>
          <cell r="H161">
            <v>0</v>
          </cell>
          <cell r="I161">
            <v>0</v>
          </cell>
        </row>
        <row r="162">
          <cell r="A162" t="str">
            <v>조협</v>
          </cell>
          <cell r="B162"/>
          <cell r="C162"/>
          <cell r="D162"/>
          <cell r="E162">
            <v>7800</v>
          </cell>
          <cell r="F162">
            <v>0</v>
          </cell>
          <cell r="G162">
            <v>0</v>
          </cell>
          <cell r="H162">
            <v>0</v>
          </cell>
          <cell r="I162">
            <v>13</v>
          </cell>
          <cell r="J162">
            <v>13</v>
          </cell>
        </row>
        <row r="163">
          <cell r="A163" t="str">
            <v>조구등</v>
          </cell>
          <cell r="B163"/>
          <cell r="C163">
            <v>8600</v>
          </cell>
          <cell r="D163">
            <v>11000</v>
          </cell>
          <cell r="E163"/>
          <cell r="F163">
            <v>0</v>
          </cell>
          <cell r="G163">
            <v>17.2</v>
          </cell>
          <cell r="H163">
            <v>18.333333333333332</v>
          </cell>
          <cell r="I163">
            <v>0</v>
          </cell>
          <cell r="J163">
            <v>18.3</v>
          </cell>
        </row>
        <row r="164">
          <cell r="A164" t="str">
            <v>죽여1</v>
          </cell>
          <cell r="B164"/>
          <cell r="C164">
            <v>8000</v>
          </cell>
          <cell r="D164"/>
          <cell r="E164">
            <v>10200</v>
          </cell>
          <cell r="F164">
            <v>0</v>
          </cell>
          <cell r="G164">
            <v>16</v>
          </cell>
          <cell r="H164">
            <v>0</v>
          </cell>
          <cell r="I164">
            <v>17</v>
          </cell>
          <cell r="J164">
            <v>15.4</v>
          </cell>
        </row>
        <row r="165">
          <cell r="A165" t="str">
            <v>죽여2</v>
          </cell>
          <cell r="B165"/>
          <cell r="C165">
            <v>3500</v>
          </cell>
          <cell r="D165">
            <v>4500</v>
          </cell>
          <cell r="E165"/>
          <cell r="F165">
            <v>0</v>
          </cell>
          <cell r="G165">
            <v>5.833333333333333</v>
          </cell>
          <cell r="H165">
            <v>7.5</v>
          </cell>
          <cell r="I165">
            <v>0</v>
          </cell>
        </row>
        <row r="166">
          <cell r="A166" t="str">
            <v>죽엽</v>
          </cell>
          <cell r="B166"/>
          <cell r="C166">
            <v>4500</v>
          </cell>
          <cell r="D166"/>
          <cell r="E166"/>
          <cell r="F166">
            <v>0</v>
          </cell>
          <cell r="G166">
            <v>7.5</v>
          </cell>
          <cell r="H166">
            <v>0</v>
          </cell>
          <cell r="I166">
            <v>0</v>
          </cell>
          <cell r="J166">
            <v>7.5</v>
          </cell>
        </row>
        <row r="167">
          <cell r="A167" t="str">
            <v>지각</v>
          </cell>
          <cell r="B167"/>
          <cell r="C167">
            <v>4800</v>
          </cell>
          <cell r="D167">
            <v>7000</v>
          </cell>
          <cell r="E167">
            <v>6000</v>
          </cell>
          <cell r="F167">
            <v>0</v>
          </cell>
          <cell r="G167">
            <v>9.6</v>
          </cell>
          <cell r="H167">
            <v>11.666666666666666</v>
          </cell>
          <cell r="I167">
            <v>10</v>
          </cell>
          <cell r="J167">
            <v>10</v>
          </cell>
        </row>
        <row r="168">
          <cell r="A168" t="str">
            <v>지골피</v>
          </cell>
          <cell r="B168"/>
          <cell r="C168">
            <v>10600</v>
          </cell>
          <cell r="D168">
            <v>14000</v>
          </cell>
          <cell r="E168">
            <v>14200</v>
          </cell>
          <cell r="F168">
            <v>0</v>
          </cell>
          <cell r="G168">
            <v>21.2</v>
          </cell>
          <cell r="H168">
            <v>23.333333333333332</v>
          </cell>
          <cell r="I168">
            <v>23.666666666666668</v>
          </cell>
          <cell r="J168">
            <v>21.7</v>
          </cell>
        </row>
        <row r="169">
          <cell r="A169" t="str">
            <v>지모</v>
          </cell>
          <cell r="B169"/>
          <cell r="C169">
            <v>7800</v>
          </cell>
          <cell r="D169">
            <v>11000</v>
          </cell>
          <cell r="E169">
            <v>9600</v>
          </cell>
          <cell r="F169">
            <v>0</v>
          </cell>
          <cell r="G169">
            <v>15.6</v>
          </cell>
          <cell r="H169">
            <v>18.333333333333332</v>
          </cell>
          <cell r="I169">
            <v>16</v>
          </cell>
          <cell r="J169">
            <v>16.7</v>
          </cell>
        </row>
        <row r="170">
          <cell r="A170" t="str">
            <v>지부자</v>
          </cell>
          <cell r="B170"/>
          <cell r="C170"/>
          <cell r="D170"/>
          <cell r="E170">
            <v>5600</v>
          </cell>
          <cell r="F170">
            <v>0</v>
          </cell>
          <cell r="G170">
            <v>0</v>
          </cell>
          <cell r="H170">
            <v>0</v>
          </cell>
          <cell r="I170">
            <v>9.3333333333333339</v>
          </cell>
          <cell r="J170">
            <v>9.3000000000000007</v>
          </cell>
        </row>
        <row r="171">
          <cell r="A171" t="str">
            <v>지실</v>
          </cell>
          <cell r="B171"/>
          <cell r="C171">
            <v>10000</v>
          </cell>
          <cell r="D171"/>
          <cell r="E171">
            <v>10000</v>
          </cell>
          <cell r="F171">
            <v>0</v>
          </cell>
          <cell r="G171">
            <v>20</v>
          </cell>
          <cell r="H171">
            <v>0</v>
          </cell>
          <cell r="I171">
            <v>16.666666666666668</v>
          </cell>
          <cell r="J171">
            <v>16.7</v>
          </cell>
        </row>
        <row r="172">
          <cell r="A172" t="str">
            <v>지유</v>
          </cell>
          <cell r="B172"/>
          <cell r="C172"/>
          <cell r="D172"/>
          <cell r="E172"/>
          <cell r="F172">
            <v>0</v>
          </cell>
          <cell r="G172">
            <v>0</v>
          </cell>
          <cell r="H172">
            <v>0</v>
          </cell>
          <cell r="I172">
            <v>0</v>
          </cell>
        </row>
        <row r="173">
          <cell r="A173" t="str">
            <v>진교</v>
          </cell>
          <cell r="B173"/>
          <cell r="C173">
            <v>9500</v>
          </cell>
          <cell r="D173">
            <v>14000</v>
          </cell>
          <cell r="E173"/>
          <cell r="F173">
            <v>0</v>
          </cell>
          <cell r="G173">
            <v>19</v>
          </cell>
          <cell r="H173">
            <v>23.333333333333332</v>
          </cell>
          <cell r="I173">
            <v>0</v>
          </cell>
          <cell r="J173">
            <v>23.3</v>
          </cell>
        </row>
        <row r="174">
          <cell r="A174" t="str">
            <v>진피1</v>
          </cell>
          <cell r="B174">
            <v>8800</v>
          </cell>
          <cell r="C174">
            <v>5100</v>
          </cell>
          <cell r="D174">
            <v>5800</v>
          </cell>
          <cell r="E174">
            <v>7000</v>
          </cell>
          <cell r="F174">
            <v>17.600000000000001</v>
          </cell>
          <cell r="G174">
            <v>10.199999999999999</v>
          </cell>
          <cell r="H174">
            <v>9.6666666666666661</v>
          </cell>
          <cell r="I174">
            <v>11.666666666666666</v>
          </cell>
          <cell r="J174">
            <v>17.600000000000001</v>
          </cell>
        </row>
        <row r="175">
          <cell r="A175" t="str">
            <v>진피2</v>
          </cell>
          <cell r="B175">
            <v>22500</v>
          </cell>
          <cell r="C175"/>
          <cell r="D175"/>
          <cell r="E175"/>
          <cell r="F175">
            <v>45</v>
          </cell>
          <cell r="G175">
            <v>0</v>
          </cell>
          <cell r="H175">
            <v>0</v>
          </cell>
          <cell r="I175">
            <v>0</v>
          </cell>
          <cell r="J175">
            <v>45</v>
          </cell>
        </row>
        <row r="176">
          <cell r="A176" t="str">
            <v>진피3</v>
          </cell>
          <cell r="B176"/>
          <cell r="C176"/>
          <cell r="D176"/>
          <cell r="E176"/>
          <cell r="F176">
            <v>0</v>
          </cell>
          <cell r="G176">
            <v>0</v>
          </cell>
          <cell r="H176">
            <v>0</v>
          </cell>
          <cell r="I176">
            <v>0</v>
          </cell>
          <cell r="J176"/>
        </row>
        <row r="177">
          <cell r="A177" t="str">
            <v>차전자</v>
          </cell>
          <cell r="B177"/>
          <cell r="C177">
            <v>5300</v>
          </cell>
          <cell r="D177">
            <v>14000</v>
          </cell>
          <cell r="E177"/>
          <cell r="F177">
            <v>0</v>
          </cell>
          <cell r="G177">
            <v>10.6</v>
          </cell>
          <cell r="H177">
            <v>23.333333333333332</v>
          </cell>
          <cell r="I177">
            <v>0</v>
          </cell>
          <cell r="J177">
            <v>23.3</v>
          </cell>
        </row>
        <row r="178">
          <cell r="A178" t="str">
            <v>창이자</v>
          </cell>
          <cell r="B178"/>
          <cell r="C178"/>
          <cell r="D178"/>
          <cell r="E178"/>
          <cell r="F178">
            <v>0</v>
          </cell>
          <cell r="G178">
            <v>0</v>
          </cell>
          <cell r="H178">
            <v>0</v>
          </cell>
          <cell r="I178">
            <v>0</v>
          </cell>
        </row>
        <row r="179">
          <cell r="A179" t="str">
            <v>창출1</v>
          </cell>
          <cell r="B179"/>
          <cell r="C179">
            <v>11000</v>
          </cell>
          <cell r="D179"/>
          <cell r="E179">
            <v>15000</v>
          </cell>
          <cell r="F179">
            <v>0</v>
          </cell>
          <cell r="G179">
            <v>22</v>
          </cell>
          <cell r="H179">
            <v>0</v>
          </cell>
          <cell r="I179">
            <v>25</v>
          </cell>
          <cell r="J179">
            <v>25</v>
          </cell>
        </row>
        <row r="180">
          <cell r="A180" t="str">
            <v>창출2</v>
          </cell>
          <cell r="B180">
            <v>31900</v>
          </cell>
          <cell r="C180"/>
          <cell r="D180">
            <v>17000</v>
          </cell>
          <cell r="E180">
            <v>25800</v>
          </cell>
          <cell r="F180">
            <v>63.8</v>
          </cell>
          <cell r="G180">
            <v>0</v>
          </cell>
          <cell r="H180">
            <v>28.333333333333332</v>
          </cell>
          <cell r="I180">
            <v>43</v>
          </cell>
          <cell r="J180">
            <v>43</v>
          </cell>
        </row>
        <row r="181">
          <cell r="A181" t="str">
            <v>천궁1</v>
          </cell>
          <cell r="B181"/>
          <cell r="C181">
            <v>5200</v>
          </cell>
          <cell r="D181">
            <v>14000</v>
          </cell>
          <cell r="E181">
            <v>6500</v>
          </cell>
          <cell r="F181">
            <v>0</v>
          </cell>
          <cell r="G181">
            <v>10.4</v>
          </cell>
          <cell r="H181">
            <v>23.333333333333332</v>
          </cell>
          <cell r="I181">
            <v>10.833333333333334</v>
          </cell>
          <cell r="J181">
            <v>10.8</v>
          </cell>
        </row>
        <row r="182">
          <cell r="A182" t="str">
            <v>천궁2</v>
          </cell>
          <cell r="B182"/>
          <cell r="C182"/>
          <cell r="D182"/>
          <cell r="E182">
            <v>12500</v>
          </cell>
          <cell r="F182">
            <v>0</v>
          </cell>
          <cell r="G182">
            <v>0</v>
          </cell>
          <cell r="H182">
            <v>0</v>
          </cell>
          <cell r="I182">
            <v>20.833333333333332</v>
          </cell>
          <cell r="J182">
            <v>20.8</v>
          </cell>
        </row>
        <row r="183">
          <cell r="A183" t="str">
            <v>천련자</v>
          </cell>
          <cell r="B183"/>
          <cell r="C183">
            <v>5800</v>
          </cell>
          <cell r="D183"/>
          <cell r="E183"/>
          <cell r="F183">
            <v>0</v>
          </cell>
          <cell r="G183">
            <v>11.6</v>
          </cell>
          <cell r="H183">
            <v>0</v>
          </cell>
          <cell r="I183">
            <v>0</v>
          </cell>
          <cell r="J183">
            <v>11.6</v>
          </cell>
        </row>
        <row r="184">
          <cell r="A184" t="str">
            <v>천마</v>
          </cell>
          <cell r="B184"/>
          <cell r="C184">
            <v>23500</v>
          </cell>
          <cell r="D184">
            <v>24000</v>
          </cell>
          <cell r="E184">
            <v>31700</v>
          </cell>
          <cell r="F184">
            <v>0</v>
          </cell>
          <cell r="G184">
            <v>47</v>
          </cell>
          <cell r="H184">
            <v>40</v>
          </cell>
          <cell r="I184">
            <v>52.833333333333336</v>
          </cell>
          <cell r="J184">
            <v>52.8</v>
          </cell>
        </row>
        <row r="185">
          <cell r="A185" t="str">
            <v>천문동</v>
          </cell>
          <cell r="B185"/>
          <cell r="C185">
            <v>13800</v>
          </cell>
          <cell r="D185"/>
          <cell r="E185">
            <v>17900</v>
          </cell>
          <cell r="F185">
            <v>0</v>
          </cell>
          <cell r="G185">
            <v>27.6</v>
          </cell>
          <cell r="H185">
            <v>0</v>
          </cell>
          <cell r="I185">
            <v>29.833333333333332</v>
          </cell>
          <cell r="J185">
            <v>29.8</v>
          </cell>
        </row>
        <row r="186">
          <cell r="A186" t="str">
            <v>천오</v>
          </cell>
          <cell r="B186"/>
          <cell r="C186">
            <v>11000</v>
          </cell>
          <cell r="D186"/>
          <cell r="E186">
            <v>11000</v>
          </cell>
          <cell r="F186">
            <v>0</v>
          </cell>
          <cell r="G186">
            <v>22</v>
          </cell>
          <cell r="H186">
            <v>0</v>
          </cell>
          <cell r="I186">
            <v>22</v>
          </cell>
          <cell r="J186">
            <v>22</v>
          </cell>
        </row>
        <row r="187">
          <cell r="A187" t="str">
            <v>천초</v>
          </cell>
          <cell r="B187"/>
          <cell r="C187"/>
          <cell r="D187"/>
          <cell r="E187">
            <v>11300</v>
          </cell>
          <cell r="F187"/>
          <cell r="G187"/>
          <cell r="H187"/>
          <cell r="I187">
            <v>22.6</v>
          </cell>
          <cell r="J187">
            <v>22.6</v>
          </cell>
        </row>
        <row r="188">
          <cell r="A188" t="str">
            <v>천화분</v>
          </cell>
          <cell r="B188"/>
          <cell r="C188">
            <v>11300</v>
          </cell>
          <cell r="D188"/>
          <cell r="E188">
            <v>14200</v>
          </cell>
          <cell r="F188">
            <v>0</v>
          </cell>
          <cell r="G188">
            <v>22.6</v>
          </cell>
          <cell r="H188">
            <v>0</v>
          </cell>
          <cell r="I188">
            <v>23.666666666666668</v>
          </cell>
          <cell r="J188">
            <v>22.6</v>
          </cell>
        </row>
        <row r="189">
          <cell r="A189" t="str">
            <v>청상자</v>
          </cell>
          <cell r="B189"/>
          <cell r="C189"/>
          <cell r="D189">
            <v>8500</v>
          </cell>
          <cell r="E189"/>
          <cell r="F189">
            <v>0</v>
          </cell>
          <cell r="G189">
            <v>0</v>
          </cell>
          <cell r="H189">
            <v>14.166666666666666</v>
          </cell>
          <cell r="I189">
            <v>0</v>
          </cell>
          <cell r="J189">
            <v>14.2</v>
          </cell>
        </row>
        <row r="190">
          <cell r="A190" t="str">
            <v>청피</v>
          </cell>
          <cell r="B190"/>
          <cell r="C190">
            <v>3300</v>
          </cell>
          <cell r="D190">
            <v>5800</v>
          </cell>
          <cell r="E190">
            <v>4400</v>
          </cell>
          <cell r="F190">
            <v>0</v>
          </cell>
          <cell r="G190">
            <v>6.6</v>
          </cell>
          <cell r="H190">
            <v>9.6666666666666661</v>
          </cell>
          <cell r="I190">
            <v>7.333333333333333</v>
          </cell>
          <cell r="J190">
            <v>7.3</v>
          </cell>
        </row>
        <row r="191">
          <cell r="A191" t="str">
            <v>초결</v>
          </cell>
          <cell r="B191"/>
          <cell r="C191"/>
          <cell r="D191"/>
          <cell r="E191"/>
          <cell r="F191">
            <v>0</v>
          </cell>
          <cell r="G191">
            <v>0</v>
          </cell>
          <cell r="H191">
            <v>0</v>
          </cell>
          <cell r="I191">
            <v>0</v>
          </cell>
        </row>
        <row r="192">
          <cell r="A192" t="str">
            <v>초과</v>
          </cell>
          <cell r="B192"/>
          <cell r="C192"/>
          <cell r="D192"/>
          <cell r="E192"/>
          <cell r="F192">
            <v>0</v>
          </cell>
          <cell r="G192">
            <v>0</v>
          </cell>
          <cell r="H192">
            <v>0</v>
          </cell>
          <cell r="I192">
            <v>0</v>
          </cell>
        </row>
        <row r="193">
          <cell r="A193" t="str">
            <v>초두구</v>
          </cell>
          <cell r="B193"/>
          <cell r="C193">
            <v>5800</v>
          </cell>
          <cell r="D193">
            <v>7000</v>
          </cell>
          <cell r="E193"/>
          <cell r="F193">
            <v>0</v>
          </cell>
          <cell r="G193">
            <v>11.6</v>
          </cell>
          <cell r="H193">
            <v>11.666666666666666</v>
          </cell>
          <cell r="I193">
            <v>0</v>
          </cell>
          <cell r="J193">
            <v>11.7</v>
          </cell>
        </row>
        <row r="194">
          <cell r="A194" t="str">
            <v>측백엽</v>
          </cell>
          <cell r="B194"/>
          <cell r="C194"/>
          <cell r="D194"/>
          <cell r="E194"/>
          <cell r="F194">
            <v>0</v>
          </cell>
          <cell r="G194">
            <v>0</v>
          </cell>
          <cell r="H194">
            <v>0</v>
          </cell>
          <cell r="I194">
            <v>0</v>
          </cell>
        </row>
        <row r="195">
          <cell r="A195" t="str">
            <v>치자</v>
          </cell>
          <cell r="B195">
            <v>10800</v>
          </cell>
          <cell r="C195">
            <v>9300</v>
          </cell>
          <cell r="D195">
            <v>7500</v>
          </cell>
          <cell r="E195">
            <v>11200</v>
          </cell>
          <cell r="F195">
            <v>21.6</v>
          </cell>
          <cell r="G195">
            <v>18.600000000000001</v>
          </cell>
          <cell r="H195">
            <v>12.5</v>
          </cell>
          <cell r="I195">
            <v>18.666666666666668</v>
          </cell>
          <cell r="J195">
            <v>26</v>
          </cell>
        </row>
        <row r="196">
          <cell r="A196" t="str">
            <v>택사1</v>
          </cell>
          <cell r="B196"/>
          <cell r="C196">
            <v>13200</v>
          </cell>
          <cell r="D196">
            <v>15000</v>
          </cell>
          <cell r="E196">
            <v>16900</v>
          </cell>
          <cell r="F196">
            <v>0</v>
          </cell>
          <cell r="G196">
            <v>26.4</v>
          </cell>
          <cell r="H196">
            <v>25</v>
          </cell>
          <cell r="I196">
            <v>28.166666666666668</v>
          </cell>
          <cell r="J196">
            <v>28.2</v>
          </cell>
        </row>
        <row r="197">
          <cell r="A197" t="str">
            <v>택사2</v>
          </cell>
          <cell r="B197"/>
          <cell r="C197">
            <v>5500</v>
          </cell>
          <cell r="D197"/>
          <cell r="E197"/>
          <cell r="F197"/>
          <cell r="G197">
            <v>11</v>
          </cell>
          <cell r="H197"/>
          <cell r="I197"/>
          <cell r="J197">
            <v>11</v>
          </cell>
        </row>
        <row r="198">
          <cell r="A198" t="str">
            <v>토사자</v>
          </cell>
          <cell r="B198"/>
          <cell r="C198">
            <v>10000</v>
          </cell>
          <cell r="D198">
            <v>10000</v>
          </cell>
          <cell r="E198">
            <v>10300</v>
          </cell>
          <cell r="F198">
            <v>0</v>
          </cell>
          <cell r="G198">
            <v>16.666666666666668</v>
          </cell>
          <cell r="H198">
            <v>16.666666666666668</v>
          </cell>
          <cell r="I198">
            <v>17.166666666666668</v>
          </cell>
          <cell r="J198">
            <v>17.2</v>
          </cell>
        </row>
        <row r="199">
          <cell r="A199" t="str">
            <v>파고지</v>
          </cell>
          <cell r="B199"/>
          <cell r="C199">
            <v>4700</v>
          </cell>
          <cell r="D199">
            <v>5500</v>
          </cell>
          <cell r="E199">
            <v>4700</v>
          </cell>
          <cell r="F199">
            <v>0</v>
          </cell>
          <cell r="G199">
            <v>7.833333333333333</v>
          </cell>
          <cell r="H199">
            <v>9.1666666666666661</v>
          </cell>
          <cell r="I199">
            <v>7.833333333333333</v>
          </cell>
          <cell r="J199">
            <v>9.1999999999999993</v>
          </cell>
        </row>
        <row r="200">
          <cell r="A200" t="str">
            <v>파극천</v>
          </cell>
          <cell r="B200"/>
          <cell r="C200">
            <v>21000</v>
          </cell>
          <cell r="D200">
            <v>25500</v>
          </cell>
          <cell r="E200">
            <v>25400</v>
          </cell>
          <cell r="F200">
            <v>0</v>
          </cell>
          <cell r="G200">
            <v>35</v>
          </cell>
          <cell r="H200">
            <v>42.5</v>
          </cell>
          <cell r="I200">
            <v>42.333333333333336</v>
          </cell>
          <cell r="J200">
            <v>35</v>
          </cell>
        </row>
        <row r="201">
          <cell r="A201" t="str">
            <v>패모</v>
          </cell>
          <cell r="B201"/>
          <cell r="C201">
            <v>19000</v>
          </cell>
          <cell r="D201">
            <v>19200</v>
          </cell>
          <cell r="E201">
            <v>19200</v>
          </cell>
          <cell r="F201">
            <v>0</v>
          </cell>
          <cell r="G201">
            <v>38</v>
          </cell>
          <cell r="H201">
            <v>32</v>
          </cell>
          <cell r="I201">
            <v>32</v>
          </cell>
          <cell r="J201">
            <v>32</v>
          </cell>
        </row>
        <row r="202">
          <cell r="A202" t="str">
            <v>편축</v>
          </cell>
          <cell r="B202"/>
          <cell r="C202"/>
          <cell r="D202"/>
          <cell r="E202"/>
          <cell r="F202">
            <v>0</v>
          </cell>
          <cell r="G202">
            <v>0</v>
          </cell>
          <cell r="H202">
            <v>0</v>
          </cell>
          <cell r="I202">
            <v>0</v>
          </cell>
        </row>
        <row r="203">
          <cell r="A203" t="str">
            <v>포공영</v>
          </cell>
          <cell r="B203"/>
          <cell r="C203">
            <v>5200</v>
          </cell>
          <cell r="D203"/>
          <cell r="E203">
            <v>5600</v>
          </cell>
          <cell r="F203">
            <v>0</v>
          </cell>
          <cell r="G203">
            <v>8.6666666666666661</v>
          </cell>
          <cell r="H203">
            <v>0</v>
          </cell>
          <cell r="I203">
            <v>9.3333333333333339</v>
          </cell>
          <cell r="J203">
            <v>8.6999999999999993</v>
          </cell>
        </row>
        <row r="204">
          <cell r="A204" t="str">
            <v>합환피</v>
          </cell>
          <cell r="B204"/>
          <cell r="C204">
            <v>4600</v>
          </cell>
          <cell r="D204"/>
          <cell r="E204">
            <v>10900</v>
          </cell>
          <cell r="F204">
            <v>0</v>
          </cell>
          <cell r="G204">
            <v>9.1999999999999993</v>
          </cell>
          <cell r="H204">
            <v>0</v>
          </cell>
          <cell r="I204">
            <v>18.166666666666668</v>
          </cell>
          <cell r="J204">
            <v>18.2</v>
          </cell>
        </row>
        <row r="205">
          <cell r="A205" t="str">
            <v>해동피</v>
          </cell>
          <cell r="B205"/>
          <cell r="C205">
            <v>4000</v>
          </cell>
          <cell r="D205">
            <v>5500</v>
          </cell>
          <cell r="E205">
            <v>5100</v>
          </cell>
          <cell r="F205">
            <v>0</v>
          </cell>
          <cell r="G205">
            <v>8</v>
          </cell>
          <cell r="H205">
            <v>9.1666666666666661</v>
          </cell>
          <cell r="I205">
            <v>8.5</v>
          </cell>
          <cell r="J205">
            <v>8</v>
          </cell>
        </row>
        <row r="206">
          <cell r="A206" t="str">
            <v>행인</v>
          </cell>
          <cell r="B206"/>
          <cell r="C206">
            <v>5900</v>
          </cell>
          <cell r="D206">
            <v>6500</v>
          </cell>
          <cell r="E206">
            <v>6900</v>
          </cell>
          <cell r="F206">
            <v>0</v>
          </cell>
          <cell r="G206">
            <v>11.8</v>
          </cell>
          <cell r="H206">
            <v>10.833333333333334</v>
          </cell>
          <cell r="I206">
            <v>11.5</v>
          </cell>
          <cell r="J206">
            <v>12</v>
          </cell>
        </row>
        <row r="207">
          <cell r="A207" t="str">
            <v>향부자</v>
          </cell>
          <cell r="B207"/>
          <cell r="C207">
            <v>7200</v>
          </cell>
          <cell r="D207">
            <v>9500</v>
          </cell>
          <cell r="E207">
            <v>8600</v>
          </cell>
          <cell r="F207">
            <v>0</v>
          </cell>
          <cell r="G207">
            <v>14.4</v>
          </cell>
          <cell r="H207">
            <v>15.833333333333334</v>
          </cell>
          <cell r="I207">
            <v>14.333333333333334</v>
          </cell>
          <cell r="J207">
            <v>14.7</v>
          </cell>
        </row>
        <row r="208">
          <cell r="A208" t="str">
            <v>향시</v>
          </cell>
          <cell r="B208"/>
          <cell r="C208"/>
          <cell r="D208"/>
          <cell r="E208">
            <v>39000</v>
          </cell>
          <cell r="F208">
            <v>0</v>
          </cell>
          <cell r="G208">
            <v>0</v>
          </cell>
          <cell r="H208">
            <v>0</v>
          </cell>
          <cell r="I208">
            <v>39</v>
          </cell>
          <cell r="J208">
            <v>39</v>
          </cell>
        </row>
        <row r="209">
          <cell r="A209" t="str">
            <v>현삼</v>
          </cell>
          <cell r="B209"/>
          <cell r="C209">
            <v>12000</v>
          </cell>
          <cell r="D209">
            <v>6000</v>
          </cell>
          <cell r="E209">
            <v>15300</v>
          </cell>
          <cell r="F209">
            <v>0</v>
          </cell>
          <cell r="G209">
            <v>24</v>
          </cell>
          <cell r="H209">
            <v>10</v>
          </cell>
          <cell r="I209">
            <v>25.5</v>
          </cell>
          <cell r="J209">
            <v>24</v>
          </cell>
        </row>
        <row r="210">
          <cell r="A210" t="str">
            <v>현호색</v>
          </cell>
          <cell r="B210"/>
          <cell r="C210">
            <v>14500</v>
          </cell>
          <cell r="D210">
            <v>37000</v>
          </cell>
          <cell r="E210">
            <v>35800</v>
          </cell>
          <cell r="F210">
            <v>0</v>
          </cell>
          <cell r="G210">
            <v>24.166666666666668</v>
          </cell>
          <cell r="H210">
            <v>61.666666666666664</v>
          </cell>
          <cell r="I210">
            <v>59.666666666666664</v>
          </cell>
          <cell r="J210">
            <v>59.7</v>
          </cell>
        </row>
        <row r="211">
          <cell r="A211" t="str">
            <v>형개</v>
          </cell>
          <cell r="B211"/>
          <cell r="C211">
            <v>8800</v>
          </cell>
          <cell r="D211"/>
          <cell r="E211">
            <v>10500</v>
          </cell>
          <cell r="F211">
            <v>0</v>
          </cell>
          <cell r="G211">
            <v>17.600000000000001</v>
          </cell>
          <cell r="H211">
            <v>0</v>
          </cell>
          <cell r="I211">
            <v>17.5</v>
          </cell>
          <cell r="J211">
            <v>17.600000000000001</v>
          </cell>
        </row>
        <row r="212">
          <cell r="A212" t="str">
            <v>홍화</v>
          </cell>
          <cell r="B212"/>
          <cell r="C212">
            <v>19500</v>
          </cell>
          <cell r="D212">
            <v>30000</v>
          </cell>
          <cell r="E212">
            <v>26000</v>
          </cell>
          <cell r="F212">
            <v>0</v>
          </cell>
          <cell r="G212">
            <v>39</v>
          </cell>
          <cell r="H212">
            <v>50</v>
          </cell>
          <cell r="I212">
            <v>43.333333333333336</v>
          </cell>
          <cell r="J212">
            <v>44.2</v>
          </cell>
        </row>
        <row r="213">
          <cell r="A213" t="str">
            <v>활석</v>
          </cell>
          <cell r="B213"/>
          <cell r="C213"/>
          <cell r="D213">
            <v>8500</v>
          </cell>
          <cell r="E213"/>
          <cell r="F213">
            <v>0</v>
          </cell>
          <cell r="G213">
            <v>0</v>
          </cell>
          <cell r="H213">
            <v>8.5</v>
          </cell>
          <cell r="I213">
            <v>0</v>
          </cell>
          <cell r="J213">
            <v>8.5</v>
          </cell>
        </row>
        <row r="214">
          <cell r="A214" t="str">
            <v>황금</v>
          </cell>
          <cell r="B214"/>
          <cell r="C214">
            <v>9000</v>
          </cell>
          <cell r="D214">
            <v>9000</v>
          </cell>
          <cell r="E214">
            <v>13500</v>
          </cell>
          <cell r="F214">
            <v>0</v>
          </cell>
          <cell r="G214">
            <v>18</v>
          </cell>
          <cell r="H214">
            <v>15</v>
          </cell>
          <cell r="I214">
            <v>22.5</v>
          </cell>
          <cell r="J214">
            <v>22.5</v>
          </cell>
        </row>
        <row r="215">
          <cell r="A215" t="str">
            <v>황기</v>
          </cell>
          <cell r="B215"/>
          <cell r="C215">
            <v>11000</v>
          </cell>
          <cell r="D215">
            <v>24000</v>
          </cell>
          <cell r="E215">
            <v>13400</v>
          </cell>
          <cell r="F215">
            <v>0</v>
          </cell>
          <cell r="G215">
            <v>22</v>
          </cell>
          <cell r="H215">
            <v>40</v>
          </cell>
          <cell r="I215">
            <v>22.333333333333332</v>
          </cell>
          <cell r="J215">
            <v>22</v>
          </cell>
        </row>
        <row r="216">
          <cell r="A216" t="str">
            <v>황련</v>
          </cell>
          <cell r="B216"/>
          <cell r="C216">
            <v>62000</v>
          </cell>
          <cell r="D216">
            <v>85000</v>
          </cell>
          <cell r="E216">
            <v>81900</v>
          </cell>
          <cell r="F216">
            <v>0</v>
          </cell>
          <cell r="G216">
            <v>124</v>
          </cell>
          <cell r="H216">
            <v>141.66666666666666</v>
          </cell>
          <cell r="I216">
            <v>136.5</v>
          </cell>
          <cell r="J216">
            <v>136.80000000000001</v>
          </cell>
        </row>
        <row r="217">
          <cell r="A217" t="str">
            <v>황백</v>
          </cell>
          <cell r="B217"/>
          <cell r="C217">
            <v>12800</v>
          </cell>
          <cell r="D217">
            <v>9500</v>
          </cell>
          <cell r="E217">
            <v>16600</v>
          </cell>
          <cell r="F217">
            <v>0</v>
          </cell>
          <cell r="G217">
            <v>25.6</v>
          </cell>
          <cell r="H217">
            <v>15.833333333333334</v>
          </cell>
          <cell r="I217">
            <v>27.666666666666668</v>
          </cell>
          <cell r="J217">
            <v>27.7</v>
          </cell>
        </row>
        <row r="218">
          <cell r="A218" t="str">
            <v>황정</v>
          </cell>
          <cell r="B218"/>
          <cell r="C218"/>
          <cell r="D218">
            <v>9500</v>
          </cell>
          <cell r="E218"/>
          <cell r="F218">
            <v>0</v>
          </cell>
          <cell r="G218">
            <v>0</v>
          </cell>
          <cell r="H218">
            <v>15.833333333333334</v>
          </cell>
          <cell r="I218">
            <v>0</v>
          </cell>
          <cell r="J218">
            <v>15.8</v>
          </cell>
        </row>
        <row r="219">
          <cell r="A219" t="str">
            <v>후박</v>
          </cell>
          <cell r="B219"/>
          <cell r="C219">
            <v>4100</v>
          </cell>
          <cell r="D219">
            <v>4500</v>
          </cell>
          <cell r="E219">
            <v>5300</v>
          </cell>
          <cell r="F219">
            <v>0</v>
          </cell>
          <cell r="G219">
            <v>8.1999999999999993</v>
          </cell>
          <cell r="H219">
            <v>7.5</v>
          </cell>
          <cell r="I219">
            <v>8.8333333333333339</v>
          </cell>
          <cell r="J219">
            <v>8.8000000000000007</v>
          </cell>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J2384"/>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EC1E5-EB6F-47C0-B6FF-410D18DB53FF}">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K1" s="152" t="s">
        <v>8</v>
      </c>
      <c r="L1" s="153"/>
      <c r="M1" s="154"/>
    </row>
    <row r="2" spans="2:13">
      <c r="B2" s="3">
        <v>1</v>
      </c>
      <c r="C2" t="s">
        <v>447</v>
      </c>
      <c r="D2" s="4"/>
      <c r="E2" s="147">
        <v>15</v>
      </c>
      <c r="F2" s="148">
        <f>E2*$L$15</f>
        <v>225</v>
      </c>
      <c r="G2">
        <f>VLOOKUP($C2,[1]약재관리!$A:$J,10,FALSE)</f>
        <v>16.7</v>
      </c>
      <c r="H2" s="5">
        <f>G2*E2</f>
        <v>250.5</v>
      </c>
      <c r="I2" s="90">
        <f>G2*E2</f>
        <v>250.5</v>
      </c>
      <c r="K2" s="7" t="s">
        <v>9</v>
      </c>
      <c r="L2" s="155">
        <v>92</v>
      </c>
      <c r="M2" s="156"/>
    </row>
    <row r="3" spans="2:13">
      <c r="B3" s="3">
        <v>2</v>
      </c>
      <c r="C3" t="s">
        <v>450</v>
      </c>
      <c r="D3" s="4"/>
      <c r="E3" s="149">
        <v>10</v>
      </c>
      <c r="F3" s="101">
        <f t="shared" ref="F3:F31" si="0">E3*$L$15</f>
        <v>150</v>
      </c>
      <c r="G3">
        <f>VLOOKUP($C3,[1]약재관리!$A:$J,10,FALSE)</f>
        <v>72.7</v>
      </c>
      <c r="H3" s="5">
        <f t="shared" ref="H3:H31" si="1">G3*E3</f>
        <v>727</v>
      </c>
      <c r="I3" s="6">
        <f>G3*E3</f>
        <v>727</v>
      </c>
      <c r="K3" s="8" t="s">
        <v>10</v>
      </c>
      <c r="L3" s="150" t="s">
        <v>446</v>
      </c>
      <c r="M3" s="151"/>
    </row>
    <row r="4" spans="2:13">
      <c r="B4" s="3">
        <v>3</v>
      </c>
      <c r="C4" t="s">
        <v>452</v>
      </c>
      <c r="D4" s="4"/>
      <c r="E4" s="149">
        <v>10</v>
      </c>
      <c r="F4" s="101">
        <f t="shared" si="0"/>
        <v>150</v>
      </c>
      <c r="G4">
        <f>VLOOKUP($C4,[1]약재관리!$A:$J,10,FALSE)</f>
        <v>8.3000000000000007</v>
      </c>
      <c r="H4" s="5">
        <f t="shared" si="1"/>
        <v>83</v>
      </c>
      <c r="I4" s="6">
        <f>G4*E4</f>
        <v>83</v>
      </c>
      <c r="K4" s="8" t="s">
        <v>11</v>
      </c>
      <c r="L4" s="157">
        <v>45975</v>
      </c>
      <c r="M4" s="151"/>
    </row>
    <row r="5" spans="2:13">
      <c r="B5" s="3">
        <v>4</v>
      </c>
      <c r="C5" t="s">
        <v>414</v>
      </c>
      <c r="D5" s="4"/>
      <c r="E5" s="149">
        <v>10</v>
      </c>
      <c r="F5" s="101">
        <f t="shared" si="0"/>
        <v>150</v>
      </c>
      <c r="G5">
        <f>VLOOKUP($C5,[1]약재관리!$A:$J,10,FALSE)</f>
        <v>22.5</v>
      </c>
      <c r="H5" s="5">
        <f t="shared" si="1"/>
        <v>225</v>
      </c>
      <c r="I5" s="6">
        <f t="shared" ref="I5:I31" si="2">G5*F5</f>
        <v>3375</v>
      </c>
      <c r="K5" s="8" t="s">
        <v>12</v>
      </c>
      <c r="L5" s="150" t="s">
        <v>429</v>
      </c>
      <c r="M5" s="151"/>
    </row>
    <row r="6" spans="2:13">
      <c r="B6" s="3">
        <v>5</v>
      </c>
      <c r="C6" t="s">
        <v>435</v>
      </c>
      <c r="D6" s="4"/>
      <c r="E6" s="149">
        <v>10</v>
      </c>
      <c r="F6" s="101">
        <f t="shared" si="0"/>
        <v>150</v>
      </c>
      <c r="G6">
        <f>VLOOKUP($C6,[1]약재관리!$A:$J,10,FALSE)</f>
        <v>12.5</v>
      </c>
      <c r="H6" s="5">
        <f t="shared" si="1"/>
        <v>125</v>
      </c>
      <c r="I6" s="6">
        <f t="shared" si="2"/>
        <v>1875</v>
      </c>
      <c r="K6" s="8" t="s">
        <v>13</v>
      </c>
      <c r="L6" s="150">
        <v>39</v>
      </c>
      <c r="M6" s="151"/>
    </row>
    <row r="7" spans="2:13" ht="17.25" thickBot="1">
      <c r="B7" s="3">
        <v>6</v>
      </c>
      <c r="C7" t="s">
        <v>448</v>
      </c>
      <c r="D7" s="4"/>
      <c r="E7" s="149">
        <v>10</v>
      </c>
      <c r="F7" s="101">
        <f t="shared" si="0"/>
        <v>150</v>
      </c>
      <c r="G7">
        <f>VLOOKUP($C7,[1]약재관리!$A:$J,10,FALSE)</f>
        <v>11.6</v>
      </c>
      <c r="H7" s="5">
        <f t="shared" si="1"/>
        <v>116</v>
      </c>
      <c r="I7" s="6">
        <f t="shared" si="2"/>
        <v>1740</v>
      </c>
      <c r="K7" s="8" t="s">
        <v>14</v>
      </c>
      <c r="L7" s="158" t="s">
        <v>430</v>
      </c>
      <c r="M7" s="159"/>
    </row>
    <row r="8" spans="2:13" ht="17.25" thickBot="1">
      <c r="B8" s="3">
        <v>7</v>
      </c>
      <c r="C8" t="s">
        <v>449</v>
      </c>
      <c r="D8" s="4"/>
      <c r="E8" s="149">
        <v>10</v>
      </c>
      <c r="F8" s="101">
        <f t="shared" si="0"/>
        <v>150</v>
      </c>
      <c r="G8">
        <f>VLOOKUP($C8,[1]약재관리!$A:$J,10,FALSE)</f>
        <v>9.1999999999999993</v>
      </c>
      <c r="H8" s="5">
        <f t="shared" si="1"/>
        <v>92</v>
      </c>
      <c r="I8" s="6">
        <f t="shared" si="2"/>
        <v>1380</v>
      </c>
      <c r="K8" s="152" t="s">
        <v>15</v>
      </c>
      <c r="L8" s="153"/>
      <c r="M8" s="154"/>
    </row>
    <row r="9" spans="2:13">
      <c r="B9" s="3">
        <v>8</v>
      </c>
      <c r="C9" t="s">
        <v>415</v>
      </c>
      <c r="D9" s="4"/>
      <c r="E9" s="149">
        <v>6</v>
      </c>
      <c r="F9" s="101">
        <f t="shared" si="0"/>
        <v>90</v>
      </c>
      <c r="G9">
        <f>VLOOKUP($C9,[1]약재관리!$A:$J,10,FALSE)</f>
        <v>28.3</v>
      </c>
      <c r="H9" s="5">
        <f t="shared" si="1"/>
        <v>169.8</v>
      </c>
      <c r="I9" s="6">
        <f t="shared" si="2"/>
        <v>2547</v>
      </c>
      <c r="K9" s="160" t="s">
        <v>455</v>
      </c>
      <c r="L9" s="161"/>
      <c r="M9" s="162"/>
    </row>
    <row r="10" spans="2:13">
      <c r="B10" s="3">
        <v>9</v>
      </c>
      <c r="C10" t="s">
        <v>451</v>
      </c>
      <c r="D10" s="4"/>
      <c r="E10" s="149">
        <v>10</v>
      </c>
      <c r="F10" s="101">
        <f t="shared" si="0"/>
        <v>150</v>
      </c>
      <c r="G10">
        <f>VLOOKUP($C10,[1]약재관리!$A:$J,10,FALSE)</f>
        <v>27.2</v>
      </c>
      <c r="H10" s="5">
        <f t="shared" si="1"/>
        <v>272</v>
      </c>
      <c r="I10" s="6">
        <f t="shared" si="2"/>
        <v>4080</v>
      </c>
      <c r="K10" s="163"/>
      <c r="L10" s="164"/>
      <c r="M10" s="165"/>
    </row>
    <row r="11" spans="2:13">
      <c r="B11" s="3">
        <v>10</v>
      </c>
      <c r="C11" t="s">
        <v>454</v>
      </c>
      <c r="D11" s="4"/>
      <c r="E11" s="149">
        <v>6</v>
      </c>
      <c r="F11" s="101">
        <f t="shared" si="0"/>
        <v>90</v>
      </c>
      <c r="G11">
        <f>VLOOKUP($C11,[1]약재관리!$A:$J,10,FALSE)</f>
        <v>33.6</v>
      </c>
      <c r="H11" s="5">
        <f t="shared" si="1"/>
        <v>201.60000000000002</v>
      </c>
      <c r="I11" s="6">
        <f t="shared" si="2"/>
        <v>3024</v>
      </c>
      <c r="K11" s="163"/>
      <c r="L11" s="164"/>
      <c r="M11" s="165"/>
    </row>
    <row r="12" spans="2:13">
      <c r="B12" s="3">
        <v>11</v>
      </c>
      <c r="D12" s="4"/>
      <c r="E12" s="149"/>
      <c r="F12" s="101">
        <f t="shared" si="0"/>
        <v>0</v>
      </c>
      <c r="H12" s="5">
        <f t="shared" si="1"/>
        <v>0</v>
      </c>
      <c r="I12" s="6">
        <f t="shared" si="2"/>
        <v>0</v>
      </c>
      <c r="K12" s="163"/>
      <c r="L12" s="164"/>
      <c r="M12" s="165"/>
    </row>
    <row r="13" spans="2:13" ht="17.25" thickBot="1">
      <c r="B13" s="3">
        <v>12</v>
      </c>
      <c r="D13" s="4"/>
      <c r="E13" s="149"/>
      <c r="F13" s="101">
        <f t="shared" si="0"/>
        <v>0</v>
      </c>
      <c r="H13" s="5">
        <f t="shared" si="1"/>
        <v>0</v>
      </c>
      <c r="I13" s="6">
        <f t="shared" si="2"/>
        <v>0</v>
      </c>
      <c r="K13" s="166"/>
      <c r="L13" s="167"/>
      <c r="M13" s="168"/>
    </row>
    <row r="14" spans="2:13">
      <c r="B14" s="3">
        <v>13</v>
      </c>
      <c r="D14" s="4"/>
      <c r="E14" s="149"/>
      <c r="F14" s="101">
        <f t="shared" si="0"/>
        <v>0</v>
      </c>
      <c r="H14" s="5">
        <f t="shared" si="1"/>
        <v>0</v>
      </c>
      <c r="I14" s="6">
        <f t="shared" si="2"/>
        <v>0</v>
      </c>
      <c r="K14" s="92" t="s">
        <v>16</v>
      </c>
      <c r="L14" s="9">
        <v>15</v>
      </c>
      <c r="M14" s="10" t="s">
        <v>17</v>
      </c>
    </row>
    <row r="15" spans="2:13">
      <c r="B15" s="3">
        <v>14</v>
      </c>
      <c r="D15" s="4"/>
      <c r="E15" s="149"/>
      <c r="F15" s="101">
        <f t="shared" si="0"/>
        <v>0</v>
      </c>
      <c r="H15" s="5">
        <f t="shared" si="1"/>
        <v>0</v>
      </c>
      <c r="I15" s="6">
        <f t="shared" si="2"/>
        <v>0</v>
      </c>
      <c r="K15" s="91" t="s">
        <v>18</v>
      </c>
      <c r="L15">
        <v>15</v>
      </c>
      <c r="M15" s="4" t="s">
        <v>19</v>
      </c>
    </row>
    <row r="16" spans="2:13">
      <c r="B16" s="3">
        <v>15</v>
      </c>
      <c r="D16" s="4"/>
      <c r="E16" s="149"/>
      <c r="F16" s="101">
        <f t="shared" si="0"/>
        <v>0</v>
      </c>
      <c r="H16" s="5">
        <f t="shared" si="1"/>
        <v>0</v>
      </c>
      <c r="I16" s="6">
        <f t="shared" si="2"/>
        <v>0</v>
      </c>
      <c r="K16" s="91" t="s">
        <v>20</v>
      </c>
      <c r="L16">
        <v>30</v>
      </c>
      <c r="M16" s="4" t="s">
        <v>21</v>
      </c>
    </row>
    <row r="17" spans="2:13" ht="17.25" thickBot="1">
      <c r="B17" s="3">
        <v>16</v>
      </c>
      <c r="D17" s="4"/>
      <c r="E17" s="149"/>
      <c r="F17" s="101">
        <f t="shared" si="0"/>
        <v>0</v>
      </c>
      <c r="H17" s="5">
        <f t="shared" si="1"/>
        <v>0</v>
      </c>
      <c r="I17" s="6">
        <f t="shared" si="2"/>
        <v>0</v>
      </c>
      <c r="K17" s="14" t="s">
        <v>22</v>
      </c>
      <c r="L17" s="11">
        <v>110</v>
      </c>
      <c r="M17" s="12" t="s">
        <v>23</v>
      </c>
    </row>
    <row r="18" spans="2:13">
      <c r="B18" s="3">
        <v>17</v>
      </c>
      <c r="D18" s="4"/>
      <c r="E18" s="149"/>
      <c r="F18" s="101">
        <f t="shared" si="0"/>
        <v>0</v>
      </c>
      <c r="H18" s="5">
        <f t="shared" si="1"/>
        <v>0</v>
      </c>
      <c r="I18" s="6">
        <f t="shared" si="2"/>
        <v>0</v>
      </c>
      <c r="K18" s="92" t="s">
        <v>24</v>
      </c>
      <c r="L18" s="9">
        <f>SUM(E2:E31)</f>
        <v>97</v>
      </c>
      <c r="M18" s="10" t="s">
        <v>25</v>
      </c>
    </row>
    <row r="19" spans="2:13">
      <c r="B19" s="3">
        <v>18</v>
      </c>
      <c r="D19" s="4"/>
      <c r="E19" s="149"/>
      <c r="F19" s="101">
        <f t="shared" si="0"/>
        <v>0</v>
      </c>
      <c r="H19" s="5">
        <f t="shared" si="1"/>
        <v>0</v>
      </c>
      <c r="I19" s="6">
        <f t="shared" si="2"/>
        <v>0</v>
      </c>
      <c r="K19" s="91" t="s">
        <v>26</v>
      </c>
      <c r="L19">
        <f>L15*L18</f>
        <v>1455</v>
      </c>
      <c r="M19" s="4" t="s">
        <v>25</v>
      </c>
    </row>
    <row r="20" spans="2:13" ht="17.25" thickBot="1">
      <c r="B20" s="3">
        <v>19</v>
      </c>
      <c r="D20" s="4"/>
      <c r="E20" s="149"/>
      <c r="F20" s="101">
        <f t="shared" si="0"/>
        <v>0</v>
      </c>
      <c r="H20" s="5">
        <f t="shared" si="1"/>
        <v>0</v>
      </c>
      <c r="I20" s="6">
        <f t="shared" si="2"/>
        <v>0</v>
      </c>
      <c r="K20" s="14" t="s">
        <v>27</v>
      </c>
      <c r="L20" s="11">
        <f>L16*L17+L19</f>
        <v>4755</v>
      </c>
      <c r="M20" s="12" t="s">
        <v>23</v>
      </c>
    </row>
    <row r="21" spans="2:13" ht="17.25" thickBot="1">
      <c r="B21" s="3">
        <v>20</v>
      </c>
      <c r="D21" s="4"/>
      <c r="E21" s="149"/>
      <c r="F21" s="101">
        <f t="shared" si="0"/>
        <v>0</v>
      </c>
      <c r="H21" s="5">
        <f t="shared" si="1"/>
        <v>0</v>
      </c>
      <c r="I21" s="6">
        <f t="shared" si="2"/>
        <v>0</v>
      </c>
      <c r="J21" s="91"/>
      <c r="M21" s="94"/>
    </row>
    <row r="22" spans="2:13" ht="17.25" thickBot="1">
      <c r="B22" s="3">
        <v>21</v>
      </c>
      <c r="D22" s="4"/>
      <c r="E22"/>
      <c r="F22" s="101">
        <f t="shared" si="0"/>
        <v>0</v>
      </c>
      <c r="H22" s="5">
        <f t="shared" si="1"/>
        <v>0</v>
      </c>
      <c r="I22" s="6">
        <f t="shared" si="2"/>
        <v>0</v>
      </c>
      <c r="K22" s="152" t="s">
        <v>386</v>
      </c>
      <c r="L22" s="153"/>
      <c r="M22" s="154"/>
    </row>
    <row r="23" spans="2:13">
      <c r="B23" s="3">
        <v>22</v>
      </c>
      <c r="D23" s="4"/>
      <c r="E23"/>
      <c r="F23" s="101">
        <f t="shared" si="0"/>
        <v>0</v>
      </c>
      <c r="H23" s="5">
        <f t="shared" si="1"/>
        <v>0</v>
      </c>
      <c r="I23" s="6">
        <f t="shared" si="2"/>
        <v>0</v>
      </c>
      <c r="K23" s="91" t="s">
        <v>380</v>
      </c>
      <c r="L23">
        <f>SUM(F2:F31)</f>
        <v>1455</v>
      </c>
      <c r="M23" s="4" t="s">
        <v>25</v>
      </c>
    </row>
    <row r="24" spans="2:13">
      <c r="B24" s="3">
        <v>23</v>
      </c>
      <c r="D24" s="4"/>
      <c r="E2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2" t="s">
        <v>385</v>
      </c>
      <c r="L29" s="153"/>
      <c r="M29" s="154"/>
    </row>
    <row r="30" spans="2:13">
      <c r="B30" s="3">
        <v>29</v>
      </c>
      <c r="D30" s="4"/>
      <c r="F30" s="101">
        <f t="shared" si="0"/>
        <v>0</v>
      </c>
      <c r="H30" s="5">
        <f t="shared" si="1"/>
        <v>0</v>
      </c>
      <c r="I30" s="6">
        <f t="shared" si="2"/>
        <v>0</v>
      </c>
      <c r="K30" s="91" t="s">
        <v>28</v>
      </c>
      <c r="L30" s="5">
        <f>SUM(H2:H31)</f>
        <v>2261.9</v>
      </c>
      <c r="M30" s="4" t="s">
        <v>384</v>
      </c>
    </row>
    <row r="31" spans="2:13" ht="17.25" thickBot="1">
      <c r="B31" s="13">
        <v>30</v>
      </c>
      <c r="C31" s="14"/>
      <c r="D31" s="12"/>
      <c r="E31" s="95"/>
      <c r="F31" s="102">
        <f t="shared" si="0"/>
        <v>0</v>
      </c>
      <c r="G31" s="11"/>
      <c r="H31" s="15">
        <f t="shared" si="1"/>
        <v>0</v>
      </c>
      <c r="I31" s="16">
        <f t="shared" si="2"/>
        <v>0</v>
      </c>
      <c r="K31" s="14" t="s">
        <v>383</v>
      </c>
      <c r="L31" s="15">
        <f>SUM(I2:I31)</f>
        <v>19081.5</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3A18F-0FE6-4BAE-BEC5-787E033C26F9}">
  <sheetPr>
    <pageSetUpPr fitToPage="1"/>
  </sheetPr>
  <dimension ref="B1:M31"/>
  <sheetViews>
    <sheetView topLeftCell="B1" workbookViewId="0">
      <selection activeCell="N17" sqref="N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K1" s="152" t="s">
        <v>8</v>
      </c>
      <c r="L1" s="153"/>
      <c r="M1" s="154"/>
    </row>
    <row r="2" spans="2:13">
      <c r="B2" s="3">
        <v>1</v>
      </c>
      <c r="C2" t="s">
        <v>447</v>
      </c>
      <c r="D2" s="4"/>
      <c r="E2" s="147">
        <v>10</v>
      </c>
      <c r="F2" s="148">
        <f>E2*$L$15</f>
        <v>200</v>
      </c>
      <c r="G2">
        <f>VLOOKUP($C2,[1]약재관리!$A:$J,10,FALSE)</f>
        <v>16.7</v>
      </c>
      <c r="H2" s="5">
        <f>G2*E2</f>
        <v>167</v>
      </c>
      <c r="I2" s="90">
        <f>G2*E2</f>
        <v>167</v>
      </c>
      <c r="K2" s="7" t="s">
        <v>9</v>
      </c>
      <c r="L2" s="155">
        <v>92</v>
      </c>
      <c r="M2" s="156"/>
    </row>
    <row r="3" spans="2:13">
      <c r="B3" s="3">
        <v>2</v>
      </c>
      <c r="C3" t="s">
        <v>450</v>
      </c>
      <c r="D3" s="4"/>
      <c r="E3" s="149">
        <v>6</v>
      </c>
      <c r="F3" s="101">
        <f t="shared" ref="F3:F31" si="0">E3*$L$15</f>
        <v>120</v>
      </c>
      <c r="G3">
        <f>VLOOKUP($C3,[1]약재관리!$A:$J,10,FALSE)</f>
        <v>72.7</v>
      </c>
      <c r="H3" s="5">
        <f t="shared" ref="H3:H31" si="1">G3*E3</f>
        <v>436.20000000000005</v>
      </c>
      <c r="I3" s="6">
        <f>G3*E3</f>
        <v>436.20000000000005</v>
      </c>
      <c r="K3" s="8" t="s">
        <v>10</v>
      </c>
      <c r="L3" s="150" t="s">
        <v>446</v>
      </c>
      <c r="M3" s="151"/>
    </row>
    <row r="4" spans="2:13">
      <c r="B4" s="3">
        <v>3</v>
      </c>
      <c r="C4" t="s">
        <v>452</v>
      </c>
      <c r="D4" s="4"/>
      <c r="E4" s="149">
        <v>6</v>
      </c>
      <c r="F4" s="101">
        <f t="shared" si="0"/>
        <v>120</v>
      </c>
      <c r="G4">
        <f>VLOOKUP($C4,[1]약재관리!$A:$J,10,FALSE)</f>
        <v>8.3000000000000007</v>
      </c>
      <c r="H4" s="5">
        <f t="shared" si="1"/>
        <v>49.800000000000004</v>
      </c>
      <c r="I4" s="6">
        <f>G4*E4</f>
        <v>49.800000000000004</v>
      </c>
      <c r="K4" s="8" t="s">
        <v>11</v>
      </c>
      <c r="L4" s="157">
        <v>45945</v>
      </c>
      <c r="M4" s="151"/>
    </row>
    <row r="5" spans="2:13">
      <c r="B5" s="3">
        <v>4</v>
      </c>
      <c r="C5" t="s">
        <v>414</v>
      </c>
      <c r="D5" s="4"/>
      <c r="E5" s="149">
        <v>6</v>
      </c>
      <c r="F5" s="101">
        <f t="shared" si="0"/>
        <v>120</v>
      </c>
      <c r="G5">
        <f>VLOOKUP($C5,[1]약재관리!$A:$J,10,FALSE)</f>
        <v>22.5</v>
      </c>
      <c r="H5" s="5">
        <f t="shared" si="1"/>
        <v>135</v>
      </c>
      <c r="I5" s="6">
        <f t="shared" ref="I5:I31" si="2">G5*F5</f>
        <v>2700</v>
      </c>
      <c r="K5" s="8" t="s">
        <v>12</v>
      </c>
      <c r="L5" s="150" t="s">
        <v>429</v>
      </c>
      <c r="M5" s="151"/>
    </row>
    <row r="6" spans="2:13">
      <c r="B6" s="3">
        <v>5</v>
      </c>
      <c r="C6" t="s">
        <v>435</v>
      </c>
      <c r="D6" s="4"/>
      <c r="E6" s="149">
        <v>6</v>
      </c>
      <c r="F6" s="101">
        <f t="shared" si="0"/>
        <v>120</v>
      </c>
      <c r="G6">
        <f>VLOOKUP($C6,[1]약재관리!$A:$J,10,FALSE)</f>
        <v>12.5</v>
      </c>
      <c r="H6" s="5">
        <f t="shared" si="1"/>
        <v>75</v>
      </c>
      <c r="I6" s="6">
        <f t="shared" si="2"/>
        <v>1500</v>
      </c>
      <c r="K6" s="8" t="s">
        <v>13</v>
      </c>
      <c r="L6" s="150">
        <v>39</v>
      </c>
      <c r="M6" s="151"/>
    </row>
    <row r="7" spans="2:13" ht="17.25" thickBot="1">
      <c r="B7" s="3">
        <v>6</v>
      </c>
      <c r="C7" t="s">
        <v>448</v>
      </c>
      <c r="D7" s="4"/>
      <c r="E7" s="149">
        <v>6</v>
      </c>
      <c r="F7" s="101">
        <f t="shared" si="0"/>
        <v>120</v>
      </c>
      <c r="G7">
        <f>VLOOKUP($C7,[1]약재관리!$A:$J,10,FALSE)</f>
        <v>11.6</v>
      </c>
      <c r="H7" s="5">
        <f t="shared" si="1"/>
        <v>69.599999999999994</v>
      </c>
      <c r="I7" s="6">
        <f t="shared" si="2"/>
        <v>1392</v>
      </c>
      <c r="K7" s="8" t="s">
        <v>14</v>
      </c>
      <c r="L7" s="158" t="s">
        <v>430</v>
      </c>
      <c r="M7" s="159"/>
    </row>
    <row r="8" spans="2:13" ht="17.25" thickBot="1">
      <c r="B8" s="3">
        <v>7</v>
      </c>
      <c r="C8" t="s">
        <v>449</v>
      </c>
      <c r="D8" s="4"/>
      <c r="E8" s="149">
        <v>6</v>
      </c>
      <c r="F8" s="101">
        <f t="shared" si="0"/>
        <v>120</v>
      </c>
      <c r="G8">
        <f>VLOOKUP($C8,[1]약재관리!$A:$J,10,FALSE)</f>
        <v>9.1999999999999993</v>
      </c>
      <c r="H8" s="5">
        <f t="shared" si="1"/>
        <v>55.199999999999996</v>
      </c>
      <c r="I8" s="6">
        <f t="shared" si="2"/>
        <v>1104</v>
      </c>
      <c r="K8" s="152" t="s">
        <v>15</v>
      </c>
      <c r="L8" s="153"/>
      <c r="M8" s="154"/>
    </row>
    <row r="9" spans="2:13">
      <c r="B9" s="3">
        <v>8</v>
      </c>
      <c r="C9" t="s">
        <v>415</v>
      </c>
      <c r="D9" s="4"/>
      <c r="E9" s="149">
        <v>4</v>
      </c>
      <c r="F9" s="101">
        <f t="shared" si="0"/>
        <v>80</v>
      </c>
      <c r="G9">
        <f>VLOOKUP($C9,[1]약재관리!$A:$J,10,FALSE)</f>
        <v>28.3</v>
      </c>
      <c r="H9" s="5">
        <f t="shared" si="1"/>
        <v>113.2</v>
      </c>
      <c r="I9" s="6">
        <f t="shared" si="2"/>
        <v>2264</v>
      </c>
      <c r="K9" s="160" t="s">
        <v>453</v>
      </c>
      <c r="L9" s="161"/>
      <c r="M9" s="162"/>
    </row>
    <row r="10" spans="2:13">
      <c r="B10" s="3">
        <v>9</v>
      </c>
      <c r="C10" t="s">
        <v>451</v>
      </c>
      <c r="D10" s="4"/>
      <c r="E10" s="149">
        <v>6</v>
      </c>
      <c r="F10" s="101">
        <f t="shared" si="0"/>
        <v>120</v>
      </c>
      <c r="G10">
        <f>VLOOKUP($C10,[1]약재관리!$A:$J,10,FALSE)</f>
        <v>27.2</v>
      </c>
      <c r="H10" s="5">
        <f t="shared" si="1"/>
        <v>163.19999999999999</v>
      </c>
      <c r="I10" s="6">
        <f t="shared" si="2"/>
        <v>3264</v>
      </c>
      <c r="K10" s="163"/>
      <c r="L10" s="164"/>
      <c r="M10" s="165"/>
    </row>
    <row r="11" spans="2:13">
      <c r="B11" s="3">
        <v>10</v>
      </c>
      <c r="D11" s="4"/>
      <c r="E11" s="149"/>
      <c r="F11" s="101">
        <f t="shared" si="0"/>
        <v>0</v>
      </c>
      <c r="H11" s="5">
        <f t="shared" si="1"/>
        <v>0</v>
      </c>
      <c r="I11" s="6">
        <f t="shared" si="2"/>
        <v>0</v>
      </c>
      <c r="K11" s="163"/>
      <c r="L11" s="164"/>
      <c r="M11" s="165"/>
    </row>
    <row r="12" spans="2:13">
      <c r="B12" s="3">
        <v>11</v>
      </c>
      <c r="D12" s="4"/>
      <c r="E12" s="149"/>
      <c r="F12" s="101">
        <f t="shared" si="0"/>
        <v>0</v>
      </c>
      <c r="H12" s="5">
        <f t="shared" si="1"/>
        <v>0</v>
      </c>
      <c r="I12" s="6">
        <f t="shared" si="2"/>
        <v>0</v>
      </c>
      <c r="K12" s="163"/>
      <c r="L12" s="164"/>
      <c r="M12" s="165"/>
    </row>
    <row r="13" spans="2:13" ht="17.25" thickBot="1">
      <c r="B13" s="3">
        <v>12</v>
      </c>
      <c r="D13" s="4"/>
      <c r="E13" s="149"/>
      <c r="F13" s="101">
        <f t="shared" si="0"/>
        <v>0</v>
      </c>
      <c r="H13" s="5">
        <f t="shared" si="1"/>
        <v>0</v>
      </c>
      <c r="I13" s="6">
        <f t="shared" si="2"/>
        <v>0</v>
      </c>
      <c r="K13" s="166"/>
      <c r="L13" s="167"/>
      <c r="M13" s="168"/>
    </row>
    <row r="14" spans="2:13">
      <c r="B14" s="3">
        <v>13</v>
      </c>
      <c r="D14" s="4"/>
      <c r="E14" s="149"/>
      <c r="F14" s="101">
        <f t="shared" si="0"/>
        <v>0</v>
      </c>
      <c r="H14" s="5">
        <f t="shared" si="1"/>
        <v>0</v>
      </c>
      <c r="I14" s="6">
        <f t="shared" si="2"/>
        <v>0</v>
      </c>
      <c r="K14" s="92" t="s">
        <v>16</v>
      </c>
      <c r="L14" s="9">
        <v>15</v>
      </c>
      <c r="M14" s="10" t="s">
        <v>17</v>
      </c>
    </row>
    <row r="15" spans="2:13">
      <c r="B15" s="3">
        <v>14</v>
      </c>
      <c r="D15" s="4"/>
      <c r="E15" s="149"/>
      <c r="F15" s="101">
        <f t="shared" si="0"/>
        <v>0</v>
      </c>
      <c r="H15" s="5">
        <f t="shared" si="1"/>
        <v>0</v>
      </c>
      <c r="I15" s="6">
        <f t="shared" si="2"/>
        <v>0</v>
      </c>
      <c r="K15" s="91" t="s">
        <v>18</v>
      </c>
      <c r="L15">
        <v>20</v>
      </c>
      <c r="M15" s="4" t="s">
        <v>19</v>
      </c>
    </row>
    <row r="16" spans="2:13">
      <c r="B16" s="3">
        <v>15</v>
      </c>
      <c r="D16" s="4"/>
      <c r="E16" s="149"/>
      <c r="F16" s="101">
        <f t="shared" si="0"/>
        <v>0</v>
      </c>
      <c r="H16" s="5">
        <f t="shared" si="1"/>
        <v>0</v>
      </c>
      <c r="I16" s="6">
        <f t="shared" si="2"/>
        <v>0</v>
      </c>
      <c r="K16" s="91" t="s">
        <v>20</v>
      </c>
      <c r="L16">
        <v>30</v>
      </c>
      <c r="M16" s="4" t="s">
        <v>21</v>
      </c>
    </row>
    <row r="17" spans="2:13" ht="17.25" thickBot="1">
      <c r="B17" s="3">
        <v>16</v>
      </c>
      <c r="D17" s="4"/>
      <c r="E17" s="149"/>
      <c r="F17" s="101">
        <f t="shared" si="0"/>
        <v>0</v>
      </c>
      <c r="H17" s="5">
        <f t="shared" si="1"/>
        <v>0</v>
      </c>
      <c r="I17" s="6">
        <f t="shared" si="2"/>
        <v>0</v>
      </c>
      <c r="K17" s="14" t="s">
        <v>22</v>
      </c>
      <c r="L17" s="11">
        <v>110</v>
      </c>
      <c r="M17" s="12" t="s">
        <v>23</v>
      </c>
    </row>
    <row r="18" spans="2:13">
      <c r="B18" s="3">
        <v>17</v>
      </c>
      <c r="D18" s="4"/>
      <c r="E18" s="149"/>
      <c r="F18" s="101">
        <f t="shared" si="0"/>
        <v>0</v>
      </c>
      <c r="H18" s="5">
        <f t="shared" si="1"/>
        <v>0</v>
      </c>
      <c r="I18" s="6">
        <f t="shared" si="2"/>
        <v>0</v>
      </c>
      <c r="K18" s="92" t="s">
        <v>24</v>
      </c>
      <c r="L18" s="9">
        <f>SUM(E2:E31)</f>
        <v>56</v>
      </c>
      <c r="M18" s="10" t="s">
        <v>25</v>
      </c>
    </row>
    <row r="19" spans="2:13">
      <c r="B19" s="3">
        <v>18</v>
      </c>
      <c r="D19" s="4"/>
      <c r="E19" s="149"/>
      <c r="F19" s="101">
        <f t="shared" si="0"/>
        <v>0</v>
      </c>
      <c r="H19" s="5">
        <f t="shared" si="1"/>
        <v>0</v>
      </c>
      <c r="I19" s="6">
        <f t="shared" si="2"/>
        <v>0</v>
      </c>
      <c r="K19" s="91" t="s">
        <v>26</v>
      </c>
      <c r="L19">
        <f>L15*L18</f>
        <v>1120</v>
      </c>
      <c r="M19" s="4" t="s">
        <v>25</v>
      </c>
    </row>
    <row r="20" spans="2:13" ht="17.25" thickBot="1">
      <c r="B20" s="3">
        <v>19</v>
      </c>
      <c r="D20" s="4"/>
      <c r="E20" s="149"/>
      <c r="F20" s="101">
        <f t="shared" si="0"/>
        <v>0</v>
      </c>
      <c r="H20" s="5">
        <f t="shared" si="1"/>
        <v>0</v>
      </c>
      <c r="I20" s="6">
        <f t="shared" si="2"/>
        <v>0</v>
      </c>
      <c r="K20" s="14" t="s">
        <v>27</v>
      </c>
      <c r="L20" s="11">
        <f>L16*L17+L19</f>
        <v>4420</v>
      </c>
      <c r="M20" s="12" t="s">
        <v>23</v>
      </c>
    </row>
    <row r="21" spans="2:13" ht="17.25" thickBot="1">
      <c r="B21" s="3">
        <v>20</v>
      </c>
      <c r="D21" s="4"/>
      <c r="E21" s="149"/>
      <c r="F21" s="101">
        <f t="shared" si="0"/>
        <v>0</v>
      </c>
      <c r="H21" s="5">
        <f t="shared" si="1"/>
        <v>0</v>
      </c>
      <c r="I21" s="6">
        <f t="shared" si="2"/>
        <v>0</v>
      </c>
      <c r="J21" s="91"/>
      <c r="M21" s="94"/>
    </row>
    <row r="22" spans="2:13" ht="17.25" thickBot="1">
      <c r="B22" s="3">
        <v>21</v>
      </c>
      <c r="D22" s="4"/>
      <c r="E22"/>
      <c r="F22" s="101">
        <f t="shared" si="0"/>
        <v>0</v>
      </c>
      <c r="H22" s="5">
        <f t="shared" si="1"/>
        <v>0</v>
      </c>
      <c r="I22" s="6">
        <f t="shared" si="2"/>
        <v>0</v>
      </c>
      <c r="K22" s="152" t="s">
        <v>386</v>
      </c>
      <c r="L22" s="153"/>
      <c r="M22" s="154"/>
    </row>
    <row r="23" spans="2:13">
      <c r="B23" s="3">
        <v>22</v>
      </c>
      <c r="D23" s="4"/>
      <c r="E23"/>
      <c r="F23" s="101">
        <f t="shared" si="0"/>
        <v>0</v>
      </c>
      <c r="H23" s="5">
        <f t="shared" si="1"/>
        <v>0</v>
      </c>
      <c r="I23" s="6">
        <f t="shared" si="2"/>
        <v>0</v>
      </c>
      <c r="K23" s="91" t="s">
        <v>380</v>
      </c>
      <c r="L23">
        <f>SUM(F2:F31)</f>
        <v>1120</v>
      </c>
      <c r="M23" s="4" t="s">
        <v>25</v>
      </c>
    </row>
    <row r="24" spans="2:13">
      <c r="B24" s="3">
        <v>23</v>
      </c>
      <c r="D24" s="4"/>
      <c r="E2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2" t="s">
        <v>385</v>
      </c>
      <c r="L29" s="153"/>
      <c r="M29" s="154"/>
    </row>
    <row r="30" spans="2:13">
      <c r="B30" s="3">
        <v>29</v>
      </c>
      <c r="D30" s="4"/>
      <c r="F30" s="101">
        <f t="shared" si="0"/>
        <v>0</v>
      </c>
      <c r="H30" s="5">
        <f t="shared" si="1"/>
        <v>0</v>
      </c>
      <c r="I30" s="6">
        <f t="shared" si="2"/>
        <v>0</v>
      </c>
      <c r="K30" s="91" t="s">
        <v>28</v>
      </c>
      <c r="L30" s="5">
        <f>SUM(H2:H31)</f>
        <v>1264.2</v>
      </c>
      <c r="M30" s="4" t="s">
        <v>384</v>
      </c>
    </row>
    <row r="31" spans="2:13" ht="17.25" thickBot="1">
      <c r="B31" s="13">
        <v>30</v>
      </c>
      <c r="C31" s="14"/>
      <c r="D31" s="12"/>
      <c r="E31" s="95"/>
      <c r="F31" s="102">
        <f t="shared" si="0"/>
        <v>0</v>
      </c>
      <c r="G31" s="11"/>
      <c r="H31" s="15">
        <f t="shared" si="1"/>
        <v>0</v>
      </c>
      <c r="I31" s="16">
        <f t="shared" si="2"/>
        <v>0</v>
      </c>
      <c r="K31" s="14" t="s">
        <v>383</v>
      </c>
      <c r="L31" s="15">
        <f>SUM(I2:I31)</f>
        <v>12877</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2CF0-BE8D-4B04-9049-3B25183F8371}">
  <sheetPr>
    <pageSetUpPr fitToPage="1"/>
  </sheetPr>
  <dimension ref="B1:M31"/>
  <sheetViews>
    <sheetView workbookViewId="0">
      <selection activeCell="L14" sqref="L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2" t="s">
        <v>8</v>
      </c>
      <c r="L1" s="153"/>
      <c r="M1" s="154"/>
    </row>
    <row r="2" spans="2:13">
      <c r="B2" s="3">
        <v>1</v>
      </c>
      <c r="C2" t="s">
        <v>425</v>
      </c>
      <c r="D2" s="4"/>
      <c r="E2" s="88">
        <v>16</v>
      </c>
      <c r="F2" s="101">
        <f>E2*$L$15</f>
        <v>320</v>
      </c>
      <c r="G2">
        <f>VLOOKUP($C2,약재관리!A:J,10,FALSE)</f>
        <v>16.5</v>
      </c>
      <c r="H2" s="5">
        <f>G2*E2</f>
        <v>264</v>
      </c>
      <c r="I2" s="90">
        <f>G2*F2</f>
        <v>5280</v>
      </c>
      <c r="K2" s="7" t="s">
        <v>9</v>
      </c>
      <c r="L2" s="155">
        <v>92</v>
      </c>
      <c r="M2" s="156"/>
    </row>
    <row r="3" spans="2:13">
      <c r="B3" s="3">
        <v>2</v>
      </c>
      <c r="C3" t="s">
        <v>414</v>
      </c>
      <c r="D3" s="4"/>
      <c r="E3" s="88">
        <v>6</v>
      </c>
      <c r="F3" s="101">
        <f t="shared" ref="F3:F31" si="0">E3*$L$15</f>
        <v>120</v>
      </c>
      <c r="G3">
        <f>VLOOKUP($C3,약재관리!A:J,10,FALSE)</f>
        <v>22.5</v>
      </c>
      <c r="H3" s="5">
        <f t="shared" ref="H3:H31" si="1">G3*E3</f>
        <v>135</v>
      </c>
      <c r="I3" s="6">
        <f t="shared" ref="I3:I31" si="2">G3*F3</f>
        <v>2700</v>
      </c>
      <c r="K3" s="8" t="s">
        <v>10</v>
      </c>
      <c r="L3" s="150" t="s">
        <v>444</v>
      </c>
      <c r="M3" s="151"/>
    </row>
    <row r="4" spans="2:13">
      <c r="B4" s="3">
        <v>3</v>
      </c>
      <c r="C4" t="s">
        <v>423</v>
      </c>
      <c r="D4" s="4"/>
      <c r="E4" s="88">
        <v>6</v>
      </c>
      <c r="F4" s="101">
        <f t="shared" si="0"/>
        <v>120</v>
      </c>
      <c r="G4">
        <f>VLOOKUP($C4,약재관리!A:J,10,FALSE)</f>
        <v>136.80000000000001</v>
      </c>
      <c r="H4" s="5">
        <f t="shared" si="1"/>
        <v>820.80000000000007</v>
      </c>
      <c r="I4" s="6">
        <f t="shared" si="2"/>
        <v>16416</v>
      </c>
      <c r="K4" s="8" t="s">
        <v>11</v>
      </c>
      <c r="L4" s="157">
        <v>45931</v>
      </c>
      <c r="M4" s="151"/>
    </row>
    <row r="5" spans="2:13">
      <c r="B5" s="3">
        <v>4</v>
      </c>
      <c r="C5" t="s">
        <v>415</v>
      </c>
      <c r="D5" s="4"/>
      <c r="E5" s="88">
        <v>4</v>
      </c>
      <c r="F5" s="101">
        <f t="shared" si="0"/>
        <v>80</v>
      </c>
      <c r="G5">
        <f>VLOOKUP($C5,약재관리!A:J,10,FALSE)</f>
        <v>28.3</v>
      </c>
      <c r="H5" s="5">
        <f t="shared" si="1"/>
        <v>113.2</v>
      </c>
      <c r="I5" s="6">
        <f t="shared" si="2"/>
        <v>2264</v>
      </c>
      <c r="K5" s="8" t="s">
        <v>12</v>
      </c>
      <c r="L5" s="150" t="s">
        <v>429</v>
      </c>
      <c r="M5" s="151"/>
    </row>
    <row r="6" spans="2:13">
      <c r="B6" s="3">
        <v>5</v>
      </c>
      <c r="D6" s="4"/>
      <c r="F6" s="101">
        <f t="shared" si="0"/>
        <v>0</v>
      </c>
      <c r="H6" s="5">
        <f t="shared" si="1"/>
        <v>0</v>
      </c>
      <c r="I6" s="6">
        <f t="shared" si="2"/>
        <v>0</v>
      </c>
      <c r="K6" s="8" t="s">
        <v>13</v>
      </c>
      <c r="L6" s="150">
        <v>39</v>
      </c>
      <c r="M6" s="151"/>
    </row>
    <row r="7" spans="2:13" ht="17.25" thickBot="1">
      <c r="B7" s="3">
        <v>6</v>
      </c>
      <c r="D7" s="4"/>
      <c r="F7" s="101">
        <f t="shared" si="0"/>
        <v>0</v>
      </c>
      <c r="H7" s="5">
        <f t="shared" si="1"/>
        <v>0</v>
      </c>
      <c r="I7" s="6">
        <f t="shared" si="2"/>
        <v>0</v>
      </c>
      <c r="K7" s="8" t="s">
        <v>14</v>
      </c>
      <c r="L7" s="158" t="s">
        <v>430</v>
      </c>
      <c r="M7" s="159"/>
    </row>
    <row r="8" spans="2:13" ht="17.25" thickBot="1">
      <c r="B8" s="3">
        <v>7</v>
      </c>
      <c r="D8" s="4"/>
      <c r="F8" s="101">
        <f t="shared" si="0"/>
        <v>0</v>
      </c>
      <c r="H8" s="5">
        <f t="shared" si="1"/>
        <v>0</v>
      </c>
      <c r="I8" s="6">
        <f t="shared" si="2"/>
        <v>0</v>
      </c>
      <c r="K8" s="152" t="s">
        <v>15</v>
      </c>
      <c r="L8" s="153"/>
      <c r="M8" s="154"/>
    </row>
    <row r="9" spans="2:13">
      <c r="B9" s="3">
        <v>8</v>
      </c>
      <c r="D9" s="4"/>
      <c r="F9" s="101">
        <f t="shared" si="0"/>
        <v>0</v>
      </c>
      <c r="H9" s="5">
        <f t="shared" si="1"/>
        <v>0</v>
      </c>
      <c r="I9" s="6">
        <f t="shared" si="2"/>
        <v>0</v>
      </c>
      <c r="K9" s="160" t="s">
        <v>445</v>
      </c>
      <c r="L9" s="161"/>
      <c r="M9" s="162"/>
    </row>
    <row r="10" spans="2:13">
      <c r="B10" s="3">
        <v>9</v>
      </c>
      <c r="D10" s="4"/>
      <c r="F10" s="101">
        <f t="shared" si="0"/>
        <v>0</v>
      </c>
      <c r="H10" s="5">
        <f t="shared" si="1"/>
        <v>0</v>
      </c>
      <c r="I10" s="6">
        <f t="shared" si="2"/>
        <v>0</v>
      </c>
      <c r="K10" s="163"/>
      <c r="L10" s="164"/>
      <c r="M10" s="165"/>
    </row>
    <row r="11" spans="2:13">
      <c r="B11" s="3">
        <v>10</v>
      </c>
      <c r="D11" s="4"/>
      <c r="F11" s="101">
        <f t="shared" si="0"/>
        <v>0</v>
      </c>
      <c r="H11" s="5">
        <f t="shared" si="1"/>
        <v>0</v>
      </c>
      <c r="I11" s="6">
        <f t="shared" si="2"/>
        <v>0</v>
      </c>
      <c r="K11" s="163"/>
      <c r="L11" s="164"/>
      <c r="M11" s="165"/>
    </row>
    <row r="12" spans="2:13">
      <c r="B12" s="3">
        <v>11</v>
      </c>
      <c r="D12" s="4"/>
      <c r="F12" s="101">
        <f t="shared" si="0"/>
        <v>0</v>
      </c>
      <c r="H12" s="5">
        <f t="shared" si="1"/>
        <v>0</v>
      </c>
      <c r="I12" s="6">
        <f t="shared" si="2"/>
        <v>0</v>
      </c>
      <c r="K12" s="163"/>
      <c r="L12" s="164"/>
      <c r="M12" s="165"/>
    </row>
    <row r="13" spans="2:13" ht="17.25" thickBot="1">
      <c r="B13" s="3">
        <v>12</v>
      </c>
      <c r="D13" s="4"/>
      <c r="F13" s="101">
        <f t="shared" si="0"/>
        <v>0</v>
      </c>
      <c r="H13" s="5">
        <f t="shared" si="1"/>
        <v>0</v>
      </c>
      <c r="I13" s="6">
        <f t="shared" si="2"/>
        <v>0</v>
      </c>
      <c r="K13" s="166"/>
      <c r="L13" s="167"/>
      <c r="M13" s="168"/>
    </row>
    <row r="14" spans="2:13">
      <c r="B14" s="3">
        <v>13</v>
      </c>
      <c r="D14" s="4"/>
      <c r="F14" s="101">
        <f t="shared" si="0"/>
        <v>0</v>
      </c>
      <c r="H14" s="5">
        <f>G14*E14</f>
        <v>0</v>
      </c>
      <c r="I14" s="6">
        <f>G14*F14</f>
        <v>0</v>
      </c>
      <c r="K14" s="92" t="s">
        <v>16</v>
      </c>
      <c r="L14" s="9">
        <v>15</v>
      </c>
      <c r="M14" s="10" t="s">
        <v>17</v>
      </c>
    </row>
    <row r="15" spans="2:13">
      <c r="B15" s="3">
        <v>14</v>
      </c>
      <c r="D15" s="4"/>
      <c r="F15" s="101">
        <f t="shared" si="0"/>
        <v>0</v>
      </c>
      <c r="H15" s="5">
        <f>G15*E15</f>
        <v>0</v>
      </c>
      <c r="I15" s="6">
        <f>G15*F15</f>
        <v>0</v>
      </c>
      <c r="K15" s="91" t="s">
        <v>18</v>
      </c>
      <c r="L15">
        <v>20</v>
      </c>
      <c r="M15" s="4" t="s">
        <v>19</v>
      </c>
    </row>
    <row r="16" spans="2:13">
      <c r="B16" s="3">
        <v>15</v>
      </c>
      <c r="D16" s="4"/>
      <c r="F16" s="101">
        <f t="shared" si="0"/>
        <v>0</v>
      </c>
      <c r="H16" s="5">
        <f t="shared" si="1"/>
        <v>0</v>
      </c>
      <c r="I16" s="6">
        <f t="shared" si="2"/>
        <v>0</v>
      </c>
      <c r="K16" s="91" t="s">
        <v>20</v>
      </c>
      <c r="L16">
        <v>30</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32</v>
      </c>
      <c r="M18" s="10" t="s">
        <v>25</v>
      </c>
    </row>
    <row r="19" spans="2:13">
      <c r="B19" s="3">
        <v>18</v>
      </c>
      <c r="D19" s="4"/>
      <c r="F19" s="101">
        <f t="shared" si="0"/>
        <v>0</v>
      </c>
      <c r="H19" s="5">
        <f t="shared" si="1"/>
        <v>0</v>
      </c>
      <c r="I19" s="6">
        <f t="shared" si="2"/>
        <v>0</v>
      </c>
      <c r="K19" s="91" t="s">
        <v>26</v>
      </c>
      <c r="L19">
        <f>L15*L18</f>
        <v>640</v>
      </c>
      <c r="M19" s="4" t="s">
        <v>25</v>
      </c>
    </row>
    <row r="20" spans="2:13" ht="17.25" thickBot="1">
      <c r="B20" s="3">
        <v>19</v>
      </c>
      <c r="D20" s="4"/>
      <c r="F20" s="101">
        <f t="shared" si="0"/>
        <v>0</v>
      </c>
      <c r="H20" s="5">
        <f t="shared" si="1"/>
        <v>0</v>
      </c>
      <c r="I20" s="6">
        <f t="shared" si="2"/>
        <v>0</v>
      </c>
      <c r="K20" s="14" t="s">
        <v>27</v>
      </c>
      <c r="L20" s="11">
        <f>L16*L17+L19</f>
        <v>3940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2" t="s">
        <v>386</v>
      </c>
      <c r="L22" s="153"/>
      <c r="M22" s="154"/>
    </row>
    <row r="23" spans="2:13">
      <c r="B23" s="3">
        <v>22</v>
      </c>
      <c r="D23" s="4"/>
      <c r="F23" s="101">
        <f t="shared" si="0"/>
        <v>0</v>
      </c>
      <c r="H23" s="5">
        <f t="shared" si="1"/>
        <v>0</v>
      </c>
      <c r="I23" s="6">
        <f t="shared" si="2"/>
        <v>0</v>
      </c>
      <c r="K23" s="91" t="s">
        <v>380</v>
      </c>
      <c r="L23">
        <f>SUM(F2:F31)</f>
        <v>640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2" t="s">
        <v>385</v>
      </c>
      <c r="L29" s="153"/>
      <c r="M29" s="154"/>
    </row>
    <row r="30" spans="2:13">
      <c r="B30" s="3">
        <v>29</v>
      </c>
      <c r="D30" s="4"/>
      <c r="F30" s="101">
        <f t="shared" si="0"/>
        <v>0</v>
      </c>
      <c r="H30" s="5">
        <f t="shared" si="1"/>
        <v>0</v>
      </c>
      <c r="I30" s="6">
        <f t="shared" si="2"/>
        <v>0</v>
      </c>
      <c r="K30" s="91" t="s">
        <v>28</v>
      </c>
      <c r="L30" s="5">
        <f>SUM(H2:H31)</f>
        <v>1333.0000000000002</v>
      </c>
      <c r="M30" s="4" t="s">
        <v>384</v>
      </c>
    </row>
    <row r="31" spans="2:13" ht="17.25" thickBot="1">
      <c r="B31" s="13">
        <v>30</v>
      </c>
      <c r="C31" s="14"/>
      <c r="D31" s="12"/>
      <c r="E31" s="95"/>
      <c r="F31" s="102">
        <f t="shared" si="0"/>
        <v>0</v>
      </c>
      <c r="G31" s="11"/>
      <c r="H31" s="15">
        <f t="shared" si="1"/>
        <v>0</v>
      </c>
      <c r="I31" s="16">
        <f t="shared" si="2"/>
        <v>0</v>
      </c>
      <c r="K31" s="14" t="s">
        <v>383</v>
      </c>
      <c r="L31" s="15">
        <f>SUM(I2:I31)</f>
        <v>26660</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B405-D70A-42C2-ABA5-AB077161AEE1}">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2" t="s">
        <v>8</v>
      </c>
      <c r="L1" s="153"/>
      <c r="M1" s="154"/>
    </row>
    <row r="2" spans="2:13">
      <c r="B2" s="3">
        <v>1</v>
      </c>
      <c r="C2" t="s">
        <v>424</v>
      </c>
      <c r="D2" s="4"/>
      <c r="E2" s="88">
        <v>10</v>
      </c>
      <c r="F2" s="101">
        <f>E2*$L$15</f>
        <v>200</v>
      </c>
      <c r="G2">
        <f>VLOOKUP($C2,약재관리!A:J,10,FALSE)</f>
        <v>17.399999999999999</v>
      </c>
      <c r="H2" s="5">
        <f>G2*E2</f>
        <v>174</v>
      </c>
      <c r="I2" s="90">
        <f>G2*F2</f>
        <v>3479.9999999999995</v>
      </c>
      <c r="K2" s="7" t="s">
        <v>9</v>
      </c>
      <c r="L2" s="155">
        <v>92</v>
      </c>
      <c r="M2" s="156"/>
    </row>
    <row r="3" spans="2:13">
      <c r="B3" s="3">
        <v>2</v>
      </c>
      <c r="C3" t="s">
        <v>438</v>
      </c>
      <c r="D3" s="4"/>
      <c r="E3" s="88">
        <v>4</v>
      </c>
      <c r="F3" s="101">
        <f t="shared" ref="F3:F31" si="0">E3*$L$15</f>
        <v>80</v>
      </c>
      <c r="G3">
        <f>VLOOKUP($C3,약재관리!A:J,10,FALSE)</f>
        <v>43.3</v>
      </c>
      <c r="H3" s="5">
        <f t="shared" ref="H3:H31" si="1">G3*E3</f>
        <v>173.2</v>
      </c>
      <c r="I3" s="6">
        <f t="shared" ref="I3:I31" si="2">G3*F3</f>
        <v>3464</v>
      </c>
      <c r="K3" s="8" t="s">
        <v>10</v>
      </c>
      <c r="L3" s="150" t="s">
        <v>440</v>
      </c>
      <c r="M3" s="151"/>
    </row>
    <row r="4" spans="2:13">
      <c r="B4" s="3">
        <v>3</v>
      </c>
      <c r="C4" t="s">
        <v>421</v>
      </c>
      <c r="D4" s="4"/>
      <c r="E4" s="88">
        <v>4</v>
      </c>
      <c r="F4" s="101">
        <f t="shared" si="0"/>
        <v>80</v>
      </c>
      <c r="G4">
        <f>VLOOKUP($C4,약재관리!A:J,10,FALSE)</f>
        <v>27.2</v>
      </c>
      <c r="H4" s="5">
        <f t="shared" si="1"/>
        <v>108.8</v>
      </c>
      <c r="I4" s="6">
        <f t="shared" si="2"/>
        <v>2176</v>
      </c>
      <c r="K4" s="8" t="s">
        <v>11</v>
      </c>
      <c r="L4" s="157">
        <v>45744</v>
      </c>
      <c r="M4" s="151"/>
    </row>
    <row r="5" spans="2:13">
      <c r="B5" s="3">
        <v>4</v>
      </c>
      <c r="C5" t="s">
        <v>419</v>
      </c>
      <c r="D5" s="4"/>
      <c r="E5" s="88">
        <v>4</v>
      </c>
      <c r="F5" s="101">
        <f t="shared" si="0"/>
        <v>80</v>
      </c>
      <c r="G5">
        <f>VLOOKUP($C5,약재관리!A:J,10,FALSE)</f>
        <v>19.600000000000001</v>
      </c>
      <c r="H5" s="5">
        <f t="shared" si="1"/>
        <v>78.400000000000006</v>
      </c>
      <c r="I5" s="6">
        <f t="shared" si="2"/>
        <v>1568</v>
      </c>
      <c r="K5" s="8" t="s">
        <v>12</v>
      </c>
      <c r="L5" s="150" t="s">
        <v>429</v>
      </c>
      <c r="M5" s="151"/>
    </row>
    <row r="6" spans="2:13">
      <c r="B6" s="3">
        <v>5</v>
      </c>
      <c r="C6" t="s">
        <v>422</v>
      </c>
      <c r="D6" s="4"/>
      <c r="E6" s="88">
        <v>4</v>
      </c>
      <c r="F6" s="101">
        <f t="shared" si="0"/>
        <v>80</v>
      </c>
      <c r="G6">
        <f>VLOOKUP($C6,약재관리!A:J,10,FALSE)</f>
        <v>10.8</v>
      </c>
      <c r="H6" s="5">
        <f t="shared" si="1"/>
        <v>43.2</v>
      </c>
      <c r="I6" s="6">
        <f t="shared" si="2"/>
        <v>864</v>
      </c>
      <c r="K6" s="8" t="s">
        <v>13</v>
      </c>
      <c r="L6" s="150">
        <v>39</v>
      </c>
      <c r="M6" s="151"/>
    </row>
    <row r="7" spans="2:13" ht="17.25" thickBot="1">
      <c r="B7" s="3">
        <v>6</v>
      </c>
      <c r="C7" t="s">
        <v>443</v>
      </c>
      <c r="D7" s="4"/>
      <c r="E7" s="88">
        <v>4</v>
      </c>
      <c r="F7" s="101">
        <f t="shared" si="0"/>
        <v>80</v>
      </c>
      <c r="G7">
        <f>VLOOKUP($C7,약재관리!A:J,10,FALSE)</f>
        <v>44.3</v>
      </c>
      <c r="H7" s="5">
        <f t="shared" si="1"/>
        <v>177.2</v>
      </c>
      <c r="I7" s="6">
        <f t="shared" si="2"/>
        <v>3544</v>
      </c>
      <c r="K7" s="8" t="s">
        <v>14</v>
      </c>
      <c r="L7" s="158" t="s">
        <v>430</v>
      </c>
      <c r="M7" s="159"/>
    </row>
    <row r="8" spans="2:13" ht="17.25" thickBot="1">
      <c r="B8" s="3">
        <v>7</v>
      </c>
      <c r="C8" t="s">
        <v>439</v>
      </c>
      <c r="D8" s="4"/>
      <c r="E8" s="88">
        <v>4</v>
      </c>
      <c r="F8" s="101">
        <f t="shared" si="0"/>
        <v>80</v>
      </c>
      <c r="G8">
        <f>VLOOKUP($C8,약재관리!A:J,10,FALSE)</f>
        <v>9</v>
      </c>
      <c r="H8" s="5">
        <f t="shared" si="1"/>
        <v>36</v>
      </c>
      <c r="I8" s="6">
        <f t="shared" si="2"/>
        <v>720</v>
      </c>
      <c r="K8" s="152" t="s">
        <v>15</v>
      </c>
      <c r="L8" s="153"/>
      <c r="M8" s="154"/>
    </row>
    <row r="9" spans="2:13">
      <c r="B9" s="3">
        <v>8</v>
      </c>
      <c r="C9" t="s">
        <v>435</v>
      </c>
      <c r="D9" s="4"/>
      <c r="E9" s="88">
        <v>4</v>
      </c>
      <c r="F9" s="101">
        <f t="shared" si="0"/>
        <v>80</v>
      </c>
      <c r="G9">
        <f>VLOOKUP($C9,약재관리!A:J,10,FALSE)</f>
        <v>14.8</v>
      </c>
      <c r="H9" s="5">
        <f t="shared" si="1"/>
        <v>59.2</v>
      </c>
      <c r="I9" s="6">
        <f t="shared" si="2"/>
        <v>1184</v>
      </c>
      <c r="K9" s="160" t="s">
        <v>442</v>
      </c>
      <c r="L9" s="161"/>
      <c r="M9" s="162"/>
    </row>
    <row r="10" spans="2:13">
      <c r="B10" s="3">
        <v>9</v>
      </c>
      <c r="C10" t="s">
        <v>436</v>
      </c>
      <c r="D10" s="4"/>
      <c r="E10" s="88">
        <v>4</v>
      </c>
      <c r="F10" s="101">
        <f t="shared" si="0"/>
        <v>80</v>
      </c>
      <c r="G10">
        <f>VLOOKUP($C10,약재관리!A:J,10,FALSE)</f>
        <v>22</v>
      </c>
      <c r="H10" s="5">
        <f t="shared" si="1"/>
        <v>88</v>
      </c>
      <c r="I10" s="6">
        <f t="shared" si="2"/>
        <v>1760</v>
      </c>
      <c r="K10" s="163"/>
      <c r="L10" s="164"/>
      <c r="M10" s="165"/>
    </row>
    <row r="11" spans="2:13">
      <c r="B11" s="3">
        <v>10</v>
      </c>
      <c r="C11" t="s">
        <v>414</v>
      </c>
      <c r="D11" s="4"/>
      <c r="E11" s="88">
        <v>6</v>
      </c>
      <c r="F11" s="101">
        <f t="shared" si="0"/>
        <v>120</v>
      </c>
      <c r="G11">
        <f>VLOOKUP($C11,약재관리!A:J,10,FALSE)</f>
        <v>22.5</v>
      </c>
      <c r="H11" s="5">
        <f t="shared" si="1"/>
        <v>135</v>
      </c>
      <c r="I11" s="6">
        <f t="shared" si="2"/>
        <v>2700</v>
      </c>
      <c r="K11" s="163"/>
      <c r="L11" s="164"/>
      <c r="M11" s="165"/>
    </row>
    <row r="12" spans="2:13">
      <c r="B12" s="3">
        <v>11</v>
      </c>
      <c r="C12" t="s">
        <v>441</v>
      </c>
      <c r="D12" s="4"/>
      <c r="E12" s="88">
        <v>3</v>
      </c>
      <c r="F12" s="101">
        <f t="shared" si="0"/>
        <v>60</v>
      </c>
      <c r="G12">
        <f>VLOOKUP($C12,약재관리!A:J,10,FALSE)</f>
        <v>20</v>
      </c>
      <c r="H12" s="5">
        <f t="shared" si="1"/>
        <v>60</v>
      </c>
      <c r="I12" s="6">
        <f t="shared" si="2"/>
        <v>1200</v>
      </c>
      <c r="K12" s="163"/>
      <c r="L12" s="164"/>
      <c r="M12" s="165"/>
    </row>
    <row r="13" spans="2:13" ht="17.25" thickBot="1">
      <c r="B13" s="3">
        <v>12</v>
      </c>
      <c r="C13" t="s">
        <v>434</v>
      </c>
      <c r="D13" s="4"/>
      <c r="E13" s="88">
        <v>4</v>
      </c>
      <c r="F13" s="101">
        <f t="shared" si="0"/>
        <v>80</v>
      </c>
      <c r="G13">
        <f>VLOOKUP($C13,약재관리!A:J,10,FALSE)</f>
        <v>17.2</v>
      </c>
      <c r="H13" s="5">
        <f t="shared" si="1"/>
        <v>68.8</v>
      </c>
      <c r="I13" s="6">
        <f t="shared" si="2"/>
        <v>1376</v>
      </c>
      <c r="K13" s="166"/>
      <c r="L13" s="167"/>
      <c r="M13" s="168"/>
    </row>
    <row r="14" spans="2:13">
      <c r="B14" s="3">
        <v>13</v>
      </c>
      <c r="C14" t="s">
        <v>437</v>
      </c>
      <c r="D14" s="4"/>
      <c r="E14" s="88">
        <v>4</v>
      </c>
      <c r="F14" s="101">
        <f t="shared" si="0"/>
        <v>80</v>
      </c>
      <c r="G14">
        <f>VLOOKUP($C14,약재관리!A:J,10,FALSE)</f>
        <v>9.1999999999999993</v>
      </c>
      <c r="H14" s="5">
        <f>G14*E14</f>
        <v>36.799999999999997</v>
      </c>
      <c r="I14" s="6">
        <f>G14*F14</f>
        <v>736</v>
      </c>
      <c r="K14" s="92" t="s">
        <v>16</v>
      </c>
      <c r="L14" s="9">
        <v>15</v>
      </c>
      <c r="M14" s="10" t="s">
        <v>17</v>
      </c>
    </row>
    <row r="15" spans="2:13">
      <c r="B15" s="3">
        <v>14</v>
      </c>
      <c r="D15" s="4"/>
      <c r="F15" s="101">
        <f t="shared" si="0"/>
        <v>0</v>
      </c>
      <c r="H15" s="5">
        <f>G15*E15</f>
        <v>0</v>
      </c>
      <c r="I15" s="6">
        <f>G15*F15</f>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59</v>
      </c>
      <c r="M18" s="10" t="s">
        <v>25</v>
      </c>
    </row>
    <row r="19" spans="2:13">
      <c r="B19" s="3">
        <v>18</v>
      </c>
      <c r="D19" s="4"/>
      <c r="F19" s="101">
        <f t="shared" si="0"/>
        <v>0</v>
      </c>
      <c r="H19" s="5">
        <f t="shared" si="1"/>
        <v>0</v>
      </c>
      <c r="I19" s="6">
        <f t="shared" si="2"/>
        <v>0</v>
      </c>
      <c r="K19" s="91" t="s">
        <v>26</v>
      </c>
      <c r="L19">
        <f>L15*L18</f>
        <v>1180</v>
      </c>
      <c r="M19" s="4" t="s">
        <v>25</v>
      </c>
    </row>
    <row r="20" spans="2:13" ht="17.25" thickBot="1">
      <c r="B20" s="3">
        <v>19</v>
      </c>
      <c r="D20" s="4"/>
      <c r="F20" s="101">
        <f t="shared" si="0"/>
        <v>0</v>
      </c>
      <c r="H20" s="5">
        <f t="shared" si="1"/>
        <v>0</v>
      </c>
      <c r="I20" s="6">
        <f t="shared" si="2"/>
        <v>0</v>
      </c>
      <c r="K20" s="14" t="s">
        <v>27</v>
      </c>
      <c r="L20" s="11">
        <f>L16*L17+L19</f>
        <v>6130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2" t="s">
        <v>386</v>
      </c>
      <c r="L22" s="153"/>
      <c r="M22" s="154"/>
    </row>
    <row r="23" spans="2:13">
      <c r="B23" s="3">
        <v>22</v>
      </c>
      <c r="D23" s="4"/>
      <c r="F23" s="101">
        <f t="shared" si="0"/>
        <v>0</v>
      </c>
      <c r="H23" s="5">
        <f t="shared" si="1"/>
        <v>0</v>
      </c>
      <c r="I23" s="6">
        <f t="shared" si="2"/>
        <v>0</v>
      </c>
      <c r="K23" s="91" t="s">
        <v>380</v>
      </c>
      <c r="L23">
        <f>SUM(F2:F31)</f>
        <v>1180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2" t="s">
        <v>385</v>
      </c>
      <c r="L29" s="153"/>
      <c r="M29" s="154"/>
    </row>
    <row r="30" spans="2:13">
      <c r="B30" s="3">
        <v>29</v>
      </c>
      <c r="D30" s="4"/>
      <c r="F30" s="101">
        <f t="shared" si="0"/>
        <v>0</v>
      </c>
      <c r="H30" s="5">
        <f t="shared" si="1"/>
        <v>0</v>
      </c>
      <c r="I30" s="6">
        <f t="shared" si="2"/>
        <v>0</v>
      </c>
      <c r="K30" s="91" t="s">
        <v>28</v>
      </c>
      <c r="L30" s="5">
        <f>SUM(H2:H31)</f>
        <v>1238.5999999999999</v>
      </c>
      <c r="M30" s="4" t="s">
        <v>384</v>
      </c>
    </row>
    <row r="31" spans="2:13" ht="17.25" thickBot="1">
      <c r="B31" s="13">
        <v>30</v>
      </c>
      <c r="C31" s="14"/>
      <c r="D31" s="12"/>
      <c r="E31" s="95"/>
      <c r="F31" s="102">
        <f t="shared" si="0"/>
        <v>0</v>
      </c>
      <c r="G31" s="11"/>
      <c r="H31" s="15">
        <f t="shared" si="1"/>
        <v>0</v>
      </c>
      <c r="I31" s="16">
        <f t="shared" si="2"/>
        <v>0</v>
      </c>
      <c r="K31" s="14" t="s">
        <v>383</v>
      </c>
      <c r="L31" s="15">
        <f>SUM(I2:I31)</f>
        <v>24772</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85"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2" t="s">
        <v>8</v>
      </c>
      <c r="L1" s="153"/>
      <c r="M1" s="154"/>
    </row>
    <row r="2" spans="2:13">
      <c r="B2" s="3">
        <v>1</v>
      </c>
      <c r="C2" t="s">
        <v>424</v>
      </c>
      <c r="D2" s="4"/>
      <c r="E2" s="88">
        <v>6</v>
      </c>
      <c r="F2" s="101">
        <f>E2*$L$15</f>
        <v>120</v>
      </c>
      <c r="G2">
        <f>VLOOKUP($C2,약재관리!A:J,10,FALSE)</f>
        <v>17.399999999999999</v>
      </c>
      <c r="H2" s="5">
        <f>G2*E2</f>
        <v>104.39999999999999</v>
      </c>
      <c r="I2" s="90">
        <f>G2*F2</f>
        <v>2088</v>
      </c>
      <c r="K2" s="7" t="s">
        <v>9</v>
      </c>
      <c r="L2" s="155">
        <v>92</v>
      </c>
      <c r="M2" s="156"/>
    </row>
    <row r="3" spans="2:13">
      <c r="B3" s="3">
        <v>2</v>
      </c>
      <c r="C3" t="s">
        <v>412</v>
      </c>
      <c r="D3" s="4"/>
      <c r="E3" s="88">
        <v>4</v>
      </c>
      <c r="F3" s="101">
        <f t="shared" ref="F3:F31" si="0">E3*$L$15</f>
        <v>80</v>
      </c>
      <c r="G3">
        <f>VLOOKUP($C3,약재관리!A:J,10,FALSE)</f>
        <v>64</v>
      </c>
      <c r="H3" s="5">
        <f t="shared" ref="H3:H31" si="1">G3*E3</f>
        <v>256</v>
      </c>
      <c r="I3" s="6">
        <f t="shared" ref="I3:I31" si="2">G3*F3</f>
        <v>5120</v>
      </c>
      <c r="K3" s="8" t="s">
        <v>10</v>
      </c>
      <c r="L3" s="150" t="s">
        <v>428</v>
      </c>
      <c r="M3" s="151"/>
    </row>
    <row r="4" spans="2:13">
      <c r="B4" s="3">
        <v>3</v>
      </c>
      <c r="C4" t="s">
        <v>413</v>
      </c>
      <c r="D4" s="4"/>
      <c r="E4" s="88">
        <v>4</v>
      </c>
      <c r="F4" s="101">
        <f t="shared" si="0"/>
        <v>80</v>
      </c>
      <c r="G4">
        <f>VLOOKUP($C4,약재관리!A:J,10,FALSE)</f>
        <v>11</v>
      </c>
      <c r="H4" s="5">
        <f t="shared" si="1"/>
        <v>44</v>
      </c>
      <c r="I4" s="6">
        <f t="shared" si="2"/>
        <v>880</v>
      </c>
      <c r="K4" s="8" t="s">
        <v>11</v>
      </c>
      <c r="L4" s="157">
        <v>45744</v>
      </c>
      <c r="M4" s="151"/>
    </row>
    <row r="5" spans="2:13">
      <c r="B5" s="3">
        <v>4</v>
      </c>
      <c r="C5" t="s">
        <v>414</v>
      </c>
      <c r="D5" s="4"/>
      <c r="E5" s="88">
        <v>6</v>
      </c>
      <c r="F5" s="101">
        <f t="shared" si="0"/>
        <v>120</v>
      </c>
      <c r="G5">
        <f>VLOOKUP($C5,약재관리!A:J,10,FALSE)</f>
        <v>22.5</v>
      </c>
      <c r="H5" s="5">
        <f t="shared" si="1"/>
        <v>135</v>
      </c>
      <c r="I5" s="6">
        <f t="shared" si="2"/>
        <v>2700</v>
      </c>
      <c r="K5" s="8" t="s">
        <v>12</v>
      </c>
      <c r="L5" s="150" t="s">
        <v>429</v>
      </c>
      <c r="M5" s="151"/>
    </row>
    <row r="6" spans="2:13">
      <c r="B6" s="3">
        <v>5</v>
      </c>
      <c r="C6" t="s">
        <v>415</v>
      </c>
      <c r="D6" s="4"/>
      <c r="E6" s="88">
        <v>4</v>
      </c>
      <c r="F6" s="101">
        <f t="shared" si="0"/>
        <v>80</v>
      </c>
      <c r="G6">
        <f>VLOOKUP($C6,약재관리!A:J,10,FALSE)</f>
        <v>28.3</v>
      </c>
      <c r="H6" s="5">
        <f t="shared" si="1"/>
        <v>113.2</v>
      </c>
      <c r="I6" s="6">
        <f t="shared" si="2"/>
        <v>2264</v>
      </c>
      <c r="K6" s="8" t="s">
        <v>13</v>
      </c>
      <c r="L6" s="150">
        <v>39</v>
      </c>
      <c r="M6" s="151"/>
    </row>
    <row r="7" spans="2:13" ht="17.25" thickBot="1">
      <c r="B7" s="3">
        <v>6</v>
      </c>
      <c r="C7" t="s">
        <v>416</v>
      </c>
      <c r="D7" s="4"/>
      <c r="E7" s="88">
        <v>2</v>
      </c>
      <c r="F7" s="101">
        <f t="shared" si="0"/>
        <v>40</v>
      </c>
      <c r="G7">
        <f>VLOOKUP($C7,약재관리!A:J,10,FALSE)</f>
        <v>145.19999999999999</v>
      </c>
      <c r="H7" s="5">
        <f t="shared" si="1"/>
        <v>290.39999999999998</v>
      </c>
      <c r="I7" s="6">
        <f t="shared" si="2"/>
        <v>5808</v>
      </c>
      <c r="K7" s="8" t="s">
        <v>14</v>
      </c>
      <c r="L7" s="158" t="s">
        <v>430</v>
      </c>
      <c r="M7" s="159"/>
    </row>
    <row r="8" spans="2:13" ht="17.25" thickBot="1">
      <c r="B8" s="3">
        <v>7</v>
      </c>
      <c r="C8" t="s">
        <v>417</v>
      </c>
      <c r="D8" s="4"/>
      <c r="E8" s="88">
        <v>1</v>
      </c>
      <c r="F8" s="101">
        <f t="shared" si="0"/>
        <v>20</v>
      </c>
      <c r="G8">
        <f>VLOOKUP($C8,약재관리!A:J,10,FALSE)</f>
        <v>44.2</v>
      </c>
      <c r="H8" s="5">
        <f t="shared" si="1"/>
        <v>44.2</v>
      </c>
      <c r="I8" s="6">
        <f t="shared" si="2"/>
        <v>884</v>
      </c>
      <c r="K8" s="152" t="s">
        <v>15</v>
      </c>
      <c r="L8" s="153"/>
      <c r="M8" s="154"/>
    </row>
    <row r="9" spans="2:13">
      <c r="B9" s="3">
        <v>8</v>
      </c>
      <c r="C9" t="s">
        <v>418</v>
      </c>
      <c r="D9" s="4"/>
      <c r="E9" s="88">
        <v>4</v>
      </c>
      <c r="F9" s="101">
        <f t="shared" si="0"/>
        <v>80</v>
      </c>
      <c r="G9">
        <f>VLOOKUP($C9,약재관리!A:J,10,FALSE)</f>
        <v>34.700000000000003</v>
      </c>
      <c r="H9" s="5">
        <f t="shared" si="1"/>
        <v>138.80000000000001</v>
      </c>
      <c r="I9" s="6">
        <f t="shared" si="2"/>
        <v>2776</v>
      </c>
      <c r="K9" s="160" t="s">
        <v>432</v>
      </c>
      <c r="L9" s="161"/>
      <c r="M9" s="162"/>
    </row>
    <row r="10" spans="2:13">
      <c r="B10" s="3">
        <v>9</v>
      </c>
      <c r="C10" t="s">
        <v>420</v>
      </c>
      <c r="D10" s="4"/>
      <c r="E10" s="88">
        <v>6</v>
      </c>
      <c r="F10" s="101">
        <f t="shared" si="0"/>
        <v>120</v>
      </c>
      <c r="G10">
        <f>VLOOKUP($C10,약재관리!A:J,10,FALSE)</f>
        <v>13.2</v>
      </c>
      <c r="H10" s="5">
        <f t="shared" si="1"/>
        <v>79.199999999999989</v>
      </c>
      <c r="I10" s="6">
        <f t="shared" si="2"/>
        <v>1584</v>
      </c>
      <c r="K10" s="163"/>
      <c r="L10" s="164"/>
      <c r="M10" s="165"/>
    </row>
    <row r="11" spans="2:13">
      <c r="B11" s="3">
        <v>10</v>
      </c>
      <c r="C11" t="s">
        <v>421</v>
      </c>
      <c r="D11" s="4"/>
      <c r="E11" s="88">
        <v>6</v>
      </c>
      <c r="F11" s="101">
        <f t="shared" si="0"/>
        <v>120</v>
      </c>
      <c r="G11">
        <f>VLOOKUP($C11,약재관리!A:J,10,FALSE)</f>
        <v>27.2</v>
      </c>
      <c r="H11" s="5">
        <f t="shared" si="1"/>
        <v>163.19999999999999</v>
      </c>
      <c r="I11" s="6">
        <f t="shared" si="2"/>
        <v>3264</v>
      </c>
      <c r="K11" s="163"/>
      <c r="L11" s="164"/>
      <c r="M11" s="165"/>
    </row>
    <row r="12" spans="2:13">
      <c r="B12" s="3">
        <v>11</v>
      </c>
      <c r="C12" t="s">
        <v>419</v>
      </c>
      <c r="D12" s="4"/>
      <c r="E12" s="88">
        <v>6</v>
      </c>
      <c r="F12" s="101">
        <f t="shared" si="0"/>
        <v>120</v>
      </c>
      <c r="G12">
        <f>VLOOKUP($C12,약재관리!A:J,10,FALSE)</f>
        <v>19.600000000000001</v>
      </c>
      <c r="H12" s="5">
        <f t="shared" si="1"/>
        <v>117.60000000000001</v>
      </c>
      <c r="I12" s="6">
        <f t="shared" si="2"/>
        <v>2352</v>
      </c>
      <c r="K12" s="163"/>
      <c r="L12" s="164"/>
      <c r="M12" s="165"/>
    </row>
    <row r="13" spans="2:13" ht="17.25" thickBot="1">
      <c r="B13" s="3">
        <v>12</v>
      </c>
      <c r="C13" t="s">
        <v>422</v>
      </c>
      <c r="D13" s="4"/>
      <c r="E13" s="88">
        <v>6</v>
      </c>
      <c r="F13" s="101">
        <f t="shared" si="0"/>
        <v>120</v>
      </c>
      <c r="G13">
        <f>VLOOKUP($C13,약재관리!A:J,10,FALSE)</f>
        <v>10.8</v>
      </c>
      <c r="H13" s="5">
        <f t="shared" si="1"/>
        <v>64.800000000000011</v>
      </c>
      <c r="I13" s="6">
        <f t="shared" si="2"/>
        <v>1296</v>
      </c>
      <c r="K13" s="166"/>
      <c r="L13" s="167"/>
      <c r="M13" s="168"/>
    </row>
    <row r="14" spans="2:13">
      <c r="B14" s="3">
        <v>13</v>
      </c>
      <c r="C14" t="s">
        <v>431</v>
      </c>
      <c r="D14" s="4" t="s">
        <v>433</v>
      </c>
      <c r="E14" s="88">
        <v>4</v>
      </c>
      <c r="F14" s="101">
        <f t="shared" si="0"/>
        <v>80</v>
      </c>
      <c r="G14">
        <f>VLOOKUP($C14,약재관리!A:J,10,FALSE)</f>
        <v>26</v>
      </c>
      <c r="H14" s="5">
        <f t="shared" si="1"/>
        <v>104</v>
      </c>
      <c r="I14" s="6">
        <f t="shared" si="2"/>
        <v>2080</v>
      </c>
      <c r="K14" s="92" t="s">
        <v>16</v>
      </c>
      <c r="L14" s="9">
        <v>15</v>
      </c>
      <c r="M14" s="10" t="s">
        <v>17</v>
      </c>
    </row>
    <row r="15" spans="2:13">
      <c r="B15" s="3">
        <v>14</v>
      </c>
      <c r="C15" t="s">
        <v>425</v>
      </c>
      <c r="D15" s="4"/>
      <c r="E15" s="88">
        <v>12</v>
      </c>
      <c r="F15" s="101">
        <f t="shared" si="0"/>
        <v>240</v>
      </c>
      <c r="G15">
        <f>VLOOKUP($C15,약재관리!A:J,10,FALSE)</f>
        <v>16.5</v>
      </c>
      <c r="H15" s="5">
        <f t="shared" si="1"/>
        <v>198</v>
      </c>
      <c r="I15" s="6">
        <f t="shared" si="2"/>
        <v>3960</v>
      </c>
      <c r="K15" s="91" t="s">
        <v>18</v>
      </c>
      <c r="L15">
        <v>20</v>
      </c>
      <c r="M15" s="4" t="s">
        <v>19</v>
      </c>
    </row>
    <row r="16" spans="2:13">
      <c r="B16" s="3">
        <v>15</v>
      </c>
      <c r="C16" t="s">
        <v>423</v>
      </c>
      <c r="D16" s="4"/>
      <c r="E16" s="88">
        <v>6</v>
      </c>
      <c r="F16" s="101">
        <f t="shared" si="0"/>
        <v>120</v>
      </c>
      <c r="G16">
        <f>VLOOKUP($C16,약재관리!A:J,10,FALSE)</f>
        <v>136.80000000000001</v>
      </c>
      <c r="H16" s="5">
        <f t="shared" si="1"/>
        <v>820.80000000000007</v>
      </c>
      <c r="I16" s="6">
        <f t="shared" si="2"/>
        <v>16416</v>
      </c>
      <c r="K16" s="91" t="s">
        <v>20</v>
      </c>
      <c r="L16">
        <v>45</v>
      </c>
      <c r="M16" s="4" t="s">
        <v>21</v>
      </c>
    </row>
    <row r="17" spans="2:13" ht="17.25" thickBot="1">
      <c r="B17" s="3">
        <v>16</v>
      </c>
      <c r="C17" t="s">
        <v>427</v>
      </c>
      <c r="D17" s="4"/>
      <c r="E17" s="88">
        <v>4</v>
      </c>
      <c r="F17" s="101">
        <f t="shared" si="0"/>
        <v>80</v>
      </c>
      <c r="G17">
        <f>VLOOKUP($C17,약재관리!A:J,10,FALSE)</f>
        <v>22</v>
      </c>
      <c r="H17" s="5">
        <f t="shared" si="1"/>
        <v>88</v>
      </c>
      <c r="I17" s="6">
        <f t="shared" si="2"/>
        <v>1760</v>
      </c>
      <c r="K17" s="14" t="s">
        <v>22</v>
      </c>
      <c r="L17" s="11">
        <v>110</v>
      </c>
      <c r="M17" s="12" t="s">
        <v>23</v>
      </c>
    </row>
    <row r="18" spans="2:13">
      <c r="B18" s="3">
        <v>17</v>
      </c>
      <c r="C18" t="s">
        <v>426</v>
      </c>
      <c r="D18" s="4"/>
      <c r="E18" s="88">
        <v>6</v>
      </c>
      <c r="F18" s="101">
        <f t="shared" si="0"/>
        <v>120</v>
      </c>
      <c r="G18">
        <f>VLOOKUP($C18,약재관리!A:J,10,FALSE)</f>
        <v>14.4</v>
      </c>
      <c r="H18" s="5">
        <f t="shared" si="1"/>
        <v>86.4</v>
      </c>
      <c r="I18" s="6">
        <f t="shared" si="2"/>
        <v>1728</v>
      </c>
      <c r="K18" s="92" t="s">
        <v>24</v>
      </c>
      <c r="L18" s="9">
        <f>SUM(E2:E31)</f>
        <v>87</v>
      </c>
      <c r="M18" s="10" t="s">
        <v>25</v>
      </c>
    </row>
    <row r="19" spans="2:13">
      <c r="B19" s="3">
        <v>18</v>
      </c>
      <c r="D19" s="4"/>
      <c r="F19" s="101">
        <f t="shared" si="0"/>
        <v>0</v>
      </c>
      <c r="H19" s="5">
        <f t="shared" si="1"/>
        <v>0</v>
      </c>
      <c r="I19" s="6">
        <f t="shared" si="2"/>
        <v>0</v>
      </c>
      <c r="K19" s="91" t="s">
        <v>26</v>
      </c>
      <c r="L19">
        <f>L15*L18</f>
        <v>1740</v>
      </c>
      <c r="M19" s="4" t="s">
        <v>25</v>
      </c>
    </row>
    <row r="20" spans="2:13" ht="17.25" thickBot="1">
      <c r="B20" s="3">
        <v>19</v>
      </c>
      <c r="D20" s="4"/>
      <c r="F20" s="101">
        <f t="shared" si="0"/>
        <v>0</v>
      </c>
      <c r="H20" s="5">
        <f t="shared" si="1"/>
        <v>0</v>
      </c>
      <c r="I20" s="6">
        <f t="shared" si="2"/>
        <v>0</v>
      </c>
      <c r="K20" s="14" t="s">
        <v>27</v>
      </c>
      <c r="L20" s="11">
        <f>L16*L17+L19</f>
        <v>6690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2" t="s">
        <v>386</v>
      </c>
      <c r="L22" s="153"/>
      <c r="M22" s="154"/>
    </row>
    <row r="23" spans="2:13">
      <c r="B23" s="3">
        <v>22</v>
      </c>
      <c r="D23" s="4"/>
      <c r="F23" s="101">
        <f t="shared" si="0"/>
        <v>0</v>
      </c>
      <c r="H23" s="5">
        <f t="shared" si="1"/>
        <v>0</v>
      </c>
      <c r="I23" s="6">
        <f t="shared" si="2"/>
        <v>0</v>
      </c>
      <c r="K23" s="91" t="s">
        <v>380</v>
      </c>
      <c r="L23">
        <f>SUM(F2:F31)</f>
        <v>1740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2" t="s">
        <v>385</v>
      </c>
      <c r="L29" s="153"/>
      <c r="M29" s="154"/>
    </row>
    <row r="30" spans="2:13">
      <c r="B30" s="3">
        <v>29</v>
      </c>
      <c r="D30" s="4"/>
      <c r="F30" s="101">
        <f t="shared" si="0"/>
        <v>0</v>
      </c>
      <c r="H30" s="5">
        <f t="shared" si="1"/>
        <v>0</v>
      </c>
      <c r="I30" s="6">
        <f t="shared" si="2"/>
        <v>0</v>
      </c>
      <c r="K30" s="91" t="s">
        <v>28</v>
      </c>
      <c r="L30" s="5">
        <f>SUM(H2:H31)</f>
        <v>2848</v>
      </c>
      <c r="M30" s="4" t="s">
        <v>384</v>
      </c>
    </row>
    <row r="31" spans="2:13" ht="17.25" thickBot="1">
      <c r="B31" s="13">
        <v>30</v>
      </c>
      <c r="C31" s="14"/>
      <c r="D31" s="12"/>
      <c r="E31" s="95"/>
      <c r="F31" s="102">
        <f t="shared" si="0"/>
        <v>0</v>
      </c>
      <c r="G31" s="11"/>
      <c r="H31" s="15">
        <f t="shared" si="1"/>
        <v>0</v>
      </c>
      <c r="I31" s="16">
        <f t="shared" si="2"/>
        <v>0</v>
      </c>
      <c r="K31" s="14" t="s">
        <v>383</v>
      </c>
      <c r="L31" s="15">
        <f>SUM(I2:I31)</f>
        <v>56960</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82" zoomScaleNormal="100" workbookViewId="0">
      <selection activeCell="J188" sqref="J188"/>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20000</v>
      </c>
      <c r="E92" s="37">
        <v>16600</v>
      </c>
      <c r="F92" s="115">
        <f t="shared" si="9"/>
        <v>0</v>
      </c>
      <c r="G92" s="44">
        <f t="shared" si="9"/>
        <v>31.2</v>
      </c>
      <c r="H92" s="38">
        <f t="shared" si="8"/>
        <v>33.333333333333336</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13800</v>
      </c>
      <c r="D103" s="36"/>
      <c r="E103" s="37">
        <v>18900</v>
      </c>
      <c r="F103" s="115">
        <f t="shared" si="9"/>
        <v>44.8</v>
      </c>
      <c r="G103" s="38">
        <f t="shared" si="9"/>
        <v>27.6</v>
      </c>
      <c r="H103" s="38">
        <f t="shared" si="10"/>
        <v>0</v>
      </c>
      <c r="I103" s="39">
        <f t="shared" si="10"/>
        <v>31.5</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11700</v>
      </c>
      <c r="D123" s="36">
        <v>16000</v>
      </c>
      <c r="E123" s="37">
        <v>15100</v>
      </c>
      <c r="F123" s="115">
        <f t="shared" si="12"/>
        <v>35.799999999999997</v>
      </c>
      <c r="G123" s="44">
        <f t="shared" si="12"/>
        <v>23.4</v>
      </c>
      <c r="H123" s="38">
        <f t="shared" si="13"/>
        <v>26.666666666666668</v>
      </c>
      <c r="I123" s="39">
        <f t="shared" si="13"/>
        <v>25.166666666666668</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11500</v>
      </c>
      <c r="E131" s="37">
        <v>12800</v>
      </c>
      <c r="F131" s="115">
        <f t="shared" si="12"/>
        <v>0</v>
      </c>
      <c r="G131" s="38">
        <f>C131/600</f>
        <v>21.333333333333332</v>
      </c>
      <c r="H131" s="38">
        <f t="shared" si="14"/>
        <v>19.166666666666668</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13400</v>
      </c>
      <c r="D150" s="36">
        <v>16000</v>
      </c>
      <c r="E150" s="37">
        <v>16500</v>
      </c>
      <c r="F150" s="115">
        <f t="shared" si="19"/>
        <v>0</v>
      </c>
      <c r="G150" s="38">
        <f>C150/500</f>
        <v>26.8</v>
      </c>
      <c r="H150" s="38">
        <f t="shared" ref="H150:I185" si="20">D150/600</f>
        <v>26.666666666666668</v>
      </c>
      <c r="I150" s="39">
        <f t="shared" si="16"/>
        <v>27.5</v>
      </c>
      <c r="J150" s="40">
        <v>27.5</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7700</v>
      </c>
      <c r="D154" s="36"/>
      <c r="E154" s="37">
        <v>10200</v>
      </c>
      <c r="F154" s="115">
        <f t="shared" si="19"/>
        <v>0</v>
      </c>
      <c r="G154" s="44">
        <f>C154/500</f>
        <v>15.4</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13300</v>
      </c>
      <c r="D184" s="49">
        <v>7500</v>
      </c>
      <c r="E184" s="50">
        <v>15600</v>
      </c>
      <c r="F184" s="73">
        <f t="shared" si="21"/>
        <v>21.6</v>
      </c>
      <c r="G184" s="51">
        <f t="shared" si="21"/>
        <v>26.6</v>
      </c>
      <c r="H184" s="51">
        <f t="shared" si="20"/>
        <v>12.5</v>
      </c>
      <c r="I184" s="60">
        <f t="shared" si="20"/>
        <v>26</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v>17.2</v>
      </c>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9600</v>
      </c>
      <c r="D199" s="36"/>
      <c r="E199" s="37">
        <v>11900</v>
      </c>
      <c r="F199" s="115">
        <f t="shared" si="22"/>
        <v>0</v>
      </c>
      <c r="G199" s="38">
        <f t="shared" si="22"/>
        <v>19.2</v>
      </c>
      <c r="H199" s="38">
        <f>D199/600</f>
        <v>0</v>
      </c>
      <c r="I199" s="39">
        <f t="shared" si="24"/>
        <v>19.833333333333332</v>
      </c>
      <c r="J199" s="40">
        <v>19.8</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처방전양식 (5)</vt: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2025-11-14T04:39:09Z</cp:lastPrinted>
  <dcterms:created xsi:type="dcterms:W3CDTF">2024-09-12T16:35:01Z</dcterms:created>
  <dcterms:modified xsi:type="dcterms:W3CDTF">2025-11-24T01:16:23Z</dcterms:modified>
</cp:coreProperties>
</file>