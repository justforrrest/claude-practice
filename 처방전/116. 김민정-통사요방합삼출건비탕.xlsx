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83" documentId="8_{6EB8DC0A-AB56-415F-A9F3-EA1534264548}" xr6:coauthVersionLast="47" xr6:coauthVersionMax="47" xr10:uidLastSave="{E29066AB-D838-4433-B7C1-DD635C716020}"/>
  <bookViews>
    <workbookView xWindow="-105" yWindow="0" windowWidth="14610" windowHeight="15585"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4" l="1"/>
  <c r="H57" i="5" l="1"/>
  <c r="G15" i="4"/>
  <c r="G16" i="4"/>
  <c r="G17" i="4"/>
  <c r="G18"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<sst xmlns="http://schemas.openxmlformats.org/spreadsheetml/2006/main" count="601" uniqueCount="437">
  <si>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</si>
  <si>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</si>
  <si>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</si>
  <si>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</si>
  <si>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</si>
  <si>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</si>
  <si>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</si>
  <si>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</si>
  <si>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</si>
  <si>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</si>
  <si>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</si>
  <si>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</si>
  <si>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</si>
  <si>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</si>
  <si>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</si>
  <si>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</si>
  <si>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</si>
  <si>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</si>
  <si>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</si>
  <si>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</si>
  <si>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</si>
  <si>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</si>
  <si>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</si>
  <si>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</si>
  <si>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</si>
  <si>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</si>
  <si>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</si>
  <si>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</si>
  <si>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</si>
  <si>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</si>
  <si>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</si>
  <si>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</si>
  <si>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</si>
  <si>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</si>
  <si>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</si>
  <si>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</si>
  <si>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</si>
  <si>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</si>
  <si>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</si>
  <si>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</si>
  <si>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</si>
  <si>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</si>
  <si>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</si>
  <si>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</si>
  <si>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</si>
  <si>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</si>
  <si>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</si>
  <si>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</si>
  <si>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</si>
  <si>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</si>
  <si>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</si>
  <si>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</si>
  <si>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</si>
  <si>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</si>
  <si>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</si>
  <si>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</si>
  <si>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</si>
  <si>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</si>
  <si>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</si>
  <si>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</si>
  <si>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</si>
  <si>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</si>
  <si>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</si>
  <si>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</si>
  <si>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</si>
  <si>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</si>
  <si>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</si>
  <si>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</si>
  <si>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</si>
  <si>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</si>
  <si>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</si>
  <si>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</si>
  <si>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</si>
  <si>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</si>
  <si>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</si>
  <si>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</si>
  <si>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</si>
  <si>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</si>
  <si>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</si>
  <si>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</si>
  <si>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</si>
  <si>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</si>
  <si>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</si>
  <si>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</si>
  <si>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</si>
  <si>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</si>
  <si>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</si>
  <si>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</si>
  <si>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</si>
  <si>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</si>
  <si>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</si>
  <si>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</si>
  <si>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</si>
  <si>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</si>
  <si>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</si>
  <si>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</si>
  <si>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</si>
  <si>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</si>
  <si>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</si>
  <si>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</si>
  <si>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</si>
  <si>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</si>
  <si>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</si>
  <si>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</si>
  <si>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</si>
  <si>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</si>
  <si>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</si>
  <si>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</si>
  <si>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</si>
  <si>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</si>
  <si>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</si>
  <si>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</si>
  <si>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</si>
  <si>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</si>
  <si>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</si>
  <si>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</si>
  <si>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</si>
  <si>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</si>
  <si>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</si>
  <si>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</si>
  <si>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</si>
  <si>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</si>
  <si>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</si>
  <si>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</si>
  <si>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</si>
  <si>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</si>
  <si>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</si>
  <si>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</si>
  <si>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</si>
  <si>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</si>
  <si>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</si>
  <si>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</si>
  <si>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</si>
  <si>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</si>
  <si>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</si>
  <si>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</si>
  <si>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</si>
  <si>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</si>
  <si>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</si>
  <si>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</si>
  <si>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</si>
  <si>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</si>
  <si>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</si>
  <si>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</si>
  <si>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</si>
  <si>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</si>
  <si>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</si>
  <si>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</si>
  <si>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</si>
  <si>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</si>
  <si>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</si>
  <si>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</si>
  <si>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</si>
  <si>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</si>
  <si>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</si>
  <si>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</si>
  <si>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</si>
  <si>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</si>
  <si>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</si>
  <si>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</si>
  <si>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</si>
  <si>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</si>
  <si>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</si>
  <si>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</si>
  <si>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</si>
  <si>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</si>
  <si>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</si>
  <si>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</si>
  <si>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</si>
  <si>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</si>
  <si>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</si>
  <si>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</si>
  <si>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</si>
  <si>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</si>
  <si>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</si>
  <si>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</si>
  <si>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</si>
  <si>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</si>
  <si>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</si>
  <si>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</si>
  <si>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</si>
  <si>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</si>
  <si>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</si>
  <si>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</si>
  <si>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</si>
  <si>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</si>
  <si>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</si>
  <si>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</si>
  <si>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</si>
  <si>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</si>
  <si>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</si>
  <si>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</si>
  <si>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</si>
  <si>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</si>
  <si>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</si>
  <si>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</si>
  <si>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</si>
  <si>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</si>
  <si>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</si>
  <si>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</si>
  <si>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</si>
  <si>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</si>
  <si>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</si>
  <si>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</si>
  <si>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</si>
  <si>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</si>
  <si>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</si>
  <si>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</si>
  <si>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</si>
  <si>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</si>
  <si>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</si>
  <si>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</si>
  <si>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</si>
  <si>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</si>
  <si>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</si>
  <si>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</si>
  <si>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</si>
  <si>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</si>
  <si>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</si>
  <si>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</si>
  <si>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</si>
  <si>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</si>
  <si>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</si>
  <si>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</si>
  <si>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</si>
  <si>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</si>
  <si>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</si>
  <si>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</si>
  <si>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</si>
  <si>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</si>
  <si>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</si>
  <si>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</si>
  <si>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</si>
  <si>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</si>
  <si>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</si>
  <si>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</si>
  <si>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</si>
  <si>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</si>
  <si>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</si>
  <si>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</si>
  <si>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</si>
  <si>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</si>
  <si>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</si>
  <si>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</si>
  <si>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</si>
  <si>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</si>
  <si>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</si>
  <si>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</si>
  <si>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</si>
  <si>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</si>
  <si>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</si>
  <si>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</si>
  <si>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</si>
  <si>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</si>
  <si>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</si>
  <si>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</si>
  <si>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</si>
  <si>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</si>
  <si>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</si>
  <si>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</si>
  <si>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</si>
  <si>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</si>
  <si>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</si>
  <si>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</si>
  <si>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</si>
  <si>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</si>
  <si>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</si>
  <si>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</si>
  <si>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</si>
  <si>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</si>
  <si>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</si>
  <si>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</si>
  <si>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</si>
  <si>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</si>
  <si>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</si>
  <si>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</si>
  <si>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</si>
  <si>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</si>
  <si>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</si>
  <si>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</si>
  <si>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</si>
  <si>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</si>
  <si>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</si>
  <si>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</si>
  <si>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</si>
  <si>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</si>
  <si>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</si>
  <si>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</si>
  <si>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</si>
  <si>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</si>
  <si>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</si>
  <si>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</si>
  <si>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</si>
  <si>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</si>
  <si>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</si>
  <si>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</si>
  <si>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</si>
  <si>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</si>
  <si>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</si>
  <si>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</si>
  <si>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</si>
  <si>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</si>
  <si>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</si>
  <si>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</si>
  <si>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</si>
  <si>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</si>
  <si>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</si>
  <si>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</si>
  <si>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</si>
  <si>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</si>
  <si>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</si>
  <si>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</si>
  <si>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</si>
  <si>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</si>
  <si>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</si>
  <si>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</si>
  <si>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</si>
  <si>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</si>
  <si>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</si>
  <si>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</si>
  <si>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</si>
  <si>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</si>
  <si>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</si>
  <si>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</si>
  <si>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</si>
  <si>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</si>
  <si>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</si>
  <si>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</si>
  <si>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</si>
  <si>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</si>
  <si>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</si>
  <si>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</si>
  <si>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</si>
  <si>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</si>
  <si>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</si>
  <si>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</si>
  <si>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</si>
  <si>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</si>
  <si>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</si>
  <si>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</si>
  <si>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</si>
  <si>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</si>
  <si>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</si>
  <si>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</si>
  <si>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</si>
  <si>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</si>
  <si>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</si>
  <si>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</si>
  <si>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</si>
  <si>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</si>
  <si>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</si>
  <si>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</si>
  <si>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</si>
  <si>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</si>
  <si>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</si>
  <si>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</si>
  <si>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</si>
  <si>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</si>
  <si>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</si>
  <si>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</si>
  <si>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</si>
  <si>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</si>
  <si>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</si>
  <si>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</si>
  <si>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</si>
  <si>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</si>
  <si>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</si>
  <si>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</si>
  <si>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</si>
  <si>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</si>
  <si>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</si>
  <si>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</si>
  <si>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</si>
  <si>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</si>
  <si>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</si>
  <si>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</si>
  <si>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</si>
  <si>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</si>
  <si>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</si>
  <si>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</si>
  <si>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</si>
  <si>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</si>
  <si>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</si>
  <si>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</si>
  <si>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</si>
  <si>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</si>
  <si>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</si>
  <si>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</si>
  <si>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</si>
  <si>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</si>
  <si>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</si>
  <si>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</si>
  <si>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</si>
  <si>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</si>
  <si>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</si>
  <si>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</si>
  <si>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</si>
  <si>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</si>
  <si>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</si>
  <si>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</si>
  <si>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</si>
  <si>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</si>
  <si>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</si>
  <si>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</si>
  <si>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</si>
  <si>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</si>
  <si>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</si>
  <si>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</si>
  <si>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</si>
  <si>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</si>
  <si>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</si>
  <si>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</si>
  <si>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</si>
  <si>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백작약</t>
    <phoneticPr fontId="5" type="noConversion"/>
  </si>
  <si>
    <t>백출</t>
    <phoneticPr fontId="5" type="noConversion"/>
  </si>
  <si>
    <t>복령</t>
    <phoneticPr fontId="5" type="noConversion"/>
  </si>
  <si>
    <t>후박</t>
    <phoneticPr fontId="5" type="noConversion"/>
  </si>
  <si>
    <t>감초</t>
    <phoneticPr fontId="5" type="noConversion"/>
  </si>
  <si>
    <t>인삼</t>
    <phoneticPr fontId="5" type="noConversion"/>
  </si>
  <si>
    <t>향부자</t>
    <phoneticPr fontId="5" type="noConversion"/>
  </si>
  <si>
    <t>생강</t>
    <phoneticPr fontId="5" type="noConversion"/>
  </si>
  <si>
    <t>대추</t>
    <phoneticPr fontId="5" type="noConversion"/>
  </si>
  <si>
    <t>교이</t>
    <phoneticPr fontId="5" type="noConversion"/>
  </si>
  <si>
    <t>진피1</t>
    <phoneticPr fontId="5" type="noConversion"/>
  </si>
  <si>
    <t>지실</t>
    <phoneticPr fontId="5" type="noConversion"/>
  </si>
  <si>
    <t>삼출건비탕</t>
    <phoneticPr fontId="5" type="noConversion"/>
  </si>
  <si>
    <t>신곡</t>
    <phoneticPr fontId="5" type="noConversion"/>
  </si>
  <si>
    <t>맥아</t>
    <phoneticPr fontId="5" type="noConversion"/>
  </si>
  <si>
    <t>산사</t>
    <phoneticPr fontId="5" type="noConversion"/>
  </si>
  <si>
    <t>사인</t>
    <phoneticPr fontId="5" type="noConversion"/>
  </si>
  <si>
    <t>초</t>
    <phoneticPr fontId="5" type="noConversion"/>
  </si>
  <si>
    <t>곽향1</t>
    <phoneticPr fontId="5" type="noConversion"/>
  </si>
  <si>
    <t>방풍1</t>
    <phoneticPr fontId="5" type="noConversion"/>
  </si>
  <si>
    <t xml:space="preserve">삼출건비탕+방풍, 곽향, 향부자, 지실, 교이
</t>
    <phoneticPr fontId="5" type="noConversion"/>
  </si>
  <si>
    <t>F</t>
    <phoneticPr fontId="5" type="noConversion"/>
  </si>
  <si>
    <t>김민정</t>
    <phoneticPr fontId="5" type="noConversion"/>
  </si>
  <si>
    <t>후하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</si>
</sst>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H20" sqref="H2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413</v>
      </c>
      <c r="D2" s="3" t="s">
        <v>430</v>
      </c>
      <c r="E2" s="87">
        <v>6</v>
      </c>
      <c r="F2" s="98">
        <f>E2*$L$15</f>
        <v>48</v>
      </c>
      <c r="G2">
        <f>VLOOKUP($C2,약재관리!A:J,10,FALSE)</f>
        <v>19.600000000000001</v>
      </c>
      <c r="H2" s="4">
        <f>G2*E2</f>
        <v>117.60000000000001</v>
      </c>
      <c r="I2" s="89">
        <f>G2*F2</f>
        <v>940.80000000000007</v>
      </c>
      <c r="K2" s="6" t="s">
        <v>9</v>
      </c>
      <c r="L2" s="153">
        <v>116</v>
      </c>
      <c r="M2" s="154"/>
    </row>
    <row r="3" spans="2:13">
      <c r="B3" s="2">
        <v>2</v>
      </c>
      <c r="C3" t="s">
        <v>414</v>
      </c>
      <c r="D3" s="3" t="s">
        <v>430</v>
      </c>
      <c r="E3" s="87">
        <v>6</v>
      </c>
      <c r="F3" s="98">
        <f t="shared" ref="F3:F31" si="0">E3*$L$15</f>
        <v>48</v>
      </c>
      <c r="G3">
        <f>VLOOKUP($C3,약재관리!A:J,10,FALSE)</f>
        <v>30.3</v>
      </c>
      <c r="H3" s="4">
        <f t="shared" ref="H3:H31" si="1">G3*E3</f>
        <v>181.8</v>
      </c>
      <c r="I3" s="5">
        <f t="shared" ref="I3:I31" si="2">G3*F3</f>
        <v>1454.4</v>
      </c>
      <c r="K3" s="7" t="s">
        <v>10</v>
      </c>
      <c r="L3" s="148" t="s">
        <v>425</v>
      </c>
      <c r="M3" s="149"/>
    </row>
    <row r="4" spans="2:13">
      <c r="B4" s="2">
        <v>3</v>
      </c>
      <c r="C4" t="s">
        <v>415</v>
      </c>
      <c r="D4" s="3"/>
      <c r="E4" s="87">
        <v>4</v>
      </c>
      <c r="F4" s="98">
        <f t="shared" si="0"/>
        <v>32</v>
      </c>
      <c r="G4">
        <f>VLOOKUP($C4,약재관리!A:J,10,FALSE)</f>
        <v>9.8000000000000007</v>
      </c>
      <c r="H4" s="4">
        <f t="shared" si="1"/>
        <v>39.200000000000003</v>
      </c>
      <c r="I4" s="5">
        <f t="shared" si="2"/>
        <v>313.60000000000002</v>
      </c>
      <c r="K4" s="7" t="s">
        <v>11</v>
      </c>
      <c r="L4" s="155">
        <v>45826</v>
      </c>
      <c r="M4" s="149"/>
    </row>
    <row r="5" spans="2:13">
      <c r="B5" s="2">
        <v>4</v>
      </c>
      <c r="C5" t="s">
        <v>423</v>
      </c>
      <c r="D5" s="3"/>
      <c r="E5" s="87">
        <v>4</v>
      </c>
      <c r="F5" s="98">
        <f t="shared" si="0"/>
        <v>32</v>
      </c>
      <c r="G5">
        <f>VLOOKUP($C5,약재관리!A:J,10,FALSE)</f>
        <v>17.600000000000001</v>
      </c>
      <c r="H5" s="4">
        <f t="shared" si="1"/>
        <v>70.400000000000006</v>
      </c>
      <c r="I5" s="5">
        <f t="shared" si="2"/>
        <v>563.20000000000005</v>
      </c>
      <c r="K5" s="7" t="s">
        <v>12</v>
      </c>
      <c r="L5" s="148" t="s">
        <v>435</v>
      </c>
      <c r="M5" s="149"/>
    </row>
    <row r="6" spans="2:13">
      <c r="B6" s="2">
        <v>5</v>
      </c>
      <c r="C6" t="s">
        <v>432</v>
      </c>
      <c r="D6" s="3"/>
      <c r="E6" s="87">
        <v>4</v>
      </c>
      <c r="F6" s="98">
        <f t="shared" si="0"/>
        <v>32</v>
      </c>
      <c r="G6">
        <f>VLOOKUP($C6,약재관리!A:J,10,FALSE)</f>
        <v>13.2</v>
      </c>
      <c r="H6" s="4">
        <f t="shared" si="1"/>
        <v>52.8</v>
      </c>
      <c r="I6" s="5">
        <f t="shared" si="2"/>
        <v>422.4</v>
      </c>
      <c r="K6" s="7" t="s">
        <v>13</v>
      </c>
      <c r="L6" s="148">
        <v>9</v>
      </c>
      <c r="M6" s="149"/>
    </row>
    <row r="7" spans="2:13" ht="17.25" thickBot="1">
      <c r="B7" s="2">
        <v>6</v>
      </c>
      <c r="C7" t="s">
        <v>416</v>
      </c>
      <c r="D7" s="3"/>
      <c r="E7" s="87">
        <v>4</v>
      </c>
      <c r="F7" s="98">
        <f t="shared" si="0"/>
        <v>32</v>
      </c>
      <c r="G7">
        <f>VLOOKUP($C7,약재관리!A:J,10,FALSE)</f>
        <v>9</v>
      </c>
      <c r="H7" s="4">
        <f t="shared" si="1"/>
        <v>36</v>
      </c>
      <c r="I7" s="5">
        <f t="shared" si="2"/>
        <v>288</v>
      </c>
      <c r="K7" s="7" t="s">
        <v>14</v>
      </c>
      <c r="L7" s="156" t="s">
        <v>434</v>
      </c>
      <c r="M7" s="157"/>
    </row>
    <row r="8" spans="2:13" ht="17.25" thickBot="1">
      <c r="B8" s="2">
        <v>7</v>
      </c>
      <c r="C8" t="s">
        <v>417</v>
      </c>
      <c r="D8" s="3"/>
      <c r="E8" s="87">
        <v>4</v>
      </c>
      <c r="F8" s="98">
        <f t="shared" si="0"/>
        <v>32</v>
      </c>
      <c r="G8">
        <f>VLOOKUP($C8,약재관리!A:J,10,FALSE)</f>
        <v>28.3</v>
      </c>
      <c r="H8" s="4">
        <f t="shared" si="1"/>
        <v>113.2</v>
      </c>
      <c r="I8" s="5">
        <f t="shared" si="2"/>
        <v>905.6</v>
      </c>
      <c r="K8" s="150" t="s">
        <v>15</v>
      </c>
      <c r="L8" s="151"/>
      <c r="M8" s="152"/>
    </row>
    <row r="9" spans="2:13">
      <c r="B9" s="2">
        <v>8</v>
      </c>
      <c r="C9" t="s">
        <v>431</v>
      </c>
      <c r="D9" s="3"/>
      <c r="E9" s="87">
        <v>4</v>
      </c>
      <c r="F9" s="98">
        <f t="shared" si="0"/>
        <v>32</v>
      </c>
      <c r="G9">
        <f>VLOOKUP($C9,약재관리!A:J,10,FALSE)</f>
        <v>13.8</v>
      </c>
      <c r="H9" s="4">
        <f t="shared" si="1"/>
        <v>55.2</v>
      </c>
      <c r="I9" s="5">
        <f t="shared" si="2"/>
        <v>441.6</v>
      </c>
      <c r="K9" s="166" t="s">
        <v>433</v>
      </c>
      <c r="L9" s="158"/>
      <c r="M9" s="159"/>
    </row>
    <row r="10" spans="2:13">
      <c r="B10" s="2">
        <v>9</v>
      </c>
      <c r="C10" t="s">
        <v>419</v>
      </c>
      <c r="D10" s="3"/>
      <c r="E10" s="87">
        <v>4</v>
      </c>
      <c r="F10" s="98">
        <f t="shared" si="0"/>
        <v>32</v>
      </c>
      <c r="G10">
        <f>VLOOKUP($C10,약재관리!A:J,10,FALSE)</f>
        <v>14.7</v>
      </c>
      <c r="H10" s="4">
        <f t="shared" si="1"/>
        <v>58.8</v>
      </c>
      <c r="I10" s="5">
        <f t="shared" si="2"/>
        <v>470.4</v>
      </c>
      <c r="K10" s="160"/>
      <c r="L10" s="161"/>
      <c r="M10" s="162"/>
    </row>
    <row r="11" spans="2:13">
      <c r="B11" s="2">
        <v>10</v>
      </c>
      <c r="C11" t="s">
        <v>418</v>
      </c>
      <c r="D11" s="3"/>
      <c r="E11" s="87">
        <v>4</v>
      </c>
      <c r="F11" s="98">
        <f t="shared" si="0"/>
        <v>32</v>
      </c>
      <c r="G11">
        <f>VLOOKUP($C11,약재관리!A:J,10,FALSE)</f>
        <v>108.3</v>
      </c>
      <c r="H11" s="4">
        <f t="shared" si="1"/>
        <v>433.2</v>
      </c>
      <c r="I11" s="5">
        <f t="shared" si="2"/>
        <v>3465.6</v>
      </c>
      <c r="K11" s="160"/>
      <c r="L11" s="161"/>
      <c r="M11" s="162"/>
    </row>
    <row r="12" spans="2:13">
      <c r="B12" s="2">
        <v>11</v>
      </c>
      <c r="C12" t="s">
        <v>428</v>
      </c>
      <c r="D12" s="3"/>
      <c r="E12" s="87">
        <v>4</v>
      </c>
      <c r="F12" s="98">
        <f t="shared" si="0"/>
        <v>32</v>
      </c>
      <c r="G12">
        <f>VLOOKUP($C12,약재관리!A:J,10,FALSE)</f>
        <v>7</v>
      </c>
      <c r="H12" s="4">
        <f t="shared" si="1"/>
        <v>28</v>
      </c>
      <c r="I12" s="5">
        <f t="shared" si="2"/>
        <v>224</v>
      </c>
      <c r="K12" s="160"/>
      <c r="L12" s="161"/>
      <c r="M12" s="162"/>
    </row>
    <row r="13" spans="2:13" ht="17.25" thickBot="1">
      <c r="B13" s="2">
        <v>12</v>
      </c>
      <c r="C13" t="s">
        <v>426</v>
      </c>
      <c r="D13" s="3"/>
      <c r="E13" s="87">
        <v>2</v>
      </c>
      <c r="F13" s="98">
        <f t="shared" si="0"/>
        <v>16</v>
      </c>
      <c r="G13">
        <f>VLOOKUP($C13,약재관리!A:J,10,FALSE)</f>
        <v>8</v>
      </c>
      <c r="H13" s="4">
        <f t="shared" si="1"/>
        <v>16</v>
      </c>
      <c r="I13" s="5">
        <f t="shared" si="2"/>
        <v>128</v>
      </c>
      <c r="K13" s="163"/>
      <c r="L13" s="164"/>
      <c r="M13" s="165"/>
    </row>
    <row r="14" spans="2:13">
      <c r="B14" s="2">
        <v>13</v>
      </c>
      <c r="C14" t="s">
        <v>427</v>
      </c>
      <c r="D14" s="3"/>
      <c r="E14" s="87">
        <v>2</v>
      </c>
      <c r="F14" s="98">
        <f t="shared" si="0"/>
        <v>16</v>
      </c>
      <c r="G14">
        <f>VLOOKUP($C14,약재관리!A:J,10,FALSE)</f>
        <v>7.5</v>
      </c>
      <c r="H14" s="4">
        <f t="shared" si="1"/>
        <v>15</v>
      </c>
      <c r="I14" s="5">
        <f t="shared" si="2"/>
        <v>120</v>
      </c>
      <c r="K14" s="91" t="s">
        <v>16</v>
      </c>
      <c r="L14" s="8">
        <v>10</v>
      </c>
      <c r="M14" s="9" t="s">
        <v>17</v>
      </c>
    </row>
    <row r="15" spans="2:13">
      <c r="B15" s="2">
        <v>14</v>
      </c>
      <c r="C15" t="s">
        <v>420</v>
      </c>
      <c r="D15" s="3"/>
      <c r="E15" s="87">
        <v>3</v>
      </c>
      <c r="F15" s="98">
        <f t="shared" si="0"/>
        <v>24</v>
      </c>
      <c r="G15">
        <f>VLOOKUP($C15,약재관리!A:J,10,FALSE)</f>
        <v>15</v>
      </c>
      <c r="H15" s="4">
        <f t="shared" si="1"/>
        <v>45</v>
      </c>
      <c r="I15" s="5">
        <f t="shared" si="2"/>
        <v>360</v>
      </c>
      <c r="K15" s="90" t="s">
        <v>18</v>
      </c>
      <c r="L15">
        <v>8</v>
      </c>
      <c r="M15" s="3" t="s">
        <v>19</v>
      </c>
    </row>
    <row r="16" spans="2:13">
      <c r="B16" s="2">
        <v>15</v>
      </c>
      <c r="C16" t="s">
        <v>421</v>
      </c>
      <c r="D16" s="3"/>
      <c r="E16" s="87">
        <v>2</v>
      </c>
      <c r="F16" s="98">
        <f t="shared" si="0"/>
        <v>16</v>
      </c>
      <c r="G16">
        <f>VLOOKUP($C16,약재관리!A:J,10,FALSE)</f>
        <v>20.8</v>
      </c>
      <c r="H16" s="4">
        <f t="shared" si="1"/>
        <v>41.6</v>
      </c>
      <c r="I16" s="5">
        <f t="shared" si="2"/>
        <v>332.8</v>
      </c>
      <c r="K16" s="90" t="s">
        <v>20</v>
      </c>
      <c r="L16">
        <v>20</v>
      </c>
      <c r="M16" s="3" t="s">
        <v>21</v>
      </c>
    </row>
    <row r="17" spans="2:13" ht="17.25" thickBot="1">
      <c r="B17" s="2">
        <v>16</v>
      </c>
      <c r="C17" t="s">
        <v>422</v>
      </c>
      <c r="D17" s="3" t="s">
        <v>436</v>
      </c>
      <c r="E17" s="87">
        <v>10</v>
      </c>
      <c r="F17" s="98">
        <f t="shared" si="0"/>
        <v>80</v>
      </c>
      <c r="G17">
        <f>VLOOKUP($C17,약재관리!A:J,10,FALSE)</f>
        <v>5.3</v>
      </c>
      <c r="H17" s="4">
        <f t="shared" si="1"/>
        <v>53</v>
      </c>
      <c r="I17" s="5">
        <f t="shared" si="2"/>
        <v>424</v>
      </c>
      <c r="K17" s="13" t="s">
        <v>22</v>
      </c>
      <c r="L17" s="10">
        <v>100</v>
      </c>
      <c r="M17" s="11" t="s">
        <v>23</v>
      </c>
    </row>
    <row r="18" spans="2:13">
      <c r="B18" s="2">
        <v>17</v>
      </c>
      <c r="C18" t="s">
        <v>424</v>
      </c>
      <c r="D18" s="3"/>
      <c r="E18" s="87">
        <v>3</v>
      </c>
      <c r="F18" s="98">
        <f t="shared" si="0"/>
        <v>24</v>
      </c>
      <c r="G18">
        <f>VLOOKUP($C18,약재관리!A:J,10,FALSE)</f>
        <v>16.7</v>
      </c>
      <c r="H18" s="4">
        <f t="shared" si="1"/>
        <v>50.099999999999994</v>
      </c>
      <c r="I18" s="5">
        <f t="shared" si="2"/>
        <v>400.79999999999995</v>
      </c>
      <c r="K18" s="91" t="s">
        <v>24</v>
      </c>
      <c r="L18" s="8">
        <f>SUM(E2:E31)</f>
        <v>72</v>
      </c>
      <c r="M18" s="9" t="s">
        <v>25</v>
      </c>
    </row>
    <row r="19" spans="2:13">
      <c r="B19" s="2">
        <v>18</v>
      </c>
      <c r="C19" t="s">
        <v>429</v>
      </c>
      <c r="D19" s="3"/>
      <c r="E19" s="87">
        <v>2</v>
      </c>
      <c r="F19" s="98">
        <f t="shared" si="0"/>
        <v>16</v>
      </c>
      <c r="G19">
        <f>VLOOKUP($C19,약재관리!A:J,10,FALSE)</f>
        <v>21.8</v>
      </c>
      <c r="H19" s="4">
        <f t="shared" si="1"/>
        <v>43.6</v>
      </c>
      <c r="I19" s="5">
        <f t="shared" si="2"/>
        <v>348.8</v>
      </c>
      <c r="K19" s="90" t="s">
        <v>26</v>
      </c>
      <c r="L19">
        <f>L15*L18</f>
        <v>576</v>
      </c>
      <c r="M19" s="3" t="s">
        <v>25</v>
      </c>
    </row>
    <row r="20" spans="2:13" ht="17.25" thickBot="1">
      <c r="B20" s="2">
        <v>19</v>
      </c>
      <c r="D20" s="3"/>
      <c r="F20" s="98">
        <f t="shared" si="0"/>
        <v>0</v>
      </c>
      <c r="H20" s="4">
        <f t="shared" si="1"/>
        <v>0</v>
      </c>
      <c r="I20" s="5">
        <f t="shared" si="2"/>
        <v>0</v>
      </c>
      <c r="K20" s="13" t="s">
        <v>27</v>
      </c>
      <c r="L20" s="10">
        <f>L16*L17+L19</f>
        <v>2576</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576</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1450.4999999999998</v>
      </c>
      <c r="M30" s="3" t="s">
        <v>36</v>
      </c>
    </row>
    <row r="31" spans="2:13" ht="17.25" thickBot="1">
      <c r="B31" s="12">
        <v>30</v>
      </c>
      <c r="C31" s="13"/>
      <c r="D31" s="11"/>
      <c r="E31" s="94"/>
      <c r="F31" s="99">
        <f t="shared" si="0"/>
        <v>0</v>
      </c>
      <c r="G31" s="10"/>
      <c r="H31" s="14">
        <f t="shared" si="1"/>
        <v>0</v>
      </c>
      <c r="I31" s="15">
        <f t="shared" si="2"/>
        <v>0</v>
      </c>
      <c r="K31" s="13" t="s">
        <v>37</v>
      </c>
      <c r="L31" s="14">
        <f>SUM(I2:I31)</f>
        <v>11603.999999999998</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5" zoomScaleNormal="100" workbookViewId="0">
      <selection activeCell="J199" sqref="J199"/>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c r="F33" s="27">
        <f t="shared" si="2"/>
        <v>0</v>
      </c>
      <c r="G33" s="28">
        <f>C33/500</f>
        <v>6</v>
      </c>
      <c r="H33" s="144">
        <f t="shared" si="1"/>
        <v>6.666666666666667</v>
      </c>
      <c r="I33" s="55">
        <f t="shared" si="1"/>
        <v>0</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14000</v>
      </c>
      <c r="F62" s="27">
        <f t="shared" si="6"/>
        <v>0</v>
      </c>
      <c r="G62" s="54">
        <f t="shared" si="6"/>
        <v>17</v>
      </c>
      <c r="H62" s="28">
        <f t="shared" si="7"/>
        <v>0</v>
      </c>
      <c r="I62" s="55">
        <f t="shared" si="7"/>
        <v>23.333333333333332</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c r="F137" s="112">
        <f t="shared" si="12"/>
        <v>0</v>
      </c>
      <c r="G137" s="37">
        <f>C137/600</f>
        <v>22</v>
      </c>
      <c r="H137" s="37">
        <f t="shared" si="14"/>
        <v>23.333333333333332</v>
      </c>
      <c r="I137" s="38">
        <f t="shared" si="14"/>
        <v>0</v>
      </c>
      <c r="J137" s="39">
        <v>22</v>
      </c>
      <c r="K137" s="68"/>
      <c r="L137" s="67" t="s">
        <v>120</v>
      </c>
      <c r="M137" s="67"/>
      <c r="N137" s="69"/>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2025-06-18T04:33:19Z</dcterms:modified>
  <cp:category/>
  <cp:contentStatus/>
</cp:coreProperties>
</file>