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39" documentId="8_{6EB8DC0A-AB56-415F-A9F3-EA1534264548}" xr6:coauthVersionLast="47" xr6:coauthVersionMax="47" xr10:uidLastSave="{7666AEBD-D73D-4D60-A6F6-C62C8292CC44}"/>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 l="1"/>
  <c r="H31" i="6"/>
  <c r="F31" i="6"/>
  <c r="H30" i="6"/>
  <c r="F30" i="6"/>
  <c r="I30" i="6" s="1"/>
  <c r="H29" i="6"/>
  <c r="F29" i="6"/>
  <c r="I29" i="6" s="1"/>
  <c r="I28" i="6"/>
  <c r="H28" i="6"/>
  <c r="F28" i="6"/>
  <c r="H27" i="6"/>
  <c r="F27" i="6"/>
  <c r="I27" i="6" s="1"/>
  <c r="I26" i="6"/>
  <c r="H26" i="6"/>
  <c r="F26" i="6"/>
  <c r="H25" i="6"/>
  <c r="F25" i="6"/>
  <c r="I25" i="6" s="1"/>
  <c r="I24" i="6"/>
  <c r="H24" i="6"/>
  <c r="F24" i="6"/>
  <c r="H23" i="6"/>
  <c r="F23" i="6"/>
  <c r="I23" i="6" s="1"/>
  <c r="H22" i="6"/>
  <c r="F22" i="6"/>
  <c r="I22" i="6" s="1"/>
  <c r="H21" i="6"/>
  <c r="F21" i="6"/>
  <c r="I21" i="6" s="1"/>
  <c r="H20" i="6"/>
  <c r="F20" i="6"/>
  <c r="I20" i="6" s="1"/>
  <c r="I19" i="6"/>
  <c r="H19" i="6"/>
  <c r="F19" i="6"/>
  <c r="L18" i="6"/>
  <c r="L19" i="6" s="1"/>
  <c r="L20" i="6" s="1"/>
  <c r="H18" i="6"/>
  <c r="F18" i="6"/>
  <c r="I18" i="6" s="1"/>
  <c r="G17" i="6"/>
  <c r="I17" i="6" s="1"/>
  <c r="F17" i="6"/>
  <c r="G16" i="6"/>
  <c r="F16" i="6"/>
  <c r="G15" i="6"/>
  <c r="I15" i="6" s="1"/>
  <c r="F15" i="6"/>
  <c r="G14" i="6"/>
  <c r="I14" i="6" s="1"/>
  <c r="F14" i="6"/>
  <c r="G13" i="6"/>
  <c r="I13" i="6" s="1"/>
  <c r="F13" i="6"/>
  <c r="G12" i="6"/>
  <c r="F12" i="6"/>
  <c r="G11" i="6"/>
  <c r="I11" i="6" s="1"/>
  <c r="F11" i="6"/>
  <c r="G10" i="6"/>
  <c r="I10" i="6" s="1"/>
  <c r="F10" i="6"/>
  <c r="G9" i="6"/>
  <c r="I9" i="6" s="1"/>
  <c r="F9" i="6"/>
  <c r="G8" i="6"/>
  <c r="F8" i="6"/>
  <c r="G7" i="6"/>
  <c r="I7" i="6" s="1"/>
  <c r="F7" i="6"/>
  <c r="G6" i="6"/>
  <c r="I6" i="6" s="1"/>
  <c r="F6" i="6"/>
  <c r="G5" i="6"/>
  <c r="I5" i="6" s="1"/>
  <c r="F5" i="6"/>
  <c r="G4" i="6"/>
  <c r="I4" i="6" s="1"/>
  <c r="F4" i="6"/>
  <c r="G3" i="6"/>
  <c r="I3" i="6" s="1"/>
  <c r="F3" i="6"/>
  <c r="G2" i="6"/>
  <c r="F2" i="6"/>
  <c r="G17" i="4"/>
  <c r="I126" i="5"/>
  <c r="G141" i="5"/>
  <c r="I144" i="5"/>
  <c r="H144" i="5"/>
  <c r="G144" i="5"/>
  <c r="F144" i="5"/>
  <c r="G170" i="5"/>
  <c r="G3" i="4"/>
  <c r="G4" i="4"/>
  <c r="G5" i="4"/>
  <c r="G6" i="4"/>
  <c r="G7" i="4"/>
  <c r="G8" i="4"/>
  <c r="G9" i="4"/>
  <c r="G10" i="4"/>
  <c r="G11" i="4"/>
  <c r="G12" i="4"/>
  <c r="G13" i="4"/>
  <c r="G14" i="4"/>
  <c r="G15" i="4"/>
  <c r="G16"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 i="6" l="1"/>
  <c r="I12" i="6"/>
  <c r="I16" i="6"/>
  <c r="L23" i="6"/>
  <c r="I8" i="6"/>
  <c r="L31" i="6"/>
  <c r="H3" i="6"/>
  <c r="H6" i="6"/>
  <c r="H9" i="6"/>
  <c r="H12" i="6"/>
  <c r="H15" i="6"/>
  <c r="H4" i="6"/>
  <c r="H7" i="6"/>
  <c r="H10" i="6"/>
  <c r="H13" i="6"/>
  <c r="H16" i="6"/>
  <c r="H2" i="6"/>
  <c r="H5" i="6"/>
  <c r="H8" i="6"/>
  <c r="H11" i="6"/>
  <c r="H14" i="6"/>
  <c r="H17" i="6"/>
  <c r="F2" i="4"/>
  <c r="L30" i="6" l="1"/>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<sst xmlns="http://schemas.openxmlformats.org/spreadsheetml/2006/main" count="663" uniqueCount="433">
  <si>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</si>
  <si>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</si>
  <si>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</si>
  <si>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</si>
  <si>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</si>
  <si>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</si>
  <si>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</si>
  <si>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</si>
  <si>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</si>
  <si>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</si>
  <si>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</si>
  <si>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</si>
  <si>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</si>
  <si>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</si>
  <si>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</si>
  <si>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</si>
  <si>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</si>
  <si>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</si>
  <si>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</si>
  <si>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</si>
  <si>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</si>
  <si>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</si>
  <si>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</si>
  <si>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</si>
  <si>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</si>
  <si>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</si>
  <si>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</si>
  <si>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</si>
  <si>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</si>
  <si>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</si>
  <si>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</si>
  <si>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</si>
  <si>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</si>
  <si>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</si>
  <si>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</si>
  <si>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</si>
  <si>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</si>
  <si>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</si>
  <si>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</si>
  <si>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</si>
  <si>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</si>
  <si>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</si>
  <si>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</si>
  <si>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</si>
  <si>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</si>
  <si>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</si>
  <si>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</si>
  <si>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</si>
  <si>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</si>
  <si>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</si>
  <si>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</si>
  <si>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</si>
  <si>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</si>
  <si>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</si>
  <si>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</si>
  <si>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</si>
  <si>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</si>
  <si>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</si>
  <si>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</si>
  <si>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</si>
  <si>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</si>
  <si>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</si>
  <si>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</si>
  <si>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</si>
  <si>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</si>
  <si>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</si>
  <si>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</si>
  <si>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</si>
  <si>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</si>
  <si>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</si>
  <si>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</si>
  <si>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</si>
  <si>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</si>
  <si>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</si>
  <si>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</si>
  <si>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</si>
  <si>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</si>
  <si>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</si>
  <si>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</si>
  <si>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</si>
  <si>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</si>
  <si>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</si>
  <si>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</si>
  <si>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</si>
  <si>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</si>
  <si>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</si>
  <si>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</si>
  <si>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</si>
  <si>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</si>
  <si>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</si>
  <si>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</si>
  <si>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</si>
  <si>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</si>
  <si>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</si>
  <si>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</si>
  <si>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</si>
  <si>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</si>
  <si>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</si>
  <si>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</si>
  <si>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</si>
  <si>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</si>
  <si>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</si>
  <si>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</si>
  <si>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</si>
  <si>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</si>
  <si>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</si>
  <si>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</si>
  <si>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</si>
  <si>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</si>
  <si>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</si>
  <si>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</si>
  <si>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</si>
  <si>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</si>
  <si>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</si>
  <si>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</si>
  <si>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</si>
  <si>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</si>
  <si>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</si>
  <si>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</si>
  <si>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</si>
  <si>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</si>
  <si>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</si>
  <si>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</si>
  <si>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</si>
  <si>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</si>
  <si>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</si>
  <si>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</si>
  <si>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</si>
  <si>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</si>
  <si>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</si>
  <si>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</si>
  <si>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</si>
  <si>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</si>
  <si>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</si>
  <si>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</si>
  <si>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</si>
  <si>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</si>
  <si>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</si>
  <si>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</si>
  <si>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</si>
  <si>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</si>
  <si>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</si>
  <si>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</si>
  <si>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</si>
  <si>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</si>
  <si>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</si>
  <si>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</si>
  <si>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</si>
  <si>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</si>
  <si>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</si>
  <si>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</si>
  <si>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</si>
  <si>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</si>
  <si>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</si>
  <si>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</si>
  <si>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</si>
  <si>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</si>
  <si>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</si>
  <si>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</si>
  <si>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</si>
  <si>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</si>
  <si>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</si>
  <si>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</si>
  <si>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</si>
  <si>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</si>
  <si>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</si>
  <si>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</si>
  <si>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</si>
  <si>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</si>
  <si>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</si>
  <si>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</si>
  <si>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</si>
  <si>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</si>
  <si>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</si>
  <si>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</si>
  <si>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</si>
  <si>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</si>
  <si>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</si>
  <si>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</si>
  <si>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</si>
  <si>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</si>
  <si>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</si>
  <si>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</si>
  <si>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</si>
  <si>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</si>
  <si>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</si>
  <si>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</si>
  <si>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</si>
  <si>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</si>
  <si>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</si>
  <si>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</si>
  <si>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</si>
  <si>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</si>
  <si>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</si>
  <si>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</si>
  <si>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</si>
  <si>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</si>
  <si>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</si>
  <si>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</si>
  <si>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</si>
  <si>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</si>
  <si>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</si>
  <si>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</si>
  <si>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</si>
  <si>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</si>
  <si>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</si>
  <si>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</si>
  <si>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</si>
  <si>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</si>
  <si>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</si>
  <si>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</si>
  <si>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</si>
  <si>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</si>
  <si>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</si>
  <si>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</si>
  <si>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</si>
  <si>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</si>
  <si>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</si>
  <si>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</si>
  <si>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</si>
  <si>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</si>
  <si>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</si>
  <si>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</si>
  <si>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</si>
  <si>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</si>
  <si>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</si>
  <si>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</si>
  <si>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</si>
  <si>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</si>
  <si>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</si>
  <si>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</si>
  <si>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</si>
  <si>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</si>
  <si>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</si>
  <si>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</si>
  <si>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</si>
  <si>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</si>
  <si>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</si>
  <si>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</si>
  <si>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</si>
  <si>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</si>
  <si>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</si>
  <si>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</si>
  <si>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</si>
  <si>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</si>
  <si>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</si>
  <si>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</si>
  <si>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</si>
  <si>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</si>
  <si>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</si>
  <si>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</si>
  <si>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</si>
  <si>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</si>
  <si>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</si>
  <si>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</si>
  <si>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</si>
  <si>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</si>
  <si>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</si>
  <si>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</si>
  <si>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</si>
  <si>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</si>
  <si>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</si>
  <si>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</si>
  <si>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</si>
  <si>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</si>
  <si>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</si>
  <si>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</si>
  <si>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</si>
  <si>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</si>
  <si>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</si>
  <si>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</si>
  <si>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</si>
  <si>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</si>
  <si>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</si>
  <si>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</si>
  <si>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</si>
  <si>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</si>
  <si>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</si>
  <si>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</si>
  <si>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</si>
  <si>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</si>
  <si>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</si>
  <si>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</si>
  <si>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</si>
  <si>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</si>
  <si>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</si>
  <si>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</si>
  <si>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</si>
  <si>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</si>
  <si>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</si>
  <si>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</si>
  <si>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</si>
  <si>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</si>
  <si>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</si>
  <si>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</si>
  <si>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</si>
  <si>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</si>
  <si>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</si>
  <si>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</si>
  <si>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</si>
  <si>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</si>
  <si>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</si>
  <si>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</si>
  <si>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</si>
  <si>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</si>
  <si>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</si>
  <si>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</si>
  <si>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</si>
  <si>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</si>
  <si>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</si>
  <si>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</si>
  <si>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</si>
  <si>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</si>
  <si>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</si>
  <si>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</si>
  <si>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</si>
  <si>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</si>
  <si>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</si>
  <si>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</si>
  <si>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</si>
  <si>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</si>
  <si>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</si>
  <si>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</si>
  <si>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</si>
  <si>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</si>
  <si>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</si>
  <si>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</si>
  <si>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</si>
  <si>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</si>
  <si>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</si>
  <si>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</si>
  <si>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</si>
  <si>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</si>
  <si>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</si>
  <si>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</si>
  <si>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</si>
  <si>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</si>
  <si>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</si>
  <si>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</si>
  <si>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</si>
  <si>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</si>
  <si>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</si>
  <si>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</si>
  <si>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</si>
  <si>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</si>
  <si>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</si>
  <si>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</si>
  <si>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</si>
  <si>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</si>
  <si>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</si>
  <si>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</si>
  <si>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</si>
  <si>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</si>
  <si>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</si>
  <si>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</si>
  <si>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</si>
  <si>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</si>
  <si>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</si>
  <si>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</si>
  <si>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</si>
  <si>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</si>
  <si>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</si>
  <si>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</si>
  <si>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</si>
  <si>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</si>
  <si>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</si>
  <si>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</si>
  <si>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</si>
  <si>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</si>
  <si>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</si>
  <si>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</si>
  <si>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</si>
  <si>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</si>
  <si>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</si>
  <si>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</si>
  <si>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</si>
  <si>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</si>
  <si>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</si>
  <si>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</si>
  <si>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</si>
  <si>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</si>
  <si>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</si>
  <si>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</si>
  <si>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</si>
  <si>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</si>
  <si>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</si>
  <si>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</si>
  <si>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</si>
  <si>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</si>
  <si>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</si>
  <si>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</si>
  <si>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</si>
  <si>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</si>
  <si>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</si>
  <si>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</si>
  <si>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</si>
  <si>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</si>
  <si>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</si>
  <si>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</si>
  <si>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</si>
  <si>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</si>
  <si>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</si>
  <si>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</si>
  <si>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</si>
  <si>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</si>
  <si>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</si>
  <si>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</si>
  <si>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</si>
  <si>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</si>
  <si>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</si>
  <si>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</si>
  <si>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향부자</t>
    <phoneticPr fontId="5" type="noConversion"/>
  </si>
  <si>
    <t>진피2</t>
    <phoneticPr fontId="5" type="noConversion"/>
  </si>
  <si>
    <t>반하</t>
    <phoneticPr fontId="5" type="noConversion"/>
  </si>
  <si>
    <t>복령</t>
    <phoneticPr fontId="5" type="noConversion"/>
  </si>
  <si>
    <t>지실</t>
    <phoneticPr fontId="5" type="noConversion"/>
  </si>
  <si>
    <t>길경</t>
    <phoneticPr fontId="5" type="noConversion"/>
  </si>
  <si>
    <t>맥문동</t>
    <phoneticPr fontId="5" type="noConversion"/>
  </si>
  <si>
    <t>치자</t>
    <phoneticPr fontId="5" type="noConversion"/>
  </si>
  <si>
    <t>감초</t>
    <phoneticPr fontId="5" type="noConversion"/>
  </si>
  <si>
    <t>생강</t>
    <phoneticPr fontId="5" type="noConversion"/>
  </si>
  <si>
    <t>시호1</t>
    <phoneticPr fontId="5" type="noConversion"/>
  </si>
  <si>
    <t>죽여1</t>
    <phoneticPr fontId="5" type="noConversion"/>
  </si>
  <si>
    <t>천궁1</t>
    <phoneticPr fontId="5" type="noConversion"/>
  </si>
  <si>
    <t>당귀1</t>
    <phoneticPr fontId="5" type="noConversion"/>
  </si>
  <si>
    <t>백작약</t>
    <phoneticPr fontId="5" type="noConversion"/>
  </si>
  <si>
    <t>초</t>
    <phoneticPr fontId="5" type="noConversion"/>
  </si>
  <si>
    <t>대황</t>
    <phoneticPr fontId="5" type="noConversion"/>
  </si>
  <si>
    <t>가미온담탕</t>
    <phoneticPr fontId="5" type="noConversion"/>
  </si>
  <si>
    <t>서영원</t>
    <phoneticPr fontId="5" type="noConversion"/>
  </si>
  <si>
    <t>F</t>
    <phoneticPr fontId="5" type="noConversion"/>
  </si>
  <si>
    <t xml:space="preserve">#불면, 수족다한, 근육통, 흉간식체, 변비
</t>
    <phoneticPr fontId="5" type="noConversion"/>
  </si>
  <si>
    <t xml:space="preserve">#불면, 수족다한, 근육통, 흉간식체, 변비
시호 작약 증량, 향부자 감량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</si>
</sst>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8222-BC37-4673-871E-3FB6372E2C04}">
  <sheetPr>
    <pageSetUpPr fitToPage="1"/>
  </sheetPr>
  <dimension ref="B1:M31"/>
  <sheetViews>
    <sheetView tabSelected="1" topLeftCell="B1" workbookViewId="0">
      <selection activeCell="O12" sqref="O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6</v>
      </c>
      <c r="F2" s="101">
        <f>E2*$L$15</f>
        <v>90</v>
      </c>
      <c r="G2">
        <f>VLOOKUP($C2,약재관리!A:J,10,FALSE)</f>
        <v>14.7</v>
      </c>
      <c r="H2" s="5">
        <f>G2*E2</f>
        <v>88.199999999999989</v>
      </c>
      <c r="I2" s="90">
        <f>G2*F2</f>
        <v>1323</v>
      </c>
      <c r="K2" s="7" t="s">
        <v>9</v>
      </c>
      <c r="L2" s="152">
        <v>89</v>
      </c>
      <c r="M2" s="153"/>
    </row>
    <row r="3" spans="2:13">
      <c r="B3" s="3">
        <v>2</v>
      </c>
      <c r="C3" t="s">
        <v>412</v>
      </c>
      <c r="D3" s="4"/>
      <c r="E3" s="88">
        <v>6</v>
      </c>
      <c r="F3" s="101">
        <f t="shared" ref="F3:F31" si="0">E3*$L$15</f>
        <v>90</v>
      </c>
      <c r="G3">
        <f>VLOOKUP($C3,약재관리!A:J,10,FALSE)</f>
        <v>45</v>
      </c>
      <c r="H3" s="5">
        <f t="shared" ref="H3:H31" si="1">G3*E3</f>
        <v>270</v>
      </c>
      <c r="I3" s="6">
        <f t="shared" ref="I3:I31" si="2">G3*F3</f>
        <v>4050</v>
      </c>
      <c r="K3" s="8" t="s">
        <v>10</v>
      </c>
      <c r="L3" s="147" t="s">
        <v>428</v>
      </c>
      <c r="M3" s="148"/>
    </row>
    <row r="4" spans="2:13">
      <c r="B4" s="3">
        <v>3</v>
      </c>
      <c r="C4" t="s">
        <v>413</v>
      </c>
      <c r="D4" s="4"/>
      <c r="E4" s="88">
        <v>4</v>
      </c>
      <c r="F4" s="101">
        <f t="shared" si="0"/>
        <v>60</v>
      </c>
      <c r="G4">
        <f>VLOOKUP($C4,약재관리!A:J,10,FALSE)</f>
        <v>47</v>
      </c>
      <c r="H4" s="5">
        <f t="shared" si="1"/>
        <v>188</v>
      </c>
      <c r="I4" s="6">
        <f t="shared" si="2"/>
        <v>2820</v>
      </c>
      <c r="K4" s="8" t="s">
        <v>11</v>
      </c>
      <c r="L4" s="154">
        <v>45747</v>
      </c>
      <c r="M4" s="148"/>
    </row>
    <row r="5" spans="2:13">
      <c r="B5" s="3">
        <v>4</v>
      </c>
      <c r="C5" t="s">
        <v>414</v>
      </c>
      <c r="D5" s="4"/>
      <c r="E5" s="88">
        <v>4</v>
      </c>
      <c r="F5" s="101">
        <f t="shared" si="0"/>
        <v>60</v>
      </c>
      <c r="G5">
        <f>VLOOKUP($C5,약재관리!A:J,10,FALSE)</f>
        <v>11</v>
      </c>
      <c r="H5" s="5">
        <f t="shared" si="1"/>
        <v>44</v>
      </c>
      <c r="I5" s="6">
        <f t="shared" si="2"/>
        <v>660</v>
      </c>
      <c r="K5" s="8" t="s">
        <v>12</v>
      </c>
      <c r="L5" s="147" t="s">
        <v>429</v>
      </c>
      <c r="M5" s="148"/>
    </row>
    <row r="6" spans="2:13">
      <c r="B6" s="3">
        <v>5</v>
      </c>
      <c r="C6" t="s">
        <v>415</v>
      </c>
      <c r="D6" s="4"/>
      <c r="E6" s="88">
        <v>6</v>
      </c>
      <c r="F6" s="101">
        <f t="shared" si="0"/>
        <v>90</v>
      </c>
      <c r="G6">
        <f>VLOOKUP($C6,약재관리!A:J,10,FALSE)</f>
        <v>16.7</v>
      </c>
      <c r="H6" s="5">
        <f t="shared" si="1"/>
        <v>100.19999999999999</v>
      </c>
      <c r="I6" s="6">
        <f t="shared" si="2"/>
        <v>1503</v>
      </c>
      <c r="K6" s="8" t="s">
        <v>13</v>
      </c>
      <c r="L6" s="147">
        <v>37</v>
      </c>
      <c r="M6" s="148"/>
    </row>
    <row r="7" spans="2:13" ht="17.25" thickBot="1">
      <c r="B7" s="3">
        <v>6</v>
      </c>
      <c r="C7" t="s">
        <v>422</v>
      </c>
      <c r="D7" s="4"/>
      <c r="E7" s="88">
        <v>4</v>
      </c>
      <c r="F7" s="101">
        <f t="shared" si="0"/>
        <v>60</v>
      </c>
      <c r="G7">
        <f>VLOOKUP($C7,약재관리!A:J,10,FALSE)</f>
        <v>15.4</v>
      </c>
      <c r="H7" s="5">
        <f t="shared" si="1"/>
        <v>61.6</v>
      </c>
      <c r="I7" s="6">
        <f t="shared" si="2"/>
        <v>924</v>
      </c>
      <c r="K7" s="8" t="s">
        <v>14</v>
      </c>
      <c r="L7" s="155" t="s">
        <v>430</v>
      </c>
      <c r="M7" s="156"/>
    </row>
    <row r="8" spans="2:13" ht="17.25" thickBot="1">
      <c r="B8" s="3">
        <v>7</v>
      </c>
      <c r="C8" t="s">
        <v>421</v>
      </c>
      <c r="D8" s="4"/>
      <c r="E8" s="88">
        <v>8</v>
      </c>
      <c r="F8" s="101">
        <f t="shared" si="0"/>
        <v>120</v>
      </c>
      <c r="G8">
        <f>VLOOKUP($C8,약재관리!A:J,10,FALSE)</f>
        <v>72.7</v>
      </c>
      <c r="H8" s="5">
        <f t="shared" si="1"/>
        <v>581.6</v>
      </c>
      <c r="I8" s="6">
        <f t="shared" si="2"/>
        <v>8724</v>
      </c>
      <c r="K8" s="149" t="s">
        <v>15</v>
      </c>
      <c r="L8" s="150"/>
      <c r="M8" s="151"/>
    </row>
    <row r="9" spans="2:13">
      <c r="B9" s="3">
        <v>8</v>
      </c>
      <c r="C9" t="s">
        <v>416</v>
      </c>
      <c r="D9" s="4"/>
      <c r="E9" s="88">
        <v>4</v>
      </c>
      <c r="F9" s="101">
        <f t="shared" si="0"/>
        <v>60</v>
      </c>
      <c r="G9">
        <f>VLOOKUP($C9,약재관리!A:J,10,FALSE)</f>
        <v>11.5</v>
      </c>
      <c r="H9" s="5">
        <f t="shared" si="1"/>
        <v>46</v>
      </c>
      <c r="I9" s="6">
        <f t="shared" si="2"/>
        <v>690</v>
      </c>
      <c r="K9" s="157" t="s">
        <v>432</v>
      </c>
      <c r="L9" s="158"/>
      <c r="M9" s="159"/>
    </row>
    <row r="10" spans="2:13">
      <c r="B10" s="3">
        <v>9</v>
      </c>
      <c r="C10" t="s">
        <v>417</v>
      </c>
      <c r="D10" s="4"/>
      <c r="E10" s="88">
        <v>4</v>
      </c>
      <c r="F10" s="101">
        <f t="shared" si="0"/>
        <v>60</v>
      </c>
      <c r="G10">
        <f>VLOOKUP($C10,약재관리!A:J,10,FALSE)</f>
        <v>44.3</v>
      </c>
      <c r="H10" s="5">
        <f t="shared" si="1"/>
        <v>177.2</v>
      </c>
      <c r="I10" s="6">
        <f t="shared" si="2"/>
        <v>2658</v>
      </c>
      <c r="K10" s="160"/>
      <c r="L10" s="161"/>
      <c r="M10" s="162"/>
    </row>
    <row r="11" spans="2:13">
      <c r="B11" s="3">
        <v>10</v>
      </c>
      <c r="C11" t="s">
        <v>423</v>
      </c>
      <c r="D11" s="4"/>
      <c r="E11" s="88">
        <v>3</v>
      </c>
      <c r="F11" s="101">
        <f t="shared" si="0"/>
        <v>45</v>
      </c>
      <c r="G11">
        <f>VLOOKUP($C11,약재관리!A:J,10,FALSE)</f>
        <v>10.8</v>
      </c>
      <c r="H11" s="5">
        <f t="shared" si="1"/>
        <v>32.400000000000006</v>
      </c>
      <c r="I11" s="6">
        <f t="shared" si="2"/>
        <v>486.00000000000006</v>
      </c>
      <c r="K11" s="160"/>
      <c r="L11" s="161"/>
      <c r="M11" s="162"/>
    </row>
    <row r="12" spans="2:13">
      <c r="B12" s="3">
        <v>11</v>
      </c>
      <c r="C12" t="s">
        <v>418</v>
      </c>
      <c r="D12" s="4" t="s">
        <v>426</v>
      </c>
      <c r="E12" s="88">
        <v>3</v>
      </c>
      <c r="F12" s="101">
        <f t="shared" si="0"/>
        <v>45</v>
      </c>
      <c r="G12">
        <f>VLOOKUP($C12,약재관리!A:J,10,FALSE)</f>
        <v>26</v>
      </c>
      <c r="H12" s="5">
        <f t="shared" si="1"/>
        <v>78</v>
      </c>
      <c r="I12" s="6">
        <f t="shared" si="2"/>
        <v>1170</v>
      </c>
      <c r="K12" s="160"/>
      <c r="L12" s="161"/>
      <c r="M12" s="162"/>
    </row>
    <row r="13" spans="2:13" ht="17.25" thickBot="1">
      <c r="B13" s="3">
        <v>12</v>
      </c>
      <c r="C13" t="s">
        <v>419</v>
      </c>
      <c r="D13" s="4"/>
      <c r="E13" s="88">
        <v>2</v>
      </c>
      <c r="F13" s="101">
        <f t="shared" si="0"/>
        <v>30</v>
      </c>
      <c r="G13">
        <f>VLOOKUP($C13,약재관리!A:J,10,FALSE)</f>
        <v>28.3</v>
      </c>
      <c r="H13" s="5">
        <f t="shared" si="1"/>
        <v>56.6</v>
      </c>
      <c r="I13" s="6">
        <f t="shared" si="2"/>
        <v>849</v>
      </c>
      <c r="K13" s="163"/>
      <c r="L13" s="164"/>
      <c r="M13" s="165"/>
    </row>
    <row r="14" spans="2:13">
      <c r="B14" s="3">
        <v>13</v>
      </c>
      <c r="C14" t="s">
        <v>420</v>
      </c>
      <c r="D14" s="4"/>
      <c r="E14" s="88">
        <v>4</v>
      </c>
      <c r="F14" s="101">
        <f t="shared" si="0"/>
        <v>60</v>
      </c>
      <c r="G14">
        <f>VLOOKUP($C14,약재관리!A:J,10,FALSE)</f>
        <v>15</v>
      </c>
      <c r="H14" s="5">
        <f t="shared" si="1"/>
        <v>60</v>
      </c>
      <c r="I14" s="6">
        <f t="shared" si="2"/>
        <v>900</v>
      </c>
      <c r="K14" s="92" t="s">
        <v>16</v>
      </c>
      <c r="L14" s="9">
        <v>10</v>
      </c>
      <c r="M14" s="10" t="s">
        <v>17</v>
      </c>
    </row>
    <row r="15" spans="2:13">
      <c r="B15" s="3">
        <v>14</v>
      </c>
      <c r="C15" t="s">
        <v>424</v>
      </c>
      <c r="D15" s="4"/>
      <c r="E15" s="88">
        <v>4</v>
      </c>
      <c r="F15" s="101">
        <f t="shared" si="0"/>
        <v>60</v>
      </c>
      <c r="G15">
        <f>VLOOKUP($C15,약재관리!A:J,10,FALSE)</f>
        <v>25.3</v>
      </c>
      <c r="H15" s="5">
        <f t="shared" si="1"/>
        <v>101.2</v>
      </c>
      <c r="I15" s="6">
        <f t="shared" si="2"/>
        <v>1518</v>
      </c>
      <c r="K15" s="91" t="s">
        <v>18</v>
      </c>
      <c r="L15">
        <v>15</v>
      </c>
      <c r="M15" s="4" t="s">
        <v>19</v>
      </c>
    </row>
    <row r="16" spans="2:13">
      <c r="B16" s="3">
        <v>15</v>
      </c>
      <c r="C16" t="s">
        <v>425</v>
      </c>
      <c r="D16" s="4"/>
      <c r="E16" s="88">
        <v>8</v>
      </c>
      <c r="F16" s="101">
        <f t="shared" si="0"/>
        <v>120</v>
      </c>
      <c r="G16">
        <f>VLOOKUP($C16,약재관리!A:J,10,FALSE)</f>
        <v>19.600000000000001</v>
      </c>
      <c r="H16" s="5">
        <f t="shared" si="1"/>
        <v>156.80000000000001</v>
      </c>
      <c r="I16" s="6">
        <f t="shared" si="2"/>
        <v>2352</v>
      </c>
      <c r="K16" s="91" t="s">
        <v>20</v>
      </c>
      <c r="L16">
        <v>20</v>
      </c>
      <c r="M16" s="4" t="s">
        <v>21</v>
      </c>
    </row>
    <row r="17" spans="2:13" ht="17.25" thickBot="1">
      <c r="B17" s="3">
        <v>16</v>
      </c>
      <c r="C17" t="s">
        <v>427</v>
      </c>
      <c r="D17" s="4"/>
      <c r="E17" s="88">
        <v>2</v>
      </c>
      <c r="F17" s="101">
        <f t="shared" si="0"/>
        <v>30</v>
      </c>
      <c r="G17">
        <f>VLOOKUP($C17,약재관리!A:J,10,FALSE)</f>
        <v>13</v>
      </c>
      <c r="H17" s="5">
        <f t="shared" si="1"/>
        <v>26</v>
      </c>
      <c r="I17" s="6">
        <f t="shared" si="2"/>
        <v>390</v>
      </c>
      <c r="K17" s="14" t="s">
        <v>22</v>
      </c>
      <c r="L17" s="11">
        <v>100</v>
      </c>
      <c r="M17" s="12" t="s">
        <v>23</v>
      </c>
    </row>
    <row r="18" spans="2:13">
      <c r="B18" s="3">
        <v>17</v>
      </c>
      <c r="D18" s="4"/>
      <c r="F18" s="101">
        <f t="shared" si="0"/>
        <v>0</v>
      </c>
      <c r="H18" s="5">
        <f t="shared" si="1"/>
        <v>0</v>
      </c>
      <c r="I18" s="6">
        <f t="shared" si="2"/>
        <v>0</v>
      </c>
      <c r="K18" s="92" t="s">
        <v>24</v>
      </c>
      <c r="L18" s="9">
        <f>SUM(E2:E31)</f>
        <v>72</v>
      </c>
      <c r="M18" s="10" t="s">
        <v>25</v>
      </c>
    </row>
    <row r="19" spans="2:13">
      <c r="B19" s="3">
        <v>18</v>
      </c>
      <c r="D19" s="4"/>
      <c r="F19" s="101">
        <f t="shared" si="0"/>
        <v>0</v>
      </c>
      <c r="H19" s="5">
        <f t="shared" si="1"/>
        <v>0</v>
      </c>
      <c r="I19" s="6">
        <f t="shared" si="2"/>
        <v>0</v>
      </c>
      <c r="K19" s="91" t="s">
        <v>26</v>
      </c>
      <c r="L19">
        <f>L15*L18</f>
        <v>1080</v>
      </c>
      <c r="M19" s="4" t="s">
        <v>25</v>
      </c>
    </row>
    <row r="20" spans="2:13" ht="17.25" thickBot="1">
      <c r="B20" s="3">
        <v>19</v>
      </c>
      <c r="D20" s="4"/>
      <c r="F20" s="101">
        <f t="shared" si="0"/>
        <v>0</v>
      </c>
      <c r="H20" s="5">
        <f t="shared" si="1"/>
        <v>0</v>
      </c>
      <c r="I20" s="6">
        <f t="shared" si="2"/>
        <v>0</v>
      </c>
      <c r="K20" s="14" t="s">
        <v>27</v>
      </c>
      <c r="L20" s="11">
        <f>L16*L17+L19</f>
        <v>3080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1080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2067.8000000000002</v>
      </c>
      <c r="M30" s="4" t="s">
        <v>384</v>
      </c>
    </row>
    <row r="31" spans="2:13" ht="17.25" thickBot="1">
      <c r="B31" s="13">
        <v>30</v>
      </c>
      <c r="C31" s="14"/>
      <c r="D31" s="12"/>
      <c r="E31" s="95"/>
      <c r="F31" s="102">
        <f t="shared" si="0"/>
        <v>0</v>
      </c>
      <c r="H31" s="15">
        <f t="shared" si="1"/>
        <v>0</v>
      </c>
      <c r="I31" s="16">
        <f t="shared" si="2"/>
        <v>0</v>
      </c>
      <c r="K31" s="14" t="s">
        <v>383</v>
      </c>
      <c r="L31" s="15">
        <f>SUM(I2:I31)</f>
        <v>31017</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opLeftCell="B1"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150</v>
      </c>
      <c r="G2">
        <f>VLOOKUP($C2,약재관리!A:J,10,FALSE)</f>
        <v>14.7</v>
      </c>
      <c r="H2" s="5">
        <f>G2*E2</f>
        <v>147</v>
      </c>
      <c r="I2" s="90">
        <f>G2*F2</f>
        <v>2205</v>
      </c>
      <c r="K2" s="7" t="s">
        <v>9</v>
      </c>
      <c r="L2" s="152">
        <v>89</v>
      </c>
      <c r="M2" s="153"/>
    </row>
    <row r="3" spans="2:13">
      <c r="B3" s="3">
        <v>2</v>
      </c>
      <c r="C3" t="s">
        <v>412</v>
      </c>
      <c r="D3" s="4"/>
      <c r="E3" s="88">
        <v>6</v>
      </c>
      <c r="F3" s="101">
        <f t="shared" ref="F3:F31" si="0">E3*$L$15</f>
        <v>90</v>
      </c>
      <c r="G3">
        <f>VLOOKUP($C3,약재관리!A:J,10,FALSE)</f>
        <v>45</v>
      </c>
      <c r="H3" s="5">
        <f t="shared" ref="H3:H31" si="1">G3*E3</f>
        <v>270</v>
      </c>
      <c r="I3" s="6">
        <f t="shared" ref="I3:I31" si="2">G3*F3</f>
        <v>4050</v>
      </c>
      <c r="K3" s="8" t="s">
        <v>10</v>
      </c>
      <c r="L3" s="147" t="s">
        <v>428</v>
      </c>
      <c r="M3" s="148"/>
    </row>
    <row r="4" spans="2:13">
      <c r="B4" s="3">
        <v>3</v>
      </c>
      <c r="C4" t="s">
        <v>413</v>
      </c>
      <c r="D4" s="4"/>
      <c r="E4" s="88">
        <v>4</v>
      </c>
      <c r="F4" s="101">
        <f t="shared" si="0"/>
        <v>60</v>
      </c>
      <c r="G4">
        <f>VLOOKUP($C4,약재관리!A:J,10,FALSE)</f>
        <v>47</v>
      </c>
      <c r="H4" s="5">
        <f t="shared" si="1"/>
        <v>188</v>
      </c>
      <c r="I4" s="6">
        <f t="shared" si="2"/>
        <v>2820</v>
      </c>
      <c r="K4" s="8" t="s">
        <v>11</v>
      </c>
      <c r="L4" s="154">
        <v>45733</v>
      </c>
      <c r="M4" s="148"/>
    </row>
    <row r="5" spans="2:13">
      <c r="B5" s="3">
        <v>4</v>
      </c>
      <c r="C5" t="s">
        <v>414</v>
      </c>
      <c r="D5" s="4"/>
      <c r="E5" s="88">
        <v>4</v>
      </c>
      <c r="F5" s="101">
        <f t="shared" si="0"/>
        <v>60</v>
      </c>
      <c r="G5">
        <f>VLOOKUP($C5,약재관리!A:J,10,FALSE)</f>
        <v>11</v>
      </c>
      <c r="H5" s="5">
        <f t="shared" si="1"/>
        <v>44</v>
      </c>
      <c r="I5" s="6">
        <f t="shared" si="2"/>
        <v>660</v>
      </c>
      <c r="K5" s="8" t="s">
        <v>12</v>
      </c>
      <c r="L5" s="147" t="s">
        <v>429</v>
      </c>
      <c r="M5" s="148"/>
    </row>
    <row r="6" spans="2:13">
      <c r="B6" s="3">
        <v>5</v>
      </c>
      <c r="C6" t="s">
        <v>415</v>
      </c>
      <c r="D6" s="4"/>
      <c r="E6" s="88">
        <v>6</v>
      </c>
      <c r="F6" s="101">
        <f t="shared" si="0"/>
        <v>90</v>
      </c>
      <c r="G6">
        <f>VLOOKUP($C6,약재관리!A:J,10,FALSE)</f>
        <v>16.7</v>
      </c>
      <c r="H6" s="5">
        <f t="shared" si="1"/>
        <v>100.19999999999999</v>
      </c>
      <c r="I6" s="6">
        <f t="shared" si="2"/>
        <v>1503</v>
      </c>
      <c r="K6" s="8" t="s">
        <v>13</v>
      </c>
      <c r="L6" s="147">
        <v>37</v>
      </c>
      <c r="M6" s="148"/>
    </row>
    <row r="7" spans="2:13" ht="17.25" thickBot="1">
      <c r="B7" s="3">
        <v>6</v>
      </c>
      <c r="C7" t="s">
        <v>422</v>
      </c>
      <c r="D7" s="4"/>
      <c r="E7" s="88">
        <v>4</v>
      </c>
      <c r="F7" s="101">
        <f t="shared" si="0"/>
        <v>60</v>
      </c>
      <c r="G7">
        <f>VLOOKUP($C7,약재관리!A:J,10,FALSE)</f>
        <v>15.4</v>
      </c>
      <c r="H7" s="5">
        <f t="shared" si="1"/>
        <v>61.6</v>
      </c>
      <c r="I7" s="6">
        <f t="shared" si="2"/>
        <v>924</v>
      </c>
      <c r="K7" s="8" t="s">
        <v>14</v>
      </c>
      <c r="L7" s="155" t="s">
        <v>430</v>
      </c>
      <c r="M7" s="156"/>
    </row>
    <row r="8" spans="2:13" ht="17.25" thickBot="1">
      <c r="B8" s="3">
        <v>7</v>
      </c>
      <c r="C8" t="s">
        <v>421</v>
      </c>
      <c r="D8" s="4"/>
      <c r="E8" s="88">
        <v>4</v>
      </c>
      <c r="F8" s="101">
        <f t="shared" si="0"/>
        <v>60</v>
      </c>
      <c r="G8">
        <f>VLOOKUP($C8,약재관리!A:J,10,FALSE)</f>
        <v>72.7</v>
      </c>
      <c r="H8" s="5">
        <f t="shared" si="1"/>
        <v>290.8</v>
      </c>
      <c r="I8" s="6">
        <f t="shared" si="2"/>
        <v>4362</v>
      </c>
      <c r="K8" s="149" t="s">
        <v>15</v>
      </c>
      <c r="L8" s="150"/>
      <c r="M8" s="151"/>
    </row>
    <row r="9" spans="2:13">
      <c r="B9" s="3">
        <v>8</v>
      </c>
      <c r="C9" t="s">
        <v>416</v>
      </c>
      <c r="D9" s="4"/>
      <c r="E9" s="88">
        <v>4</v>
      </c>
      <c r="F9" s="101">
        <f t="shared" si="0"/>
        <v>60</v>
      </c>
      <c r="G9">
        <f>VLOOKUP($C9,약재관리!A:J,10,FALSE)</f>
        <v>11.5</v>
      </c>
      <c r="H9" s="5">
        <f t="shared" si="1"/>
        <v>46</v>
      </c>
      <c r="I9" s="6">
        <f t="shared" si="2"/>
        <v>690</v>
      </c>
      <c r="K9" s="157" t="s">
        <v>431</v>
      </c>
      <c r="L9" s="158"/>
      <c r="M9" s="159"/>
    </row>
    <row r="10" spans="2:13">
      <c r="B10" s="3">
        <v>9</v>
      </c>
      <c r="C10" t="s">
        <v>417</v>
      </c>
      <c r="D10" s="4"/>
      <c r="E10" s="88">
        <v>4</v>
      </c>
      <c r="F10" s="101">
        <f t="shared" si="0"/>
        <v>60</v>
      </c>
      <c r="G10">
        <f>VLOOKUP($C10,약재관리!A:J,10,FALSE)</f>
        <v>44.3</v>
      </c>
      <c r="H10" s="5">
        <f t="shared" si="1"/>
        <v>177.2</v>
      </c>
      <c r="I10" s="6">
        <f t="shared" si="2"/>
        <v>2658</v>
      </c>
      <c r="K10" s="160"/>
      <c r="L10" s="161"/>
      <c r="M10" s="162"/>
    </row>
    <row r="11" spans="2:13">
      <c r="B11" s="3">
        <v>10</v>
      </c>
      <c r="C11" t="s">
        <v>423</v>
      </c>
      <c r="D11" s="4"/>
      <c r="E11" s="88">
        <v>3</v>
      </c>
      <c r="F11" s="101">
        <f t="shared" si="0"/>
        <v>45</v>
      </c>
      <c r="G11">
        <f>VLOOKUP($C11,약재관리!A:J,10,FALSE)</f>
        <v>10.8</v>
      </c>
      <c r="H11" s="5">
        <f t="shared" si="1"/>
        <v>32.400000000000006</v>
      </c>
      <c r="I11" s="6">
        <f t="shared" si="2"/>
        <v>486.00000000000006</v>
      </c>
      <c r="K11" s="160"/>
      <c r="L11" s="161"/>
      <c r="M11" s="162"/>
    </row>
    <row r="12" spans="2:13">
      <c r="B12" s="3">
        <v>11</v>
      </c>
      <c r="C12" t="s">
        <v>418</v>
      </c>
      <c r="D12" s="4" t="s">
        <v>426</v>
      </c>
      <c r="E12" s="88">
        <v>4</v>
      </c>
      <c r="F12" s="101">
        <f t="shared" si="0"/>
        <v>60</v>
      </c>
      <c r="G12">
        <f>VLOOKUP($C12,약재관리!A:J,10,FALSE)</f>
        <v>26</v>
      </c>
      <c r="H12" s="5">
        <f t="shared" si="1"/>
        <v>104</v>
      </c>
      <c r="I12" s="6">
        <f t="shared" si="2"/>
        <v>1560</v>
      </c>
      <c r="K12" s="160"/>
      <c r="L12" s="161"/>
      <c r="M12" s="162"/>
    </row>
    <row r="13" spans="2:13" ht="17.25" thickBot="1">
      <c r="B13" s="3">
        <v>12</v>
      </c>
      <c r="C13" t="s">
        <v>419</v>
      </c>
      <c r="D13" s="4"/>
      <c r="E13" s="88">
        <v>2</v>
      </c>
      <c r="F13" s="101">
        <f t="shared" si="0"/>
        <v>30</v>
      </c>
      <c r="G13">
        <f>VLOOKUP($C13,약재관리!A:J,10,FALSE)</f>
        <v>28.3</v>
      </c>
      <c r="H13" s="5">
        <f t="shared" si="1"/>
        <v>56.6</v>
      </c>
      <c r="I13" s="6">
        <f t="shared" si="2"/>
        <v>849</v>
      </c>
      <c r="K13" s="163"/>
      <c r="L13" s="164"/>
      <c r="M13" s="165"/>
    </row>
    <row r="14" spans="2:13">
      <c r="B14" s="3">
        <v>13</v>
      </c>
      <c r="C14" t="s">
        <v>420</v>
      </c>
      <c r="D14" s="4"/>
      <c r="E14" s="88">
        <v>4</v>
      </c>
      <c r="F14" s="101">
        <f t="shared" si="0"/>
        <v>60</v>
      </c>
      <c r="G14">
        <f>VLOOKUP($C14,약재관리!A:J,10,FALSE)</f>
        <v>15</v>
      </c>
      <c r="H14" s="5">
        <f t="shared" si="1"/>
        <v>60</v>
      </c>
      <c r="I14" s="6">
        <f t="shared" si="2"/>
        <v>900</v>
      </c>
      <c r="K14" s="92" t="s">
        <v>16</v>
      </c>
      <c r="L14" s="9">
        <v>10</v>
      </c>
      <c r="M14" s="10" t="s">
        <v>17</v>
      </c>
    </row>
    <row r="15" spans="2:13">
      <c r="B15" s="3">
        <v>14</v>
      </c>
      <c r="C15" t="s">
        <v>424</v>
      </c>
      <c r="D15" s="4"/>
      <c r="E15" s="88">
        <v>4</v>
      </c>
      <c r="F15" s="101">
        <f t="shared" si="0"/>
        <v>60</v>
      </c>
      <c r="G15">
        <f>VLOOKUP($C15,약재관리!A:J,10,FALSE)</f>
        <v>25.3</v>
      </c>
      <c r="H15" s="5">
        <f t="shared" si="1"/>
        <v>101.2</v>
      </c>
      <c r="I15" s="6">
        <f t="shared" si="2"/>
        <v>1518</v>
      </c>
      <c r="K15" s="91" t="s">
        <v>18</v>
      </c>
      <c r="L15">
        <v>15</v>
      </c>
      <c r="M15" s="4" t="s">
        <v>19</v>
      </c>
    </row>
    <row r="16" spans="2:13">
      <c r="B16" s="3">
        <v>15</v>
      </c>
      <c r="C16" t="s">
        <v>425</v>
      </c>
      <c r="D16" s="4"/>
      <c r="E16" s="88">
        <v>4</v>
      </c>
      <c r="F16" s="101">
        <f t="shared" si="0"/>
        <v>60</v>
      </c>
      <c r="G16">
        <f>VLOOKUP($C16,약재관리!A:J,10,FALSE)</f>
        <v>19.600000000000001</v>
      </c>
      <c r="H16" s="5">
        <f t="shared" si="1"/>
        <v>78.400000000000006</v>
      </c>
      <c r="I16" s="6">
        <f t="shared" si="2"/>
        <v>1176</v>
      </c>
      <c r="K16" s="91" t="s">
        <v>20</v>
      </c>
      <c r="L16">
        <v>20</v>
      </c>
      <c r="M16" s="4" t="s">
        <v>21</v>
      </c>
    </row>
    <row r="17" spans="2:13" ht="17.25" thickBot="1">
      <c r="B17" s="3">
        <v>16</v>
      </c>
      <c r="C17" t="s">
        <v>427</v>
      </c>
      <c r="D17" s="4"/>
      <c r="E17" s="88">
        <v>2</v>
      </c>
      <c r="F17" s="101">
        <f t="shared" si="0"/>
        <v>30</v>
      </c>
      <c r="G17">
        <f>VLOOKUP($C17,약재관리!A:J,10,FALSE)</f>
        <v>13</v>
      </c>
      <c r="H17" s="5">
        <f t="shared" si="1"/>
        <v>26</v>
      </c>
      <c r="I17" s="6">
        <f t="shared" si="2"/>
        <v>390</v>
      </c>
      <c r="K17" s="14" t="s">
        <v>22</v>
      </c>
      <c r="L17" s="11">
        <v>100</v>
      </c>
      <c r="M17" s="12" t="s">
        <v>23</v>
      </c>
    </row>
    <row r="18" spans="2:13">
      <c r="B18" s="3">
        <v>17</v>
      </c>
      <c r="D18" s="4"/>
      <c r="F18" s="101">
        <f t="shared" si="0"/>
        <v>0</v>
      </c>
      <c r="H18" s="5">
        <f t="shared" si="1"/>
        <v>0</v>
      </c>
      <c r="I18" s="6">
        <f t="shared" si="2"/>
        <v>0</v>
      </c>
      <c r="K18" s="92" t="s">
        <v>24</v>
      </c>
      <c r="L18" s="9">
        <f>SUM(E2:E31)</f>
        <v>69</v>
      </c>
      <c r="M18" s="10" t="s">
        <v>25</v>
      </c>
    </row>
    <row r="19" spans="2:13">
      <c r="B19" s="3">
        <v>18</v>
      </c>
      <c r="D19" s="4"/>
      <c r="F19" s="101">
        <f t="shared" si="0"/>
        <v>0</v>
      </c>
      <c r="H19" s="5">
        <f t="shared" si="1"/>
        <v>0</v>
      </c>
      <c r="I19" s="6">
        <f t="shared" si="2"/>
        <v>0</v>
      </c>
      <c r="K19" s="91" t="s">
        <v>26</v>
      </c>
      <c r="L19">
        <f>L15*L18</f>
        <v>1035</v>
      </c>
      <c r="M19" s="4" t="s">
        <v>25</v>
      </c>
    </row>
    <row r="20" spans="2:13" ht="17.25" thickBot="1">
      <c r="B20" s="3">
        <v>19</v>
      </c>
      <c r="D20" s="4"/>
      <c r="F20" s="101">
        <f t="shared" si="0"/>
        <v>0</v>
      </c>
      <c r="H20" s="5">
        <f t="shared" si="1"/>
        <v>0</v>
      </c>
      <c r="I20" s="6">
        <f t="shared" si="2"/>
        <v>0</v>
      </c>
      <c r="K20" s="14" t="s">
        <v>27</v>
      </c>
      <c r="L20" s="11">
        <f>L16*L17+L19</f>
        <v>3035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1035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1783.4000000000003</v>
      </c>
      <c r="M30" s="4" t="s">
        <v>384</v>
      </c>
    </row>
    <row r="31" spans="2:13" ht="17.25" thickBot="1">
      <c r="B31" s="13">
        <v>30</v>
      </c>
      <c r="C31" s="14"/>
      <c r="D31" s="12"/>
      <c r="E31" s="95"/>
      <c r="F31" s="102">
        <f t="shared" si="0"/>
        <v>0</v>
      </c>
      <c r="H31" s="15">
        <f t="shared" si="1"/>
        <v>0</v>
      </c>
      <c r="I31" s="16">
        <f t="shared" si="2"/>
        <v>0</v>
      </c>
      <c r="K31" s="14" t="s">
        <v>383</v>
      </c>
      <c r="L31" s="15">
        <f>SUM(I2:I31)</f>
        <v>26751</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41" zoomScaleNormal="100" workbookViewId="0">
      <selection activeCell="E54" sqref="E5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8000</v>
      </c>
      <c r="F54" s="115">
        <f t="shared" si="6"/>
        <v>0</v>
      </c>
      <c r="G54" s="38">
        <f>C54/500</f>
        <v>46</v>
      </c>
      <c r="H54" s="38">
        <f t="shared" si="5"/>
        <v>65</v>
      </c>
      <c r="I54" s="48" t="e">
        <f>#REF!/600</f>
        <v>#REF!</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12800</v>
      </c>
      <c r="F130" s="115">
        <f t="shared" si="12"/>
        <v>0</v>
      </c>
      <c r="G130" s="38">
        <f>C130/600</f>
        <v>21.333333333333332</v>
      </c>
      <c r="H130" s="38">
        <f t="shared" si="14"/>
        <v>19.166666666666668</v>
      </c>
      <c r="I130" s="39">
        <f t="shared" si="13"/>
        <v>21.333333333333332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8600</v>
      </c>
      <c r="F134" s="115">
        <f t="shared" si="12"/>
        <v>29.6</v>
      </c>
      <c r="G134" s="38">
        <f>C134/500</f>
        <v>0</v>
      </c>
      <c r="H134" s="38">
        <f t="shared" si="14"/>
        <v>0</v>
      </c>
      <c r="I134" s="48">
        <f t="shared" si="14"/>
        <v>14.333333333333334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65000</v>
      </c>
      <c r="F141" s="115">
        <f t="shared" si="12"/>
        <v>0</v>
      </c>
      <c r="G141" s="44">
        <f>C141/600</f>
        <v>110</v>
      </c>
      <c r="H141" s="38">
        <f>D141/300</f>
        <v>100</v>
      </c>
      <c r="I141" s="39">
        <f t="shared" si="14"/>
        <v>108.33333333333333</v>
      </c>
      <c r="J141" s="40">
        <v>108.3</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13400</v>
      </c>
      <c r="F202" s="115">
        <f t="shared" si="22"/>
        <v>0</v>
      </c>
      <c r="G202" s="44">
        <f t="shared" si="22"/>
        <v>22</v>
      </c>
      <c r="H202" s="38">
        <f t="shared" si="25"/>
        <v>40</v>
      </c>
      <c r="I202" s="48">
        <f t="shared" si="24"/>
        <v>22.333333333333332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2025-03-17T03:50:12Z</cp:lastPrinted>
  <dcterms:created xsi:type="dcterms:W3CDTF">2024-09-12T16:35:01Z</dcterms:created>
  <dcterms:modified xsi:type="dcterms:W3CDTF">2025-03-29T01:30:09Z</dcterms:modified>
</cp:coreProperties>
</file>