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784" documentId="8_{6EB8DC0A-AB56-415F-A9F3-EA1534264548}" xr6:coauthVersionLast="47" xr6:coauthVersionMax="47" xr10:uidLastSave="{4A08F39F-3B56-470F-BA19-6958B90582B5}"/>
  <bookViews>
    <workbookView xWindow="13905" yWindow="375" windowWidth="15240" windowHeight="15450" xr2:uid="{8B9F1886-173A-4475-B0CF-D9F36CE30773}"/>
  </bookViews>
  <sheets>
    <sheet name="처방전양식" sheetId="4" r:id="rId1"/>
    <sheet name="약재관리"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4" l="1"/>
  <c r="I137" i="5"/>
  <c r="H57" i="5"/>
  <c r="I86" i="5"/>
  <c r="I53" i="5"/>
  <c r="I54" i="5"/>
  <c r="I127" i="5"/>
  <c r="G142" i="5"/>
  <c r="I145" i="5"/>
  <c r="H145" i="5"/>
  <c r="G145" i="5"/>
  <c r="F145" i="5"/>
  <c r="G171" i="5"/>
  <c r="G3" i="4"/>
  <c r="G4" i="4"/>
  <c r="G5" i="4"/>
  <c r="G6" i="4"/>
  <c r="G7" i="4"/>
  <c r="G8" i="4"/>
  <c r="G9" i="4"/>
  <c r="G10" i="4"/>
  <c r="G11" i="4"/>
  <c r="G12" i="4"/>
  <c r="G13" i="4"/>
  <c r="G14" i="4"/>
  <c r="G2"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G57" i="5"/>
  <c r="F57" i="5"/>
  <c r="I56" i="5"/>
  <c r="H56" i="5"/>
  <c r="G56" i="5"/>
  <c r="F56" i="5"/>
  <c r="I55" i="5"/>
  <c r="H55" i="5"/>
  <c r="G55" i="5"/>
  <c r="F55" i="5"/>
  <c r="H54" i="5"/>
  <c r="G54" i="5"/>
  <c r="F54"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F2" i="4" l="1"/>
  <c r="H4" i="4" l="1"/>
  <c r="H5" i="4"/>
  <c r="H6" i="4"/>
  <c r="H7" i="4"/>
  <c r="H8" i="4"/>
  <c r="H12" i="4"/>
  <c r="H13" i="4"/>
  <c r="H14" i="4"/>
  <c r="H15" i="4"/>
  <c r="H16" i="4"/>
  <c r="H20" i="4"/>
  <c r="H21" i="4"/>
  <c r="H22" i="4"/>
  <c r="H23" i="4"/>
  <c r="I25" i="4"/>
  <c r="H28" i="4"/>
  <c r="H29" i="4"/>
  <c r="H30" i="4"/>
  <c r="H31" i="4"/>
  <c r="F3" i="4"/>
  <c r="F4" i="4"/>
  <c r="F5" i="4"/>
  <c r="F6" i="4"/>
  <c r="F7" i="4"/>
  <c r="F8" i="4"/>
  <c r="F9" i="4"/>
  <c r="I9" i="4" s="1"/>
  <c r="F10" i="4"/>
  <c r="I10" i="4" s="1"/>
  <c r="F11" i="4"/>
  <c r="F12" i="4"/>
  <c r="F31" i="4"/>
  <c r="F30" i="4"/>
  <c r="F29" i="4"/>
  <c r="F28" i="4"/>
  <c r="F27" i="4"/>
  <c r="F26" i="4"/>
  <c r="I26" i="4" s="1"/>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<sst xmlns="http://schemas.openxmlformats.org/spreadsheetml/2006/main" count="595" uniqueCount="432">
  <si>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</si>
  <si>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</si>
  <si>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</si>
  <si>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</si>
  <si>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</si>
  <si>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</si>
  <si>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</si>
  <si>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</si>
  <si>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</si>
  <si>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</si>
  <si>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</si>
  <si>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</si>
  <si>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</si>
  <si>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</si>
  <si>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</si>
  <si>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</si>
  <si>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</si>
  <si>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</si>
  <si>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</si>
  <si>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</si>
  <si>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</si>
  <si>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</si>
  <si>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</si>
  <si>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</si>
  <si>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</si>
  <si>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</si>
  <si>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</si>
  <si>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</si>
  <si>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</si>
  <si>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</si>
  <si>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</si>
  <si>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</si>
  <si>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</si>
  <si>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</si>
  <si>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</si>
  <si>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</si>
  <si>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</si>
  <si>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</si>
  <si>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</si>
  <si>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</si>
  <si>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</si>
  <si>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</si>
  <si>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</si>
  <si>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</si>
  <si>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</si>
  <si>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</si>
  <si>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</si>
  <si>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</si>
  <si>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</si>
  <si>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</si>
  <si>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</si>
  <si>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</si>
  <si>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</si>
  <si>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</si>
  <si>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</si>
  <si>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</si>
  <si>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</si>
  <si>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</si>
  <si>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</si>
  <si>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</si>
  <si>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</si>
  <si>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</si>
  <si>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</si>
  <si>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</si>
  <si>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</si>
  <si>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</si>
  <si>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</si>
  <si>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</si>
  <si>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</si>
  <si>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</si>
  <si>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</si>
  <si>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</si>
  <si>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</si>
  <si>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</si>
  <si>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</si>
  <si>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</si>
  <si>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</si>
  <si>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</si>
  <si>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</si>
  <si>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</si>
  <si>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</si>
  <si>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</si>
  <si>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</si>
  <si>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</si>
  <si>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</si>
  <si>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</si>
  <si>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</si>
  <si>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</si>
  <si>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</si>
  <si>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</si>
  <si>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</si>
  <si>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</si>
  <si>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</si>
  <si>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</si>
  <si>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</si>
  <si>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</si>
  <si>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</si>
  <si>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</si>
  <si>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</si>
  <si>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</si>
  <si>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</si>
  <si>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</si>
  <si>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</si>
  <si>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</si>
  <si>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</si>
  <si>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</si>
  <si>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</si>
  <si>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</si>
  <si>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</si>
  <si>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</si>
  <si>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</si>
  <si>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</si>
  <si>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</si>
  <si>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</si>
  <si>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</si>
  <si>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</si>
  <si>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</si>
  <si>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</si>
  <si>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</si>
  <si>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</si>
  <si>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</si>
  <si>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</si>
  <si>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</si>
  <si>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</si>
  <si>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</si>
  <si>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</si>
  <si>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</si>
  <si>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</si>
  <si>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</si>
  <si>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</si>
  <si>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</si>
  <si>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</si>
  <si>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</si>
  <si>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</si>
  <si>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</si>
  <si>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</si>
  <si>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</si>
  <si>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</si>
  <si>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</si>
  <si>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</si>
  <si>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</si>
  <si>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</si>
  <si>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</si>
  <si>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</si>
  <si>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</si>
  <si>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</si>
  <si>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</si>
  <si>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</si>
  <si>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</si>
  <si>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</si>
  <si>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</si>
  <si>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</si>
  <si>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</si>
  <si>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</si>
  <si>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</si>
  <si>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</si>
  <si>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</si>
  <si>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</si>
  <si>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</si>
  <si>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</si>
  <si>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</si>
  <si>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</si>
  <si>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</si>
  <si>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</si>
  <si>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</si>
  <si>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</si>
  <si>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</si>
  <si>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</si>
  <si>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</si>
  <si>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</si>
  <si>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</si>
  <si>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</si>
  <si>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</si>
  <si>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</si>
  <si>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</si>
  <si>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</si>
  <si>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</si>
  <si>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</si>
  <si>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</si>
  <si>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</si>
  <si>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</si>
  <si>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</si>
  <si>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</si>
  <si>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</si>
  <si>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</si>
  <si>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</si>
  <si>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</si>
  <si>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</si>
  <si>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</si>
  <si>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</si>
  <si>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</si>
  <si>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</si>
  <si>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</si>
  <si>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</si>
  <si>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</si>
  <si>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</si>
  <si>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</si>
  <si>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</si>
  <si>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</si>
  <si>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</si>
  <si>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</si>
  <si>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</si>
  <si>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</si>
  <si>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</si>
  <si>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</si>
  <si>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</si>
  <si>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</si>
  <si>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</si>
  <si>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</si>
  <si>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</si>
  <si>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</si>
  <si>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</si>
  <si>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</si>
  <si>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</si>
  <si>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</si>
  <si>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</si>
  <si>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</si>
  <si>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</si>
  <si>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</si>
  <si>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</si>
  <si>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</si>
  <si>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</si>
  <si>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</si>
  <si>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</si>
  <si>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</si>
  <si>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</si>
  <si>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</si>
  <si>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</si>
  <si>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</si>
  <si>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</si>
  <si>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</si>
  <si>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</si>
  <si>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</si>
  <si>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</si>
  <si>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</si>
  <si>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</si>
  <si>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</si>
  <si>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</si>
  <si>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</si>
  <si>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</si>
  <si>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</si>
  <si>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</si>
  <si>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</si>
  <si>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</si>
  <si>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</si>
  <si>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</si>
  <si>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</si>
  <si>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</si>
  <si>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</si>
  <si>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</si>
  <si>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</si>
  <si>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</si>
  <si>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</si>
  <si>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</si>
  <si>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</si>
  <si>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</si>
  <si>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</si>
  <si>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</si>
  <si>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</si>
  <si>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</si>
  <si>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</si>
  <si>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</si>
  <si>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</si>
  <si>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</si>
  <si>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</si>
  <si>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</si>
  <si>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</si>
  <si>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</si>
  <si>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</si>
  <si>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</si>
  <si>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</si>
  <si>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</si>
  <si>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</si>
  <si>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</si>
  <si>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</si>
  <si>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</si>
  <si>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</si>
  <si>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</si>
  <si>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</si>
  <si>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</si>
  <si>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</si>
  <si>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</si>
  <si>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</si>
  <si>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</si>
  <si>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</si>
  <si>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</si>
  <si>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</si>
  <si>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</si>
  <si>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</si>
  <si>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</si>
  <si>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</si>
  <si>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</si>
  <si>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</si>
  <si>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</si>
  <si>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</si>
  <si>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</si>
  <si>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</si>
  <si>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</si>
  <si>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</si>
  <si>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</si>
  <si>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</si>
  <si>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</si>
  <si>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</si>
  <si>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</si>
  <si>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</si>
  <si>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</si>
  <si>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</si>
  <si>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</si>
  <si>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</si>
  <si>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</si>
  <si>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</si>
  <si>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</si>
  <si>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</si>
  <si>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</si>
  <si>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</si>
  <si>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</si>
  <si>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</si>
  <si>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</si>
  <si>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</si>
  <si>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</si>
  <si>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</si>
  <si>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</si>
  <si>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</si>
  <si>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</si>
  <si>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</si>
  <si>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</si>
  <si>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</si>
  <si>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</si>
  <si>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</si>
  <si>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</si>
  <si>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</si>
  <si>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</si>
  <si>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</si>
  <si>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</si>
  <si>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</si>
  <si>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</si>
  <si>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</si>
  <si>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</si>
  <si>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</si>
  <si>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</si>
  <si>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</si>
  <si>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</si>
  <si>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</si>
  <si>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</si>
  <si>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</si>
  <si>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</si>
  <si>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</si>
  <si>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</si>
  <si>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</si>
  <si>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</si>
  <si>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</si>
  <si>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</si>
  <si>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</si>
  <si>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</si>
  <si>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</si>
  <si>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</si>
  <si>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</si>
  <si>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</si>
  <si>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</si>
  <si>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</si>
  <si>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</si>
  <si>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</si>
  <si>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</si>
  <si>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</si>
  <si>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</si>
  <si>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</si>
  <si>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</si>
  <si>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</si>
  <si>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</si>
  <si>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</si>
  <si>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</si>
  <si>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</si>
  <si>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</si>
  <si>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</si>
  <si>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</si>
  <si>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</si>
  <si>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</si>
  <si>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</si>
  <si>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</si>
  <si>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</si>
  <si>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</si>
  <si>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</si>
  <si>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</si>
  <si>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</si>
  <si>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</si>
  <si>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</si>
  <si>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</si>
  <si>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</si>
  <si>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</si>
  <si>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</si>
  <si>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</si>
  <si>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</si>
  <si>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</si>
  <si>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</si>
  <si>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</si>
  <si>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</si>
  <si>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</si>
  <si>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</si>
  <si>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</si>
  <si>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</si>
  <si>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</si>
  <si>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</si>
  <si>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</si>
  <si>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</si>
  <si>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</si>
  <si>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</si>
  <si>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</si>
  <si>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</si>
  <si>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</si>
  <si>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</si>
  <si>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</si>
  <si>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</si>
  <si>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</si>
  <si>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</si>
  <si>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황기</t>
    <phoneticPr fontId="5" type="noConversion"/>
  </si>
  <si>
    <t>대추</t>
    <phoneticPr fontId="5" type="noConversion"/>
  </si>
  <si>
    <t>백출</t>
    <phoneticPr fontId="5" type="noConversion"/>
  </si>
  <si>
    <t>생강</t>
    <phoneticPr fontId="5" type="noConversion"/>
  </si>
  <si>
    <t>감초</t>
    <phoneticPr fontId="5" type="noConversion"/>
  </si>
  <si>
    <t>지실</t>
    <phoneticPr fontId="5" type="noConversion"/>
  </si>
  <si>
    <t>복령</t>
    <phoneticPr fontId="5" type="noConversion"/>
  </si>
  <si>
    <t>방기1</t>
    <phoneticPr fontId="5" type="noConversion"/>
  </si>
  <si>
    <t>후박</t>
    <phoneticPr fontId="5" type="noConversion"/>
  </si>
  <si>
    <t>산사</t>
    <phoneticPr fontId="5" type="noConversion"/>
  </si>
  <si>
    <t>신곡</t>
    <phoneticPr fontId="5" type="noConversion"/>
  </si>
  <si>
    <t>맥아</t>
    <phoneticPr fontId="5" type="noConversion"/>
  </si>
  <si>
    <t>마자인</t>
    <phoneticPr fontId="5" type="noConversion"/>
  </si>
  <si>
    <t>녹용</t>
    <phoneticPr fontId="5" type="noConversion"/>
  </si>
  <si>
    <t>방기황기탕</t>
    <phoneticPr fontId="5" type="noConversion"/>
  </si>
  <si>
    <t>이안자</t>
    <phoneticPr fontId="5" type="noConversion"/>
  </si>
  <si>
    <t>F</t>
    <phoneticPr fontId="5" type="noConversion"/>
  </si>
  <si>
    <t xml:space="preserve">방기황기탕+후박, 삼사, 마자인, 녹용, 지실, 복령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</si>
</sst>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7">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2" xfId="0" applyBorder="1" applyAlignment="1">
      <alignment horizontal="left" vertical="top" wrapText="1"/>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F13" sqref="F13"/>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0" t="s">
        <v>8</v>
      </c>
      <c r="L1" s="151"/>
      <c r="M1" s="152"/>
    </row>
    <row r="2" spans="2:13">
      <c r="B2" s="2">
        <v>1</v>
      </c>
      <c r="C2" t="s">
        <v>414</v>
      </c>
      <c r="D2" s="3"/>
      <c r="E2" s="87">
        <v>10</v>
      </c>
      <c r="F2" s="98">
        <f>E2*$L$15</f>
        <v>300</v>
      </c>
      <c r="G2">
        <f>VLOOKUP($C2,약재관리!A:J,10,FALSE)</f>
        <v>22</v>
      </c>
      <c r="H2" s="4">
        <f>G2*E2</f>
        <v>220</v>
      </c>
      <c r="I2" s="89">
        <f>G2*F2</f>
        <v>6600</v>
      </c>
      <c r="K2" s="6" t="s">
        <v>9</v>
      </c>
      <c r="L2" s="153">
        <v>118</v>
      </c>
      <c r="M2" s="154"/>
    </row>
    <row r="3" spans="2:13">
      <c r="B3" s="2">
        <v>2</v>
      </c>
      <c r="C3" t="s">
        <v>421</v>
      </c>
      <c r="D3" s="3"/>
      <c r="E3" s="87">
        <v>8</v>
      </c>
      <c r="F3" s="98">
        <f t="shared" ref="F3:F31" si="0">E3*$L$15</f>
        <v>240</v>
      </c>
      <c r="G3">
        <f>VLOOKUP($C3,약재관리!A:J,10,FALSE)</f>
        <v>70.2</v>
      </c>
      <c r="H3" s="4">
        <f t="shared" ref="H3:H31" si="1">G3*E3</f>
        <v>561.6</v>
      </c>
      <c r="I3" s="5">
        <f t="shared" ref="I3:I31" si="2">G3*F3</f>
        <v>16848</v>
      </c>
      <c r="K3" s="7" t="s">
        <v>10</v>
      </c>
      <c r="L3" s="148" t="s">
        <v>428</v>
      </c>
      <c r="M3" s="149"/>
    </row>
    <row r="4" spans="2:13">
      <c r="B4" s="2">
        <v>3</v>
      </c>
      <c r="C4" t="s">
        <v>415</v>
      </c>
      <c r="D4" s="3"/>
      <c r="E4" s="87">
        <v>8</v>
      </c>
      <c r="F4" s="98">
        <f t="shared" si="0"/>
        <v>240</v>
      </c>
      <c r="G4">
        <f>VLOOKUP($C4,약재관리!A:J,10,FALSE)</f>
        <v>20.8</v>
      </c>
      <c r="H4" s="4">
        <f t="shared" si="1"/>
        <v>166.4</v>
      </c>
      <c r="I4" s="5">
        <f t="shared" si="2"/>
        <v>4992</v>
      </c>
      <c r="K4" s="7" t="s">
        <v>11</v>
      </c>
      <c r="L4" s="155">
        <v>45834</v>
      </c>
      <c r="M4" s="149"/>
    </row>
    <row r="5" spans="2:13">
      <c r="B5" s="2">
        <v>4</v>
      </c>
      <c r="C5" t="s">
        <v>416</v>
      </c>
      <c r="D5" s="3"/>
      <c r="E5" s="87">
        <v>6</v>
      </c>
      <c r="F5" s="98">
        <f t="shared" si="0"/>
        <v>180</v>
      </c>
      <c r="G5">
        <f>VLOOKUP($C5,약재관리!A:J,10,FALSE)</f>
        <v>30.3</v>
      </c>
      <c r="H5" s="4">
        <f t="shared" si="1"/>
        <v>181.8</v>
      </c>
      <c r="I5" s="5">
        <f t="shared" si="2"/>
        <v>5454</v>
      </c>
      <c r="K5" s="7" t="s">
        <v>12</v>
      </c>
      <c r="L5" s="148" t="s">
        <v>429</v>
      </c>
      <c r="M5" s="149"/>
    </row>
    <row r="6" spans="2:13">
      <c r="B6" s="2">
        <v>5</v>
      </c>
      <c r="C6" t="s">
        <v>417</v>
      </c>
      <c r="D6" s="3"/>
      <c r="E6" s="87">
        <v>6</v>
      </c>
      <c r="F6" s="98">
        <f t="shared" si="0"/>
        <v>180</v>
      </c>
      <c r="G6">
        <f>VLOOKUP($C6,약재관리!A:J,10,FALSE)</f>
        <v>15</v>
      </c>
      <c r="H6" s="4">
        <f t="shared" si="1"/>
        <v>90</v>
      </c>
      <c r="I6" s="5">
        <f t="shared" si="2"/>
        <v>2700</v>
      </c>
      <c r="K6" s="7" t="s">
        <v>13</v>
      </c>
      <c r="L6" s="148" t="s">
        <v>430</v>
      </c>
      <c r="M6" s="149"/>
    </row>
    <row r="7" spans="2:13" ht="17.25" thickBot="1">
      <c r="B7" s="2">
        <v>6</v>
      </c>
      <c r="C7" t="s">
        <v>418</v>
      </c>
      <c r="D7" s="3"/>
      <c r="E7" s="87">
        <v>4</v>
      </c>
      <c r="F7" s="98">
        <f t="shared" si="0"/>
        <v>120</v>
      </c>
      <c r="G7">
        <f>VLOOKUP($C7,약재관리!A:J,10,FALSE)</f>
        <v>28.3</v>
      </c>
      <c r="H7" s="4">
        <f t="shared" si="1"/>
        <v>113.2</v>
      </c>
      <c r="I7" s="5">
        <f t="shared" si="2"/>
        <v>3396</v>
      </c>
      <c r="K7" s="7" t="s">
        <v>14</v>
      </c>
      <c r="L7" s="156">
        <v>81</v>
      </c>
      <c r="M7" s="157"/>
    </row>
    <row r="8" spans="2:13" ht="17.25" thickBot="1">
      <c r="B8" s="2">
        <v>7</v>
      </c>
      <c r="C8" t="s">
        <v>419</v>
      </c>
      <c r="D8" s="3"/>
      <c r="E8" s="87">
        <v>6</v>
      </c>
      <c r="F8" s="98">
        <f t="shared" si="0"/>
        <v>180</v>
      </c>
      <c r="G8">
        <f>VLOOKUP($C8,약재관리!A:J,10,FALSE)</f>
        <v>16.7</v>
      </c>
      <c r="H8" s="4">
        <f t="shared" si="1"/>
        <v>100.19999999999999</v>
      </c>
      <c r="I8" s="5">
        <f t="shared" si="2"/>
        <v>3006</v>
      </c>
      <c r="K8" s="150" t="s">
        <v>15</v>
      </c>
      <c r="L8" s="151"/>
      <c r="M8" s="152"/>
    </row>
    <row r="9" spans="2:13">
      <c r="B9" s="2">
        <v>8</v>
      </c>
      <c r="C9" t="s">
        <v>420</v>
      </c>
      <c r="D9" s="3"/>
      <c r="E9" s="87">
        <v>6</v>
      </c>
      <c r="F9" s="98">
        <f t="shared" si="0"/>
        <v>180</v>
      </c>
      <c r="G9">
        <f>VLOOKUP($C9,약재관리!A:J,10,FALSE)</f>
        <v>9.8000000000000007</v>
      </c>
      <c r="H9" s="4">
        <f t="shared" si="1"/>
        <v>58.800000000000004</v>
      </c>
      <c r="I9" s="5">
        <f t="shared" si="2"/>
        <v>1764.0000000000002</v>
      </c>
      <c r="K9" s="166" t="s">
        <v>431</v>
      </c>
      <c r="L9" s="158"/>
      <c r="M9" s="159"/>
    </row>
    <row r="10" spans="2:13">
      <c r="B10" s="2">
        <v>9</v>
      </c>
      <c r="C10" t="s">
        <v>422</v>
      </c>
      <c r="D10" s="3"/>
      <c r="E10" s="87">
        <v>4</v>
      </c>
      <c r="F10" s="98">
        <f t="shared" si="0"/>
        <v>120</v>
      </c>
      <c r="G10">
        <f>VLOOKUP($C10,약재관리!A:J,10,FALSE)</f>
        <v>9</v>
      </c>
      <c r="H10" s="4">
        <f t="shared" si="1"/>
        <v>36</v>
      </c>
      <c r="I10" s="5">
        <f t="shared" si="2"/>
        <v>1080</v>
      </c>
      <c r="K10" s="160"/>
      <c r="L10" s="161"/>
      <c r="M10" s="162"/>
    </row>
    <row r="11" spans="2:13">
      <c r="B11" s="2">
        <v>10</v>
      </c>
      <c r="C11" t="s">
        <v>423</v>
      </c>
      <c r="D11" s="3"/>
      <c r="E11" s="87">
        <v>4</v>
      </c>
      <c r="F11" s="98">
        <f t="shared" si="0"/>
        <v>120</v>
      </c>
      <c r="G11">
        <f>VLOOKUP($C11,약재관리!A:J,10,FALSE)</f>
        <v>7</v>
      </c>
      <c r="H11" s="4">
        <f t="shared" si="1"/>
        <v>28</v>
      </c>
      <c r="I11" s="5">
        <f t="shared" si="2"/>
        <v>840</v>
      </c>
      <c r="K11" s="160"/>
      <c r="L11" s="161"/>
      <c r="M11" s="162"/>
    </row>
    <row r="12" spans="2:13">
      <c r="B12" s="2">
        <v>11</v>
      </c>
      <c r="C12" t="s">
        <v>424</v>
      </c>
      <c r="D12" s="3"/>
      <c r="E12" s="87">
        <v>4</v>
      </c>
      <c r="F12" s="98">
        <f t="shared" si="0"/>
        <v>120</v>
      </c>
      <c r="G12">
        <f>VLOOKUP($C12,약재관리!A:J,10,FALSE)</f>
        <v>8</v>
      </c>
      <c r="H12" s="4">
        <f t="shared" si="1"/>
        <v>32</v>
      </c>
      <c r="I12" s="5">
        <f t="shared" si="2"/>
        <v>960</v>
      </c>
      <c r="K12" s="160"/>
      <c r="L12" s="161"/>
      <c r="M12" s="162"/>
    </row>
    <row r="13" spans="2:13" ht="17.25" thickBot="1">
      <c r="B13" s="2">
        <v>12</v>
      </c>
      <c r="C13" t="s">
        <v>425</v>
      </c>
      <c r="D13" s="3"/>
      <c r="E13" s="87">
        <v>4</v>
      </c>
      <c r="F13" s="98">
        <f t="shared" si="0"/>
        <v>120</v>
      </c>
      <c r="G13">
        <f>VLOOKUP($C13,약재관리!A:J,10,FALSE)</f>
        <v>7.5</v>
      </c>
      <c r="H13" s="4">
        <f t="shared" si="1"/>
        <v>30</v>
      </c>
      <c r="I13" s="5">
        <f t="shared" si="2"/>
        <v>900</v>
      </c>
      <c r="K13" s="163"/>
      <c r="L13" s="164"/>
      <c r="M13" s="165"/>
    </row>
    <row r="14" spans="2:13">
      <c r="B14" s="2">
        <v>13</v>
      </c>
      <c r="C14" t="s">
        <v>426</v>
      </c>
      <c r="D14" s="3"/>
      <c r="E14" s="87">
        <v>4</v>
      </c>
      <c r="F14" s="98">
        <f t="shared" si="0"/>
        <v>120</v>
      </c>
      <c r="G14">
        <f>VLOOKUP($C14,약재관리!A:J,10,FALSE)</f>
        <v>8</v>
      </c>
      <c r="H14" s="4">
        <f t="shared" si="1"/>
        <v>32</v>
      </c>
      <c r="I14" s="5">
        <f t="shared" si="2"/>
        <v>960</v>
      </c>
      <c r="K14" s="91" t="s">
        <v>16</v>
      </c>
      <c r="L14" s="8">
        <v>23</v>
      </c>
      <c r="M14" s="9" t="s">
        <v>17</v>
      </c>
    </row>
    <row r="15" spans="2:13">
      <c r="B15" s="2">
        <v>14</v>
      </c>
      <c r="C15" t="s">
        <v>427</v>
      </c>
      <c r="D15" s="3"/>
      <c r="E15" s="87">
        <v>1.33</v>
      </c>
      <c r="F15" s="98">
        <f t="shared" si="0"/>
        <v>39.900000000000006</v>
      </c>
      <c r="G15">
        <f>VLOOKUP($C15,약재관리!A:J,10,FALSE)</f>
        <v>463.3</v>
      </c>
      <c r="H15" s="4">
        <f t="shared" si="1"/>
        <v>616.18900000000008</v>
      </c>
      <c r="I15" s="5">
        <f t="shared" si="2"/>
        <v>18485.670000000002</v>
      </c>
      <c r="K15" s="90" t="s">
        <v>18</v>
      </c>
      <c r="L15">
        <v>30</v>
      </c>
      <c r="M15" s="3" t="s">
        <v>19</v>
      </c>
    </row>
    <row r="16" spans="2:13">
      <c r="B16" s="2">
        <v>15</v>
      </c>
      <c r="D16" s="3"/>
      <c r="F16" s="98">
        <f t="shared" si="0"/>
        <v>0</v>
      </c>
      <c r="H16" s="4">
        <f t="shared" si="1"/>
        <v>0</v>
      </c>
      <c r="I16" s="5">
        <f t="shared" si="2"/>
        <v>0</v>
      </c>
      <c r="K16" s="90" t="s">
        <v>20</v>
      </c>
      <c r="L16">
        <v>45</v>
      </c>
      <c r="M16" s="3" t="s">
        <v>21</v>
      </c>
    </row>
    <row r="17" spans="2:13" ht="17.25" thickBot="1">
      <c r="B17" s="2">
        <v>16</v>
      </c>
      <c r="D17" s="3"/>
      <c r="F17" s="98">
        <f t="shared" si="0"/>
        <v>0</v>
      </c>
      <c r="H17" s="4">
        <f t="shared" si="1"/>
        <v>0</v>
      </c>
      <c r="I17" s="5">
        <f t="shared" si="2"/>
        <v>0</v>
      </c>
      <c r="K17" s="13" t="s">
        <v>22</v>
      </c>
      <c r="L17" s="10">
        <v>110</v>
      </c>
      <c r="M17" s="11" t="s">
        <v>23</v>
      </c>
    </row>
    <row r="18" spans="2:13">
      <c r="B18" s="2">
        <v>17</v>
      </c>
      <c r="D18" s="3"/>
      <c r="F18" s="98">
        <f t="shared" si="0"/>
        <v>0</v>
      </c>
      <c r="H18" s="4">
        <f t="shared" si="1"/>
        <v>0</v>
      </c>
      <c r="I18" s="5">
        <f t="shared" si="2"/>
        <v>0</v>
      </c>
      <c r="K18" s="91" t="s">
        <v>24</v>
      </c>
      <c r="L18" s="8">
        <f>SUM(E2:E31)</f>
        <v>75.33</v>
      </c>
      <c r="M18" s="9" t="s">
        <v>25</v>
      </c>
    </row>
    <row r="19" spans="2:13">
      <c r="B19" s="2">
        <v>18</v>
      </c>
      <c r="D19" s="3"/>
      <c r="F19" s="98">
        <f t="shared" si="0"/>
        <v>0</v>
      </c>
      <c r="H19" s="4">
        <f t="shared" si="1"/>
        <v>0</v>
      </c>
      <c r="I19" s="5">
        <f t="shared" si="2"/>
        <v>0</v>
      </c>
      <c r="K19" s="90" t="s">
        <v>26</v>
      </c>
      <c r="L19">
        <f>L15*L18</f>
        <v>2259.9</v>
      </c>
      <c r="M19" s="3" t="s">
        <v>25</v>
      </c>
    </row>
    <row r="20" spans="2:13" ht="17.25" thickBot="1">
      <c r="B20" s="2">
        <v>19</v>
      </c>
      <c r="D20" s="3"/>
      <c r="F20" s="98">
        <f t="shared" si="0"/>
        <v>0</v>
      </c>
      <c r="H20" s="4">
        <f t="shared" si="1"/>
        <v>0</v>
      </c>
      <c r="I20" s="5">
        <f t="shared" si="2"/>
        <v>0</v>
      </c>
      <c r="K20" s="13" t="s">
        <v>27</v>
      </c>
      <c r="L20" s="10">
        <f>L16*L17+L19</f>
        <v>7209.9</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0" t="s">
        <v>28</v>
      </c>
      <c r="L22" s="151"/>
      <c r="M22" s="152"/>
    </row>
    <row r="23" spans="2:13">
      <c r="B23" s="2">
        <v>22</v>
      </c>
      <c r="D23" s="3"/>
      <c r="F23" s="98">
        <f t="shared" si="0"/>
        <v>0</v>
      </c>
      <c r="H23" s="4">
        <f t="shared" si="1"/>
        <v>0</v>
      </c>
      <c r="I23" s="5">
        <f t="shared" si="2"/>
        <v>0</v>
      </c>
      <c r="K23" s="90" t="s">
        <v>29</v>
      </c>
      <c r="L23">
        <f>SUM(F2:F31)</f>
        <v>2259.9</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0" t="s">
        <v>35</v>
      </c>
      <c r="L29" s="151"/>
      <c r="M29" s="152"/>
    </row>
    <row r="30" spans="2:13">
      <c r="B30" s="2">
        <v>29</v>
      </c>
      <c r="D30" s="3"/>
      <c r="F30" s="98">
        <f t="shared" si="0"/>
        <v>0</v>
      </c>
      <c r="H30" s="4">
        <f t="shared" si="1"/>
        <v>0</v>
      </c>
      <c r="I30" s="5">
        <f t="shared" si="2"/>
        <v>0</v>
      </c>
      <c r="K30" s="90" t="s">
        <v>31</v>
      </c>
      <c r="L30" s="4">
        <f>SUM(H2:H31)</f>
        <v>2266.1890000000003</v>
      </c>
      <c r="M30" s="3" t="s">
        <v>36</v>
      </c>
    </row>
    <row r="31" spans="2:13" ht="17.25" thickBot="1">
      <c r="B31" s="12">
        <v>30</v>
      </c>
      <c r="C31" s="13"/>
      <c r="D31" s="11"/>
      <c r="E31" s="94"/>
      <c r="F31" s="99">
        <f t="shared" si="0"/>
        <v>0</v>
      </c>
      <c r="G31" s="10"/>
      <c r="H31" s="14">
        <f t="shared" si="1"/>
        <v>0</v>
      </c>
      <c r="I31" s="15">
        <f t="shared" si="2"/>
        <v>0</v>
      </c>
      <c r="K31" s="13" t="s">
        <v>37</v>
      </c>
      <c r="L31" s="14">
        <f>SUM(I2:I31)</f>
        <v>67985.67</v>
      </c>
      <c r="M31" s="11" t="s">
        <v>36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topLeftCell="A106" zoomScaleNormal="100" workbookViewId="0">
      <selection activeCell="I137" sqref="I137"/>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38</v>
      </c>
      <c r="B1" s="120" t="s">
        <v>39</v>
      </c>
      <c r="C1" s="16" t="s">
        <v>40</v>
      </c>
      <c r="D1" s="16" t="s">
        <v>41</v>
      </c>
      <c r="E1" s="17" t="s">
        <v>42</v>
      </c>
      <c r="F1" s="18" t="s">
        <v>39</v>
      </c>
      <c r="G1" s="19" t="s">
        <v>40</v>
      </c>
      <c r="H1" s="19" t="s">
        <v>41</v>
      </c>
      <c r="I1" s="20" t="s">
        <v>42</v>
      </c>
      <c r="J1" s="111" t="s">
        <v>43</v>
      </c>
      <c r="K1" s="21" t="s">
        <v>39</v>
      </c>
      <c r="L1" s="22" t="s">
        <v>40</v>
      </c>
      <c r="M1" s="22" t="s">
        <v>41</v>
      </c>
      <c r="N1" s="23" t="s">
        <v>42</v>
      </c>
    </row>
    <row r="2" spans="1:14" ht="15.75" customHeight="1" thickTop="1" thickBot="1">
      <c r="A2" s="114">
        <v>45766</v>
      </c>
      <c r="B2" s="121" t="s">
        <v>44</v>
      </c>
      <c r="C2" s="101" t="s">
        <v>45</v>
      </c>
      <c r="D2" s="101" t="s">
        <v>45</v>
      </c>
      <c r="E2" s="102" t="s">
        <v>45</v>
      </c>
      <c r="F2" s="103" t="s">
        <v>46</v>
      </c>
      <c r="G2" s="104" t="s">
        <v>46</v>
      </c>
      <c r="H2" s="104" t="s">
        <v>46</v>
      </c>
      <c r="I2" s="105" t="s">
        <v>46</v>
      </c>
      <c r="J2" s="106" t="s">
        <v>46</v>
      </c>
      <c r="K2" s="107" t="s">
        <v>47</v>
      </c>
      <c r="L2" s="108" t="s">
        <v>47</v>
      </c>
      <c r="M2" s="108" t="s">
        <v>48</v>
      </c>
      <c r="N2" s="109" t="s">
        <v>48</v>
      </c>
    </row>
    <row r="3" spans="1:14" ht="15.75" customHeight="1">
      <c r="A3" s="124" t="s">
        <v>49</v>
      </c>
      <c r="B3" s="125">
        <v>9900</v>
      </c>
      <c r="C3" s="25">
        <v>9000</v>
      </c>
      <c r="D3" s="25">
        <v>11000</v>
      </c>
      <c r="E3" s="26">
        <v>9900</v>
      </c>
      <c r="F3" s="27">
        <f t="shared" ref="F3:G18" si="0">B3/500</f>
        <v>19.8</v>
      </c>
      <c r="G3" s="28">
        <f t="shared" si="0"/>
        <v>18</v>
      </c>
      <c r="H3" s="28">
        <f t="shared" ref="H3:I33" si="1">D3/600</f>
        <v>18.333333333333332</v>
      </c>
      <c r="I3" s="29">
        <f t="shared" si="1"/>
        <v>16.5</v>
      </c>
      <c r="J3" s="30">
        <v>16.5</v>
      </c>
      <c r="K3" s="31"/>
      <c r="L3" s="32" t="s">
        <v>50</v>
      </c>
      <c r="M3" s="33" t="s">
        <v>51</v>
      </c>
      <c r="N3" s="34" t="s">
        <v>52</v>
      </c>
    </row>
    <row r="4" spans="1:14" ht="15.75" customHeight="1">
      <c r="A4" s="115" t="s">
        <v>53</v>
      </c>
      <c r="B4" s="122"/>
      <c r="C4" s="35">
        <v>2700</v>
      </c>
      <c r="D4" s="35"/>
      <c r="E4" s="36"/>
      <c r="F4" s="112">
        <f t="shared" si="0"/>
        <v>0</v>
      </c>
      <c r="G4" s="37">
        <f t="shared" si="0"/>
        <v>5.4</v>
      </c>
      <c r="H4" s="37">
        <f t="shared" si="1"/>
        <v>0</v>
      </c>
      <c r="I4" s="45">
        <f t="shared" si="1"/>
        <v>0</v>
      </c>
      <c r="K4" s="40"/>
      <c r="L4" s="41" t="s">
        <v>54</v>
      </c>
      <c r="M4" s="46"/>
      <c r="N4" s="42"/>
    </row>
    <row r="5" spans="1:14" ht="15.75" customHeight="1">
      <c r="A5" s="115" t="s">
        <v>55</v>
      </c>
      <c r="B5" s="122"/>
      <c r="C5" s="35">
        <v>10000</v>
      </c>
      <c r="D5" s="35"/>
      <c r="E5" s="36">
        <v>11700</v>
      </c>
      <c r="F5" s="112">
        <f t="shared" si="0"/>
        <v>0</v>
      </c>
      <c r="G5" s="37">
        <f t="shared" si="0"/>
        <v>20</v>
      </c>
      <c r="H5" s="37">
        <f t="shared" si="1"/>
        <v>0</v>
      </c>
      <c r="I5" s="38">
        <f t="shared" si="1"/>
        <v>19.5</v>
      </c>
      <c r="K5" s="40"/>
      <c r="L5" s="41"/>
      <c r="M5" s="41"/>
      <c r="N5" s="42"/>
    </row>
    <row r="6" spans="1:14" ht="15.75" customHeight="1">
      <c r="A6" s="115" t="s">
        <v>56</v>
      </c>
      <c r="B6" s="122"/>
      <c r="C6" s="35">
        <v>23400</v>
      </c>
      <c r="D6" s="35"/>
      <c r="E6" s="36">
        <v>27100</v>
      </c>
      <c r="F6" s="112">
        <f t="shared" si="0"/>
        <v>0</v>
      </c>
      <c r="G6" s="43">
        <f>C6/600</f>
        <v>39</v>
      </c>
      <c r="H6" s="37">
        <f t="shared" si="1"/>
        <v>0</v>
      </c>
      <c r="I6" s="38">
        <f t="shared" si="1"/>
        <v>45.166666666666664</v>
      </c>
      <c r="J6" s="39">
        <v>45.2</v>
      </c>
      <c r="K6" s="40"/>
      <c r="L6" s="41" t="s">
        <v>57</v>
      </c>
      <c r="M6" s="41"/>
      <c r="N6" s="42" t="s">
        <v>58</v>
      </c>
    </row>
    <row r="7" spans="1:14" ht="15.75" customHeight="1">
      <c r="A7" s="115" t="s">
        <v>59</v>
      </c>
      <c r="B7" s="122">
        <v>17500</v>
      </c>
      <c r="C7" s="35"/>
      <c r="D7" s="35">
        <v>17000</v>
      </c>
      <c r="E7" s="36">
        <v>25500</v>
      </c>
      <c r="F7" s="112">
        <f t="shared" si="0"/>
        <v>35</v>
      </c>
      <c r="G7" s="37">
        <f t="shared" si="0"/>
        <v>0</v>
      </c>
      <c r="H7" s="43">
        <f t="shared" si="1"/>
        <v>28.333333333333332</v>
      </c>
      <c r="I7" s="38">
        <f t="shared" si="1"/>
        <v>42.5</v>
      </c>
      <c r="J7" s="39">
        <v>28.3</v>
      </c>
      <c r="K7" s="40"/>
      <c r="L7" s="41"/>
      <c r="M7" s="110" t="s">
        <v>60</v>
      </c>
      <c r="N7" s="44" t="s">
        <v>61</v>
      </c>
    </row>
    <row r="8" spans="1:14" ht="15.75" customHeight="1">
      <c r="A8" s="115" t="s">
        <v>62</v>
      </c>
      <c r="B8" s="122">
        <v>27200</v>
      </c>
      <c r="C8" s="35">
        <v>24000</v>
      </c>
      <c r="D8" s="35">
        <v>24000</v>
      </c>
      <c r="E8" s="36"/>
      <c r="F8" s="112">
        <f t="shared" si="0"/>
        <v>54.4</v>
      </c>
      <c r="G8" s="37">
        <f t="shared" si="0"/>
        <v>48</v>
      </c>
      <c r="H8" s="37">
        <f t="shared" si="1"/>
        <v>40</v>
      </c>
      <c r="I8" s="45">
        <f t="shared" si="1"/>
        <v>0</v>
      </c>
      <c r="J8" s="39">
        <v>40</v>
      </c>
      <c r="K8" s="40"/>
      <c r="L8" s="41" t="s">
        <v>50</v>
      </c>
      <c r="M8" s="41" t="s">
        <v>63</v>
      </c>
      <c r="N8" s="44"/>
    </row>
    <row r="9" spans="1:14" ht="15.75" customHeight="1">
      <c r="A9" s="115" t="s">
        <v>64</v>
      </c>
      <c r="B9" s="122"/>
      <c r="C9" s="35">
        <v>23000</v>
      </c>
      <c r="D9" s="35">
        <v>21000</v>
      </c>
      <c r="E9" s="36">
        <v>27400</v>
      </c>
      <c r="F9" s="112">
        <f t="shared" si="0"/>
        <v>0</v>
      </c>
      <c r="G9" s="37">
        <f t="shared" si="0"/>
        <v>46</v>
      </c>
      <c r="H9" s="43">
        <f t="shared" si="1"/>
        <v>35</v>
      </c>
      <c r="I9" s="63">
        <f t="shared" si="1"/>
        <v>45.666666666666664</v>
      </c>
      <c r="J9" s="39">
        <v>45.7</v>
      </c>
      <c r="K9" s="40"/>
      <c r="L9" s="41" t="s">
        <v>65</v>
      </c>
      <c r="M9" s="41"/>
      <c r="N9" s="44" t="s">
        <v>50</v>
      </c>
    </row>
    <row r="10" spans="1:14" ht="15.75" customHeight="1">
      <c r="A10" s="115" t="s">
        <v>66</v>
      </c>
      <c r="B10" s="122"/>
      <c r="C10" s="35">
        <v>3300</v>
      </c>
      <c r="D10" s="35">
        <v>5000</v>
      </c>
      <c r="E10" s="36"/>
      <c r="F10" s="112">
        <f t="shared" si="0"/>
        <v>0</v>
      </c>
      <c r="G10" s="37">
        <f t="shared" si="0"/>
        <v>6.6</v>
      </c>
      <c r="H10" s="37">
        <f t="shared" si="1"/>
        <v>8.3333333333333339</v>
      </c>
      <c r="I10" s="38">
        <f t="shared" si="1"/>
        <v>0</v>
      </c>
      <c r="J10" s="39">
        <v>8.3000000000000007</v>
      </c>
      <c r="K10" s="40"/>
      <c r="L10" s="41"/>
      <c r="M10" s="46" t="s">
        <v>67</v>
      </c>
      <c r="N10" s="42"/>
    </row>
    <row r="11" spans="1:14" ht="15.75" customHeight="1">
      <c r="A11" s="115" t="s">
        <v>68</v>
      </c>
      <c r="B11" s="122"/>
      <c r="C11" s="35">
        <v>5200</v>
      </c>
      <c r="D11" s="35">
        <v>8000</v>
      </c>
      <c r="E11" s="36">
        <v>5900</v>
      </c>
      <c r="F11" s="112">
        <f t="shared" si="0"/>
        <v>0</v>
      </c>
      <c r="G11" s="37">
        <f t="shared" si="0"/>
        <v>10.4</v>
      </c>
      <c r="H11" s="37">
        <f t="shared" si="1"/>
        <v>13.333333333333334</v>
      </c>
      <c r="I11" s="38">
        <f t="shared" si="1"/>
        <v>9.8333333333333339</v>
      </c>
      <c r="J11" s="39">
        <v>9.5</v>
      </c>
      <c r="K11" s="40"/>
      <c r="L11" s="41" t="s">
        <v>69</v>
      </c>
      <c r="M11" s="46"/>
      <c r="N11" s="42" t="s">
        <v>69</v>
      </c>
    </row>
    <row r="12" spans="1:14" ht="15.75" customHeight="1">
      <c r="A12" s="115" t="s">
        <v>70</v>
      </c>
      <c r="B12" s="122"/>
      <c r="C12" s="35">
        <v>13500</v>
      </c>
      <c r="D12" s="35">
        <v>16500</v>
      </c>
      <c r="E12" s="36">
        <v>16700</v>
      </c>
      <c r="F12" s="112">
        <f t="shared" si="0"/>
        <v>0</v>
      </c>
      <c r="G12" s="37">
        <f t="shared" si="0"/>
        <v>27</v>
      </c>
      <c r="H12" s="37">
        <f t="shared" si="1"/>
        <v>27.5</v>
      </c>
      <c r="I12" s="38">
        <f t="shared" si="1"/>
        <v>27.833333333333332</v>
      </c>
      <c r="J12" s="39">
        <v>27.5</v>
      </c>
      <c r="K12" s="40"/>
      <c r="L12" s="41"/>
      <c r="M12" s="46" t="s">
        <v>71</v>
      </c>
      <c r="N12" s="42" t="s">
        <v>72</v>
      </c>
    </row>
    <row r="13" spans="1:14" ht="15.75" customHeight="1">
      <c r="A13" s="115" t="s">
        <v>73</v>
      </c>
      <c r="B13" s="122">
        <v>19900</v>
      </c>
      <c r="C13" s="35">
        <v>5600</v>
      </c>
      <c r="D13" s="35">
        <v>11000</v>
      </c>
      <c r="E13" s="36">
        <v>8900</v>
      </c>
      <c r="F13" s="112">
        <f t="shared" si="0"/>
        <v>39.799999999999997</v>
      </c>
      <c r="G13" s="37">
        <f t="shared" si="0"/>
        <v>11.2</v>
      </c>
      <c r="H13" s="37">
        <f t="shared" si="1"/>
        <v>18.333333333333332</v>
      </c>
      <c r="I13" s="38">
        <f t="shared" si="1"/>
        <v>14.833333333333334</v>
      </c>
      <c r="J13" s="39">
        <v>14.4</v>
      </c>
      <c r="K13" s="40"/>
      <c r="L13" s="41" t="s">
        <v>74</v>
      </c>
      <c r="M13" s="46"/>
      <c r="N13" s="42"/>
    </row>
    <row r="14" spans="1:14" ht="15.75" customHeight="1">
      <c r="A14" s="115" t="s">
        <v>75</v>
      </c>
      <c r="B14" s="122"/>
      <c r="C14" s="35"/>
      <c r="D14" s="35"/>
      <c r="E14" s="36"/>
      <c r="F14" s="112">
        <f t="shared" si="0"/>
        <v>0</v>
      </c>
      <c r="G14" s="37">
        <f t="shared" si="0"/>
        <v>0</v>
      </c>
      <c r="H14" s="37">
        <f t="shared" si="1"/>
        <v>0</v>
      </c>
      <c r="I14" s="38">
        <f t="shared" si="1"/>
        <v>0</v>
      </c>
      <c r="K14" s="40"/>
      <c r="L14" s="41"/>
      <c r="M14" s="41"/>
      <c r="N14" s="42"/>
    </row>
    <row r="15" spans="1:14" ht="15.75" customHeight="1">
      <c r="A15" s="115" t="s">
        <v>76</v>
      </c>
      <c r="B15" s="122"/>
      <c r="C15" s="35"/>
      <c r="D15" s="35"/>
      <c r="E15" s="36"/>
      <c r="F15" s="112">
        <f t="shared" si="0"/>
        <v>0</v>
      </c>
      <c r="G15" s="37">
        <f t="shared" si="0"/>
        <v>0</v>
      </c>
      <c r="H15" s="37">
        <f t="shared" si="1"/>
        <v>0</v>
      </c>
      <c r="I15" s="38">
        <f t="shared" si="1"/>
        <v>0</v>
      </c>
      <c r="K15" s="40"/>
      <c r="L15" s="41"/>
      <c r="M15" s="41"/>
      <c r="N15" s="42"/>
    </row>
    <row r="16" spans="1:14" ht="15.75" customHeight="1">
      <c r="A16" s="115" t="s">
        <v>77</v>
      </c>
      <c r="B16" s="122">
        <v>4500</v>
      </c>
      <c r="C16" s="35">
        <v>2000</v>
      </c>
      <c r="D16" s="35">
        <v>3500</v>
      </c>
      <c r="E16" s="36">
        <v>2900</v>
      </c>
      <c r="F16" s="112">
        <f t="shared" si="0"/>
        <v>9</v>
      </c>
      <c r="G16" s="37">
        <f t="shared" si="0"/>
        <v>4</v>
      </c>
      <c r="H16" s="37">
        <f t="shared" si="1"/>
        <v>5.833333333333333</v>
      </c>
      <c r="I16" s="47">
        <f t="shared" si="1"/>
        <v>4.833333333333333</v>
      </c>
      <c r="J16" s="39">
        <v>4.8</v>
      </c>
      <c r="K16" s="40"/>
      <c r="L16" s="41" t="s">
        <v>78</v>
      </c>
      <c r="M16" s="46" t="s">
        <v>79</v>
      </c>
      <c r="N16" s="42" t="s">
        <v>80</v>
      </c>
    </row>
    <row r="17" spans="1:14" ht="15.75" customHeight="1">
      <c r="A17" s="115" t="s">
        <v>81</v>
      </c>
      <c r="B17" s="122"/>
      <c r="C17" s="35">
        <v>10200</v>
      </c>
      <c r="D17" s="35"/>
      <c r="E17" s="36">
        <v>11100</v>
      </c>
      <c r="F17" s="112">
        <f t="shared" si="0"/>
        <v>0</v>
      </c>
      <c r="G17" s="37">
        <f>C17/600</f>
        <v>17</v>
      </c>
      <c r="H17" s="37">
        <f t="shared" si="1"/>
        <v>0</v>
      </c>
      <c r="I17" s="38">
        <f t="shared" si="1"/>
        <v>18.5</v>
      </c>
      <c r="J17" s="39">
        <v>17</v>
      </c>
      <c r="K17" s="40"/>
      <c r="L17" s="41" t="s">
        <v>82</v>
      </c>
      <c r="M17" s="41"/>
      <c r="N17" s="42" t="s">
        <v>58</v>
      </c>
    </row>
    <row r="18" spans="1:14" ht="15.75" customHeight="1">
      <c r="A18" s="115" t="s">
        <v>83</v>
      </c>
      <c r="B18" s="122"/>
      <c r="C18" s="35">
        <v>32000</v>
      </c>
      <c r="D18" s="35"/>
      <c r="E18" s="36">
        <v>41600</v>
      </c>
      <c r="F18" s="112">
        <f t="shared" si="0"/>
        <v>0</v>
      </c>
      <c r="G18" s="37">
        <f t="shared" si="0"/>
        <v>64</v>
      </c>
      <c r="H18" s="37">
        <f t="shared" si="1"/>
        <v>0</v>
      </c>
      <c r="I18" s="38">
        <f t="shared" si="1"/>
        <v>69.333333333333329</v>
      </c>
      <c r="J18" s="39">
        <v>64</v>
      </c>
      <c r="K18" s="40"/>
      <c r="L18" s="41" t="s">
        <v>84</v>
      </c>
      <c r="M18" s="41"/>
      <c r="N18" s="42" t="s">
        <v>52</v>
      </c>
    </row>
    <row r="19" spans="1:14" ht="15.75" customHeight="1">
      <c r="A19" s="115" t="s">
        <v>85</v>
      </c>
      <c r="B19" s="122"/>
      <c r="C19" s="35">
        <v>4500</v>
      </c>
      <c r="D19" s="35"/>
      <c r="E19" s="36"/>
      <c r="F19" s="112">
        <f t="shared" ref="F19:G50" si="2">B19/500</f>
        <v>0</v>
      </c>
      <c r="G19" s="37">
        <f t="shared" si="2"/>
        <v>9</v>
      </c>
      <c r="H19" s="37">
        <f t="shared" si="1"/>
        <v>0</v>
      </c>
      <c r="I19" s="38">
        <f t="shared" si="1"/>
        <v>0</v>
      </c>
      <c r="J19" s="39">
        <v>9</v>
      </c>
      <c r="K19" s="40"/>
      <c r="L19" s="41" t="s">
        <v>86</v>
      </c>
      <c r="M19" s="41"/>
      <c r="N19" s="42"/>
    </row>
    <row r="20" spans="1:14" ht="15.75" customHeight="1">
      <c r="A20" s="115" t="s">
        <v>87</v>
      </c>
      <c r="B20" s="122"/>
      <c r="C20" s="35"/>
      <c r="D20" s="35"/>
      <c r="E20" s="36"/>
      <c r="F20" s="112">
        <f t="shared" si="2"/>
        <v>0</v>
      </c>
      <c r="G20" s="37">
        <f t="shared" si="2"/>
        <v>0</v>
      </c>
      <c r="H20" s="37">
        <f t="shared" si="1"/>
        <v>0</v>
      </c>
      <c r="I20" s="38">
        <f t="shared" si="1"/>
        <v>0</v>
      </c>
      <c r="K20" s="40"/>
      <c r="L20" s="41"/>
      <c r="M20" s="41"/>
      <c r="N20" s="42"/>
    </row>
    <row r="21" spans="1:14" ht="15.75" customHeight="1">
      <c r="A21" s="115" t="s">
        <v>88</v>
      </c>
      <c r="B21" s="122"/>
      <c r="C21" s="35">
        <v>3500</v>
      </c>
      <c r="D21" s="35">
        <v>6500</v>
      </c>
      <c r="E21" s="36"/>
      <c r="F21" s="112">
        <f t="shared" si="2"/>
        <v>0</v>
      </c>
      <c r="G21" s="37">
        <f t="shared" si="2"/>
        <v>7</v>
      </c>
      <c r="H21" s="37">
        <f t="shared" si="1"/>
        <v>10.833333333333334</v>
      </c>
      <c r="I21" s="38">
        <f t="shared" si="1"/>
        <v>0</v>
      </c>
      <c r="J21" s="39">
        <v>10.8</v>
      </c>
      <c r="K21" s="40"/>
      <c r="L21" s="41"/>
      <c r="M21" s="46" t="s">
        <v>89</v>
      </c>
      <c r="N21" s="42"/>
    </row>
    <row r="22" spans="1:14" ht="15.75" customHeight="1">
      <c r="A22" s="115" t="s">
        <v>90</v>
      </c>
      <c r="B22" s="122">
        <v>6900</v>
      </c>
      <c r="C22" s="35">
        <v>5600</v>
      </c>
      <c r="D22" s="35"/>
      <c r="E22" s="36">
        <v>6900</v>
      </c>
      <c r="F22" s="112">
        <f t="shared" si="2"/>
        <v>13.8</v>
      </c>
      <c r="G22" s="37">
        <f t="shared" si="2"/>
        <v>11.2</v>
      </c>
      <c r="H22" s="37">
        <f t="shared" si="1"/>
        <v>0</v>
      </c>
      <c r="I22" s="38">
        <f t="shared" si="1"/>
        <v>11.5</v>
      </c>
      <c r="J22" s="39">
        <v>13.8</v>
      </c>
      <c r="K22" s="40"/>
      <c r="L22" s="41" t="s">
        <v>84</v>
      </c>
      <c r="M22" s="41"/>
      <c r="N22" s="42" t="s">
        <v>91</v>
      </c>
    </row>
    <row r="23" spans="1:14" ht="15.75" customHeight="1">
      <c r="A23" s="115" t="s">
        <v>92</v>
      </c>
      <c r="B23" s="122">
        <v>4600</v>
      </c>
      <c r="C23" s="35">
        <v>3500</v>
      </c>
      <c r="D23" s="35"/>
      <c r="E23" s="36">
        <v>4800</v>
      </c>
      <c r="F23" s="112">
        <f t="shared" si="2"/>
        <v>9.1999999999999993</v>
      </c>
      <c r="G23" s="37">
        <f t="shared" si="2"/>
        <v>7</v>
      </c>
      <c r="H23" s="37">
        <f t="shared" si="1"/>
        <v>0</v>
      </c>
      <c r="I23" s="38">
        <f t="shared" si="1"/>
        <v>8</v>
      </c>
      <c r="J23" s="39">
        <v>7</v>
      </c>
      <c r="K23" s="40" t="s">
        <v>93</v>
      </c>
      <c r="L23" s="41" t="s">
        <v>94</v>
      </c>
      <c r="M23" s="41"/>
      <c r="N23" s="42" t="s">
        <v>95</v>
      </c>
    </row>
    <row r="24" spans="1:14" ht="15.75" customHeight="1">
      <c r="A24" s="115" t="s">
        <v>96</v>
      </c>
      <c r="B24" s="122"/>
      <c r="C24" s="35">
        <v>46000</v>
      </c>
      <c r="D24" s="35">
        <v>73000</v>
      </c>
      <c r="E24" s="36">
        <v>75400</v>
      </c>
      <c r="F24" s="112">
        <f t="shared" si="2"/>
        <v>0</v>
      </c>
      <c r="G24" s="37">
        <f>C24/300</f>
        <v>153.33333333333334</v>
      </c>
      <c r="H24" s="43">
        <f t="shared" si="1"/>
        <v>121.66666666666667</v>
      </c>
      <c r="I24" s="38">
        <f t="shared" si="1"/>
        <v>125.66666666666667</v>
      </c>
      <c r="J24" s="39">
        <v>121.7</v>
      </c>
      <c r="K24" s="40"/>
      <c r="L24" s="41" t="s">
        <v>97</v>
      </c>
      <c r="M24" s="41"/>
      <c r="N24" s="42" t="s">
        <v>98</v>
      </c>
    </row>
    <row r="25" spans="1:14" ht="15.75" customHeight="1">
      <c r="A25" s="115" t="s">
        <v>99</v>
      </c>
      <c r="B25" s="122"/>
      <c r="C25" s="35"/>
      <c r="D25" s="35"/>
      <c r="E25" s="36"/>
      <c r="F25" s="112">
        <f t="shared" si="2"/>
        <v>0</v>
      </c>
      <c r="G25" s="37">
        <f>C25/500</f>
        <v>0</v>
      </c>
      <c r="H25" s="37">
        <f t="shared" si="1"/>
        <v>0</v>
      </c>
      <c r="I25" s="38">
        <f t="shared" si="1"/>
        <v>0</v>
      </c>
      <c r="K25" s="40"/>
      <c r="L25" s="41"/>
      <c r="M25" s="41"/>
      <c r="N25" s="42"/>
    </row>
    <row r="26" spans="1:14" ht="15.75" customHeight="1">
      <c r="A26" s="115" t="s">
        <v>100</v>
      </c>
      <c r="B26" s="122"/>
      <c r="C26" s="35"/>
      <c r="D26" s="35"/>
      <c r="E26" s="36"/>
      <c r="F26" s="112">
        <f t="shared" si="2"/>
        <v>0</v>
      </c>
      <c r="G26" s="37">
        <f>C26/500</f>
        <v>0</v>
      </c>
      <c r="H26" s="37">
        <f t="shared" si="1"/>
        <v>0</v>
      </c>
      <c r="I26" s="38">
        <f t="shared" si="1"/>
        <v>0</v>
      </c>
      <c r="J26" s="39">
        <v>5.3</v>
      </c>
      <c r="K26" s="40"/>
      <c r="L26" s="41"/>
      <c r="M26" s="41"/>
      <c r="N26" s="42"/>
    </row>
    <row r="27" spans="1:14" ht="15.75" customHeight="1">
      <c r="A27" s="115" t="s">
        <v>101</v>
      </c>
      <c r="B27" s="122">
        <v>14900</v>
      </c>
      <c r="C27" s="35">
        <v>8700</v>
      </c>
      <c r="D27" s="35">
        <v>9000</v>
      </c>
      <c r="E27" s="36">
        <v>8200</v>
      </c>
      <c r="F27" s="112">
        <f t="shared" si="2"/>
        <v>29.8</v>
      </c>
      <c r="G27" s="37">
        <f>C27/500</f>
        <v>17.399999999999999</v>
      </c>
      <c r="H27" s="37">
        <f t="shared" si="1"/>
        <v>15</v>
      </c>
      <c r="I27" s="47">
        <f t="shared" si="1"/>
        <v>13.666666666666666</v>
      </c>
      <c r="J27" s="39">
        <v>13.7</v>
      </c>
      <c r="K27" s="40"/>
      <c r="L27" s="41"/>
      <c r="M27" s="41"/>
      <c r="N27" s="44" t="s">
        <v>102</v>
      </c>
    </row>
    <row r="28" spans="1:14" ht="15.75" customHeight="1">
      <c r="A28" s="115" t="s">
        <v>103</v>
      </c>
      <c r="B28" s="122"/>
      <c r="C28" s="35"/>
      <c r="D28" s="35"/>
      <c r="E28" s="36"/>
      <c r="F28" s="112">
        <f t="shared" si="2"/>
        <v>0</v>
      </c>
      <c r="G28" s="37">
        <f>C28/500</f>
        <v>0</v>
      </c>
      <c r="H28" s="37">
        <f t="shared" si="1"/>
        <v>0</v>
      </c>
      <c r="I28" s="38">
        <f t="shared" si="1"/>
        <v>0</v>
      </c>
      <c r="K28" s="40"/>
      <c r="L28" s="41"/>
      <c r="M28" s="41"/>
      <c r="N28" s="42"/>
    </row>
    <row r="29" spans="1:14" ht="15.75" customHeight="1">
      <c r="A29" s="115" t="s">
        <v>104</v>
      </c>
      <c r="B29" s="122"/>
      <c r="C29" s="35"/>
      <c r="D29" s="35"/>
      <c r="E29" s="36"/>
      <c r="F29" s="112">
        <f t="shared" si="2"/>
        <v>0</v>
      </c>
      <c r="G29" s="37">
        <f>C29/500</f>
        <v>0</v>
      </c>
      <c r="H29" s="37">
        <f t="shared" si="1"/>
        <v>0</v>
      </c>
      <c r="I29" s="38">
        <f t="shared" si="1"/>
        <v>0</v>
      </c>
      <c r="K29" s="40"/>
      <c r="L29" s="41"/>
      <c r="M29" s="41"/>
      <c r="N29" s="42"/>
    </row>
    <row r="30" spans="1:14" ht="15.75" customHeight="1">
      <c r="A30" s="115" t="s">
        <v>105</v>
      </c>
      <c r="B30" s="122"/>
      <c r="C30" s="35">
        <v>20500</v>
      </c>
      <c r="D30" s="35">
        <v>19000</v>
      </c>
      <c r="E30" s="36"/>
      <c r="F30" s="112">
        <f t="shared" si="2"/>
        <v>0</v>
      </c>
      <c r="G30" s="37">
        <f>C30/600</f>
        <v>34.166666666666664</v>
      </c>
      <c r="H30" s="37">
        <f t="shared" si="1"/>
        <v>31.666666666666668</v>
      </c>
      <c r="I30" s="38">
        <f t="shared" si="1"/>
        <v>0</v>
      </c>
      <c r="J30" s="39">
        <v>31.7</v>
      </c>
      <c r="K30" s="40"/>
      <c r="L30" s="41" t="s">
        <v>106</v>
      </c>
      <c r="M30" s="41"/>
      <c r="N30" s="42"/>
    </row>
    <row r="31" spans="1:14" ht="15.75" customHeight="1">
      <c r="A31" s="115" t="s">
        <v>107</v>
      </c>
      <c r="B31" s="122"/>
      <c r="C31" s="35">
        <v>21500</v>
      </c>
      <c r="D31" s="35"/>
      <c r="E31" s="36">
        <v>30800</v>
      </c>
      <c r="F31" s="112">
        <f t="shared" si="2"/>
        <v>0</v>
      </c>
      <c r="G31" s="37">
        <f>C31/500</f>
        <v>43</v>
      </c>
      <c r="H31" s="37">
        <f t="shared" si="1"/>
        <v>0</v>
      </c>
      <c r="I31" s="38">
        <f t="shared" si="1"/>
        <v>51.333333333333336</v>
      </c>
      <c r="J31" s="39">
        <v>43</v>
      </c>
      <c r="K31" s="40"/>
      <c r="L31" s="41" t="s">
        <v>108</v>
      </c>
      <c r="M31" s="41"/>
      <c r="N31" s="42" t="s">
        <v>98</v>
      </c>
    </row>
    <row r="32" spans="1:14" ht="15.75" customHeight="1" thickBot="1">
      <c r="A32" s="126" t="s">
        <v>109</v>
      </c>
      <c r="B32" s="123">
        <v>11500</v>
      </c>
      <c r="C32" s="48">
        <v>12900</v>
      </c>
      <c r="D32" s="48">
        <v>7500</v>
      </c>
      <c r="E32" s="49">
        <v>6900</v>
      </c>
      <c r="F32" s="72">
        <f t="shared" si="2"/>
        <v>23</v>
      </c>
      <c r="G32" s="50">
        <f>C32/500</f>
        <v>25.8</v>
      </c>
      <c r="H32" s="50">
        <f t="shared" si="1"/>
        <v>12.5</v>
      </c>
      <c r="I32" s="135">
        <f t="shared" si="1"/>
        <v>11.5</v>
      </c>
      <c r="J32" s="51">
        <v>11.5</v>
      </c>
      <c r="K32" s="134" t="s">
        <v>110</v>
      </c>
      <c r="L32" s="52" t="s">
        <v>50</v>
      </c>
      <c r="M32" s="53" t="s">
        <v>111</v>
      </c>
      <c r="N32" s="133" t="s">
        <v>112</v>
      </c>
    </row>
    <row r="33" spans="1:14" ht="15.75" customHeight="1">
      <c r="A33" s="127" t="s">
        <v>113</v>
      </c>
      <c r="B33" s="125"/>
      <c r="C33" s="25">
        <v>3000</v>
      </c>
      <c r="D33" s="25">
        <v>4000</v>
      </c>
      <c r="E33" s="26">
        <v>4000</v>
      </c>
      <c r="F33" s="27">
        <f t="shared" si="2"/>
        <v>0</v>
      </c>
      <c r="G33" s="28">
        <f>C33/500</f>
        <v>6</v>
      </c>
      <c r="H33" s="144">
        <f t="shared" si="1"/>
        <v>6.666666666666667</v>
      </c>
      <c r="I33" s="55">
        <f t="shared" si="1"/>
        <v>6.666666666666667</v>
      </c>
      <c r="J33" s="30">
        <v>6</v>
      </c>
      <c r="K33" s="31"/>
      <c r="L33" s="32" t="s">
        <v>114</v>
      </c>
      <c r="M33" s="137" t="s">
        <v>115</v>
      </c>
      <c r="N33" s="34"/>
    </row>
    <row r="34" spans="1:14" ht="15.75" customHeight="1">
      <c r="A34" s="116" t="s">
        <v>116</v>
      </c>
      <c r="B34" s="122"/>
      <c r="C34" s="35">
        <v>13000</v>
      </c>
      <c r="D34" s="35">
        <v>13000</v>
      </c>
      <c r="E34" s="36"/>
      <c r="F34" s="112">
        <f t="shared" si="2"/>
        <v>0</v>
      </c>
      <c r="G34" s="43">
        <f>C34/500</f>
        <v>26</v>
      </c>
      <c r="H34" s="43">
        <f>D34/500</f>
        <v>26</v>
      </c>
      <c r="I34" s="38">
        <f t="shared" ref="I34:I48" si="3">E34/600</f>
        <v>0</v>
      </c>
      <c r="J34" s="39">
        <v>26</v>
      </c>
      <c r="K34" s="40"/>
      <c r="L34" s="56" t="s">
        <v>117</v>
      </c>
      <c r="M34" s="57" t="s">
        <v>118</v>
      </c>
      <c r="N34" s="42"/>
    </row>
    <row r="35" spans="1:14" ht="15.75" customHeight="1" thickBot="1">
      <c r="A35" s="128" t="s">
        <v>119</v>
      </c>
      <c r="B35" s="123"/>
      <c r="C35" s="48">
        <v>278000</v>
      </c>
      <c r="D35" s="48"/>
      <c r="E35" s="49"/>
      <c r="F35" s="72">
        <f t="shared" si="2"/>
        <v>0</v>
      </c>
      <c r="G35" s="58">
        <f>C35/600</f>
        <v>463.33333333333331</v>
      </c>
      <c r="H35" s="50">
        <f>D35/600</f>
        <v>0</v>
      </c>
      <c r="I35" s="59">
        <f t="shared" si="3"/>
        <v>0</v>
      </c>
      <c r="J35" s="51">
        <v>463.3</v>
      </c>
      <c r="K35" s="60"/>
      <c r="L35" s="138" t="s">
        <v>120</v>
      </c>
      <c r="M35" s="52"/>
      <c r="N35" s="61"/>
    </row>
    <row r="36" spans="1:14" ht="15.75" customHeight="1">
      <c r="A36" s="124" t="s">
        <v>121</v>
      </c>
      <c r="B36" s="125"/>
      <c r="C36" s="25">
        <v>6600</v>
      </c>
      <c r="D36" s="25"/>
      <c r="E36" s="26">
        <v>8900</v>
      </c>
      <c r="F36" s="27">
        <f t="shared" si="2"/>
        <v>0</v>
      </c>
      <c r="G36" s="28">
        <f>C36/500</f>
        <v>13.2</v>
      </c>
      <c r="H36" s="28">
        <f t="shared" ref="H36:H48" si="4">D36/600</f>
        <v>0</v>
      </c>
      <c r="I36" s="29">
        <f t="shared" si="3"/>
        <v>14.833333333333334</v>
      </c>
      <c r="J36" s="30">
        <v>14.8</v>
      </c>
      <c r="K36" s="31"/>
      <c r="L36" s="32" t="s">
        <v>122</v>
      </c>
      <c r="M36" s="32"/>
      <c r="N36" s="34" t="s">
        <v>98</v>
      </c>
    </row>
    <row r="37" spans="1:14" ht="15.75" customHeight="1">
      <c r="A37" s="115" t="s">
        <v>123</v>
      </c>
      <c r="B37" s="122"/>
      <c r="C37" s="35"/>
      <c r="D37" s="35">
        <v>8000</v>
      </c>
      <c r="E37" s="36"/>
      <c r="F37" s="112">
        <f t="shared" si="2"/>
        <v>0</v>
      </c>
      <c r="G37" s="37">
        <f>C37/500</f>
        <v>0</v>
      </c>
      <c r="H37" s="37">
        <f t="shared" si="4"/>
        <v>13.333333333333334</v>
      </c>
      <c r="I37" s="38">
        <f t="shared" si="3"/>
        <v>0</v>
      </c>
      <c r="J37" s="39">
        <v>13.3</v>
      </c>
      <c r="K37" s="40"/>
      <c r="L37" s="41"/>
      <c r="M37" s="46"/>
      <c r="N37" s="42"/>
    </row>
    <row r="38" spans="1:14" ht="15.75" customHeight="1">
      <c r="A38" s="115" t="s">
        <v>124</v>
      </c>
      <c r="B38" s="122">
        <v>14900</v>
      </c>
      <c r="C38" s="35">
        <v>12700</v>
      </c>
      <c r="D38" s="35">
        <v>15000</v>
      </c>
      <c r="E38" s="36">
        <v>16300</v>
      </c>
      <c r="F38" s="112">
        <f t="shared" si="2"/>
        <v>29.8</v>
      </c>
      <c r="G38" s="37">
        <f>C38/500</f>
        <v>25.4</v>
      </c>
      <c r="H38" s="37">
        <f t="shared" si="4"/>
        <v>25</v>
      </c>
      <c r="I38" s="47">
        <f t="shared" si="3"/>
        <v>27.166666666666668</v>
      </c>
      <c r="J38" s="39">
        <v>27.2</v>
      </c>
      <c r="K38" s="40"/>
      <c r="L38" s="41" t="s">
        <v>50</v>
      </c>
      <c r="M38" s="41"/>
      <c r="N38" s="62" t="s">
        <v>50</v>
      </c>
    </row>
    <row r="39" spans="1:14" ht="15.75" customHeight="1">
      <c r="A39" s="115" t="s">
        <v>125</v>
      </c>
      <c r="B39" s="122"/>
      <c r="C39" s="35">
        <v>12700</v>
      </c>
      <c r="D39" s="35"/>
      <c r="E39" s="36">
        <v>13800</v>
      </c>
      <c r="F39" s="112">
        <f t="shared" si="2"/>
        <v>0</v>
      </c>
      <c r="G39" s="37">
        <f>C39/500</f>
        <v>25.4</v>
      </c>
      <c r="H39" s="37">
        <f t="shared" si="4"/>
        <v>0</v>
      </c>
      <c r="I39" s="47">
        <f t="shared" si="3"/>
        <v>23</v>
      </c>
      <c r="J39" s="39">
        <v>23</v>
      </c>
      <c r="K39" s="40"/>
      <c r="L39" s="41" t="s">
        <v>50</v>
      </c>
      <c r="M39" s="41"/>
      <c r="N39" s="42" t="s">
        <v>50</v>
      </c>
    </row>
    <row r="40" spans="1:14" ht="15.75" customHeight="1">
      <c r="A40" s="115" t="s">
        <v>126</v>
      </c>
      <c r="B40" s="122"/>
      <c r="C40" s="35">
        <v>26000</v>
      </c>
      <c r="D40" s="35">
        <v>32000</v>
      </c>
      <c r="E40" s="36">
        <v>35500</v>
      </c>
      <c r="F40" s="112">
        <f t="shared" si="2"/>
        <v>0</v>
      </c>
      <c r="G40" s="37">
        <f>C40/600</f>
        <v>43.333333333333336</v>
      </c>
      <c r="H40" s="37">
        <f t="shared" si="4"/>
        <v>53.333333333333336</v>
      </c>
      <c r="I40" s="38">
        <f t="shared" si="3"/>
        <v>59.166666666666664</v>
      </c>
      <c r="J40" s="39">
        <v>43.3</v>
      </c>
      <c r="K40" s="40"/>
      <c r="L40" s="41" t="s">
        <v>127</v>
      </c>
      <c r="M40" s="46"/>
      <c r="N40" s="42" t="s">
        <v>128</v>
      </c>
    </row>
    <row r="41" spans="1:14" ht="15.75" customHeight="1">
      <c r="A41" s="115" t="s">
        <v>129</v>
      </c>
      <c r="B41" s="122"/>
      <c r="C41" s="35">
        <v>13000</v>
      </c>
      <c r="D41" s="35"/>
      <c r="E41" s="36">
        <v>15800</v>
      </c>
      <c r="F41" s="112">
        <f t="shared" si="2"/>
        <v>0</v>
      </c>
      <c r="G41" s="43">
        <f t="shared" si="2"/>
        <v>26</v>
      </c>
      <c r="H41" s="37">
        <f t="shared" si="4"/>
        <v>0</v>
      </c>
      <c r="I41" s="38">
        <f t="shared" si="3"/>
        <v>26.333333333333332</v>
      </c>
      <c r="J41" s="39">
        <v>26</v>
      </c>
      <c r="K41" s="40"/>
      <c r="L41" s="41" t="s">
        <v>58</v>
      </c>
      <c r="M41" s="41"/>
      <c r="N41" s="42" t="s">
        <v>58</v>
      </c>
    </row>
    <row r="42" spans="1:14" ht="15.75" customHeight="1">
      <c r="A42" s="115" t="s">
        <v>130</v>
      </c>
      <c r="B42" s="122"/>
      <c r="C42" s="35"/>
      <c r="D42" s="35">
        <v>4000</v>
      </c>
      <c r="E42" s="36">
        <v>3200</v>
      </c>
      <c r="F42" s="112">
        <f t="shared" si="2"/>
        <v>0</v>
      </c>
      <c r="G42" s="37">
        <f t="shared" si="2"/>
        <v>0</v>
      </c>
      <c r="H42" s="37">
        <f t="shared" si="4"/>
        <v>6.666666666666667</v>
      </c>
      <c r="I42" s="38">
        <f t="shared" si="3"/>
        <v>5.333333333333333</v>
      </c>
      <c r="J42" s="39">
        <v>5.3</v>
      </c>
      <c r="K42" s="40"/>
      <c r="L42" s="41"/>
      <c r="M42" s="46"/>
      <c r="N42" s="42" t="s">
        <v>131</v>
      </c>
    </row>
    <row r="43" spans="1:14" ht="15.75" customHeight="1">
      <c r="A43" s="115" t="s">
        <v>132</v>
      </c>
      <c r="B43" s="122"/>
      <c r="C43" s="35">
        <v>10300</v>
      </c>
      <c r="D43" s="35">
        <v>10000</v>
      </c>
      <c r="E43" s="36">
        <v>12500</v>
      </c>
      <c r="F43" s="112">
        <f t="shared" si="2"/>
        <v>0</v>
      </c>
      <c r="G43" s="37">
        <f t="shared" si="2"/>
        <v>20.6</v>
      </c>
      <c r="H43" s="37">
        <f t="shared" si="4"/>
        <v>16.666666666666668</v>
      </c>
      <c r="I43" s="47">
        <f t="shared" si="3"/>
        <v>20.833333333333332</v>
      </c>
      <c r="J43" s="39">
        <v>20.8</v>
      </c>
      <c r="K43" s="40"/>
      <c r="L43" s="41" t="s">
        <v>133</v>
      </c>
      <c r="M43" s="46" t="s">
        <v>71</v>
      </c>
      <c r="N43" s="42" t="s">
        <v>134</v>
      </c>
    </row>
    <row r="44" spans="1:14" ht="15.75" customHeight="1">
      <c r="A44" s="115" t="s">
        <v>135</v>
      </c>
      <c r="B44" s="122"/>
      <c r="C44" s="35">
        <v>4500</v>
      </c>
      <c r="D44" s="35">
        <v>9500</v>
      </c>
      <c r="E44" s="36">
        <v>7800</v>
      </c>
      <c r="F44" s="112">
        <f t="shared" si="2"/>
        <v>0</v>
      </c>
      <c r="G44" s="37">
        <f t="shared" si="2"/>
        <v>9</v>
      </c>
      <c r="H44" s="37">
        <f t="shared" si="4"/>
        <v>15.833333333333334</v>
      </c>
      <c r="I44" s="47">
        <f t="shared" si="3"/>
        <v>13</v>
      </c>
      <c r="J44" s="39">
        <v>13</v>
      </c>
      <c r="K44" s="40"/>
      <c r="L44" s="41"/>
      <c r="M44" s="46" t="s">
        <v>136</v>
      </c>
      <c r="N44" s="42" t="s">
        <v>137</v>
      </c>
    </row>
    <row r="45" spans="1:14" ht="15.75" customHeight="1">
      <c r="A45" s="115" t="s">
        <v>138</v>
      </c>
      <c r="B45" s="122"/>
      <c r="C45" s="35">
        <v>6200</v>
      </c>
      <c r="D45" s="35">
        <v>8000</v>
      </c>
      <c r="E45" s="36"/>
      <c r="F45" s="112">
        <f t="shared" si="2"/>
        <v>0</v>
      </c>
      <c r="G45" s="37">
        <f t="shared" si="2"/>
        <v>12.4</v>
      </c>
      <c r="H45" s="37">
        <f t="shared" si="4"/>
        <v>13.333333333333334</v>
      </c>
      <c r="I45" s="38">
        <f t="shared" si="3"/>
        <v>0</v>
      </c>
      <c r="J45" s="39">
        <v>13.3</v>
      </c>
      <c r="K45" s="40"/>
      <c r="L45" s="41"/>
      <c r="M45" s="46" t="s">
        <v>111</v>
      </c>
      <c r="N45" s="42"/>
    </row>
    <row r="46" spans="1:14" ht="15.75" customHeight="1">
      <c r="A46" s="115" t="s">
        <v>139</v>
      </c>
      <c r="B46" s="122"/>
      <c r="C46" s="35">
        <v>15600</v>
      </c>
      <c r="D46" s="35">
        <v>19000</v>
      </c>
      <c r="E46" s="36">
        <v>18000</v>
      </c>
      <c r="F46" s="112">
        <f t="shared" si="2"/>
        <v>0</v>
      </c>
      <c r="G46" s="43">
        <f t="shared" si="2"/>
        <v>31.2</v>
      </c>
      <c r="H46" s="37">
        <f t="shared" si="4"/>
        <v>31.666666666666668</v>
      </c>
      <c r="I46" s="38">
        <f t="shared" si="3"/>
        <v>30</v>
      </c>
      <c r="J46" s="39">
        <v>31.2</v>
      </c>
      <c r="K46" s="40"/>
      <c r="L46" s="41" t="s">
        <v>50</v>
      </c>
      <c r="M46" s="41" t="s">
        <v>71</v>
      </c>
      <c r="N46" s="42"/>
    </row>
    <row r="47" spans="1:14" ht="15.75" customHeight="1">
      <c r="A47" s="115" t="s">
        <v>140</v>
      </c>
      <c r="B47" s="122"/>
      <c r="C47" s="35"/>
      <c r="D47" s="35">
        <v>7000</v>
      </c>
      <c r="E47" s="36"/>
      <c r="F47" s="112">
        <f t="shared" si="2"/>
        <v>0</v>
      </c>
      <c r="G47" s="37">
        <f t="shared" si="2"/>
        <v>0</v>
      </c>
      <c r="H47" s="37">
        <f t="shared" si="4"/>
        <v>11.666666666666666</v>
      </c>
      <c r="I47" s="38">
        <f t="shared" si="3"/>
        <v>0</v>
      </c>
      <c r="J47" s="39">
        <v>11.7</v>
      </c>
      <c r="K47" s="40"/>
      <c r="L47" s="41"/>
      <c r="M47" s="46"/>
      <c r="N47" s="42"/>
    </row>
    <row r="48" spans="1:14" ht="15.75" customHeight="1">
      <c r="A48" s="115" t="s">
        <v>141</v>
      </c>
      <c r="B48" s="122"/>
      <c r="C48" s="35">
        <v>5700</v>
      </c>
      <c r="D48" s="35">
        <v>9500</v>
      </c>
      <c r="E48" s="36">
        <v>6800</v>
      </c>
      <c r="F48" s="112">
        <f t="shared" si="2"/>
        <v>0</v>
      </c>
      <c r="G48" s="37">
        <f t="shared" si="2"/>
        <v>11.4</v>
      </c>
      <c r="H48" s="37">
        <f t="shared" si="4"/>
        <v>15.833333333333334</v>
      </c>
      <c r="I48" s="47">
        <f t="shared" si="3"/>
        <v>11.333333333333334</v>
      </c>
      <c r="J48" s="39">
        <v>11.3</v>
      </c>
      <c r="K48" s="40"/>
      <c r="L48" s="41" t="s">
        <v>142</v>
      </c>
      <c r="M48" s="41" t="s">
        <v>143</v>
      </c>
      <c r="N48" s="42" t="s">
        <v>144</v>
      </c>
    </row>
    <row r="49" spans="1:14" ht="15.75" customHeight="1" thickBot="1">
      <c r="A49" s="126" t="s">
        <v>145</v>
      </c>
      <c r="B49" s="123"/>
      <c r="C49" s="48">
        <v>6500</v>
      </c>
      <c r="D49" s="48">
        <v>7000</v>
      </c>
      <c r="E49" s="49">
        <v>6700</v>
      </c>
      <c r="F49" s="72">
        <f t="shared" si="2"/>
        <v>0</v>
      </c>
      <c r="G49" s="58">
        <f>C49/100</f>
        <v>65</v>
      </c>
      <c r="H49" s="50">
        <f>D49/100</f>
        <v>70</v>
      </c>
      <c r="I49" s="59">
        <f>E49/100</f>
        <v>67</v>
      </c>
      <c r="J49" s="51">
        <v>65</v>
      </c>
      <c r="K49" s="60"/>
      <c r="L49" s="52" t="s">
        <v>146</v>
      </c>
      <c r="M49" s="53" t="s">
        <v>147</v>
      </c>
      <c r="N49" s="61" t="s">
        <v>148</v>
      </c>
    </row>
    <row r="50" spans="1:14" ht="15.75" customHeight="1">
      <c r="A50" s="127" t="s">
        <v>149</v>
      </c>
      <c r="B50" s="125"/>
      <c r="C50" s="25">
        <v>4000</v>
      </c>
      <c r="D50" s="25"/>
      <c r="E50" s="26">
        <v>5100</v>
      </c>
      <c r="F50" s="27">
        <f t="shared" si="2"/>
        <v>0</v>
      </c>
      <c r="G50" s="54">
        <f>C50/500</f>
        <v>8</v>
      </c>
      <c r="H50" s="28">
        <f t="shared" ref="H50:I54" si="5">D50/600</f>
        <v>0</v>
      </c>
      <c r="I50" s="55">
        <f t="shared" si="5"/>
        <v>8.5</v>
      </c>
      <c r="J50" s="30">
        <v>8</v>
      </c>
      <c r="K50" s="31"/>
      <c r="L50" s="32" t="s">
        <v>58</v>
      </c>
      <c r="M50" s="32"/>
      <c r="N50" s="34" t="s">
        <v>98</v>
      </c>
    </row>
    <row r="51" spans="1:14" ht="15.75" customHeight="1">
      <c r="A51" s="116" t="s">
        <v>150</v>
      </c>
      <c r="B51" s="122"/>
      <c r="C51" s="35">
        <v>4200</v>
      </c>
      <c r="D51" s="35">
        <v>7500</v>
      </c>
      <c r="E51" s="36">
        <v>5000</v>
      </c>
      <c r="F51" s="112">
        <f t="shared" ref="F51:G82" si="6">B51/500</f>
        <v>0</v>
      </c>
      <c r="G51" s="37">
        <f>C51/500</f>
        <v>8.4</v>
      </c>
      <c r="H51" s="37">
        <f t="shared" si="5"/>
        <v>12.5</v>
      </c>
      <c r="I51" s="47">
        <f t="shared" si="5"/>
        <v>8.3333333333333339</v>
      </c>
      <c r="J51" s="39">
        <v>8.5</v>
      </c>
      <c r="K51" s="40"/>
      <c r="L51" s="41" t="s">
        <v>58</v>
      </c>
      <c r="M51" s="46"/>
      <c r="N51" s="42" t="s">
        <v>151</v>
      </c>
    </row>
    <row r="52" spans="1:14" ht="15.75" customHeight="1">
      <c r="A52" s="116" t="s">
        <v>152</v>
      </c>
      <c r="B52" s="122"/>
      <c r="C52" s="35">
        <v>13200</v>
      </c>
      <c r="D52" s="35"/>
      <c r="E52" s="36">
        <v>15800</v>
      </c>
      <c r="F52" s="112">
        <f t="shared" si="6"/>
        <v>0</v>
      </c>
      <c r="G52" s="37">
        <f>C52/500</f>
        <v>26.4</v>
      </c>
      <c r="H52" s="37">
        <f t="shared" si="5"/>
        <v>0</v>
      </c>
      <c r="I52" s="38">
        <f t="shared" si="5"/>
        <v>26.333333333333332</v>
      </c>
      <c r="J52" s="39">
        <v>26.3</v>
      </c>
      <c r="K52" s="40"/>
      <c r="L52" s="41" t="s">
        <v>153</v>
      </c>
      <c r="M52" s="41"/>
      <c r="N52" s="42" t="s">
        <v>154</v>
      </c>
    </row>
    <row r="53" spans="1:14" ht="15.75" customHeight="1">
      <c r="A53" s="116" t="s">
        <v>155</v>
      </c>
      <c r="B53" s="122"/>
      <c r="C53" s="35">
        <v>3000</v>
      </c>
      <c r="D53" s="35">
        <v>4000</v>
      </c>
      <c r="E53" s="36"/>
      <c r="F53" s="112">
        <f t="shared" si="6"/>
        <v>0</v>
      </c>
      <c r="G53" s="37">
        <f>C53/600</f>
        <v>5</v>
      </c>
      <c r="H53" s="37">
        <f t="shared" si="5"/>
        <v>6.666666666666667</v>
      </c>
      <c r="I53" s="38">
        <f t="shared" si="5"/>
        <v>0</v>
      </c>
      <c r="J53" s="39">
        <v>5</v>
      </c>
      <c r="K53" s="40"/>
      <c r="L53" s="41" t="s">
        <v>156</v>
      </c>
      <c r="M53" s="41"/>
      <c r="N53" s="42"/>
    </row>
    <row r="54" spans="1:14" ht="15.75" customHeight="1">
      <c r="A54" s="116" t="s">
        <v>157</v>
      </c>
      <c r="B54" s="122"/>
      <c r="C54" s="35">
        <v>19600</v>
      </c>
      <c r="D54" s="35">
        <v>39000</v>
      </c>
      <c r="E54" s="36">
        <v>23500</v>
      </c>
      <c r="F54" s="112">
        <f t="shared" si="6"/>
        <v>0</v>
      </c>
      <c r="G54" s="37">
        <f>C54/500</f>
        <v>39.200000000000003</v>
      </c>
      <c r="H54" s="37">
        <f t="shared" si="5"/>
        <v>65</v>
      </c>
      <c r="I54" s="38">
        <f t="shared" si="5"/>
        <v>39.166666666666664</v>
      </c>
      <c r="J54" s="39">
        <v>44.3</v>
      </c>
      <c r="K54" s="40"/>
      <c r="L54" s="41" t="s">
        <v>158</v>
      </c>
      <c r="M54" s="46" t="s">
        <v>71</v>
      </c>
      <c r="N54" s="44" t="s">
        <v>159</v>
      </c>
    </row>
    <row r="55" spans="1:14" ht="15.75" customHeight="1">
      <c r="A55" s="116" t="s">
        <v>160</v>
      </c>
      <c r="B55" s="122"/>
      <c r="C55" s="35">
        <v>8000</v>
      </c>
      <c r="D55" s="35">
        <v>7500</v>
      </c>
      <c r="F55" s="112">
        <f t="shared" si="6"/>
        <v>0</v>
      </c>
      <c r="G55" s="37">
        <f>C55/1000</f>
        <v>8</v>
      </c>
      <c r="H55" s="43">
        <f>D55/1000</f>
        <v>7.5</v>
      </c>
      <c r="I55" s="38">
        <f>E54/1000</f>
        <v>23.5</v>
      </c>
      <c r="J55" s="39">
        <v>7.5</v>
      </c>
      <c r="K55" s="40"/>
      <c r="L55" s="41" t="s">
        <v>161</v>
      </c>
      <c r="M55" s="46" t="s">
        <v>161</v>
      </c>
      <c r="N55" s="44" t="s">
        <v>162</v>
      </c>
    </row>
    <row r="56" spans="1:14" ht="15.75" customHeight="1">
      <c r="A56" s="116" t="s">
        <v>163</v>
      </c>
      <c r="B56" s="122"/>
      <c r="C56" s="35">
        <v>4700</v>
      </c>
      <c r="D56" s="35">
        <v>7000</v>
      </c>
      <c r="E56" s="36">
        <v>5900</v>
      </c>
      <c r="F56" s="112">
        <f t="shared" si="6"/>
        <v>0</v>
      </c>
      <c r="G56" s="37">
        <f>C56/500</f>
        <v>9.4</v>
      </c>
      <c r="H56" s="37">
        <f t="shared" ref="H56:I62" si="7">D56/600</f>
        <v>11.666666666666666</v>
      </c>
      <c r="I56" s="38">
        <f t="shared" si="7"/>
        <v>9.8333333333333339</v>
      </c>
      <c r="J56" s="39">
        <v>9.8000000000000007</v>
      </c>
      <c r="K56" s="40"/>
      <c r="L56" s="41"/>
      <c r="M56" s="41"/>
      <c r="N56" s="42"/>
    </row>
    <row r="57" spans="1:14" ht="15.75" customHeight="1">
      <c r="A57" s="116" t="s">
        <v>164</v>
      </c>
      <c r="B57" s="122"/>
      <c r="C57" s="35">
        <v>8000</v>
      </c>
      <c r="D57" s="35">
        <v>8000</v>
      </c>
      <c r="E57" s="36"/>
      <c r="F57" s="112">
        <f t="shared" si="6"/>
        <v>0</v>
      </c>
      <c r="G57" s="37">
        <f>C57/1000</f>
        <v>8</v>
      </c>
      <c r="H57" s="37">
        <f>D57/1000</f>
        <v>8</v>
      </c>
      <c r="I57" s="38">
        <f t="shared" si="7"/>
        <v>0</v>
      </c>
      <c r="J57" s="39">
        <v>8</v>
      </c>
      <c r="K57" s="40"/>
      <c r="L57" s="41" t="s">
        <v>162</v>
      </c>
      <c r="M57" s="41"/>
      <c r="N57" s="42"/>
    </row>
    <row r="58" spans="1:14" ht="15.75" customHeight="1">
      <c r="A58" s="116" t="s">
        <v>165</v>
      </c>
      <c r="B58" s="122">
        <v>18500</v>
      </c>
      <c r="C58" s="35">
        <v>14000</v>
      </c>
      <c r="D58" s="35">
        <v>19000</v>
      </c>
      <c r="E58" s="36">
        <v>20200</v>
      </c>
      <c r="F58" s="112">
        <f t="shared" si="6"/>
        <v>37</v>
      </c>
      <c r="G58" s="37">
        <f>C58/500</f>
        <v>28</v>
      </c>
      <c r="H58" s="37">
        <f t="shared" si="7"/>
        <v>31.666666666666668</v>
      </c>
      <c r="I58" s="47">
        <f t="shared" si="7"/>
        <v>33.666666666666664</v>
      </c>
      <c r="J58" s="39">
        <v>28</v>
      </c>
      <c r="K58" s="40"/>
      <c r="L58" s="41" t="s">
        <v>86</v>
      </c>
      <c r="M58" s="46"/>
      <c r="N58" s="42" t="s">
        <v>98</v>
      </c>
    </row>
    <row r="59" spans="1:14" ht="15.75" customHeight="1">
      <c r="A59" s="116" t="s">
        <v>166</v>
      </c>
      <c r="B59" s="122"/>
      <c r="C59" s="35">
        <v>5400</v>
      </c>
      <c r="D59" s="35">
        <v>7000</v>
      </c>
      <c r="E59" s="36">
        <v>6400</v>
      </c>
      <c r="F59" s="112">
        <f t="shared" si="6"/>
        <v>0</v>
      </c>
      <c r="G59" s="37">
        <f>C59/500</f>
        <v>10.8</v>
      </c>
      <c r="H59" s="37">
        <f t="shared" si="7"/>
        <v>11.666666666666666</v>
      </c>
      <c r="I59" s="38">
        <f t="shared" si="7"/>
        <v>10.666666666666666</v>
      </c>
      <c r="J59" s="39">
        <v>10.7</v>
      </c>
      <c r="K59" s="40"/>
      <c r="L59" s="41"/>
      <c r="M59" s="46" t="s">
        <v>167</v>
      </c>
      <c r="N59" s="62" t="s">
        <v>168</v>
      </c>
    </row>
    <row r="60" spans="1:14" ht="15.75" customHeight="1">
      <c r="A60" s="116" t="s">
        <v>169</v>
      </c>
      <c r="B60" s="122"/>
      <c r="C60" s="35">
        <v>6000</v>
      </c>
      <c r="D60" s="35">
        <v>8500</v>
      </c>
      <c r="E60" s="36">
        <v>7300</v>
      </c>
      <c r="F60" s="112">
        <f t="shared" si="6"/>
        <v>0</v>
      </c>
      <c r="G60" s="37">
        <f>C60/600</f>
        <v>10</v>
      </c>
      <c r="H60" s="37">
        <f t="shared" si="7"/>
        <v>14.166666666666666</v>
      </c>
      <c r="I60" s="47">
        <f t="shared" si="7"/>
        <v>12.166666666666666</v>
      </c>
      <c r="J60" s="39">
        <v>12.2</v>
      </c>
      <c r="K60" s="40"/>
      <c r="L60" s="41" t="s">
        <v>120</v>
      </c>
      <c r="M60" s="46" t="s">
        <v>167</v>
      </c>
      <c r="N60" s="42" t="s">
        <v>98</v>
      </c>
    </row>
    <row r="61" spans="1:14" ht="15.75" customHeight="1" thickBot="1">
      <c r="A61" s="128" t="s">
        <v>170</v>
      </c>
      <c r="B61" s="123"/>
      <c r="C61" s="48"/>
      <c r="D61" s="48"/>
      <c r="E61" s="49">
        <v>10500</v>
      </c>
      <c r="F61" s="72">
        <f t="shared" si="6"/>
        <v>0</v>
      </c>
      <c r="G61" s="50">
        <f t="shared" si="6"/>
        <v>0</v>
      </c>
      <c r="H61" s="50">
        <f t="shared" si="7"/>
        <v>0</v>
      </c>
      <c r="I61" s="59">
        <f t="shared" si="7"/>
        <v>17.5</v>
      </c>
      <c r="J61" s="51">
        <v>17.5</v>
      </c>
      <c r="K61" s="60"/>
      <c r="L61" s="52"/>
      <c r="M61" s="52"/>
      <c r="N61" s="61" t="s">
        <v>98</v>
      </c>
    </row>
    <row r="62" spans="1:14" ht="15.75" customHeight="1">
      <c r="A62" s="124" t="s">
        <v>171</v>
      </c>
      <c r="B62" s="125"/>
      <c r="C62" s="25">
        <v>8500</v>
      </c>
      <c r="D62" s="25"/>
      <c r="E62" s="26">
        <v>10800</v>
      </c>
      <c r="F62" s="27">
        <f t="shared" si="6"/>
        <v>0</v>
      </c>
      <c r="G62" s="54">
        <f t="shared" si="6"/>
        <v>17</v>
      </c>
      <c r="H62" s="28">
        <f t="shared" si="7"/>
        <v>0</v>
      </c>
      <c r="I62" s="55">
        <f t="shared" si="7"/>
        <v>18</v>
      </c>
      <c r="J62" s="30">
        <v>21.8</v>
      </c>
      <c r="K62" s="31"/>
      <c r="L62" s="32" t="s">
        <v>50</v>
      </c>
      <c r="M62" s="32"/>
      <c r="N62" s="34" t="s">
        <v>172</v>
      </c>
    </row>
    <row r="63" spans="1:14" ht="15.75" customHeight="1">
      <c r="A63" s="115" t="s">
        <v>173</v>
      </c>
      <c r="B63" s="122"/>
      <c r="C63" s="35">
        <v>20500</v>
      </c>
      <c r="D63" s="35">
        <v>26500</v>
      </c>
      <c r="E63" s="36">
        <v>20500</v>
      </c>
      <c r="F63" s="112">
        <f t="shared" si="6"/>
        <v>0</v>
      </c>
      <c r="G63" s="71">
        <f t="shared" si="6"/>
        <v>41</v>
      </c>
      <c r="H63" s="71">
        <f>D63/500</f>
        <v>53</v>
      </c>
      <c r="I63" s="38">
        <f>E63/500</f>
        <v>41</v>
      </c>
      <c r="J63" s="39">
        <v>41</v>
      </c>
      <c r="K63" s="40"/>
      <c r="L63" s="110" t="s">
        <v>174</v>
      </c>
      <c r="M63" s="110" t="s">
        <v>175</v>
      </c>
      <c r="N63" s="42" t="s">
        <v>176</v>
      </c>
    </row>
    <row r="64" spans="1:14" ht="15.75" customHeight="1">
      <c r="A64" s="115" t="s">
        <v>177</v>
      </c>
      <c r="B64" s="122"/>
      <c r="C64" s="35"/>
      <c r="D64" s="35"/>
      <c r="E64" s="36">
        <v>42100</v>
      </c>
      <c r="F64" s="112">
        <f t="shared" si="6"/>
        <v>0</v>
      </c>
      <c r="G64" s="37">
        <f t="shared" si="6"/>
        <v>0</v>
      </c>
      <c r="H64" s="37">
        <f t="shared" ref="H64:I100" si="8">D64/600</f>
        <v>0</v>
      </c>
      <c r="I64" s="47">
        <f t="shared" si="8"/>
        <v>70.166666666666671</v>
      </c>
      <c r="J64" s="39">
        <v>70.2</v>
      </c>
      <c r="K64" s="40"/>
      <c r="L64" s="41"/>
      <c r="M64" s="41"/>
      <c r="N64" s="42" t="s">
        <v>178</v>
      </c>
    </row>
    <row r="65" spans="1:14" ht="15.75" customHeight="1">
      <c r="A65" s="115" t="s">
        <v>179</v>
      </c>
      <c r="B65" s="122"/>
      <c r="C65" s="35">
        <v>3000</v>
      </c>
      <c r="D65" s="35"/>
      <c r="E65" s="36">
        <v>3500</v>
      </c>
      <c r="F65" s="112">
        <f t="shared" si="6"/>
        <v>0</v>
      </c>
      <c r="G65" s="37">
        <f t="shared" si="6"/>
        <v>6</v>
      </c>
      <c r="H65" s="37">
        <f t="shared" si="8"/>
        <v>0</v>
      </c>
      <c r="I65" s="47">
        <f t="shared" si="8"/>
        <v>5.833333333333333</v>
      </c>
      <c r="J65" s="39">
        <v>5.8</v>
      </c>
      <c r="K65" s="40"/>
      <c r="L65" s="56" t="s">
        <v>58</v>
      </c>
      <c r="M65" s="41"/>
      <c r="N65" s="42" t="s">
        <v>58</v>
      </c>
    </row>
    <row r="66" spans="1:14" ht="15.75" customHeight="1">
      <c r="A66" s="115" t="s">
        <v>180</v>
      </c>
      <c r="B66" s="122"/>
      <c r="C66" s="35"/>
      <c r="D66" s="35"/>
      <c r="E66" s="36"/>
      <c r="F66" s="112">
        <f t="shared" si="6"/>
        <v>0</v>
      </c>
      <c r="G66" s="37">
        <f t="shared" si="6"/>
        <v>0</v>
      </c>
      <c r="H66" s="37">
        <f t="shared" si="8"/>
        <v>0</v>
      </c>
      <c r="I66" s="63">
        <f t="shared" si="8"/>
        <v>0</v>
      </c>
      <c r="K66" s="40"/>
      <c r="L66" s="41"/>
      <c r="M66" s="41"/>
      <c r="N66" s="42"/>
    </row>
    <row r="67" spans="1:14" ht="15.75" customHeight="1">
      <c r="A67" s="115" t="s">
        <v>181</v>
      </c>
      <c r="B67" s="122"/>
      <c r="C67" s="35">
        <v>5900</v>
      </c>
      <c r="D67" s="35"/>
      <c r="E67" s="36">
        <v>7000</v>
      </c>
      <c r="F67" s="112">
        <f t="shared" si="6"/>
        <v>0</v>
      </c>
      <c r="G67" s="37">
        <f t="shared" si="6"/>
        <v>11.8</v>
      </c>
      <c r="H67" s="37">
        <f t="shared" si="8"/>
        <v>0</v>
      </c>
      <c r="I67" s="47">
        <f t="shared" si="8"/>
        <v>11.666666666666666</v>
      </c>
      <c r="J67" s="39">
        <v>13.2</v>
      </c>
      <c r="K67" s="40"/>
      <c r="L67" s="41"/>
      <c r="M67" s="41"/>
      <c r="N67" s="42" t="s">
        <v>98</v>
      </c>
    </row>
    <row r="68" spans="1:14" ht="15.75" customHeight="1">
      <c r="A68" s="115" t="s">
        <v>182</v>
      </c>
      <c r="B68" s="122"/>
      <c r="C68" s="35">
        <v>11300</v>
      </c>
      <c r="D68" s="35">
        <v>14000</v>
      </c>
      <c r="E68" s="36"/>
      <c r="F68" s="112">
        <f t="shared" si="6"/>
        <v>0</v>
      </c>
      <c r="G68" s="37">
        <f t="shared" si="6"/>
        <v>22.6</v>
      </c>
      <c r="H68" s="37">
        <f t="shared" si="8"/>
        <v>23.333333333333332</v>
      </c>
      <c r="I68" s="38">
        <f t="shared" si="8"/>
        <v>0</v>
      </c>
      <c r="J68" s="39">
        <v>22.6</v>
      </c>
      <c r="K68" s="40"/>
      <c r="L68" s="41" t="s">
        <v>50</v>
      </c>
      <c r="M68" s="46"/>
      <c r="N68" s="42"/>
    </row>
    <row r="69" spans="1:14" ht="15.75" customHeight="1">
      <c r="A69" s="115" t="s">
        <v>183</v>
      </c>
      <c r="B69" s="122"/>
      <c r="C69" s="35">
        <v>14000</v>
      </c>
      <c r="D69" s="35"/>
      <c r="E69" s="36"/>
      <c r="F69" s="112">
        <f t="shared" si="6"/>
        <v>0</v>
      </c>
      <c r="G69" s="37">
        <f t="shared" si="6"/>
        <v>28</v>
      </c>
      <c r="H69" s="37">
        <f t="shared" si="8"/>
        <v>0</v>
      </c>
      <c r="I69" s="38">
        <f t="shared" si="8"/>
        <v>0</v>
      </c>
      <c r="J69" s="39">
        <v>28</v>
      </c>
      <c r="K69" s="40"/>
      <c r="L69" s="41" t="s">
        <v>74</v>
      </c>
      <c r="M69" s="41"/>
      <c r="N69" s="42"/>
    </row>
    <row r="70" spans="1:14" ht="15.75" customHeight="1">
      <c r="A70" s="115" t="s">
        <v>184</v>
      </c>
      <c r="B70" s="122"/>
      <c r="C70" s="35">
        <v>3600</v>
      </c>
      <c r="D70" s="35"/>
      <c r="E70" s="36">
        <v>3800</v>
      </c>
      <c r="F70" s="112">
        <f t="shared" si="6"/>
        <v>0</v>
      </c>
      <c r="G70" s="37">
        <f t="shared" si="6"/>
        <v>7.2</v>
      </c>
      <c r="H70" s="37">
        <f t="shared" si="8"/>
        <v>0</v>
      </c>
      <c r="I70" s="38">
        <f t="shared" si="8"/>
        <v>6.333333333333333</v>
      </c>
      <c r="J70" s="39">
        <v>6.3</v>
      </c>
      <c r="K70" s="40"/>
      <c r="L70" s="41" t="s">
        <v>185</v>
      </c>
      <c r="M70" s="41"/>
      <c r="N70" s="42"/>
    </row>
    <row r="71" spans="1:14" ht="15.75" customHeight="1">
      <c r="A71" s="115" t="s">
        <v>186</v>
      </c>
      <c r="B71" s="122"/>
      <c r="C71" s="35">
        <v>10500</v>
      </c>
      <c r="D71" s="35"/>
      <c r="E71" s="36">
        <v>12600</v>
      </c>
      <c r="F71" s="112">
        <f t="shared" si="6"/>
        <v>0</v>
      </c>
      <c r="G71" s="37">
        <f t="shared" si="6"/>
        <v>21</v>
      </c>
      <c r="H71" s="37">
        <f t="shared" si="8"/>
        <v>0</v>
      </c>
      <c r="I71" s="38">
        <f t="shared" si="8"/>
        <v>21</v>
      </c>
      <c r="J71" s="39">
        <v>21</v>
      </c>
      <c r="K71" s="40"/>
      <c r="L71" s="41" t="s">
        <v>187</v>
      </c>
      <c r="M71" s="41"/>
      <c r="N71" s="42" t="s">
        <v>188</v>
      </c>
    </row>
    <row r="72" spans="1:14" ht="15.75" customHeight="1">
      <c r="A72" s="115" t="s">
        <v>189</v>
      </c>
      <c r="B72" s="122"/>
      <c r="C72" s="35">
        <v>10700</v>
      </c>
      <c r="D72" s="35">
        <v>15000</v>
      </c>
      <c r="E72" s="36"/>
      <c r="F72" s="112">
        <f t="shared" si="6"/>
        <v>0</v>
      </c>
      <c r="G72" s="37">
        <f t="shared" si="6"/>
        <v>21.4</v>
      </c>
      <c r="H72" s="37">
        <f t="shared" si="8"/>
        <v>25</v>
      </c>
      <c r="I72" s="38">
        <f t="shared" si="8"/>
        <v>0</v>
      </c>
      <c r="J72" s="39">
        <v>23.3</v>
      </c>
      <c r="K72" s="40"/>
      <c r="L72" s="41"/>
      <c r="M72" s="41"/>
      <c r="N72" s="42"/>
    </row>
    <row r="73" spans="1:14" ht="15.75" customHeight="1">
      <c r="A73" s="115" t="s">
        <v>190</v>
      </c>
      <c r="B73" s="122"/>
      <c r="C73" s="35"/>
      <c r="D73" s="35"/>
      <c r="E73" s="36"/>
      <c r="F73" s="112">
        <f t="shared" si="6"/>
        <v>0</v>
      </c>
      <c r="G73" s="37">
        <f t="shared" si="6"/>
        <v>0</v>
      </c>
      <c r="H73" s="37">
        <f t="shared" si="8"/>
        <v>0</v>
      </c>
      <c r="I73" s="38">
        <f t="shared" si="8"/>
        <v>0</v>
      </c>
      <c r="K73" s="40"/>
      <c r="L73" s="41"/>
      <c r="M73" s="41"/>
      <c r="N73" s="42"/>
    </row>
    <row r="74" spans="1:14" ht="15.75" customHeight="1">
      <c r="A74" s="115" t="s">
        <v>191</v>
      </c>
      <c r="B74" s="122"/>
      <c r="C74" s="35">
        <v>21500</v>
      </c>
      <c r="D74" s="35">
        <v>32000</v>
      </c>
      <c r="E74" s="36">
        <v>30600</v>
      </c>
      <c r="F74" s="112">
        <f t="shared" si="6"/>
        <v>0</v>
      </c>
      <c r="G74" s="43">
        <f t="shared" si="6"/>
        <v>43</v>
      </c>
      <c r="H74" s="37">
        <f t="shared" si="8"/>
        <v>53.333333333333336</v>
      </c>
      <c r="I74" s="38">
        <f t="shared" si="8"/>
        <v>51</v>
      </c>
      <c r="J74" s="39">
        <v>43</v>
      </c>
      <c r="K74" s="40"/>
      <c r="L74" s="41" t="s">
        <v>192</v>
      </c>
      <c r="M74" s="46"/>
      <c r="N74" s="42"/>
    </row>
    <row r="75" spans="1:14" ht="15.75" customHeight="1">
      <c r="A75" s="115" t="s">
        <v>193</v>
      </c>
      <c r="B75" s="122">
        <v>9800</v>
      </c>
      <c r="C75" s="35">
        <v>9000</v>
      </c>
      <c r="D75" s="35">
        <v>15000</v>
      </c>
      <c r="E75" s="36">
        <v>9200</v>
      </c>
      <c r="F75" s="112">
        <f t="shared" si="6"/>
        <v>19.600000000000001</v>
      </c>
      <c r="G75" s="37">
        <f t="shared" si="6"/>
        <v>18</v>
      </c>
      <c r="H75" s="37">
        <f t="shared" si="8"/>
        <v>25</v>
      </c>
      <c r="I75" s="47">
        <f t="shared" si="8"/>
        <v>15.333333333333334</v>
      </c>
      <c r="J75" s="39">
        <v>19.600000000000001</v>
      </c>
      <c r="K75" s="64" t="s">
        <v>194</v>
      </c>
      <c r="L75" s="41" t="s">
        <v>195</v>
      </c>
      <c r="M75" s="41"/>
      <c r="N75" s="42" t="s">
        <v>52</v>
      </c>
    </row>
    <row r="76" spans="1:14" ht="15.75" customHeight="1">
      <c r="A76" s="115" t="s">
        <v>196</v>
      </c>
      <c r="B76" s="122">
        <v>16900</v>
      </c>
      <c r="C76" s="35">
        <v>13200</v>
      </c>
      <c r="D76" s="35">
        <v>16500</v>
      </c>
      <c r="E76" s="36">
        <v>16300</v>
      </c>
      <c r="F76" s="112">
        <f t="shared" si="6"/>
        <v>33.799999999999997</v>
      </c>
      <c r="G76" s="37">
        <f t="shared" si="6"/>
        <v>26.4</v>
      </c>
      <c r="H76" s="43">
        <f t="shared" si="8"/>
        <v>27.5</v>
      </c>
      <c r="I76" s="38">
        <f t="shared" si="8"/>
        <v>27.166666666666668</v>
      </c>
      <c r="J76" s="39">
        <v>26.4</v>
      </c>
      <c r="K76" s="40"/>
      <c r="L76" s="41" t="s">
        <v>84</v>
      </c>
      <c r="M76" s="41" t="s">
        <v>71</v>
      </c>
      <c r="N76" s="42" t="s">
        <v>50</v>
      </c>
    </row>
    <row r="77" spans="1:14" ht="15.75" customHeight="1">
      <c r="A77" s="115" t="s">
        <v>197</v>
      </c>
      <c r="B77" s="122"/>
      <c r="C77" s="35"/>
      <c r="D77" s="35"/>
      <c r="E77" s="36"/>
      <c r="F77" s="112">
        <f t="shared" si="6"/>
        <v>0</v>
      </c>
      <c r="G77" s="37">
        <f t="shared" si="6"/>
        <v>0</v>
      </c>
      <c r="H77" s="37">
        <f t="shared" si="8"/>
        <v>0</v>
      </c>
      <c r="I77" s="38">
        <f t="shared" si="8"/>
        <v>0</v>
      </c>
      <c r="K77" s="40"/>
      <c r="L77" s="41"/>
      <c r="M77" s="41"/>
      <c r="N77" s="42"/>
    </row>
    <row r="78" spans="1:14" ht="15.75" customHeight="1">
      <c r="A78" s="115" t="s">
        <v>198</v>
      </c>
      <c r="B78" s="122"/>
      <c r="C78" s="35">
        <v>14000</v>
      </c>
      <c r="D78" s="35"/>
      <c r="E78" s="36">
        <v>18200</v>
      </c>
      <c r="F78" s="112">
        <f t="shared" si="6"/>
        <v>0</v>
      </c>
      <c r="G78" s="37">
        <f t="shared" si="6"/>
        <v>28</v>
      </c>
      <c r="H78" s="37">
        <f t="shared" si="8"/>
        <v>0</v>
      </c>
      <c r="I78" s="38">
        <f t="shared" si="8"/>
        <v>30.333333333333332</v>
      </c>
      <c r="J78" s="39">
        <v>30.3</v>
      </c>
      <c r="K78" s="40"/>
      <c r="L78" s="41"/>
      <c r="M78" s="41"/>
      <c r="N78" s="42" t="s">
        <v>98</v>
      </c>
    </row>
    <row r="79" spans="1:14" ht="15.75" customHeight="1">
      <c r="A79" s="115" t="s">
        <v>199</v>
      </c>
      <c r="B79" s="122"/>
      <c r="C79" s="35">
        <v>6300</v>
      </c>
      <c r="D79" s="35"/>
      <c r="E79" s="36"/>
      <c r="F79" s="112">
        <f t="shared" si="6"/>
        <v>0</v>
      </c>
      <c r="G79" s="37">
        <f>C79/600</f>
        <v>10.5</v>
      </c>
      <c r="H79" s="37">
        <f t="shared" si="8"/>
        <v>0</v>
      </c>
      <c r="I79" s="38">
        <f t="shared" si="8"/>
        <v>0</v>
      </c>
      <c r="J79" s="39">
        <v>10.5</v>
      </c>
      <c r="K79" s="40"/>
      <c r="L79" s="41" t="s">
        <v>200</v>
      </c>
      <c r="M79" s="41"/>
      <c r="N79" s="42"/>
    </row>
    <row r="80" spans="1:14" ht="15.75" customHeight="1">
      <c r="A80" s="115" t="s">
        <v>201</v>
      </c>
      <c r="B80" s="122"/>
      <c r="C80" s="35">
        <v>23000</v>
      </c>
      <c r="D80" s="35"/>
      <c r="E80" s="36">
        <v>29900</v>
      </c>
      <c r="F80" s="112">
        <f t="shared" si="6"/>
        <v>0</v>
      </c>
      <c r="G80" s="43">
        <f>C80/500</f>
        <v>46</v>
      </c>
      <c r="H80" s="37">
        <f t="shared" si="8"/>
        <v>0</v>
      </c>
      <c r="I80" s="38">
        <f t="shared" si="8"/>
        <v>49.833333333333336</v>
      </c>
      <c r="J80" s="39">
        <v>49.8</v>
      </c>
      <c r="K80" s="40"/>
      <c r="L80" s="41" t="s">
        <v>50</v>
      </c>
      <c r="M80" s="41"/>
      <c r="N80" s="42" t="s">
        <v>202</v>
      </c>
    </row>
    <row r="81" spans="1:14" ht="15.75" customHeight="1">
      <c r="A81" s="115" t="s">
        <v>203</v>
      </c>
      <c r="B81" s="122"/>
      <c r="C81" s="35">
        <v>20500</v>
      </c>
      <c r="D81" s="35"/>
      <c r="E81" s="36">
        <v>16600</v>
      </c>
      <c r="F81" s="112">
        <f t="shared" si="6"/>
        <v>0</v>
      </c>
      <c r="G81" s="37">
        <f>C81/600</f>
        <v>34.166666666666664</v>
      </c>
      <c r="H81" s="37">
        <f t="shared" si="8"/>
        <v>0</v>
      </c>
      <c r="I81" s="38">
        <f t="shared" si="8"/>
        <v>27.666666666666668</v>
      </c>
      <c r="K81" s="40"/>
      <c r="L81" s="41" t="s">
        <v>204</v>
      </c>
      <c r="M81" s="41"/>
      <c r="N81" s="42" t="s">
        <v>67</v>
      </c>
    </row>
    <row r="82" spans="1:14" ht="15.75" customHeight="1">
      <c r="A82" s="115" t="s">
        <v>205</v>
      </c>
      <c r="B82" s="122">
        <v>9900</v>
      </c>
      <c r="C82" s="35">
        <v>4400</v>
      </c>
      <c r="D82" s="35">
        <v>7000</v>
      </c>
      <c r="E82" s="36">
        <v>5800</v>
      </c>
      <c r="F82" s="112">
        <f t="shared" si="6"/>
        <v>19.8</v>
      </c>
      <c r="G82" s="37">
        <f t="shared" si="6"/>
        <v>8.8000000000000007</v>
      </c>
      <c r="H82" s="37">
        <f t="shared" si="8"/>
        <v>11.666666666666666</v>
      </c>
      <c r="I82" s="47">
        <f t="shared" si="8"/>
        <v>9.6666666666666661</v>
      </c>
      <c r="J82" s="39">
        <v>9.8000000000000007</v>
      </c>
      <c r="K82" s="88" t="s">
        <v>206</v>
      </c>
      <c r="L82" s="46"/>
      <c r="M82" s="41"/>
      <c r="N82" s="44" t="s">
        <v>98</v>
      </c>
    </row>
    <row r="83" spans="1:14" ht="15.75" customHeight="1">
      <c r="A83" s="115" t="s">
        <v>207</v>
      </c>
      <c r="B83" s="122"/>
      <c r="C83" s="35">
        <v>5200</v>
      </c>
      <c r="D83" s="35"/>
      <c r="E83" s="36"/>
      <c r="F83" s="112">
        <f t="shared" ref="F83:G115" si="9">B83/500</f>
        <v>0</v>
      </c>
      <c r="G83" s="37">
        <f t="shared" si="9"/>
        <v>10.4</v>
      </c>
      <c r="H83" s="37">
        <f t="shared" si="8"/>
        <v>0</v>
      </c>
      <c r="I83" s="38">
        <f t="shared" si="8"/>
        <v>0</v>
      </c>
      <c r="J83" s="39">
        <v>10.4</v>
      </c>
      <c r="K83" s="40"/>
      <c r="L83" s="41" t="s">
        <v>208</v>
      </c>
      <c r="M83" s="41"/>
      <c r="N83" s="42"/>
    </row>
    <row r="84" spans="1:14" ht="15.75" customHeight="1">
      <c r="A84" s="115" t="s">
        <v>209</v>
      </c>
      <c r="B84" s="122"/>
      <c r="C84" s="35"/>
      <c r="D84" s="35">
        <v>16000</v>
      </c>
      <c r="E84" s="36"/>
      <c r="F84" s="112">
        <f t="shared" si="9"/>
        <v>0</v>
      </c>
      <c r="G84" s="37">
        <f t="shared" si="9"/>
        <v>0</v>
      </c>
      <c r="H84" s="37">
        <f t="shared" si="8"/>
        <v>26.666666666666668</v>
      </c>
      <c r="I84" s="38">
        <f t="shared" si="8"/>
        <v>0</v>
      </c>
      <c r="K84" s="40"/>
      <c r="L84" s="41"/>
      <c r="M84" s="46"/>
      <c r="N84" s="42"/>
    </row>
    <row r="85" spans="1:14" ht="15.75" customHeight="1">
      <c r="A85" s="115" t="s">
        <v>210</v>
      </c>
      <c r="B85" s="122"/>
      <c r="C85" s="35">
        <v>4500</v>
      </c>
      <c r="D85" s="35">
        <v>6500</v>
      </c>
      <c r="E85" s="36">
        <v>5900</v>
      </c>
      <c r="F85" s="112">
        <f t="shared" si="9"/>
        <v>0</v>
      </c>
      <c r="G85" s="37">
        <f t="shared" si="9"/>
        <v>9</v>
      </c>
      <c r="H85" s="37">
        <f t="shared" si="8"/>
        <v>10.833333333333334</v>
      </c>
      <c r="I85" s="38">
        <f t="shared" si="8"/>
        <v>9.8333333333333339</v>
      </c>
      <c r="J85" s="39">
        <v>10.8</v>
      </c>
      <c r="K85" s="40"/>
      <c r="L85" s="41" t="s">
        <v>58</v>
      </c>
      <c r="M85" s="41"/>
      <c r="N85" s="42" t="s">
        <v>74</v>
      </c>
    </row>
    <row r="86" spans="1:14" ht="15.75" customHeight="1">
      <c r="A86" s="115" t="s">
        <v>211</v>
      </c>
      <c r="B86" s="122"/>
      <c r="C86" s="35"/>
      <c r="D86" s="35"/>
      <c r="E86" s="36">
        <v>6200</v>
      </c>
      <c r="F86" s="112"/>
      <c r="G86" s="37"/>
      <c r="H86" s="37"/>
      <c r="I86" s="38">
        <f t="shared" si="8"/>
        <v>10.333333333333334</v>
      </c>
      <c r="J86" s="39">
        <v>10.3</v>
      </c>
      <c r="K86" s="40"/>
      <c r="L86" s="41"/>
      <c r="M86" s="41"/>
      <c r="N86" s="42"/>
    </row>
    <row r="87" spans="1:14" ht="15.75" customHeight="1">
      <c r="A87" s="115" t="s">
        <v>212</v>
      </c>
      <c r="B87" s="122"/>
      <c r="C87" s="35"/>
      <c r="D87" s="35">
        <v>11000</v>
      </c>
      <c r="E87" s="36">
        <v>11900</v>
      </c>
      <c r="F87" s="112">
        <f t="shared" si="9"/>
        <v>0</v>
      </c>
      <c r="G87" s="37">
        <f t="shared" si="9"/>
        <v>0</v>
      </c>
      <c r="H87" s="43">
        <f t="shared" si="8"/>
        <v>18.333333333333332</v>
      </c>
      <c r="I87" s="38">
        <f t="shared" si="8"/>
        <v>19.833333333333332</v>
      </c>
      <c r="J87" s="39">
        <v>18.3</v>
      </c>
      <c r="K87" s="40"/>
      <c r="L87" s="41"/>
      <c r="M87" s="46" t="s">
        <v>213</v>
      </c>
      <c r="N87" s="42" t="s">
        <v>214</v>
      </c>
    </row>
    <row r="88" spans="1:14" ht="15.75" customHeight="1" thickBot="1">
      <c r="A88" s="126" t="s">
        <v>215</v>
      </c>
      <c r="B88" s="123"/>
      <c r="C88" s="48">
        <v>4200</v>
      </c>
      <c r="D88" s="48">
        <v>7000</v>
      </c>
      <c r="E88" s="49">
        <v>5000</v>
      </c>
      <c r="F88" s="72">
        <f t="shared" si="9"/>
        <v>0</v>
      </c>
      <c r="G88" s="50">
        <f t="shared" si="9"/>
        <v>8.4</v>
      </c>
      <c r="H88" s="50">
        <f t="shared" si="8"/>
        <v>11.666666666666666</v>
      </c>
      <c r="I88" s="59">
        <f t="shared" si="8"/>
        <v>8.3333333333333339</v>
      </c>
      <c r="J88" s="51">
        <v>8.3000000000000007</v>
      </c>
      <c r="K88" s="60"/>
      <c r="L88" s="52"/>
      <c r="M88" s="52"/>
      <c r="N88" s="61" t="s">
        <v>131</v>
      </c>
    </row>
    <row r="89" spans="1:14" ht="15.75" customHeight="1">
      <c r="A89" s="127" t="s">
        <v>216</v>
      </c>
      <c r="B89" s="125"/>
      <c r="C89" s="25">
        <v>10500</v>
      </c>
      <c r="D89" s="25">
        <v>16500</v>
      </c>
      <c r="E89" s="26">
        <v>12600</v>
      </c>
      <c r="F89" s="27">
        <f t="shared" si="9"/>
        <v>0</v>
      </c>
      <c r="G89" s="28">
        <f t="shared" si="9"/>
        <v>21</v>
      </c>
      <c r="H89" s="28">
        <f t="shared" si="8"/>
        <v>27.5</v>
      </c>
      <c r="I89" s="55">
        <f t="shared" si="8"/>
        <v>21</v>
      </c>
      <c r="J89" s="30">
        <v>27.2</v>
      </c>
      <c r="K89" s="31"/>
      <c r="L89" s="32"/>
      <c r="M89" s="32"/>
      <c r="N89" s="34" t="s">
        <v>98</v>
      </c>
    </row>
    <row r="90" spans="1:14" ht="15.75" customHeight="1">
      <c r="A90" s="116" t="s">
        <v>217</v>
      </c>
      <c r="B90" s="122"/>
      <c r="C90" s="35">
        <v>13200</v>
      </c>
      <c r="D90" s="35">
        <v>15000</v>
      </c>
      <c r="E90" s="36">
        <v>13100</v>
      </c>
      <c r="F90" s="112">
        <f t="shared" si="9"/>
        <v>0</v>
      </c>
      <c r="G90" s="37">
        <f t="shared" si="9"/>
        <v>26.4</v>
      </c>
      <c r="H90" s="37">
        <f t="shared" si="8"/>
        <v>25</v>
      </c>
      <c r="I90" s="47">
        <f t="shared" si="8"/>
        <v>21.833333333333332</v>
      </c>
      <c r="J90" s="39">
        <v>21.8</v>
      </c>
      <c r="K90" s="40"/>
      <c r="L90" s="41" t="s">
        <v>218</v>
      </c>
      <c r="M90" s="46" t="s">
        <v>218</v>
      </c>
      <c r="N90" s="65" t="s">
        <v>219</v>
      </c>
    </row>
    <row r="91" spans="1:14" ht="15.75" customHeight="1">
      <c r="A91" s="116" t="s">
        <v>220</v>
      </c>
      <c r="B91" s="122"/>
      <c r="C91" s="35">
        <v>3500</v>
      </c>
      <c r="D91" s="35">
        <v>4500</v>
      </c>
      <c r="E91" s="36">
        <v>5000</v>
      </c>
      <c r="F91" s="112">
        <f t="shared" si="9"/>
        <v>0</v>
      </c>
      <c r="G91" s="43">
        <f t="shared" si="9"/>
        <v>7</v>
      </c>
      <c r="H91" s="37">
        <f t="shared" si="8"/>
        <v>7.5</v>
      </c>
      <c r="I91" s="38">
        <f t="shared" si="8"/>
        <v>8.3333333333333339</v>
      </c>
      <c r="J91" s="39">
        <v>7</v>
      </c>
      <c r="K91" s="40"/>
      <c r="L91" s="41" t="s">
        <v>185</v>
      </c>
      <c r="M91" s="46"/>
      <c r="N91" s="44" t="s">
        <v>98</v>
      </c>
    </row>
    <row r="92" spans="1:14" ht="15.75" customHeight="1">
      <c r="A92" s="116" t="s">
        <v>221</v>
      </c>
      <c r="B92" s="122"/>
      <c r="C92" s="35">
        <v>12500</v>
      </c>
      <c r="D92" s="35">
        <v>24000</v>
      </c>
      <c r="E92" s="36">
        <v>15600</v>
      </c>
      <c r="F92" s="112">
        <f t="shared" si="9"/>
        <v>0</v>
      </c>
      <c r="G92" s="43">
        <f t="shared" si="9"/>
        <v>25</v>
      </c>
      <c r="H92" s="37">
        <f t="shared" si="8"/>
        <v>40</v>
      </c>
      <c r="I92" s="38">
        <f t="shared" si="8"/>
        <v>26</v>
      </c>
      <c r="J92" s="39">
        <v>27.7</v>
      </c>
      <c r="K92" s="40"/>
      <c r="L92" s="41" t="s">
        <v>222</v>
      </c>
      <c r="M92" s="46" t="s">
        <v>223</v>
      </c>
      <c r="N92" s="42" t="s">
        <v>224</v>
      </c>
    </row>
    <row r="93" spans="1:14" ht="15.75" customHeight="1">
      <c r="A93" s="116" t="s">
        <v>225</v>
      </c>
      <c r="B93" s="122"/>
      <c r="C93" s="35">
        <v>10400</v>
      </c>
      <c r="D93" s="35">
        <v>11000</v>
      </c>
      <c r="E93" s="36">
        <v>24600</v>
      </c>
      <c r="F93" s="112">
        <f t="shared" si="9"/>
        <v>0</v>
      </c>
      <c r="G93" s="37">
        <f t="shared" si="9"/>
        <v>20.8</v>
      </c>
      <c r="H93" s="43">
        <f t="shared" si="8"/>
        <v>18.333333333333332</v>
      </c>
      <c r="I93" s="38">
        <f t="shared" si="8"/>
        <v>41</v>
      </c>
      <c r="J93" s="39">
        <v>18.3</v>
      </c>
      <c r="K93" s="40"/>
      <c r="L93" s="41" t="s">
        <v>226</v>
      </c>
      <c r="M93" s="57" t="s">
        <v>227</v>
      </c>
      <c r="N93" s="42" t="s">
        <v>228</v>
      </c>
    </row>
    <row r="94" spans="1:14" ht="15.75" customHeight="1">
      <c r="A94" s="116" t="s">
        <v>229</v>
      </c>
      <c r="B94" s="122"/>
      <c r="C94" s="35">
        <v>125800</v>
      </c>
      <c r="D94" s="35"/>
      <c r="E94" s="36">
        <v>169000</v>
      </c>
      <c r="F94" s="112">
        <f t="shared" si="9"/>
        <v>0</v>
      </c>
      <c r="G94" s="37">
        <f t="shared" si="9"/>
        <v>251.6</v>
      </c>
      <c r="H94" s="37">
        <f t="shared" si="8"/>
        <v>0</v>
      </c>
      <c r="I94" s="38">
        <f t="shared" si="8"/>
        <v>281.66666666666669</v>
      </c>
      <c r="K94" s="40"/>
      <c r="L94" s="110" t="s">
        <v>230</v>
      </c>
      <c r="M94" s="41"/>
      <c r="N94" s="42" t="s">
        <v>231</v>
      </c>
    </row>
    <row r="95" spans="1:14" ht="15.75" customHeight="1">
      <c r="A95" s="116" t="s">
        <v>232</v>
      </c>
      <c r="B95" s="122"/>
      <c r="C95" s="35">
        <v>3800</v>
      </c>
      <c r="D95" s="35">
        <v>5500</v>
      </c>
      <c r="E95" s="36">
        <v>4900</v>
      </c>
      <c r="F95" s="112">
        <f t="shared" si="9"/>
        <v>0</v>
      </c>
      <c r="G95" s="37">
        <f t="shared" si="9"/>
        <v>7.6</v>
      </c>
      <c r="H95" s="37">
        <f t="shared" si="8"/>
        <v>9.1666666666666661</v>
      </c>
      <c r="I95" s="38">
        <f t="shared" si="8"/>
        <v>8.1666666666666661</v>
      </c>
      <c r="J95" s="39">
        <v>9.1999999999999993</v>
      </c>
      <c r="K95" s="40"/>
      <c r="L95" s="41" t="s">
        <v>74</v>
      </c>
      <c r="M95" s="41"/>
      <c r="N95" s="42" t="s">
        <v>98</v>
      </c>
    </row>
    <row r="96" spans="1:14" ht="15.75" customHeight="1">
      <c r="A96" s="116" t="s">
        <v>233</v>
      </c>
      <c r="B96" s="122"/>
      <c r="C96" s="35"/>
      <c r="D96" s="35"/>
      <c r="E96" s="36"/>
      <c r="F96" s="112">
        <f t="shared" si="9"/>
        <v>0</v>
      </c>
      <c r="G96" s="37">
        <f t="shared" si="9"/>
        <v>0</v>
      </c>
      <c r="H96" s="37">
        <f t="shared" si="8"/>
        <v>0</v>
      </c>
      <c r="I96" s="38">
        <f t="shared" si="8"/>
        <v>0</v>
      </c>
      <c r="K96" s="40"/>
      <c r="L96" s="41"/>
      <c r="M96" s="41"/>
      <c r="N96" s="42"/>
    </row>
    <row r="97" spans="1:14" ht="15.75" customHeight="1">
      <c r="A97" s="116" t="s">
        <v>234</v>
      </c>
      <c r="B97" s="122"/>
      <c r="C97" s="35">
        <v>17500</v>
      </c>
      <c r="D97" s="35"/>
      <c r="E97" s="36">
        <v>20100</v>
      </c>
      <c r="F97" s="112">
        <f t="shared" si="9"/>
        <v>0</v>
      </c>
      <c r="G97" s="37">
        <f t="shared" si="9"/>
        <v>35</v>
      </c>
      <c r="H97" s="37">
        <f t="shared" si="8"/>
        <v>0</v>
      </c>
      <c r="I97" s="38">
        <f t="shared" si="8"/>
        <v>33.5</v>
      </c>
      <c r="J97" s="39">
        <v>35</v>
      </c>
      <c r="K97" s="40"/>
      <c r="L97" s="41" t="s">
        <v>50</v>
      </c>
      <c r="M97" s="41"/>
      <c r="N97" s="42" t="s">
        <v>50</v>
      </c>
    </row>
    <row r="98" spans="1:14" ht="15.75" customHeight="1">
      <c r="A98" s="116" t="s">
        <v>235</v>
      </c>
      <c r="B98" s="122"/>
      <c r="C98" s="35"/>
      <c r="D98" s="35"/>
      <c r="E98" s="36"/>
      <c r="F98" s="112">
        <f t="shared" si="9"/>
        <v>0</v>
      </c>
      <c r="G98" s="37">
        <f t="shared" si="9"/>
        <v>0</v>
      </c>
      <c r="H98" s="37">
        <f t="shared" si="8"/>
        <v>0</v>
      </c>
      <c r="I98" s="38">
        <f t="shared" si="8"/>
        <v>0</v>
      </c>
      <c r="K98" s="40"/>
      <c r="L98" s="41"/>
      <c r="M98" s="41"/>
      <c r="N98" s="42"/>
    </row>
    <row r="99" spans="1:14" ht="15.75" customHeight="1">
      <c r="A99" s="116" t="s">
        <v>236</v>
      </c>
      <c r="B99" s="122">
        <v>7500</v>
      </c>
      <c r="C99" s="35">
        <v>7000</v>
      </c>
      <c r="D99" s="35">
        <v>9000</v>
      </c>
      <c r="E99" s="36"/>
      <c r="F99" s="112">
        <f t="shared" si="9"/>
        <v>15</v>
      </c>
      <c r="G99" s="43">
        <f t="shared" si="9"/>
        <v>14</v>
      </c>
      <c r="H99" s="37">
        <f t="shared" si="8"/>
        <v>15</v>
      </c>
      <c r="I99" s="38">
        <f t="shared" si="8"/>
        <v>0</v>
      </c>
      <c r="J99" s="39">
        <v>15</v>
      </c>
      <c r="K99" s="66"/>
      <c r="L99" s="67" t="s">
        <v>172</v>
      </c>
      <c r="M99" s="46" t="s">
        <v>237</v>
      </c>
      <c r="N99" s="42"/>
    </row>
    <row r="100" spans="1:14" ht="15.75" customHeight="1">
      <c r="A100" s="116" t="s">
        <v>238</v>
      </c>
      <c r="B100" s="122">
        <v>10300</v>
      </c>
      <c r="C100" s="35">
        <v>7500</v>
      </c>
      <c r="D100" s="35">
        <v>9000</v>
      </c>
      <c r="E100" s="36"/>
      <c r="F100" s="112">
        <f t="shared" si="9"/>
        <v>20.6</v>
      </c>
      <c r="G100" s="43">
        <f t="shared" si="9"/>
        <v>15</v>
      </c>
      <c r="H100" s="37">
        <f t="shared" si="8"/>
        <v>15</v>
      </c>
      <c r="I100" s="38">
        <f t="shared" si="8"/>
        <v>0</v>
      </c>
      <c r="J100" s="39">
        <v>17.399999999999999</v>
      </c>
      <c r="K100" s="66"/>
      <c r="L100" s="56" t="s">
        <v>172</v>
      </c>
      <c r="M100" s="46"/>
      <c r="N100" s="42"/>
    </row>
    <row r="101" spans="1:14" ht="15.75" customHeight="1">
      <c r="A101" s="116" t="s">
        <v>239</v>
      </c>
      <c r="B101" s="122"/>
      <c r="C101" s="35">
        <v>5500</v>
      </c>
      <c r="D101" s="35">
        <v>5500</v>
      </c>
      <c r="E101" s="36">
        <v>2800</v>
      </c>
      <c r="F101" s="112">
        <f t="shared" si="9"/>
        <v>0</v>
      </c>
      <c r="G101" s="43">
        <f>C101/1000</f>
        <v>5.5</v>
      </c>
      <c r="H101" s="43">
        <f>D101/1000</f>
        <v>5.5</v>
      </c>
      <c r="I101" s="38">
        <f>E101/600</f>
        <v>4.666666666666667</v>
      </c>
      <c r="J101" s="39">
        <v>5.5</v>
      </c>
      <c r="K101" s="40"/>
      <c r="L101" s="41" t="s">
        <v>240</v>
      </c>
      <c r="M101" s="41"/>
      <c r="N101" s="42" t="s">
        <v>241</v>
      </c>
    </row>
    <row r="102" spans="1:14" ht="15.75" customHeight="1">
      <c r="A102" s="116" t="s">
        <v>242</v>
      </c>
      <c r="B102" s="122"/>
      <c r="C102" s="35"/>
      <c r="D102" s="35"/>
      <c r="E102" s="36"/>
      <c r="F102" s="112">
        <f t="shared" si="9"/>
        <v>0</v>
      </c>
      <c r="G102" s="37">
        <f t="shared" si="9"/>
        <v>0</v>
      </c>
      <c r="H102" s="37">
        <f t="shared" ref="H102:I109" si="10">D102/600</f>
        <v>0</v>
      </c>
      <c r="I102" s="38">
        <f t="shared" si="10"/>
        <v>0</v>
      </c>
      <c r="K102" s="40"/>
      <c r="L102" s="41"/>
      <c r="M102" s="41"/>
      <c r="N102" s="42"/>
    </row>
    <row r="103" spans="1:14" ht="15.75" customHeight="1">
      <c r="A103" s="116" t="s">
        <v>243</v>
      </c>
      <c r="B103" s="122">
        <v>22400</v>
      </c>
      <c r="C103" s="35">
        <v>15000</v>
      </c>
      <c r="D103" s="35"/>
      <c r="E103" s="36">
        <v>19000</v>
      </c>
      <c r="F103" s="112">
        <f t="shared" si="9"/>
        <v>44.8</v>
      </c>
      <c r="G103" s="37">
        <f t="shared" si="9"/>
        <v>30</v>
      </c>
      <c r="H103" s="37">
        <f t="shared" si="10"/>
        <v>0</v>
      </c>
      <c r="I103" s="38">
        <f t="shared" si="10"/>
        <v>31.666666666666668</v>
      </c>
      <c r="J103" s="39">
        <v>31.5</v>
      </c>
      <c r="K103" s="40"/>
      <c r="L103" s="41" t="s">
        <v>185</v>
      </c>
      <c r="M103" s="46"/>
      <c r="N103" s="42" t="s">
        <v>98</v>
      </c>
    </row>
    <row r="104" spans="1:14" ht="15" customHeight="1">
      <c r="A104" s="116" t="s">
        <v>244</v>
      </c>
      <c r="B104" s="122"/>
      <c r="C104" s="35">
        <v>15000</v>
      </c>
      <c r="D104" s="35">
        <v>20000</v>
      </c>
      <c r="E104" s="36"/>
      <c r="F104" s="112">
        <f t="shared" si="9"/>
        <v>0</v>
      </c>
      <c r="G104" s="37">
        <f t="shared" si="9"/>
        <v>30</v>
      </c>
      <c r="H104" s="37">
        <f t="shared" si="10"/>
        <v>33.333333333333336</v>
      </c>
      <c r="I104" s="38">
        <f t="shared" si="10"/>
        <v>0</v>
      </c>
      <c r="J104" s="39">
        <v>33.299999999999997</v>
      </c>
      <c r="K104" s="40"/>
      <c r="L104" s="41"/>
      <c r="M104" s="41"/>
      <c r="N104" s="42"/>
    </row>
    <row r="105" spans="1:14" ht="15" customHeight="1">
      <c r="A105" s="116" t="s">
        <v>245</v>
      </c>
      <c r="B105" s="122"/>
      <c r="C105" s="35">
        <v>66000</v>
      </c>
      <c r="D105" s="35"/>
      <c r="E105" s="36">
        <v>87100</v>
      </c>
      <c r="F105" s="112">
        <f t="shared" si="9"/>
        <v>0</v>
      </c>
      <c r="G105" s="43">
        <f t="shared" si="9"/>
        <v>132</v>
      </c>
      <c r="H105" s="37">
        <f t="shared" si="10"/>
        <v>0</v>
      </c>
      <c r="I105" s="38">
        <f t="shared" si="10"/>
        <v>145.16666666666666</v>
      </c>
      <c r="J105" s="39">
        <v>145.19999999999999</v>
      </c>
      <c r="K105" s="40"/>
      <c r="L105" s="56" t="s">
        <v>74</v>
      </c>
      <c r="M105" s="41"/>
      <c r="N105" s="42" t="s">
        <v>98</v>
      </c>
    </row>
    <row r="106" spans="1:14" ht="15" customHeight="1">
      <c r="A106" s="116" t="s">
        <v>246</v>
      </c>
      <c r="B106" s="122"/>
      <c r="C106" s="35">
        <v>3100</v>
      </c>
      <c r="D106" s="35">
        <v>5000</v>
      </c>
      <c r="E106" s="36">
        <v>3700</v>
      </c>
      <c r="F106" s="112">
        <f t="shared" si="9"/>
        <v>0</v>
      </c>
      <c r="G106" s="37">
        <f t="shared" si="9"/>
        <v>6.2</v>
      </c>
      <c r="H106" s="37">
        <f t="shared" si="10"/>
        <v>8.3333333333333339</v>
      </c>
      <c r="I106" s="38">
        <f t="shared" si="10"/>
        <v>6.166666666666667</v>
      </c>
      <c r="J106" s="39">
        <v>6.2</v>
      </c>
      <c r="K106" s="40"/>
      <c r="L106" s="41"/>
      <c r="M106" s="46"/>
      <c r="N106" s="42" t="s">
        <v>131</v>
      </c>
    </row>
    <row r="107" spans="1:14" ht="15" customHeight="1">
      <c r="A107" s="116" t="s">
        <v>247</v>
      </c>
      <c r="B107" s="122"/>
      <c r="C107" s="35">
        <v>5700</v>
      </c>
      <c r="D107" s="35">
        <v>7800</v>
      </c>
      <c r="E107" s="36">
        <v>4500</v>
      </c>
      <c r="F107" s="112">
        <f t="shared" si="9"/>
        <v>0</v>
      </c>
      <c r="G107" s="37">
        <f t="shared" si="9"/>
        <v>11.4</v>
      </c>
      <c r="H107" s="37">
        <f t="shared" si="10"/>
        <v>13</v>
      </c>
      <c r="I107" s="38">
        <f t="shared" si="10"/>
        <v>7.5</v>
      </c>
      <c r="J107" s="39">
        <v>7.5</v>
      </c>
      <c r="K107" s="40"/>
      <c r="L107" s="41"/>
      <c r="M107" s="46"/>
      <c r="N107" s="42"/>
    </row>
    <row r="108" spans="1:14" ht="15" customHeight="1">
      <c r="A108" s="116" t="s">
        <v>248</v>
      </c>
      <c r="B108" s="122"/>
      <c r="C108" s="35">
        <v>5800</v>
      </c>
      <c r="D108" s="35">
        <v>6000</v>
      </c>
      <c r="E108" s="36"/>
      <c r="F108" s="112">
        <f t="shared" si="9"/>
        <v>0</v>
      </c>
      <c r="G108" s="37">
        <f t="shared" si="9"/>
        <v>11.6</v>
      </c>
      <c r="H108" s="37">
        <f t="shared" si="10"/>
        <v>10</v>
      </c>
      <c r="I108" s="38">
        <f t="shared" si="10"/>
        <v>0</v>
      </c>
      <c r="J108" s="39">
        <v>10</v>
      </c>
      <c r="K108" s="40"/>
      <c r="L108" s="41"/>
      <c r="M108" s="41"/>
      <c r="N108" s="42"/>
    </row>
    <row r="109" spans="1:14" ht="15" customHeight="1">
      <c r="A109" s="116" t="s">
        <v>249</v>
      </c>
      <c r="B109" s="122"/>
      <c r="C109" s="35">
        <v>5700</v>
      </c>
      <c r="D109" s="35"/>
      <c r="E109" s="36">
        <v>7000</v>
      </c>
      <c r="F109" s="112">
        <f t="shared" si="9"/>
        <v>0</v>
      </c>
      <c r="G109" s="37">
        <f t="shared" si="9"/>
        <v>11.4</v>
      </c>
      <c r="H109" s="37">
        <f t="shared" si="10"/>
        <v>0</v>
      </c>
      <c r="I109" s="38">
        <f t="shared" si="10"/>
        <v>11.666666666666666</v>
      </c>
      <c r="J109" s="39">
        <v>11.7</v>
      </c>
      <c r="K109" s="40"/>
      <c r="L109" s="41" t="s">
        <v>108</v>
      </c>
      <c r="M109" s="46"/>
      <c r="N109" s="42" t="s">
        <v>58</v>
      </c>
    </row>
    <row r="110" spans="1:14" ht="15" customHeight="1">
      <c r="A110" s="116" t="s">
        <v>250</v>
      </c>
      <c r="B110" s="122"/>
      <c r="C110" s="35">
        <v>20000</v>
      </c>
      <c r="D110" s="35">
        <v>20000</v>
      </c>
      <c r="E110" s="36">
        <v>20000</v>
      </c>
      <c r="F110" s="112">
        <f t="shared" si="9"/>
        <v>0</v>
      </c>
      <c r="G110" s="43">
        <f>C110/1000</f>
        <v>20</v>
      </c>
      <c r="H110" s="43">
        <f>D110/1000</f>
        <v>20</v>
      </c>
      <c r="I110" s="47">
        <f>E110/1000</f>
        <v>20</v>
      </c>
      <c r="J110" s="39">
        <v>20</v>
      </c>
      <c r="K110" s="68"/>
      <c r="L110" s="57" t="s">
        <v>251</v>
      </c>
      <c r="M110" s="57" t="s">
        <v>251</v>
      </c>
      <c r="N110" s="69" t="s">
        <v>251</v>
      </c>
    </row>
    <row r="111" spans="1:14" ht="15" customHeight="1">
      <c r="A111" s="116" t="s">
        <v>252</v>
      </c>
      <c r="B111" s="122"/>
      <c r="C111" s="35">
        <v>15500</v>
      </c>
      <c r="D111" s="35"/>
      <c r="E111" s="36">
        <v>19200</v>
      </c>
      <c r="F111" s="112">
        <f t="shared" si="9"/>
        <v>0</v>
      </c>
      <c r="G111" s="37">
        <f>C111/500</f>
        <v>31</v>
      </c>
      <c r="H111" s="37">
        <f t="shared" ref="H111:I113" si="11">D111/600</f>
        <v>0</v>
      </c>
      <c r="I111" s="38">
        <f t="shared" si="11"/>
        <v>32</v>
      </c>
      <c r="J111" s="39">
        <v>31</v>
      </c>
      <c r="K111" s="68"/>
      <c r="L111" s="67" t="s">
        <v>74</v>
      </c>
      <c r="M111" s="67"/>
      <c r="N111" s="69" t="s">
        <v>98</v>
      </c>
    </row>
    <row r="112" spans="1:14" ht="15" customHeight="1">
      <c r="A112" s="116" t="s">
        <v>253</v>
      </c>
      <c r="B112" s="122"/>
      <c r="C112" s="35"/>
      <c r="D112" s="35"/>
      <c r="E112" s="36">
        <v>43600</v>
      </c>
      <c r="F112" s="112">
        <f t="shared" si="9"/>
        <v>0</v>
      </c>
      <c r="G112" s="37">
        <f>C112/500</f>
        <v>0</v>
      </c>
      <c r="H112" s="37">
        <f t="shared" si="11"/>
        <v>0</v>
      </c>
      <c r="I112" s="47">
        <f t="shared" si="11"/>
        <v>72.666666666666671</v>
      </c>
      <c r="J112" s="39">
        <v>72.7</v>
      </c>
      <c r="K112" s="68"/>
      <c r="L112" s="67"/>
      <c r="M112" s="67"/>
      <c r="N112" s="65" t="s">
        <v>254</v>
      </c>
    </row>
    <row r="113" spans="1:14" ht="15" customHeight="1">
      <c r="A113" s="116" t="s">
        <v>255</v>
      </c>
      <c r="B113" s="122">
        <v>29900</v>
      </c>
      <c r="C113" s="35">
        <v>7800</v>
      </c>
      <c r="D113" s="35">
        <v>10000</v>
      </c>
      <c r="E113" s="36">
        <v>8700</v>
      </c>
      <c r="F113" s="112">
        <f t="shared" si="9"/>
        <v>59.8</v>
      </c>
      <c r="G113" s="37">
        <f>C113/500</f>
        <v>15.6</v>
      </c>
      <c r="H113" s="37">
        <f t="shared" si="11"/>
        <v>16.666666666666668</v>
      </c>
      <c r="I113" s="38">
        <f t="shared" si="11"/>
        <v>14.5</v>
      </c>
      <c r="J113" s="39">
        <v>15.3</v>
      </c>
      <c r="K113" s="66"/>
      <c r="L113" s="67"/>
      <c r="M113" s="70" t="s">
        <v>167</v>
      </c>
      <c r="N113" s="65" t="s">
        <v>256</v>
      </c>
    </row>
    <row r="114" spans="1:14" ht="15" customHeight="1">
      <c r="A114" s="116" t="s">
        <v>257</v>
      </c>
      <c r="B114" s="122"/>
      <c r="C114" s="35">
        <v>8500</v>
      </c>
      <c r="D114" s="35">
        <v>8000</v>
      </c>
      <c r="E114" s="36">
        <v>8500</v>
      </c>
      <c r="F114" s="112">
        <f t="shared" si="9"/>
        <v>0</v>
      </c>
      <c r="G114" s="37">
        <f>C114/1000</f>
        <v>8.5</v>
      </c>
      <c r="H114" s="43">
        <f>D114/1000</f>
        <v>8</v>
      </c>
      <c r="I114" s="38">
        <f>E114/1000</f>
        <v>8.5</v>
      </c>
      <c r="J114" s="39">
        <v>8</v>
      </c>
      <c r="K114" s="40"/>
      <c r="L114" s="41" t="s">
        <v>258</v>
      </c>
      <c r="M114" s="46" t="s">
        <v>258</v>
      </c>
      <c r="N114" s="42" t="s">
        <v>259</v>
      </c>
    </row>
    <row r="115" spans="1:14" ht="15" customHeight="1" thickBot="1">
      <c r="A115" s="128" t="s">
        <v>260</v>
      </c>
      <c r="B115" s="123"/>
      <c r="C115" s="48">
        <v>18000</v>
      </c>
      <c r="D115" s="48">
        <v>15000</v>
      </c>
      <c r="E115" s="49">
        <v>24100</v>
      </c>
      <c r="F115" s="72">
        <f t="shared" si="9"/>
        <v>0</v>
      </c>
      <c r="G115" s="50">
        <f>C115/500</f>
        <v>36</v>
      </c>
      <c r="H115" s="50">
        <f>D115/600</f>
        <v>25</v>
      </c>
      <c r="I115" s="59">
        <f>E115/600</f>
        <v>40.166666666666664</v>
      </c>
      <c r="J115" s="51">
        <v>36</v>
      </c>
      <c r="K115" s="60"/>
      <c r="L115" s="52"/>
      <c r="M115" s="52"/>
      <c r="N115" s="61"/>
    </row>
    <row r="116" spans="1:14" ht="15" customHeight="1">
      <c r="A116" s="124" t="s">
        <v>261</v>
      </c>
      <c r="B116" s="125"/>
      <c r="C116" s="25">
        <v>8000</v>
      </c>
      <c r="D116" s="25"/>
      <c r="E116" s="26">
        <v>8000</v>
      </c>
      <c r="F116" s="27">
        <f t="shared" ref="F116:G148" si="12">B116/500</f>
        <v>0</v>
      </c>
      <c r="G116" s="54">
        <f>C116/300</f>
        <v>26.666666666666668</v>
      </c>
      <c r="H116" s="28">
        <f t="shared" ref="H116:I131" si="13">D116/600</f>
        <v>0</v>
      </c>
      <c r="I116" s="29">
        <f>E116/300</f>
        <v>26.666666666666668</v>
      </c>
      <c r="J116" s="30">
        <v>26.7</v>
      </c>
      <c r="K116" s="31"/>
      <c r="L116" s="32" t="s">
        <v>262</v>
      </c>
      <c r="M116" s="32"/>
      <c r="N116" s="34" t="s">
        <v>263</v>
      </c>
    </row>
    <row r="117" spans="1:14" ht="15" customHeight="1">
      <c r="A117" s="115" t="s">
        <v>264</v>
      </c>
      <c r="B117" s="122"/>
      <c r="C117" s="35">
        <v>2600</v>
      </c>
      <c r="D117" s="35">
        <v>4000</v>
      </c>
      <c r="E117" s="36"/>
      <c r="F117" s="112">
        <f t="shared" si="12"/>
        <v>0</v>
      </c>
      <c r="G117" s="37">
        <f t="shared" si="12"/>
        <v>5.2</v>
      </c>
      <c r="H117" s="37">
        <f t="shared" si="13"/>
        <v>6.666666666666667</v>
      </c>
      <c r="I117" s="38">
        <f t="shared" si="13"/>
        <v>0</v>
      </c>
      <c r="J117" s="39">
        <v>6.7</v>
      </c>
      <c r="K117" s="40"/>
      <c r="L117" s="41"/>
      <c r="M117" s="46"/>
      <c r="N117" s="42"/>
    </row>
    <row r="118" spans="1:14" ht="15" customHeight="1">
      <c r="A118" s="115" t="s">
        <v>265</v>
      </c>
      <c r="B118" s="122"/>
      <c r="C118" s="35">
        <v>13500</v>
      </c>
      <c r="D118" s="35">
        <v>38000</v>
      </c>
      <c r="E118" s="36">
        <v>23500</v>
      </c>
      <c r="F118" s="112">
        <f t="shared" si="12"/>
        <v>0</v>
      </c>
      <c r="G118" s="43">
        <f t="shared" si="12"/>
        <v>27</v>
      </c>
      <c r="H118" s="37">
        <f t="shared" si="13"/>
        <v>63.333333333333336</v>
      </c>
      <c r="I118" s="38">
        <f t="shared" si="13"/>
        <v>39.166666666666664</v>
      </c>
      <c r="J118" s="39">
        <v>28</v>
      </c>
      <c r="K118" s="40"/>
      <c r="L118" s="41" t="s">
        <v>58</v>
      </c>
      <c r="M118" s="46" t="s">
        <v>266</v>
      </c>
      <c r="N118" s="42" t="s">
        <v>98</v>
      </c>
    </row>
    <row r="119" spans="1:14" ht="15" customHeight="1">
      <c r="A119" s="115" t="s">
        <v>267</v>
      </c>
      <c r="B119" s="122"/>
      <c r="C119" s="35">
        <v>3700</v>
      </c>
      <c r="D119" s="35">
        <v>5500</v>
      </c>
      <c r="E119" s="36"/>
      <c r="F119" s="112">
        <f t="shared" si="12"/>
        <v>0</v>
      </c>
      <c r="G119" s="37">
        <f t="shared" si="12"/>
        <v>7.4</v>
      </c>
      <c r="H119" s="37">
        <f t="shared" si="13"/>
        <v>9.1666666666666661</v>
      </c>
      <c r="I119" s="38">
        <f t="shared" si="13"/>
        <v>0</v>
      </c>
      <c r="J119" s="39">
        <v>9.1999999999999993</v>
      </c>
      <c r="K119" s="40"/>
      <c r="L119" s="41"/>
      <c r="M119" s="46"/>
      <c r="N119" s="42"/>
    </row>
    <row r="120" spans="1:14" ht="15" customHeight="1">
      <c r="A120" s="115" t="s">
        <v>268</v>
      </c>
      <c r="B120" s="122"/>
      <c r="C120" s="35">
        <v>8200</v>
      </c>
      <c r="D120" s="35">
        <v>12000</v>
      </c>
      <c r="E120" s="36">
        <v>9900</v>
      </c>
      <c r="F120" s="112">
        <f t="shared" si="12"/>
        <v>0</v>
      </c>
      <c r="G120" s="37">
        <f t="shared" si="12"/>
        <v>16.399999999999999</v>
      </c>
      <c r="H120" s="37">
        <f t="shared" si="13"/>
        <v>20</v>
      </c>
      <c r="I120" s="38">
        <f t="shared" si="13"/>
        <v>16.5</v>
      </c>
      <c r="J120" s="39">
        <v>16.5</v>
      </c>
      <c r="K120" s="40"/>
      <c r="L120" s="41" t="s">
        <v>269</v>
      </c>
      <c r="M120" s="41"/>
      <c r="N120" s="42" t="s">
        <v>128</v>
      </c>
    </row>
    <row r="121" spans="1:14" ht="15" customHeight="1">
      <c r="A121" s="115" t="s">
        <v>270</v>
      </c>
      <c r="B121" s="122"/>
      <c r="C121" s="35"/>
      <c r="D121" s="35"/>
      <c r="E121" s="36"/>
      <c r="F121" s="112">
        <f t="shared" si="12"/>
        <v>0</v>
      </c>
      <c r="G121" s="37">
        <f t="shared" si="12"/>
        <v>0</v>
      </c>
      <c r="H121" s="37">
        <f t="shared" si="13"/>
        <v>0</v>
      </c>
      <c r="I121" s="38">
        <f t="shared" si="13"/>
        <v>0</v>
      </c>
      <c r="K121" s="40"/>
      <c r="L121" s="41"/>
      <c r="M121" s="41"/>
      <c r="N121" s="42"/>
    </row>
    <row r="122" spans="1:14" ht="15" customHeight="1">
      <c r="A122" s="115" t="s">
        <v>271</v>
      </c>
      <c r="B122" s="122"/>
      <c r="C122" s="35">
        <v>7200</v>
      </c>
      <c r="D122" s="35">
        <v>7000</v>
      </c>
      <c r="E122" s="36">
        <v>6400</v>
      </c>
      <c r="F122" s="112">
        <f t="shared" si="12"/>
        <v>0</v>
      </c>
      <c r="G122" s="37">
        <f t="shared" si="12"/>
        <v>14.4</v>
      </c>
      <c r="H122" s="37">
        <f t="shared" si="13"/>
        <v>11.666666666666666</v>
      </c>
      <c r="I122" s="47">
        <f t="shared" si="13"/>
        <v>10.666666666666666</v>
      </c>
      <c r="J122" s="39">
        <v>11.7</v>
      </c>
      <c r="K122" s="40"/>
      <c r="L122" s="41" t="s">
        <v>269</v>
      </c>
      <c r="M122" s="46"/>
      <c r="N122" s="42" t="s">
        <v>272</v>
      </c>
    </row>
    <row r="123" spans="1:14" ht="15" customHeight="1">
      <c r="A123" s="115" t="s">
        <v>273</v>
      </c>
      <c r="B123" s="122">
        <v>17900</v>
      </c>
      <c r="C123" s="35">
        <v>11000</v>
      </c>
      <c r="D123" s="35">
        <v>16000</v>
      </c>
      <c r="E123" s="36">
        <v>14100</v>
      </c>
      <c r="F123" s="112">
        <f t="shared" si="12"/>
        <v>35.799999999999997</v>
      </c>
      <c r="G123" s="43">
        <f t="shared" si="12"/>
        <v>22</v>
      </c>
      <c r="H123" s="37">
        <f t="shared" si="13"/>
        <v>26.666666666666668</v>
      </c>
      <c r="I123" s="38">
        <f t="shared" si="13"/>
        <v>23.5</v>
      </c>
      <c r="J123" s="39">
        <v>23.5</v>
      </c>
      <c r="K123" s="40"/>
      <c r="L123" s="41" t="s">
        <v>274</v>
      </c>
      <c r="M123" s="46"/>
      <c r="N123" s="42" t="s">
        <v>214</v>
      </c>
    </row>
    <row r="124" spans="1:14" ht="15" customHeight="1">
      <c r="A124" s="115" t="s">
        <v>275</v>
      </c>
      <c r="B124" s="122"/>
      <c r="C124" s="35"/>
      <c r="D124" s="35"/>
      <c r="E124" s="36"/>
      <c r="F124" s="112">
        <f t="shared" si="12"/>
        <v>0</v>
      </c>
      <c r="G124" s="37">
        <f t="shared" si="12"/>
        <v>0</v>
      </c>
      <c r="H124" s="37">
        <f t="shared" si="13"/>
        <v>0</v>
      </c>
      <c r="I124" s="38">
        <f t="shared" si="13"/>
        <v>0</v>
      </c>
      <c r="K124" s="40"/>
      <c r="L124" s="41"/>
      <c r="M124" s="41"/>
      <c r="N124" s="42"/>
    </row>
    <row r="125" spans="1:14" ht="15" customHeight="1">
      <c r="A125" s="115" t="s">
        <v>276</v>
      </c>
      <c r="B125" s="122"/>
      <c r="C125" s="35">
        <v>8400</v>
      </c>
      <c r="D125" s="35"/>
      <c r="E125" s="36"/>
      <c r="F125" s="112">
        <f t="shared" si="12"/>
        <v>0</v>
      </c>
      <c r="G125" s="37">
        <f t="shared" si="12"/>
        <v>16.8</v>
      </c>
      <c r="H125" s="37">
        <f t="shared" si="13"/>
        <v>0</v>
      </c>
      <c r="I125" s="38">
        <f t="shared" si="13"/>
        <v>0</v>
      </c>
      <c r="J125" s="39">
        <v>16.8</v>
      </c>
      <c r="K125" s="40"/>
      <c r="L125" s="41" t="s">
        <v>58</v>
      </c>
      <c r="M125" s="41"/>
      <c r="N125" s="42"/>
    </row>
    <row r="126" spans="1:14" ht="15" customHeight="1">
      <c r="A126" s="115" t="s">
        <v>277</v>
      </c>
      <c r="B126" s="122"/>
      <c r="C126" s="35">
        <v>4600</v>
      </c>
      <c r="D126" s="35">
        <v>7000</v>
      </c>
      <c r="E126" s="36">
        <v>5500</v>
      </c>
      <c r="F126" s="112">
        <f t="shared" si="12"/>
        <v>0</v>
      </c>
      <c r="G126" s="37">
        <f t="shared" si="12"/>
        <v>9.1999999999999993</v>
      </c>
      <c r="H126" s="37">
        <f t="shared" si="13"/>
        <v>11.666666666666666</v>
      </c>
      <c r="I126" s="47">
        <f t="shared" si="13"/>
        <v>9.1666666666666661</v>
      </c>
      <c r="J126" s="39">
        <v>9.1999999999999993</v>
      </c>
      <c r="K126" s="40"/>
      <c r="L126" s="41"/>
      <c r="M126" s="46"/>
      <c r="N126" s="42" t="s">
        <v>98</v>
      </c>
    </row>
    <row r="127" spans="1:14" ht="15" customHeight="1">
      <c r="A127" s="115" t="s">
        <v>278</v>
      </c>
      <c r="B127" s="122"/>
      <c r="C127" s="35">
        <v>14000</v>
      </c>
      <c r="D127" s="35">
        <v>15000</v>
      </c>
      <c r="E127" s="36">
        <v>14000</v>
      </c>
      <c r="F127" s="112">
        <f t="shared" si="12"/>
        <v>0</v>
      </c>
      <c r="G127" s="37">
        <f>C127/1000</f>
        <v>14</v>
      </c>
      <c r="H127" s="37">
        <f>D127/1000</f>
        <v>15</v>
      </c>
      <c r="I127" s="38">
        <f>E127/1000</f>
        <v>14</v>
      </c>
      <c r="J127" s="39">
        <v>14</v>
      </c>
      <c r="K127" s="40"/>
      <c r="L127" s="41" t="s">
        <v>240</v>
      </c>
      <c r="M127" s="46" t="s">
        <v>240</v>
      </c>
      <c r="N127" s="42" t="s">
        <v>279</v>
      </c>
    </row>
    <row r="128" spans="1:14" ht="15" customHeight="1">
      <c r="A128" s="115" t="s">
        <v>280</v>
      </c>
      <c r="B128" s="122"/>
      <c r="C128" s="35">
        <v>27500</v>
      </c>
      <c r="D128" s="35">
        <v>26000</v>
      </c>
      <c r="E128" s="36"/>
      <c r="F128" s="112">
        <f t="shared" si="12"/>
        <v>0</v>
      </c>
      <c r="G128" s="37">
        <f>C128/500</f>
        <v>55</v>
      </c>
      <c r="H128" s="37">
        <f t="shared" ref="H128:I143" si="14">D128/600</f>
        <v>43.333333333333336</v>
      </c>
      <c r="I128" s="38">
        <f t="shared" si="13"/>
        <v>0</v>
      </c>
      <c r="J128" s="39">
        <v>55</v>
      </c>
      <c r="K128" s="40"/>
      <c r="L128" s="41"/>
      <c r="M128" s="41" t="s">
        <v>281</v>
      </c>
      <c r="N128" s="42"/>
    </row>
    <row r="129" spans="1:14" ht="15" customHeight="1">
      <c r="A129" s="115" t="s">
        <v>282</v>
      </c>
      <c r="B129" s="122"/>
      <c r="C129" s="35">
        <v>7300</v>
      </c>
      <c r="D129" s="35">
        <v>8500</v>
      </c>
      <c r="E129" s="36"/>
      <c r="F129" s="112">
        <f t="shared" si="12"/>
        <v>0</v>
      </c>
      <c r="G129" s="37">
        <f>C129/500</f>
        <v>14.6</v>
      </c>
      <c r="H129" s="37">
        <f t="shared" si="14"/>
        <v>14.166666666666666</v>
      </c>
      <c r="I129" s="38">
        <f t="shared" si="13"/>
        <v>0</v>
      </c>
      <c r="K129" s="40"/>
      <c r="L129" s="41"/>
      <c r="M129" s="41"/>
      <c r="N129" s="42"/>
    </row>
    <row r="130" spans="1:14" ht="15" customHeight="1">
      <c r="A130" s="115" t="s">
        <v>283</v>
      </c>
      <c r="B130" s="122"/>
      <c r="C130" s="35">
        <v>5700</v>
      </c>
      <c r="D130" s="35">
        <v>9500</v>
      </c>
      <c r="E130" s="36">
        <v>6900</v>
      </c>
      <c r="F130" s="112">
        <f t="shared" si="12"/>
        <v>0</v>
      </c>
      <c r="G130" s="37">
        <f>C130/500</f>
        <v>11.4</v>
      </c>
      <c r="H130" s="37">
        <f t="shared" si="14"/>
        <v>15.833333333333334</v>
      </c>
      <c r="I130" s="38">
        <f t="shared" si="13"/>
        <v>11.5</v>
      </c>
      <c r="J130" s="39">
        <v>17.7</v>
      </c>
      <c r="K130" s="40"/>
      <c r="L130" s="41" t="s">
        <v>185</v>
      </c>
      <c r="M130" s="46" t="s">
        <v>284</v>
      </c>
      <c r="N130" s="42" t="s">
        <v>98</v>
      </c>
    </row>
    <row r="131" spans="1:14" ht="15" customHeight="1">
      <c r="A131" s="115" t="s">
        <v>285</v>
      </c>
      <c r="B131" s="122"/>
      <c r="C131" s="35">
        <v>12800</v>
      </c>
      <c r="D131" s="35">
        <v>13500</v>
      </c>
      <c r="E131" s="36">
        <v>12800</v>
      </c>
      <c r="F131" s="112">
        <f t="shared" si="12"/>
        <v>0</v>
      </c>
      <c r="G131" s="37">
        <f>C131/600</f>
        <v>21.333333333333332</v>
      </c>
      <c r="H131" s="37">
        <f t="shared" si="14"/>
        <v>22.5</v>
      </c>
      <c r="I131" s="38">
        <f t="shared" si="13"/>
        <v>21.333333333333332</v>
      </c>
      <c r="J131" s="39">
        <v>19.2</v>
      </c>
      <c r="K131" s="40"/>
      <c r="L131" s="56" t="s">
        <v>286</v>
      </c>
      <c r="M131" s="57"/>
      <c r="N131" s="42" t="s">
        <v>287</v>
      </c>
    </row>
    <row r="132" spans="1:14" ht="15" customHeight="1">
      <c r="A132" s="115" t="s">
        <v>288</v>
      </c>
      <c r="B132" s="122"/>
      <c r="C132" s="35">
        <v>34000</v>
      </c>
      <c r="D132" s="35"/>
      <c r="E132" s="36">
        <v>55900</v>
      </c>
      <c r="F132" s="112">
        <f t="shared" si="12"/>
        <v>0</v>
      </c>
      <c r="G132" s="37">
        <f>C132/500</f>
        <v>68</v>
      </c>
      <c r="H132" s="37">
        <f t="shared" si="14"/>
        <v>0</v>
      </c>
      <c r="I132" s="38">
        <f t="shared" si="14"/>
        <v>93.166666666666671</v>
      </c>
      <c r="J132" s="39">
        <v>68</v>
      </c>
      <c r="K132" s="40"/>
      <c r="L132" s="41" t="s">
        <v>58</v>
      </c>
      <c r="M132" s="41"/>
      <c r="N132" s="42" t="s">
        <v>98</v>
      </c>
    </row>
    <row r="133" spans="1:14" ht="15" customHeight="1">
      <c r="A133" s="115" t="s">
        <v>289</v>
      </c>
      <c r="B133" s="122"/>
      <c r="C133" s="35">
        <v>14500</v>
      </c>
      <c r="D133" s="35">
        <v>19000</v>
      </c>
      <c r="E133" s="36">
        <v>17700</v>
      </c>
      <c r="F133" s="112">
        <f t="shared" si="12"/>
        <v>0</v>
      </c>
      <c r="G133" s="37">
        <f>C133/500</f>
        <v>29</v>
      </c>
      <c r="H133" s="37">
        <f t="shared" si="14"/>
        <v>31.666666666666668</v>
      </c>
      <c r="I133" s="38">
        <f t="shared" si="14"/>
        <v>29.5</v>
      </c>
      <c r="J133" s="39">
        <v>29</v>
      </c>
      <c r="K133" s="40"/>
      <c r="L133" s="41"/>
      <c r="M133" s="41"/>
      <c r="N133" s="42"/>
    </row>
    <row r="134" spans="1:14" ht="15" customHeight="1">
      <c r="A134" s="115" t="s">
        <v>290</v>
      </c>
      <c r="B134" s="122"/>
      <c r="C134" s="35"/>
      <c r="D134" s="35"/>
      <c r="E134" s="36">
        <v>8800</v>
      </c>
      <c r="F134" s="112">
        <f t="shared" si="12"/>
        <v>0</v>
      </c>
      <c r="G134" s="37">
        <f>C134/500</f>
        <v>0</v>
      </c>
      <c r="H134" s="37">
        <f t="shared" si="14"/>
        <v>0</v>
      </c>
      <c r="I134" s="38">
        <f t="shared" si="14"/>
        <v>14.666666666666666</v>
      </c>
      <c r="J134" s="39">
        <v>14.7</v>
      </c>
      <c r="K134" s="40"/>
      <c r="L134" s="41"/>
      <c r="M134" s="41"/>
      <c r="N134" s="42" t="s">
        <v>131</v>
      </c>
    </row>
    <row r="135" spans="1:14" ht="15" customHeight="1">
      <c r="A135" s="115" t="s">
        <v>291</v>
      </c>
      <c r="B135" s="122">
        <v>14800</v>
      </c>
      <c r="C135" s="35"/>
      <c r="D135" s="35"/>
      <c r="E135" s="36">
        <v>8600</v>
      </c>
      <c r="F135" s="112">
        <f t="shared" si="12"/>
        <v>29.6</v>
      </c>
      <c r="G135" s="37">
        <f>C135/500</f>
        <v>0</v>
      </c>
      <c r="H135" s="37">
        <f t="shared" si="14"/>
        <v>0</v>
      </c>
      <c r="I135" s="47">
        <f t="shared" si="14"/>
        <v>14.333333333333334</v>
      </c>
      <c r="J135" s="39">
        <v>14.8</v>
      </c>
      <c r="K135" s="66"/>
      <c r="L135" s="67"/>
      <c r="M135" s="70"/>
      <c r="N135" s="65" t="s">
        <v>292</v>
      </c>
    </row>
    <row r="136" spans="1:14" ht="15" customHeight="1">
      <c r="A136" s="115" t="s">
        <v>293</v>
      </c>
      <c r="B136" s="122"/>
      <c r="C136" s="35">
        <v>13800</v>
      </c>
      <c r="D136" s="35">
        <v>17500</v>
      </c>
      <c r="E136" s="36"/>
      <c r="F136" s="112">
        <f t="shared" si="12"/>
        <v>0</v>
      </c>
      <c r="G136" s="37">
        <f>C136/500</f>
        <v>27.6</v>
      </c>
      <c r="H136" s="37">
        <f t="shared" si="14"/>
        <v>29.166666666666668</v>
      </c>
      <c r="I136" s="38">
        <f t="shared" si="14"/>
        <v>0</v>
      </c>
      <c r="J136" s="39">
        <v>29.2</v>
      </c>
      <c r="K136" s="68"/>
      <c r="L136" s="67"/>
      <c r="M136" s="67"/>
      <c r="N136" s="69"/>
    </row>
    <row r="137" spans="1:14" ht="15" customHeight="1">
      <c r="A137" s="115" t="s">
        <v>294</v>
      </c>
      <c r="B137" s="122"/>
      <c r="C137" s="35">
        <v>13200</v>
      </c>
      <c r="D137" s="35">
        <v>14000</v>
      </c>
      <c r="E137" s="36">
        <v>13000</v>
      </c>
      <c r="F137" s="112">
        <f t="shared" si="12"/>
        <v>0</v>
      </c>
      <c r="G137" s="37">
        <f>C137/600</f>
        <v>22</v>
      </c>
      <c r="H137" s="37">
        <f t="shared" si="14"/>
        <v>23.333333333333332</v>
      </c>
      <c r="I137" s="38">
        <f>E137/500</f>
        <v>26</v>
      </c>
      <c r="J137" s="39">
        <v>22</v>
      </c>
      <c r="K137" s="68"/>
      <c r="L137" s="67" t="s">
        <v>120</v>
      </c>
      <c r="M137" s="67"/>
      <c r="N137" s="69" t="s">
        <v>413</v>
      </c>
    </row>
    <row r="138" spans="1:14" ht="15" customHeight="1">
      <c r="A138" s="115" t="s">
        <v>295</v>
      </c>
      <c r="B138" s="122"/>
      <c r="C138" s="35">
        <v>11900</v>
      </c>
      <c r="D138" s="35"/>
      <c r="E138" s="36"/>
      <c r="F138" s="112">
        <f t="shared" si="12"/>
        <v>0</v>
      </c>
      <c r="G138" s="37">
        <f>C138/500</f>
        <v>23.8</v>
      </c>
      <c r="H138" s="37">
        <f t="shared" si="14"/>
        <v>0</v>
      </c>
      <c r="I138" s="38">
        <f t="shared" si="14"/>
        <v>0</v>
      </c>
      <c r="J138" s="39">
        <v>23.8</v>
      </c>
      <c r="K138" s="68"/>
      <c r="L138" s="67" t="s">
        <v>185</v>
      </c>
      <c r="M138" s="67"/>
      <c r="N138" s="69"/>
    </row>
    <row r="139" spans="1:14" ht="15" customHeight="1">
      <c r="A139" s="115" t="s">
        <v>296</v>
      </c>
      <c r="B139" s="122"/>
      <c r="C139" s="35">
        <v>7900</v>
      </c>
      <c r="D139" s="35">
        <v>10000</v>
      </c>
      <c r="E139" s="36">
        <v>9100</v>
      </c>
      <c r="F139" s="112">
        <f t="shared" si="12"/>
        <v>0</v>
      </c>
      <c r="G139" s="37">
        <f>C139/500</f>
        <v>15.8</v>
      </c>
      <c r="H139" s="37">
        <f t="shared" si="14"/>
        <v>16.666666666666668</v>
      </c>
      <c r="I139" s="38">
        <f t="shared" si="14"/>
        <v>15.166666666666666</v>
      </c>
      <c r="J139" s="39">
        <v>15.8</v>
      </c>
      <c r="K139" s="68"/>
      <c r="L139" s="67" t="s">
        <v>297</v>
      </c>
      <c r="M139" s="70" t="s">
        <v>237</v>
      </c>
      <c r="N139" s="69" t="s">
        <v>172</v>
      </c>
    </row>
    <row r="140" spans="1:14" ht="15" customHeight="1">
      <c r="A140" s="115" t="s">
        <v>298</v>
      </c>
      <c r="B140" s="122"/>
      <c r="C140" s="35">
        <v>5800</v>
      </c>
      <c r="D140" s="35">
        <v>7500</v>
      </c>
      <c r="E140" s="36"/>
      <c r="F140" s="112">
        <f t="shared" si="12"/>
        <v>0</v>
      </c>
      <c r="G140" s="37">
        <f>C140/500</f>
        <v>11.6</v>
      </c>
      <c r="H140" s="37">
        <f t="shared" si="14"/>
        <v>12.5</v>
      </c>
      <c r="I140" s="38">
        <f t="shared" si="14"/>
        <v>0</v>
      </c>
      <c r="K140" s="68"/>
      <c r="L140" s="67"/>
      <c r="M140" s="67" t="s">
        <v>172</v>
      </c>
      <c r="N140" s="69"/>
    </row>
    <row r="141" spans="1:14" ht="15" customHeight="1">
      <c r="A141" s="115" t="s">
        <v>299</v>
      </c>
      <c r="B141" s="122"/>
      <c r="C141" s="35">
        <v>11600</v>
      </c>
      <c r="D141" s="35">
        <v>10500</v>
      </c>
      <c r="E141" s="36">
        <v>13700</v>
      </c>
      <c r="F141" s="112">
        <f t="shared" si="12"/>
        <v>0</v>
      </c>
      <c r="G141" s="37">
        <f>C141/500</f>
        <v>23.2</v>
      </c>
      <c r="H141" s="37">
        <f t="shared" si="14"/>
        <v>17.5</v>
      </c>
      <c r="I141" s="38">
        <f t="shared" si="14"/>
        <v>22.833333333333332</v>
      </c>
      <c r="J141" s="39">
        <v>22.8</v>
      </c>
      <c r="K141" s="68"/>
      <c r="L141" s="67" t="s">
        <v>300</v>
      </c>
      <c r="M141" s="67"/>
      <c r="N141" s="69" t="s">
        <v>128</v>
      </c>
    </row>
    <row r="142" spans="1:14" ht="15" customHeight="1">
      <c r="A142" s="115" t="s">
        <v>301</v>
      </c>
      <c r="B142" s="122"/>
      <c r="C142" s="35">
        <v>66000</v>
      </c>
      <c r="D142" s="35">
        <v>30000</v>
      </c>
      <c r="E142" s="36">
        <v>65000</v>
      </c>
      <c r="F142" s="112">
        <f t="shared" si="12"/>
        <v>0</v>
      </c>
      <c r="G142" s="43">
        <f>C142/600</f>
        <v>110</v>
      </c>
      <c r="H142" s="37">
        <f>D142/300</f>
        <v>100</v>
      </c>
      <c r="I142" s="38">
        <f t="shared" si="14"/>
        <v>108.33333333333333</v>
      </c>
      <c r="J142" s="39">
        <v>108.3</v>
      </c>
      <c r="K142" s="68"/>
      <c r="L142" s="56" t="s">
        <v>302</v>
      </c>
      <c r="M142" s="70" t="s">
        <v>303</v>
      </c>
      <c r="N142" s="69" t="s">
        <v>304</v>
      </c>
    </row>
    <row r="143" spans="1:14" ht="15" customHeight="1" thickBot="1">
      <c r="A143" s="126" t="s">
        <v>305</v>
      </c>
      <c r="B143" s="123"/>
      <c r="C143" s="48">
        <v>6000</v>
      </c>
      <c r="D143" s="48">
        <v>7500</v>
      </c>
      <c r="E143" s="49">
        <v>7200</v>
      </c>
      <c r="F143" s="72">
        <f t="shared" si="12"/>
        <v>0</v>
      </c>
      <c r="G143" s="50">
        <f>C143/500</f>
        <v>12</v>
      </c>
      <c r="H143" s="50">
        <f t="shared" ref="H143:H148" si="15">D143/600</f>
        <v>12.5</v>
      </c>
      <c r="I143" s="59">
        <f t="shared" si="14"/>
        <v>12</v>
      </c>
      <c r="J143" s="51">
        <v>12</v>
      </c>
      <c r="K143" s="60"/>
      <c r="L143" s="52"/>
      <c r="M143" s="52"/>
      <c r="N143" s="61" t="s">
        <v>50</v>
      </c>
    </row>
    <row r="144" spans="1:14" ht="15" customHeight="1">
      <c r="A144" s="127" t="s">
        <v>306</v>
      </c>
      <c r="B144" s="125"/>
      <c r="C144" s="25">
        <v>7500</v>
      </c>
      <c r="D144" s="25">
        <v>8500</v>
      </c>
      <c r="E144" s="26">
        <v>7200</v>
      </c>
      <c r="F144" s="27">
        <f t="shared" si="12"/>
        <v>0</v>
      </c>
      <c r="G144" s="28">
        <f>C144/500</f>
        <v>15</v>
      </c>
      <c r="H144" s="28">
        <f t="shared" si="15"/>
        <v>14.166666666666666</v>
      </c>
      <c r="I144" s="55">
        <f t="shared" ref="I144:I175" si="16">E144/600</f>
        <v>12</v>
      </c>
      <c r="J144" s="30">
        <v>12</v>
      </c>
      <c r="K144" s="31"/>
      <c r="L144" s="32" t="s">
        <v>50</v>
      </c>
      <c r="M144" s="33" t="s">
        <v>172</v>
      </c>
      <c r="N144" s="34" t="s">
        <v>214</v>
      </c>
    </row>
    <row r="145" spans="1:14" ht="15" customHeight="1">
      <c r="A145" s="116" t="s">
        <v>307</v>
      </c>
      <c r="B145" s="122"/>
      <c r="C145" s="35">
        <v>29000</v>
      </c>
      <c r="D145" s="35">
        <v>23000</v>
      </c>
      <c r="E145" s="36">
        <v>20700</v>
      </c>
      <c r="F145" s="112">
        <f t="shared" ref="F145" si="17">B145/500</f>
        <v>0</v>
      </c>
      <c r="G145" s="37">
        <f>C145/600</f>
        <v>48.333333333333336</v>
      </c>
      <c r="H145" s="37">
        <f t="shared" si="15"/>
        <v>38.333333333333336</v>
      </c>
      <c r="I145" s="47">
        <f t="shared" ref="I145" si="18">E145/600</f>
        <v>34.5</v>
      </c>
      <c r="J145" s="39">
        <v>38</v>
      </c>
      <c r="K145" s="40"/>
      <c r="L145" s="41" t="s">
        <v>120</v>
      </c>
      <c r="M145" s="41"/>
      <c r="N145" s="42" t="s">
        <v>154</v>
      </c>
    </row>
    <row r="146" spans="1:14" ht="15" customHeight="1">
      <c r="A146" s="116" t="s">
        <v>308</v>
      </c>
      <c r="B146" s="122"/>
      <c r="C146" s="35"/>
      <c r="D146" s="35"/>
      <c r="E146" s="36">
        <v>31200</v>
      </c>
      <c r="F146" s="112">
        <f t="shared" si="12"/>
        <v>0</v>
      </c>
      <c r="G146" s="37">
        <f>C146/600</f>
        <v>0</v>
      </c>
      <c r="H146" s="37">
        <f t="shared" si="15"/>
        <v>0</v>
      </c>
      <c r="I146" s="47">
        <f t="shared" si="16"/>
        <v>52</v>
      </c>
      <c r="J146" s="39">
        <v>52</v>
      </c>
      <c r="K146" s="40"/>
      <c r="L146" s="41"/>
      <c r="M146" s="41"/>
      <c r="N146" s="42"/>
    </row>
    <row r="147" spans="1:14" ht="15" customHeight="1">
      <c r="A147" s="116" t="s">
        <v>309</v>
      </c>
      <c r="B147" s="122"/>
      <c r="C147" s="35">
        <v>22500</v>
      </c>
      <c r="D147" s="35">
        <v>28000</v>
      </c>
      <c r="E147" s="36">
        <v>26900</v>
      </c>
      <c r="F147" s="112">
        <f t="shared" si="12"/>
        <v>0</v>
      </c>
      <c r="G147" s="37">
        <f>C147/500</f>
        <v>45</v>
      </c>
      <c r="H147" s="37">
        <f t="shared" si="15"/>
        <v>46.666666666666664</v>
      </c>
      <c r="I147" s="38">
        <f t="shared" si="16"/>
        <v>44.833333333333336</v>
      </c>
      <c r="J147" s="39">
        <v>46.7</v>
      </c>
      <c r="K147" s="40"/>
      <c r="L147" s="41"/>
      <c r="M147" s="41"/>
      <c r="N147" s="42"/>
    </row>
    <row r="148" spans="1:14" ht="15" customHeight="1">
      <c r="A148" s="116" t="s">
        <v>310</v>
      </c>
      <c r="B148" s="122"/>
      <c r="C148" s="35"/>
      <c r="D148" s="35">
        <v>9000</v>
      </c>
      <c r="E148" s="36"/>
      <c r="F148" s="112">
        <f t="shared" si="12"/>
        <v>0</v>
      </c>
      <c r="G148" s="37">
        <f>C148/500</f>
        <v>0</v>
      </c>
      <c r="H148" s="37">
        <f t="shared" si="15"/>
        <v>15</v>
      </c>
      <c r="I148" s="38">
        <f t="shared" si="16"/>
        <v>0</v>
      </c>
      <c r="J148" s="39">
        <v>15</v>
      </c>
      <c r="K148" s="40"/>
      <c r="L148" s="41"/>
      <c r="M148" s="46"/>
      <c r="N148" s="42"/>
    </row>
    <row r="149" spans="1:14" ht="15" customHeight="1">
      <c r="A149" s="116" t="s">
        <v>311</v>
      </c>
      <c r="B149" s="122"/>
      <c r="C149" s="35">
        <v>20000</v>
      </c>
      <c r="D149" s="35">
        <v>20000</v>
      </c>
      <c r="E149" s="36"/>
      <c r="F149" s="112">
        <f t="shared" ref="F149:G180" si="19">B149/500</f>
        <v>0</v>
      </c>
      <c r="G149" s="37">
        <f>C149/1000</f>
        <v>20</v>
      </c>
      <c r="H149" s="37">
        <f>D149/1000</f>
        <v>20</v>
      </c>
      <c r="I149" s="38">
        <f t="shared" si="16"/>
        <v>0</v>
      </c>
      <c r="J149" s="39">
        <v>20</v>
      </c>
      <c r="K149" s="40"/>
      <c r="L149" s="41" t="s">
        <v>312</v>
      </c>
      <c r="M149" s="46" t="s">
        <v>312</v>
      </c>
      <c r="N149" s="42"/>
    </row>
    <row r="150" spans="1:14" ht="15" customHeight="1">
      <c r="A150" s="116" t="s">
        <v>313</v>
      </c>
      <c r="B150" s="122"/>
      <c r="C150" s="35">
        <v>11500</v>
      </c>
      <c r="D150" s="35">
        <v>16000</v>
      </c>
      <c r="E150" s="36">
        <v>16500</v>
      </c>
      <c r="F150" s="112">
        <f t="shared" si="19"/>
        <v>0</v>
      </c>
      <c r="G150" s="37">
        <f>C150/500</f>
        <v>23</v>
      </c>
      <c r="H150" s="37">
        <f t="shared" ref="H150:I185" si="20">D150/600</f>
        <v>26.666666666666668</v>
      </c>
      <c r="I150" s="38">
        <f t="shared" si="16"/>
        <v>27.5</v>
      </c>
      <c r="J150" s="39">
        <v>23</v>
      </c>
      <c r="K150" s="40"/>
      <c r="L150" s="41" t="s">
        <v>74</v>
      </c>
      <c r="M150" s="41"/>
      <c r="N150" s="42" t="s">
        <v>314</v>
      </c>
    </row>
    <row r="151" spans="1:14" ht="15" customHeight="1">
      <c r="A151" s="117" t="s">
        <v>315</v>
      </c>
      <c r="B151" s="122"/>
      <c r="C151" s="35"/>
      <c r="D151" s="35"/>
      <c r="E151" s="36"/>
      <c r="F151" s="112">
        <f t="shared" si="19"/>
        <v>0</v>
      </c>
      <c r="G151" s="37">
        <f>C151/500</f>
        <v>0</v>
      </c>
      <c r="H151" s="37">
        <f t="shared" si="20"/>
        <v>0</v>
      </c>
      <c r="I151" s="38">
        <f t="shared" si="16"/>
        <v>0</v>
      </c>
      <c r="K151" s="40"/>
      <c r="L151" s="41"/>
      <c r="M151" s="41"/>
      <c r="N151" s="42"/>
    </row>
    <row r="152" spans="1:14" ht="15" customHeight="1">
      <c r="A152" s="117" t="s">
        <v>316</v>
      </c>
      <c r="B152" s="122"/>
      <c r="C152" s="35"/>
      <c r="D152" s="35"/>
      <c r="E152" s="36">
        <v>7800</v>
      </c>
      <c r="F152" s="112">
        <f t="shared" si="19"/>
        <v>0</v>
      </c>
      <c r="G152" s="37">
        <f>C152/500</f>
        <v>0</v>
      </c>
      <c r="H152" s="37">
        <f t="shared" si="20"/>
        <v>0</v>
      </c>
      <c r="I152" s="47">
        <f t="shared" si="16"/>
        <v>13</v>
      </c>
      <c r="J152" s="39">
        <v>13</v>
      </c>
      <c r="K152" s="40"/>
      <c r="L152" s="41"/>
      <c r="M152" s="41"/>
      <c r="N152" s="42"/>
    </row>
    <row r="153" spans="1:14" ht="15" customHeight="1">
      <c r="A153" s="117" t="s">
        <v>317</v>
      </c>
      <c r="B153" s="122"/>
      <c r="C153" s="35">
        <v>8600</v>
      </c>
      <c r="D153" s="35">
        <v>11000</v>
      </c>
      <c r="E153" s="36"/>
      <c r="F153" s="112">
        <f t="shared" si="19"/>
        <v>0</v>
      </c>
      <c r="G153" s="37">
        <f>C153/500</f>
        <v>17.2</v>
      </c>
      <c r="H153" s="37">
        <f t="shared" si="20"/>
        <v>18.333333333333332</v>
      </c>
      <c r="I153" s="38">
        <f t="shared" si="16"/>
        <v>0</v>
      </c>
      <c r="J153" s="39">
        <v>18.3</v>
      </c>
      <c r="K153" s="40"/>
      <c r="L153" s="41"/>
      <c r="M153" s="41"/>
      <c r="N153" s="42"/>
    </row>
    <row r="154" spans="1:14" ht="15" customHeight="1">
      <c r="A154" s="117" t="s">
        <v>318</v>
      </c>
      <c r="B154" s="122"/>
      <c r="C154" s="35">
        <v>8000</v>
      </c>
      <c r="D154" s="35"/>
      <c r="E154" s="36">
        <v>10200</v>
      </c>
      <c r="F154" s="112">
        <f t="shared" si="19"/>
        <v>0</v>
      </c>
      <c r="G154" s="43">
        <f>C154/500</f>
        <v>16</v>
      </c>
      <c r="H154" s="37">
        <f t="shared" si="20"/>
        <v>0</v>
      </c>
      <c r="I154" s="38">
        <f t="shared" si="16"/>
        <v>17</v>
      </c>
      <c r="J154" s="39">
        <v>15.4</v>
      </c>
      <c r="K154" s="40"/>
      <c r="L154" s="41" t="s">
        <v>65</v>
      </c>
      <c r="M154" s="41"/>
      <c r="N154" s="42"/>
    </row>
    <row r="155" spans="1:14" ht="15" customHeight="1">
      <c r="A155" s="116" t="s">
        <v>319</v>
      </c>
      <c r="B155" s="122"/>
      <c r="C155" s="35">
        <v>3500</v>
      </c>
      <c r="D155" s="35">
        <v>4500</v>
      </c>
      <c r="E155" s="36"/>
      <c r="F155" s="112">
        <f t="shared" si="19"/>
        <v>0</v>
      </c>
      <c r="G155" s="37">
        <f>C155/600</f>
        <v>5.833333333333333</v>
      </c>
      <c r="H155" s="37">
        <f t="shared" si="20"/>
        <v>7.5</v>
      </c>
      <c r="I155" s="38">
        <f t="shared" si="16"/>
        <v>0</v>
      </c>
      <c r="K155" s="40"/>
      <c r="L155" s="41" t="s">
        <v>57</v>
      </c>
      <c r="M155" s="41"/>
      <c r="N155" s="42"/>
    </row>
    <row r="156" spans="1:14" ht="15" customHeight="1">
      <c r="A156" s="117" t="s">
        <v>320</v>
      </c>
      <c r="B156" s="122"/>
      <c r="C156" s="35">
        <v>4500</v>
      </c>
      <c r="D156" s="35"/>
      <c r="E156" s="36"/>
      <c r="F156" s="112">
        <f t="shared" si="19"/>
        <v>0</v>
      </c>
      <c r="G156" s="37">
        <f>C156/600</f>
        <v>7.5</v>
      </c>
      <c r="H156" s="37">
        <f t="shared" si="20"/>
        <v>0</v>
      </c>
      <c r="I156" s="38">
        <f t="shared" si="16"/>
        <v>0</v>
      </c>
      <c r="J156" s="39">
        <v>7.5</v>
      </c>
      <c r="K156" s="40"/>
      <c r="L156" s="41" t="s">
        <v>321</v>
      </c>
      <c r="M156" s="41"/>
      <c r="N156" s="42"/>
    </row>
    <row r="157" spans="1:14" ht="15" customHeight="1">
      <c r="A157" s="117" t="s">
        <v>322</v>
      </c>
      <c r="B157" s="122"/>
      <c r="C157" s="35">
        <v>4800</v>
      </c>
      <c r="D157" s="35">
        <v>7000</v>
      </c>
      <c r="E157" s="36">
        <v>6000</v>
      </c>
      <c r="F157" s="112">
        <f t="shared" si="19"/>
        <v>0</v>
      </c>
      <c r="G157" s="37">
        <f t="shared" si="19"/>
        <v>9.6</v>
      </c>
      <c r="H157" s="37">
        <f t="shared" si="20"/>
        <v>11.666666666666666</v>
      </c>
      <c r="I157" s="38">
        <f t="shared" si="16"/>
        <v>10</v>
      </c>
      <c r="J157" s="39">
        <v>10</v>
      </c>
      <c r="K157" s="40"/>
      <c r="L157" s="41" t="s">
        <v>86</v>
      </c>
      <c r="M157" s="46" t="s">
        <v>167</v>
      </c>
      <c r="N157" s="42" t="s">
        <v>98</v>
      </c>
    </row>
    <row r="158" spans="1:14" ht="15" customHeight="1">
      <c r="A158" s="117" t="s">
        <v>323</v>
      </c>
      <c r="B158" s="122"/>
      <c r="C158" s="35">
        <v>10600</v>
      </c>
      <c r="D158" s="35">
        <v>14000</v>
      </c>
      <c r="E158" s="36">
        <v>14200</v>
      </c>
      <c r="F158" s="112">
        <f t="shared" si="19"/>
        <v>0</v>
      </c>
      <c r="G158" s="37">
        <f t="shared" si="19"/>
        <v>21.2</v>
      </c>
      <c r="H158" s="37">
        <f t="shared" si="20"/>
        <v>23.333333333333332</v>
      </c>
      <c r="I158" s="47">
        <f t="shared" si="16"/>
        <v>23.666666666666668</v>
      </c>
      <c r="J158" s="39">
        <v>21.7</v>
      </c>
      <c r="K158" s="40"/>
      <c r="L158" s="41"/>
      <c r="M158" s="41" t="s">
        <v>281</v>
      </c>
      <c r="N158" s="42" t="s">
        <v>98</v>
      </c>
    </row>
    <row r="159" spans="1:14" ht="15" customHeight="1">
      <c r="A159" s="117" t="s">
        <v>324</v>
      </c>
      <c r="B159" s="122"/>
      <c r="C159" s="35">
        <v>7800</v>
      </c>
      <c r="D159" s="35">
        <v>11000</v>
      </c>
      <c r="E159" s="36">
        <v>9600</v>
      </c>
      <c r="F159" s="112">
        <f t="shared" si="19"/>
        <v>0</v>
      </c>
      <c r="G159" s="37">
        <f t="shared" si="19"/>
        <v>15.6</v>
      </c>
      <c r="H159" s="37">
        <f t="shared" si="20"/>
        <v>18.333333333333332</v>
      </c>
      <c r="I159" s="38">
        <f t="shared" si="16"/>
        <v>16</v>
      </c>
      <c r="J159" s="39">
        <v>16.7</v>
      </c>
      <c r="K159" s="40"/>
      <c r="L159" s="41" t="s">
        <v>325</v>
      </c>
      <c r="M159" s="46"/>
      <c r="N159" s="42" t="s">
        <v>214</v>
      </c>
    </row>
    <row r="160" spans="1:14" ht="15" customHeight="1">
      <c r="A160" s="117" t="s">
        <v>326</v>
      </c>
      <c r="B160" s="122"/>
      <c r="C160" s="35"/>
      <c r="D160" s="35"/>
      <c r="E160" s="36"/>
      <c r="F160" s="112">
        <f t="shared" si="19"/>
        <v>0</v>
      </c>
      <c r="G160" s="37">
        <f t="shared" si="19"/>
        <v>0</v>
      </c>
      <c r="H160" s="37">
        <f t="shared" si="20"/>
        <v>0</v>
      </c>
      <c r="I160" s="38">
        <f t="shared" si="16"/>
        <v>0</v>
      </c>
      <c r="K160" s="40"/>
      <c r="L160" s="41"/>
      <c r="M160" s="41"/>
      <c r="N160" s="42"/>
    </row>
    <row r="161" spans="1:14" ht="15" customHeight="1">
      <c r="A161" s="117" t="s">
        <v>327</v>
      </c>
      <c r="B161" s="122"/>
      <c r="C161" s="35">
        <v>10000</v>
      </c>
      <c r="D161" s="35"/>
      <c r="E161" s="36">
        <v>10000</v>
      </c>
      <c r="F161" s="112">
        <f t="shared" si="19"/>
        <v>0</v>
      </c>
      <c r="G161" s="37">
        <f t="shared" si="19"/>
        <v>20</v>
      </c>
      <c r="H161" s="37">
        <f t="shared" si="20"/>
        <v>0</v>
      </c>
      <c r="I161" s="47">
        <f t="shared" si="16"/>
        <v>16.666666666666668</v>
      </c>
      <c r="J161" s="39">
        <v>16.7</v>
      </c>
      <c r="K161" s="40"/>
      <c r="L161" s="41" t="s">
        <v>274</v>
      </c>
      <c r="M161" s="41"/>
      <c r="N161" s="42" t="s">
        <v>328</v>
      </c>
    </row>
    <row r="162" spans="1:14" ht="15" customHeight="1">
      <c r="A162" s="117" t="s">
        <v>329</v>
      </c>
      <c r="B162" s="122"/>
      <c r="C162" s="35"/>
      <c r="D162" s="35"/>
      <c r="E162" s="36"/>
      <c r="F162" s="112">
        <f t="shared" si="19"/>
        <v>0</v>
      </c>
      <c r="G162" s="37">
        <f t="shared" si="19"/>
        <v>0</v>
      </c>
      <c r="H162" s="37">
        <f t="shared" si="20"/>
        <v>0</v>
      </c>
      <c r="I162" s="38">
        <f t="shared" si="16"/>
        <v>0</v>
      </c>
      <c r="K162" s="40"/>
      <c r="L162" s="41"/>
      <c r="M162" s="41"/>
      <c r="N162" s="42"/>
    </row>
    <row r="163" spans="1:14" ht="15" customHeight="1">
      <c r="A163" s="117" t="s">
        <v>330</v>
      </c>
      <c r="B163" s="122"/>
      <c r="C163" s="35">
        <v>9500</v>
      </c>
      <c r="D163" s="35">
        <v>14000</v>
      </c>
      <c r="E163" s="36"/>
      <c r="F163" s="112">
        <f t="shared" si="19"/>
        <v>0</v>
      </c>
      <c r="G163" s="37">
        <f t="shared" si="19"/>
        <v>19</v>
      </c>
      <c r="H163" s="37">
        <f t="shared" si="20"/>
        <v>23.333333333333332</v>
      </c>
      <c r="I163" s="38">
        <f t="shared" si="16"/>
        <v>0</v>
      </c>
      <c r="J163" s="39">
        <v>23.3</v>
      </c>
      <c r="K163" s="40"/>
      <c r="L163" s="41"/>
      <c r="M163" s="41"/>
      <c r="N163" s="42"/>
    </row>
    <row r="164" spans="1:14" ht="15" customHeight="1">
      <c r="A164" s="117" t="s">
        <v>331</v>
      </c>
      <c r="B164" s="122">
        <v>8800</v>
      </c>
      <c r="C164" s="35">
        <v>5100</v>
      </c>
      <c r="D164" s="35">
        <v>5800</v>
      </c>
      <c r="E164" s="36">
        <v>7000</v>
      </c>
      <c r="F164" s="112">
        <f t="shared" si="19"/>
        <v>17.600000000000001</v>
      </c>
      <c r="G164" s="37">
        <f t="shared" si="19"/>
        <v>10.199999999999999</v>
      </c>
      <c r="H164" s="37">
        <f t="shared" si="20"/>
        <v>9.6666666666666661</v>
      </c>
      <c r="I164" s="47">
        <f t="shared" si="16"/>
        <v>11.666666666666666</v>
      </c>
      <c r="J164" s="39">
        <v>17.600000000000001</v>
      </c>
      <c r="K164" s="66"/>
      <c r="L164" s="67" t="s">
        <v>332</v>
      </c>
      <c r="M164" s="57" t="s">
        <v>333</v>
      </c>
      <c r="N164" s="65" t="s">
        <v>334</v>
      </c>
    </row>
    <row r="165" spans="1:14" ht="15" customHeight="1">
      <c r="A165" s="117" t="s">
        <v>335</v>
      </c>
      <c r="B165" s="122">
        <v>22500</v>
      </c>
      <c r="C165" s="35"/>
      <c r="D165" s="35"/>
      <c r="E165" s="36"/>
      <c r="F165" s="112">
        <f t="shared" si="19"/>
        <v>45</v>
      </c>
      <c r="G165" s="37">
        <f t="shared" si="19"/>
        <v>0</v>
      </c>
      <c r="H165" s="37">
        <f t="shared" si="20"/>
        <v>0</v>
      </c>
      <c r="I165" s="38">
        <f t="shared" si="16"/>
        <v>0</v>
      </c>
      <c r="J165" s="39">
        <v>45</v>
      </c>
      <c r="K165" s="40"/>
      <c r="L165" s="41"/>
      <c r="M165" s="41"/>
      <c r="N165" s="42"/>
    </row>
    <row r="166" spans="1:14" ht="15" customHeight="1" thickBot="1">
      <c r="A166" s="119" t="s">
        <v>336</v>
      </c>
      <c r="B166" s="123"/>
      <c r="C166" s="48"/>
      <c r="D166" s="48"/>
      <c r="E166" s="49"/>
      <c r="F166" s="72">
        <f t="shared" si="19"/>
        <v>0</v>
      </c>
      <c r="G166" s="50">
        <f t="shared" si="19"/>
        <v>0</v>
      </c>
      <c r="H166" s="50">
        <f t="shared" si="20"/>
        <v>0</v>
      </c>
      <c r="I166" s="59">
        <f t="shared" si="16"/>
        <v>0</v>
      </c>
      <c r="J166" s="51"/>
      <c r="K166" s="60"/>
      <c r="L166" s="52"/>
      <c r="M166" s="52"/>
      <c r="N166" s="61"/>
    </row>
    <row r="167" spans="1:14" ht="15" customHeight="1">
      <c r="A167" s="129" t="s">
        <v>337</v>
      </c>
      <c r="B167" s="125"/>
      <c r="C167" s="25">
        <v>5300</v>
      </c>
      <c r="D167" s="25">
        <v>14000</v>
      </c>
      <c r="E167" s="26"/>
      <c r="F167" s="27">
        <f t="shared" si="19"/>
        <v>0</v>
      </c>
      <c r="G167" s="28">
        <f t="shared" si="19"/>
        <v>10.6</v>
      </c>
      <c r="H167" s="28">
        <f t="shared" si="20"/>
        <v>23.333333333333332</v>
      </c>
      <c r="I167" s="55">
        <f t="shared" si="16"/>
        <v>0</v>
      </c>
      <c r="J167" s="30">
        <v>23.3</v>
      </c>
      <c r="K167" s="31"/>
      <c r="L167" s="32"/>
      <c r="M167" s="33"/>
      <c r="N167" s="34"/>
    </row>
    <row r="168" spans="1:14" ht="15" customHeight="1">
      <c r="A168" s="118" t="s">
        <v>338</v>
      </c>
      <c r="B168" s="122"/>
      <c r="C168" s="35"/>
      <c r="D168" s="35"/>
      <c r="E168" s="36"/>
      <c r="F168" s="112">
        <f t="shared" si="19"/>
        <v>0</v>
      </c>
      <c r="G168" s="37">
        <f t="shared" si="19"/>
        <v>0</v>
      </c>
      <c r="H168" s="37">
        <f t="shared" si="20"/>
        <v>0</v>
      </c>
      <c r="I168" s="38">
        <f t="shared" si="16"/>
        <v>0</v>
      </c>
      <c r="K168" s="40"/>
      <c r="L168" s="41"/>
      <c r="M168" s="41"/>
      <c r="N168" s="42"/>
    </row>
    <row r="169" spans="1:14" ht="15" customHeight="1">
      <c r="A169" s="118" t="s">
        <v>339</v>
      </c>
      <c r="B169" s="122"/>
      <c r="C169" s="35">
        <v>11000</v>
      </c>
      <c r="D169" s="35"/>
      <c r="E169" s="36">
        <v>16300</v>
      </c>
      <c r="F169" s="112">
        <f t="shared" si="19"/>
        <v>0</v>
      </c>
      <c r="G169" s="71">
        <f t="shared" si="19"/>
        <v>22</v>
      </c>
      <c r="H169" s="37">
        <f t="shared" si="20"/>
        <v>0</v>
      </c>
      <c r="I169" s="143">
        <f t="shared" si="16"/>
        <v>27.166666666666668</v>
      </c>
      <c r="J169" s="39">
        <v>22</v>
      </c>
      <c r="K169" s="40"/>
      <c r="L169" s="56" t="s">
        <v>58</v>
      </c>
      <c r="M169" s="41"/>
      <c r="N169" s="42" t="s">
        <v>98</v>
      </c>
    </row>
    <row r="170" spans="1:14" ht="15" customHeight="1">
      <c r="A170" s="118" t="s">
        <v>340</v>
      </c>
      <c r="B170" s="122">
        <v>31900</v>
      </c>
      <c r="C170" s="35"/>
      <c r="D170" s="35">
        <v>17000</v>
      </c>
      <c r="E170" s="36">
        <v>25800</v>
      </c>
      <c r="F170" s="112">
        <f t="shared" si="19"/>
        <v>63.8</v>
      </c>
      <c r="G170" s="37">
        <f t="shared" si="19"/>
        <v>0</v>
      </c>
      <c r="H170" s="37">
        <f t="shared" si="20"/>
        <v>28.333333333333332</v>
      </c>
      <c r="I170" s="38">
        <f t="shared" si="16"/>
        <v>43</v>
      </c>
      <c r="J170" s="39">
        <v>43</v>
      </c>
      <c r="K170" s="40" t="s">
        <v>341</v>
      </c>
      <c r="L170" s="41"/>
      <c r="M170" s="46" t="s">
        <v>342</v>
      </c>
      <c r="N170" s="65" t="s">
        <v>343</v>
      </c>
    </row>
    <row r="171" spans="1:14" ht="15" customHeight="1">
      <c r="A171" s="118" t="s">
        <v>344</v>
      </c>
      <c r="B171" s="122"/>
      <c r="C171" s="35">
        <v>5200</v>
      </c>
      <c r="D171" s="35">
        <v>14000</v>
      </c>
      <c r="E171" s="36">
        <v>6500</v>
      </c>
      <c r="F171" s="112">
        <f t="shared" si="19"/>
        <v>0</v>
      </c>
      <c r="G171" s="37">
        <f>C171/500</f>
        <v>10.4</v>
      </c>
      <c r="H171" s="37">
        <f t="shared" si="20"/>
        <v>23.333333333333332</v>
      </c>
      <c r="I171" s="38">
        <f t="shared" si="16"/>
        <v>10.833333333333334</v>
      </c>
      <c r="J171" s="39">
        <v>10.8</v>
      </c>
      <c r="K171" s="40"/>
      <c r="L171" s="41" t="s">
        <v>345</v>
      </c>
      <c r="M171" s="41" t="s">
        <v>172</v>
      </c>
      <c r="N171" s="42" t="s">
        <v>98</v>
      </c>
    </row>
    <row r="172" spans="1:14" ht="15" customHeight="1">
      <c r="A172" s="115" t="s">
        <v>346</v>
      </c>
      <c r="B172" s="122"/>
      <c r="C172" s="35"/>
      <c r="D172" s="35"/>
      <c r="E172" s="36">
        <v>12500</v>
      </c>
      <c r="F172" s="112">
        <f t="shared" si="19"/>
        <v>0</v>
      </c>
      <c r="G172" s="37">
        <f t="shared" si="19"/>
        <v>0</v>
      </c>
      <c r="H172" s="37">
        <f t="shared" si="20"/>
        <v>0</v>
      </c>
      <c r="I172" s="38">
        <f t="shared" si="16"/>
        <v>20.833333333333332</v>
      </c>
      <c r="J172" s="39">
        <v>20.8</v>
      </c>
      <c r="K172" s="40"/>
      <c r="L172" s="41"/>
      <c r="M172" s="41"/>
      <c r="N172" s="42" t="s">
        <v>50</v>
      </c>
    </row>
    <row r="173" spans="1:14" ht="15" customHeight="1">
      <c r="A173" s="118" t="s">
        <v>347</v>
      </c>
      <c r="B173" s="122"/>
      <c r="C173" s="35">
        <v>5800</v>
      </c>
      <c r="D173" s="35"/>
      <c r="E173" s="36"/>
      <c r="F173" s="112">
        <f t="shared" si="19"/>
        <v>0</v>
      </c>
      <c r="G173" s="37">
        <f t="shared" si="19"/>
        <v>11.6</v>
      </c>
      <c r="H173" s="37">
        <f t="shared" si="20"/>
        <v>0</v>
      </c>
      <c r="I173" s="38">
        <f t="shared" si="16"/>
        <v>0</v>
      </c>
      <c r="J173" s="39">
        <v>11.6</v>
      </c>
      <c r="K173" s="40"/>
      <c r="L173" s="41" t="s">
        <v>348</v>
      </c>
      <c r="M173" s="41"/>
      <c r="N173" s="42"/>
    </row>
    <row r="174" spans="1:14" ht="15" customHeight="1">
      <c r="A174" s="118" t="s">
        <v>349</v>
      </c>
      <c r="B174" s="122"/>
      <c r="C174" s="35">
        <v>21900</v>
      </c>
      <c r="D174" s="35">
        <v>24000</v>
      </c>
      <c r="E174" s="36">
        <v>24300</v>
      </c>
      <c r="F174" s="112">
        <f t="shared" si="19"/>
        <v>0</v>
      </c>
      <c r="G174" s="37">
        <f t="shared" si="19"/>
        <v>43.8</v>
      </c>
      <c r="H174" s="37">
        <f t="shared" si="20"/>
        <v>40</v>
      </c>
      <c r="I174" s="38">
        <f t="shared" si="16"/>
        <v>40.5</v>
      </c>
      <c r="J174" s="39">
        <v>40</v>
      </c>
      <c r="K174" s="40"/>
      <c r="L174" s="41" t="s">
        <v>74</v>
      </c>
      <c r="M174" s="46"/>
      <c r="N174" s="42" t="s">
        <v>98</v>
      </c>
    </row>
    <row r="175" spans="1:14" ht="15" customHeight="1">
      <c r="A175" s="118" t="s">
        <v>350</v>
      </c>
      <c r="B175" s="122"/>
      <c r="C175" s="35">
        <v>13800</v>
      </c>
      <c r="D175" s="35"/>
      <c r="E175" s="36">
        <v>17600</v>
      </c>
      <c r="F175" s="112">
        <f t="shared" si="19"/>
        <v>0</v>
      </c>
      <c r="G175" s="37">
        <f t="shared" si="19"/>
        <v>27.6</v>
      </c>
      <c r="H175" s="37">
        <f t="shared" si="20"/>
        <v>0</v>
      </c>
      <c r="I175" s="38">
        <f t="shared" si="16"/>
        <v>29.333333333333332</v>
      </c>
      <c r="J175" s="39">
        <v>28.5</v>
      </c>
      <c r="K175" s="40"/>
      <c r="L175" s="41" t="s">
        <v>274</v>
      </c>
      <c r="M175" s="41"/>
      <c r="N175" s="42" t="s">
        <v>351</v>
      </c>
    </row>
    <row r="176" spans="1:14" ht="15" customHeight="1">
      <c r="A176" s="118" t="s">
        <v>352</v>
      </c>
      <c r="B176" s="122"/>
      <c r="C176" s="35">
        <v>11000</v>
      </c>
      <c r="D176" s="35"/>
      <c r="E176" s="36">
        <v>11000</v>
      </c>
      <c r="F176" s="112">
        <f t="shared" si="19"/>
        <v>0</v>
      </c>
      <c r="G176" s="37">
        <f t="shared" si="19"/>
        <v>22</v>
      </c>
      <c r="H176" s="37">
        <f t="shared" si="20"/>
        <v>0</v>
      </c>
      <c r="I176" s="38">
        <f>E176/500</f>
        <v>22</v>
      </c>
      <c r="J176" s="39">
        <v>22</v>
      </c>
      <c r="K176" s="40"/>
      <c r="L176" s="41" t="s">
        <v>353</v>
      </c>
      <c r="M176" s="41"/>
      <c r="N176" s="42" t="s">
        <v>354</v>
      </c>
    </row>
    <row r="177" spans="1:14" ht="15" customHeight="1">
      <c r="A177" s="118" t="s">
        <v>355</v>
      </c>
      <c r="B177" s="122"/>
      <c r="C177" s="35">
        <v>11300</v>
      </c>
      <c r="D177" s="35"/>
      <c r="E177" s="36">
        <v>14200</v>
      </c>
      <c r="F177" s="112">
        <f t="shared" si="19"/>
        <v>0</v>
      </c>
      <c r="G177" s="37">
        <f t="shared" si="19"/>
        <v>22.6</v>
      </c>
      <c r="H177" s="37">
        <f t="shared" si="20"/>
        <v>0</v>
      </c>
      <c r="I177" s="38">
        <f t="shared" si="20"/>
        <v>23.666666666666668</v>
      </c>
      <c r="J177" s="39">
        <v>22.6</v>
      </c>
      <c r="K177" s="40"/>
      <c r="L177" s="41" t="s">
        <v>50</v>
      </c>
      <c r="M177" s="41"/>
      <c r="N177" s="42" t="s">
        <v>50</v>
      </c>
    </row>
    <row r="178" spans="1:14" ht="15" customHeight="1">
      <c r="A178" s="118" t="s">
        <v>356</v>
      </c>
      <c r="B178" s="122"/>
      <c r="C178" s="35"/>
      <c r="D178" s="35">
        <v>8500</v>
      </c>
      <c r="E178" s="36"/>
      <c r="F178" s="112">
        <f t="shared" si="19"/>
        <v>0</v>
      </c>
      <c r="G178" s="37">
        <f t="shared" si="19"/>
        <v>0</v>
      </c>
      <c r="H178" s="37">
        <f t="shared" si="20"/>
        <v>14.166666666666666</v>
      </c>
      <c r="I178" s="38">
        <f t="shared" si="20"/>
        <v>0</v>
      </c>
      <c r="J178" s="39">
        <v>14.2</v>
      </c>
      <c r="K178" s="40"/>
      <c r="L178" s="41"/>
      <c r="M178" s="41"/>
      <c r="N178" s="42"/>
    </row>
    <row r="179" spans="1:14" ht="15" customHeight="1">
      <c r="A179" s="118" t="s">
        <v>357</v>
      </c>
      <c r="B179" s="122"/>
      <c r="C179" s="35">
        <v>3300</v>
      </c>
      <c r="D179" s="35">
        <v>5800</v>
      </c>
      <c r="E179" s="36">
        <v>4400</v>
      </c>
      <c r="F179" s="112">
        <f t="shared" si="19"/>
        <v>0</v>
      </c>
      <c r="G179" s="37">
        <f t="shared" si="19"/>
        <v>6.6</v>
      </c>
      <c r="H179" s="37">
        <f t="shared" si="20"/>
        <v>9.6666666666666661</v>
      </c>
      <c r="I179" s="38">
        <f t="shared" si="20"/>
        <v>7.333333333333333</v>
      </c>
      <c r="J179" s="39">
        <v>7.3</v>
      </c>
      <c r="K179" s="40"/>
      <c r="L179" s="41"/>
      <c r="M179" s="41" t="s">
        <v>358</v>
      </c>
      <c r="N179" s="42" t="s">
        <v>98</v>
      </c>
    </row>
    <row r="180" spans="1:14" ht="15" customHeight="1">
      <c r="A180" s="118" t="s">
        <v>359</v>
      </c>
      <c r="B180" s="122"/>
      <c r="C180" s="35"/>
      <c r="D180" s="35"/>
      <c r="E180" s="36"/>
      <c r="F180" s="112">
        <f t="shared" si="19"/>
        <v>0</v>
      </c>
      <c r="G180" s="37">
        <f t="shared" si="19"/>
        <v>0</v>
      </c>
      <c r="H180" s="37">
        <f t="shared" si="20"/>
        <v>0</v>
      </c>
      <c r="I180" s="38">
        <f t="shared" si="20"/>
        <v>0</v>
      </c>
      <c r="K180" s="40"/>
      <c r="L180" s="41"/>
      <c r="M180" s="41"/>
      <c r="N180" s="42"/>
    </row>
    <row r="181" spans="1:14" ht="15" customHeight="1">
      <c r="A181" s="118" t="s">
        <v>360</v>
      </c>
      <c r="B181" s="122"/>
      <c r="C181" s="35"/>
      <c r="D181" s="35"/>
      <c r="E181" s="36"/>
      <c r="F181" s="112">
        <f t="shared" ref="F181:G186" si="21">B181/500</f>
        <v>0</v>
      </c>
      <c r="G181" s="37">
        <f t="shared" si="21"/>
        <v>0</v>
      </c>
      <c r="H181" s="37">
        <f t="shared" si="20"/>
        <v>0</v>
      </c>
      <c r="I181" s="38">
        <f t="shared" si="20"/>
        <v>0</v>
      </c>
      <c r="K181" s="40"/>
      <c r="L181" s="41"/>
      <c r="M181" s="41"/>
      <c r="N181" s="42"/>
    </row>
    <row r="182" spans="1:14" ht="15" customHeight="1">
      <c r="A182" s="118" t="s">
        <v>361</v>
      </c>
      <c r="B182" s="122"/>
      <c r="C182" s="35">
        <v>5800</v>
      </c>
      <c r="D182" s="35">
        <v>7000</v>
      </c>
      <c r="E182" s="36"/>
      <c r="F182" s="112">
        <f t="shared" si="21"/>
        <v>0</v>
      </c>
      <c r="G182" s="37">
        <f t="shared" si="21"/>
        <v>11.6</v>
      </c>
      <c r="H182" s="37">
        <f t="shared" si="20"/>
        <v>11.666666666666666</v>
      </c>
      <c r="I182" s="38">
        <f t="shared" si="20"/>
        <v>0</v>
      </c>
      <c r="J182" s="39">
        <v>11.7</v>
      </c>
      <c r="K182" s="40"/>
      <c r="L182" s="41" t="s">
        <v>300</v>
      </c>
      <c r="M182" s="41"/>
      <c r="N182" s="42"/>
    </row>
    <row r="183" spans="1:14" ht="15" customHeight="1">
      <c r="A183" s="118" t="s">
        <v>362</v>
      </c>
      <c r="B183" s="122"/>
      <c r="C183" s="35"/>
      <c r="D183" s="35"/>
      <c r="E183" s="36"/>
      <c r="F183" s="112">
        <f t="shared" si="21"/>
        <v>0</v>
      </c>
      <c r="G183" s="37">
        <f t="shared" si="21"/>
        <v>0</v>
      </c>
      <c r="H183" s="37">
        <f t="shared" si="20"/>
        <v>0</v>
      </c>
      <c r="I183" s="38">
        <f t="shared" si="20"/>
        <v>0</v>
      </c>
      <c r="K183" s="40"/>
      <c r="L183" s="41"/>
      <c r="M183" s="41"/>
      <c r="N183" s="42"/>
    </row>
    <row r="184" spans="1:14" ht="15" customHeight="1" thickBot="1">
      <c r="A184" s="130" t="s">
        <v>363</v>
      </c>
      <c r="B184" s="123">
        <v>10800</v>
      </c>
      <c r="C184" s="48">
        <v>9500</v>
      </c>
      <c r="D184" s="48">
        <v>7500</v>
      </c>
      <c r="E184" s="49">
        <v>12700</v>
      </c>
      <c r="F184" s="72">
        <f t="shared" si="21"/>
        <v>21.6</v>
      </c>
      <c r="G184" s="50">
        <f t="shared" si="21"/>
        <v>19</v>
      </c>
      <c r="H184" s="50">
        <f t="shared" si="20"/>
        <v>12.5</v>
      </c>
      <c r="I184" s="59">
        <f t="shared" si="20"/>
        <v>21.166666666666668</v>
      </c>
      <c r="J184" s="51">
        <v>26</v>
      </c>
      <c r="K184" s="139"/>
      <c r="L184" s="52" t="s">
        <v>50</v>
      </c>
      <c r="M184" s="53"/>
      <c r="N184" s="61" t="s">
        <v>214</v>
      </c>
    </row>
    <row r="185" spans="1:14" ht="15" customHeight="1">
      <c r="A185" s="131" t="s">
        <v>364</v>
      </c>
      <c r="B185" s="125"/>
      <c r="C185" s="25">
        <v>13200</v>
      </c>
      <c r="D185" s="25">
        <v>15000</v>
      </c>
      <c r="E185" s="26">
        <v>16300</v>
      </c>
      <c r="F185" s="27">
        <f t="shared" si="21"/>
        <v>0</v>
      </c>
      <c r="G185" s="28">
        <f t="shared" si="21"/>
        <v>26.4</v>
      </c>
      <c r="H185" s="28">
        <f t="shared" si="20"/>
        <v>25</v>
      </c>
      <c r="I185" s="55">
        <f t="shared" si="20"/>
        <v>27.166666666666668</v>
      </c>
      <c r="J185" s="30">
        <v>23.7</v>
      </c>
      <c r="K185" s="31"/>
      <c r="L185" s="140" t="s">
        <v>50</v>
      </c>
      <c r="M185" s="33" t="s">
        <v>71</v>
      </c>
      <c r="N185" s="34" t="s">
        <v>52</v>
      </c>
    </row>
    <row r="186" spans="1:14" ht="15" customHeight="1">
      <c r="A186" s="141" t="s">
        <v>365</v>
      </c>
      <c r="B186" s="122"/>
      <c r="C186" s="35">
        <v>5500</v>
      </c>
      <c r="D186" s="35"/>
      <c r="E186" s="36"/>
      <c r="F186" s="112"/>
      <c r="G186" s="37">
        <f t="shared" si="21"/>
        <v>11</v>
      </c>
      <c r="H186" s="37"/>
      <c r="I186" s="38"/>
      <c r="J186" s="39">
        <v>11</v>
      </c>
      <c r="K186" s="136"/>
      <c r="L186" s="41" t="s">
        <v>366</v>
      </c>
      <c r="M186" s="132"/>
      <c r="N186" s="142"/>
    </row>
    <row r="187" spans="1:14" ht="15" customHeight="1" thickBot="1">
      <c r="A187" s="119" t="s">
        <v>367</v>
      </c>
      <c r="B187" s="123"/>
      <c r="C187" s="48">
        <v>10000</v>
      </c>
      <c r="D187" s="48">
        <v>10000</v>
      </c>
      <c r="E187" s="49">
        <v>10300</v>
      </c>
      <c r="F187" s="72">
        <f t="shared" ref="F187:G207" si="22">B187/500</f>
        <v>0</v>
      </c>
      <c r="G187" s="50">
        <f t="shared" ref="G187:I195" si="23">C187/600</f>
        <v>16.666666666666668</v>
      </c>
      <c r="H187" s="50">
        <f t="shared" si="23"/>
        <v>16.666666666666668</v>
      </c>
      <c r="I187" s="59">
        <f t="shared" si="23"/>
        <v>17.166666666666668</v>
      </c>
      <c r="J187" s="51"/>
      <c r="K187" s="60"/>
      <c r="L187" s="52" t="s">
        <v>120</v>
      </c>
      <c r="M187" s="53" t="s">
        <v>368</v>
      </c>
      <c r="N187" s="61" t="s">
        <v>369</v>
      </c>
    </row>
    <row r="188" spans="1:14" ht="15" customHeight="1">
      <c r="A188" s="129" t="s">
        <v>370</v>
      </c>
      <c r="B188" s="125"/>
      <c r="C188" s="25">
        <v>4700</v>
      </c>
      <c r="D188" s="25">
        <v>5500</v>
      </c>
      <c r="E188" s="26">
        <v>4700</v>
      </c>
      <c r="F188" s="27">
        <f t="shared" si="22"/>
        <v>0</v>
      </c>
      <c r="G188" s="28">
        <f t="shared" si="23"/>
        <v>7.833333333333333</v>
      </c>
      <c r="H188" s="28">
        <f t="shared" si="23"/>
        <v>9.1666666666666661</v>
      </c>
      <c r="I188" s="55">
        <f t="shared" si="23"/>
        <v>7.833333333333333</v>
      </c>
      <c r="J188" s="30">
        <v>9.1999999999999993</v>
      </c>
      <c r="K188" s="31"/>
      <c r="L188" s="32" t="s">
        <v>371</v>
      </c>
      <c r="M188" s="33" t="s">
        <v>372</v>
      </c>
      <c r="N188" s="34" t="s">
        <v>373</v>
      </c>
    </row>
    <row r="189" spans="1:14" ht="15" customHeight="1">
      <c r="A189" s="118" t="s">
        <v>374</v>
      </c>
      <c r="B189" s="122"/>
      <c r="C189" s="35">
        <v>21000</v>
      </c>
      <c r="D189" s="35">
        <v>25500</v>
      </c>
      <c r="E189" s="36">
        <v>25400</v>
      </c>
      <c r="F189" s="112">
        <f t="shared" si="22"/>
        <v>0</v>
      </c>
      <c r="G189" s="43">
        <f t="shared" si="23"/>
        <v>35</v>
      </c>
      <c r="H189" s="37">
        <f t="shared" si="23"/>
        <v>42.5</v>
      </c>
      <c r="I189" s="38">
        <f t="shared" si="23"/>
        <v>42.333333333333336</v>
      </c>
      <c r="J189" s="39">
        <v>35</v>
      </c>
      <c r="K189" s="40"/>
      <c r="L189" s="41" t="s">
        <v>375</v>
      </c>
      <c r="M189" s="41"/>
      <c r="N189" s="42" t="s">
        <v>98</v>
      </c>
    </row>
    <row r="190" spans="1:14" ht="15" customHeight="1">
      <c r="A190" s="118" t="s">
        <v>376</v>
      </c>
      <c r="B190" s="122"/>
      <c r="C190" s="35">
        <v>19000</v>
      </c>
      <c r="D190" s="35">
        <v>19200</v>
      </c>
      <c r="E190" s="36">
        <v>19200</v>
      </c>
      <c r="F190" s="112">
        <f t="shared" si="22"/>
        <v>0</v>
      </c>
      <c r="G190" s="37">
        <f>C190/500</f>
        <v>38</v>
      </c>
      <c r="H190" s="37">
        <f t="shared" si="23"/>
        <v>32</v>
      </c>
      <c r="I190" s="38">
        <f t="shared" si="23"/>
        <v>32</v>
      </c>
      <c r="J190" s="39">
        <v>32</v>
      </c>
      <c r="K190" s="40"/>
      <c r="L190" s="41"/>
      <c r="M190" s="41"/>
      <c r="N190" s="42"/>
    </row>
    <row r="191" spans="1:14" ht="15" customHeight="1">
      <c r="A191" s="118" t="s">
        <v>377</v>
      </c>
      <c r="B191" s="122"/>
      <c r="C191" s="35"/>
      <c r="D191" s="35"/>
      <c r="E191" s="36"/>
      <c r="F191" s="112">
        <f t="shared" si="22"/>
        <v>0</v>
      </c>
      <c r="G191" s="37">
        <f>C191/500</f>
        <v>0</v>
      </c>
      <c r="H191" s="37">
        <f t="shared" si="23"/>
        <v>0</v>
      </c>
      <c r="I191" s="38">
        <f t="shared" si="23"/>
        <v>0</v>
      </c>
      <c r="K191" s="40"/>
      <c r="L191" s="41"/>
      <c r="M191" s="41"/>
      <c r="N191" s="42"/>
    </row>
    <row r="192" spans="1:14" ht="15" customHeight="1" thickBot="1">
      <c r="A192" s="130" t="s">
        <v>378</v>
      </c>
      <c r="B192" s="123"/>
      <c r="C192" s="48">
        <v>5200</v>
      </c>
      <c r="D192" s="48"/>
      <c r="E192" s="49">
        <v>5600</v>
      </c>
      <c r="F192" s="72">
        <f t="shared" si="22"/>
        <v>0</v>
      </c>
      <c r="G192" s="58">
        <f>C192/600</f>
        <v>8.6666666666666661</v>
      </c>
      <c r="H192" s="50">
        <f t="shared" si="23"/>
        <v>0</v>
      </c>
      <c r="I192" s="59">
        <f t="shared" si="23"/>
        <v>9.3333333333333339</v>
      </c>
      <c r="J192" s="51">
        <v>8.6999999999999993</v>
      </c>
      <c r="K192" s="60"/>
      <c r="L192" s="52" t="s">
        <v>82</v>
      </c>
      <c r="M192" s="52"/>
      <c r="N192" s="61" t="s">
        <v>58</v>
      </c>
    </row>
    <row r="193" spans="1:14" ht="15" customHeight="1">
      <c r="A193" s="131" t="s">
        <v>379</v>
      </c>
      <c r="B193" s="125"/>
      <c r="C193" s="25">
        <v>4000</v>
      </c>
      <c r="D193" s="25">
        <v>5500</v>
      </c>
      <c r="E193" s="26">
        <v>5100</v>
      </c>
      <c r="F193" s="27">
        <f t="shared" si="22"/>
        <v>0</v>
      </c>
      <c r="G193" s="28">
        <f t="shared" si="22"/>
        <v>8</v>
      </c>
      <c r="H193" s="28">
        <f t="shared" si="23"/>
        <v>9.1666666666666661</v>
      </c>
      <c r="I193" s="55">
        <f t="shared" si="23"/>
        <v>8.5</v>
      </c>
      <c r="J193" s="30">
        <v>8</v>
      </c>
      <c r="K193" s="31"/>
      <c r="L193" s="32" t="s">
        <v>58</v>
      </c>
      <c r="M193" s="32"/>
      <c r="N193" s="34"/>
    </row>
    <row r="194" spans="1:14" ht="15" customHeight="1">
      <c r="A194" s="117" t="s">
        <v>380</v>
      </c>
      <c r="B194" s="122"/>
      <c r="C194" s="35">
        <v>5900</v>
      </c>
      <c r="D194" s="35">
        <v>6500</v>
      </c>
      <c r="E194" s="36">
        <v>6900</v>
      </c>
      <c r="F194" s="112">
        <f t="shared" si="22"/>
        <v>0</v>
      </c>
      <c r="G194" s="37">
        <f t="shared" si="22"/>
        <v>11.8</v>
      </c>
      <c r="H194" s="37">
        <f t="shared" si="23"/>
        <v>10.833333333333334</v>
      </c>
      <c r="I194" s="38">
        <f t="shared" si="23"/>
        <v>11.5</v>
      </c>
      <c r="J194" s="39">
        <v>12</v>
      </c>
      <c r="K194" s="40"/>
      <c r="L194" s="41"/>
      <c r="M194" s="46" t="s">
        <v>381</v>
      </c>
      <c r="N194" s="42" t="s">
        <v>382</v>
      </c>
    </row>
    <row r="195" spans="1:14" ht="15" customHeight="1">
      <c r="A195" s="117" t="s">
        <v>383</v>
      </c>
      <c r="B195" s="122"/>
      <c r="C195" s="35">
        <v>7200</v>
      </c>
      <c r="D195" s="35">
        <v>9500</v>
      </c>
      <c r="E195" s="36">
        <v>8600</v>
      </c>
      <c r="F195" s="112">
        <f t="shared" si="22"/>
        <v>0</v>
      </c>
      <c r="G195" s="37">
        <f t="shared" si="22"/>
        <v>14.4</v>
      </c>
      <c r="H195" s="37">
        <f t="shared" si="23"/>
        <v>15.833333333333334</v>
      </c>
      <c r="I195" s="95">
        <f t="shared" si="23"/>
        <v>14.333333333333334</v>
      </c>
      <c r="J195" s="39">
        <v>14.7</v>
      </c>
      <c r="K195" s="40"/>
      <c r="L195" s="110" t="s">
        <v>50</v>
      </c>
      <c r="M195" s="46" t="s">
        <v>384</v>
      </c>
      <c r="N195" s="42" t="s">
        <v>50</v>
      </c>
    </row>
    <row r="196" spans="1:14" ht="15" customHeight="1">
      <c r="A196" s="117" t="s">
        <v>385</v>
      </c>
      <c r="B196" s="122"/>
      <c r="C196" s="35"/>
      <c r="D196" s="35"/>
      <c r="E196" s="36">
        <v>39000</v>
      </c>
      <c r="F196" s="112">
        <f t="shared" si="22"/>
        <v>0</v>
      </c>
      <c r="G196" s="37">
        <f t="shared" si="22"/>
        <v>0</v>
      </c>
      <c r="H196" s="37">
        <f>D196/600</f>
        <v>0</v>
      </c>
      <c r="I196" s="38">
        <f>E196/1000</f>
        <v>39</v>
      </c>
      <c r="J196" s="39">
        <v>39</v>
      </c>
      <c r="K196" s="40"/>
      <c r="L196" s="41"/>
      <c r="M196" s="41"/>
      <c r="N196" s="42" t="s">
        <v>386</v>
      </c>
    </row>
    <row r="197" spans="1:14" ht="15" customHeight="1">
      <c r="A197" s="117" t="s">
        <v>387</v>
      </c>
      <c r="B197" s="122"/>
      <c r="C197" s="35">
        <v>12000</v>
      </c>
      <c r="D197" s="35">
        <v>6000</v>
      </c>
      <c r="E197" s="36">
        <v>15300</v>
      </c>
      <c r="F197" s="112">
        <f t="shared" si="22"/>
        <v>0</v>
      </c>
      <c r="G197" s="37">
        <f t="shared" si="22"/>
        <v>24</v>
      </c>
      <c r="H197" s="37">
        <f>D197/600</f>
        <v>10</v>
      </c>
      <c r="I197" s="38">
        <f t="shared" ref="I197:I207" si="24">E197/600</f>
        <v>25.5</v>
      </c>
      <c r="J197" s="39">
        <v>24</v>
      </c>
      <c r="K197" s="40"/>
      <c r="L197" s="41" t="s">
        <v>388</v>
      </c>
      <c r="M197" s="41" t="s">
        <v>281</v>
      </c>
      <c r="N197" s="42" t="s">
        <v>84</v>
      </c>
    </row>
    <row r="198" spans="1:14" ht="15" customHeight="1">
      <c r="A198" s="117" t="s">
        <v>389</v>
      </c>
      <c r="B198" s="122"/>
      <c r="C198" s="35">
        <v>14500</v>
      </c>
      <c r="D198" s="35">
        <v>37000</v>
      </c>
      <c r="E198" s="36">
        <v>35800</v>
      </c>
      <c r="F198" s="112">
        <f t="shared" si="22"/>
        <v>0</v>
      </c>
      <c r="G198" s="37">
        <f>C198/600</f>
        <v>24.166666666666668</v>
      </c>
      <c r="H198" s="37">
        <f>D198/600</f>
        <v>61.666666666666664</v>
      </c>
      <c r="I198" s="38">
        <f t="shared" si="24"/>
        <v>59.666666666666664</v>
      </c>
      <c r="J198" s="39">
        <v>59.7</v>
      </c>
      <c r="K198" s="40"/>
      <c r="L198" s="41"/>
      <c r="M198" s="46"/>
      <c r="N198" s="42"/>
    </row>
    <row r="199" spans="1:14" ht="15" customHeight="1">
      <c r="A199" s="117" t="s">
        <v>390</v>
      </c>
      <c r="B199" s="122"/>
      <c r="C199" s="35">
        <v>8800</v>
      </c>
      <c r="D199" s="35"/>
      <c r="E199" s="36">
        <v>10800</v>
      </c>
      <c r="F199" s="112">
        <f t="shared" si="22"/>
        <v>0</v>
      </c>
      <c r="G199" s="37">
        <f t="shared" si="22"/>
        <v>17.600000000000001</v>
      </c>
      <c r="H199" s="37">
        <f>D199/600</f>
        <v>0</v>
      </c>
      <c r="I199" s="38">
        <f t="shared" si="24"/>
        <v>18</v>
      </c>
      <c r="J199" s="39">
        <v>17.600000000000001</v>
      </c>
      <c r="K199" s="40"/>
      <c r="L199" s="41" t="s">
        <v>325</v>
      </c>
      <c r="M199" s="41"/>
      <c r="N199" s="42" t="s">
        <v>128</v>
      </c>
    </row>
    <row r="200" spans="1:14" ht="15" customHeight="1">
      <c r="A200" s="117" t="s">
        <v>391</v>
      </c>
      <c r="B200" s="122"/>
      <c r="C200" s="35">
        <v>19500</v>
      </c>
      <c r="D200" s="35">
        <v>30000</v>
      </c>
      <c r="E200" s="36">
        <v>26000</v>
      </c>
      <c r="F200" s="112">
        <f t="shared" si="22"/>
        <v>0</v>
      </c>
      <c r="G200" s="37">
        <f t="shared" si="22"/>
        <v>39</v>
      </c>
      <c r="H200" s="37">
        <f>D200/600</f>
        <v>50</v>
      </c>
      <c r="I200" s="38">
        <f t="shared" si="24"/>
        <v>43.333333333333336</v>
      </c>
      <c r="J200" s="39">
        <v>44.2</v>
      </c>
      <c r="K200" s="40"/>
      <c r="L200" s="41" t="s">
        <v>392</v>
      </c>
      <c r="M200" s="46" t="s">
        <v>393</v>
      </c>
      <c r="N200" s="42" t="s">
        <v>74</v>
      </c>
    </row>
    <row r="201" spans="1:14" ht="15" customHeight="1">
      <c r="A201" s="117" t="s">
        <v>394</v>
      </c>
      <c r="B201" s="122"/>
      <c r="C201" s="35"/>
      <c r="D201" s="35">
        <v>8500</v>
      </c>
      <c r="E201" s="36"/>
      <c r="F201" s="112">
        <f t="shared" si="22"/>
        <v>0</v>
      </c>
      <c r="G201" s="37">
        <f t="shared" si="22"/>
        <v>0</v>
      </c>
      <c r="H201" s="37">
        <f>D201/1000</f>
        <v>8.5</v>
      </c>
      <c r="I201" s="38">
        <f t="shared" si="24"/>
        <v>0</v>
      </c>
      <c r="K201" s="40"/>
      <c r="L201" s="41"/>
      <c r="M201" s="46" t="s">
        <v>395</v>
      </c>
      <c r="N201" s="42"/>
    </row>
    <row r="202" spans="1:14" ht="15" customHeight="1">
      <c r="A202" s="117" t="s">
        <v>396</v>
      </c>
      <c r="B202" s="122"/>
      <c r="C202" s="35">
        <v>9000</v>
      </c>
      <c r="D202" s="35">
        <v>9000</v>
      </c>
      <c r="E202" s="36">
        <v>13500</v>
      </c>
      <c r="F202" s="112">
        <f t="shared" si="22"/>
        <v>0</v>
      </c>
      <c r="G202" s="37">
        <f t="shared" si="22"/>
        <v>18</v>
      </c>
      <c r="H202" s="37">
        <f t="shared" ref="H202:H207" si="25">D202/600</f>
        <v>15</v>
      </c>
      <c r="I202" s="47">
        <f t="shared" si="24"/>
        <v>22.5</v>
      </c>
      <c r="J202" s="39">
        <v>22.5</v>
      </c>
      <c r="K202" s="40"/>
      <c r="L202" s="41"/>
      <c r="M202" s="46"/>
      <c r="N202" s="42" t="s">
        <v>397</v>
      </c>
    </row>
    <row r="203" spans="1:14" ht="15" customHeight="1">
      <c r="A203" s="117" t="s">
        <v>398</v>
      </c>
      <c r="B203" s="122"/>
      <c r="C203" s="35">
        <v>11000</v>
      </c>
      <c r="D203" s="35">
        <v>24000</v>
      </c>
      <c r="E203" s="36">
        <v>13400</v>
      </c>
      <c r="F203" s="112">
        <f t="shared" si="22"/>
        <v>0</v>
      </c>
      <c r="G203" s="43">
        <f t="shared" si="22"/>
        <v>22</v>
      </c>
      <c r="H203" s="37">
        <f t="shared" si="25"/>
        <v>40</v>
      </c>
      <c r="I203" s="47">
        <f t="shared" si="24"/>
        <v>22.333333333333332</v>
      </c>
      <c r="J203" s="39">
        <v>22</v>
      </c>
      <c r="K203" s="40"/>
      <c r="L203" s="110" t="s">
        <v>399</v>
      </c>
      <c r="M203" s="46" t="s">
        <v>400</v>
      </c>
      <c r="N203" s="42" t="s">
        <v>401</v>
      </c>
    </row>
    <row r="204" spans="1:14" ht="15" customHeight="1">
      <c r="A204" s="117" t="s">
        <v>402</v>
      </c>
      <c r="B204" s="122"/>
      <c r="C204" s="35">
        <v>68400</v>
      </c>
      <c r="D204" s="35">
        <v>85000</v>
      </c>
      <c r="E204" s="36">
        <v>84800</v>
      </c>
      <c r="F204" s="112">
        <f t="shared" si="22"/>
        <v>0</v>
      </c>
      <c r="G204" s="37">
        <f t="shared" si="22"/>
        <v>136.80000000000001</v>
      </c>
      <c r="H204" s="43">
        <f t="shared" si="25"/>
        <v>141.66666666666666</v>
      </c>
      <c r="I204" s="38">
        <f t="shared" si="24"/>
        <v>141.33333333333334</v>
      </c>
      <c r="J204" s="39">
        <v>136.80000000000001</v>
      </c>
      <c r="K204" s="40"/>
      <c r="L204" s="41" t="s">
        <v>403</v>
      </c>
      <c r="M204" s="57" t="s">
        <v>404</v>
      </c>
      <c r="N204" s="42" t="s">
        <v>269</v>
      </c>
    </row>
    <row r="205" spans="1:14" ht="15" customHeight="1">
      <c r="A205" s="117" t="s">
        <v>405</v>
      </c>
      <c r="B205" s="122"/>
      <c r="C205" s="35">
        <v>12800</v>
      </c>
      <c r="D205" s="35">
        <v>9500</v>
      </c>
      <c r="E205" s="36">
        <v>16600</v>
      </c>
      <c r="F205" s="112">
        <f t="shared" si="22"/>
        <v>0</v>
      </c>
      <c r="G205" s="37">
        <f t="shared" si="22"/>
        <v>25.6</v>
      </c>
      <c r="H205" s="37">
        <f t="shared" si="25"/>
        <v>15.833333333333334</v>
      </c>
      <c r="I205" s="38">
        <f t="shared" si="24"/>
        <v>27.666666666666668</v>
      </c>
      <c r="J205" s="39">
        <v>27.7</v>
      </c>
      <c r="K205" s="40"/>
      <c r="L205" s="41"/>
      <c r="M205" s="46" t="s">
        <v>406</v>
      </c>
      <c r="N205" s="42" t="s">
        <v>407</v>
      </c>
    </row>
    <row r="206" spans="1:14" ht="15" customHeight="1">
      <c r="A206" s="117" t="s">
        <v>408</v>
      </c>
      <c r="B206" s="122"/>
      <c r="C206" s="35"/>
      <c r="D206" s="35">
        <v>9500</v>
      </c>
      <c r="E206" s="36"/>
      <c r="F206" s="112">
        <f t="shared" si="22"/>
        <v>0</v>
      </c>
      <c r="G206" s="37">
        <f t="shared" si="22"/>
        <v>0</v>
      </c>
      <c r="H206" s="37">
        <f t="shared" si="25"/>
        <v>15.833333333333334</v>
      </c>
      <c r="I206" s="38">
        <f t="shared" si="24"/>
        <v>0</v>
      </c>
      <c r="K206" s="40"/>
      <c r="L206" s="41"/>
      <c r="M206" s="41"/>
      <c r="N206" s="42"/>
    </row>
    <row r="207" spans="1:14" ht="15" customHeight="1" thickBot="1">
      <c r="A207" s="119" t="s">
        <v>409</v>
      </c>
      <c r="B207" s="123"/>
      <c r="C207" s="48">
        <v>4500</v>
      </c>
      <c r="D207" s="48">
        <v>4500</v>
      </c>
      <c r="E207" s="49">
        <v>5400</v>
      </c>
      <c r="F207" s="72">
        <f t="shared" si="22"/>
        <v>0</v>
      </c>
      <c r="G207" s="50">
        <f t="shared" si="22"/>
        <v>9</v>
      </c>
      <c r="H207" s="50">
        <f t="shared" si="25"/>
        <v>7.5</v>
      </c>
      <c r="I207" s="73">
        <f t="shared" si="24"/>
        <v>9</v>
      </c>
      <c r="J207" s="51">
        <v>9</v>
      </c>
      <c r="K207" s="60"/>
      <c r="L207" s="52" t="s">
        <v>410</v>
      </c>
      <c r="M207" s="53" t="s">
        <v>411</v>
      </c>
      <c r="N207" s="61" t="s">
        <v>412</v>
      </c>
    </row>
    <row r="208" spans="1:14" ht="15" customHeight="1">
      <c r="A208" s="74"/>
      <c r="B208" s="75"/>
      <c r="C208" s="75"/>
      <c r="D208" s="75"/>
      <c r="E208" s="75"/>
      <c r="F208" s="76"/>
      <c r="G208" s="76"/>
      <c r="H208" s="76"/>
      <c r="I208" s="76"/>
      <c r="J208" s="77"/>
      <c r="K208" s="78"/>
      <c r="L208" s="78"/>
      <c r="M208" s="78"/>
      <c r="N208" s="78"/>
    </row>
    <row r="209" spans="1:14" ht="15" customHeight="1">
      <c r="A209" s="74"/>
      <c r="B209" s="75"/>
      <c r="C209" s="75"/>
      <c r="D209" s="75"/>
      <c r="E209" s="75"/>
      <c r="F209" s="76"/>
      <c r="G209" s="76"/>
      <c r="H209" s="76"/>
      <c r="I209" s="76"/>
      <c r="J209" s="77"/>
      <c r="K209" s="78"/>
      <c r="L209" s="78"/>
      <c r="M209" s="78"/>
      <c r="N209" s="78"/>
    </row>
    <row r="210" spans="1:14" ht="15" customHeight="1">
      <c r="A210" s="74"/>
      <c r="B210" s="75"/>
      <c r="C210" s="75"/>
      <c r="D210" s="75"/>
      <c r="E210" s="75"/>
      <c r="F210" s="76"/>
      <c r="G210" s="76"/>
      <c r="H210" s="76"/>
      <c r="I210" s="76"/>
      <c r="J210" s="77"/>
      <c r="K210" s="78"/>
      <c r="L210" s="78"/>
      <c r="M210" s="78"/>
      <c r="N210" s="78"/>
    </row>
    <row r="211" spans="1:14" ht="15" customHeight="1">
      <c r="A211" s="74"/>
      <c r="B211" s="75"/>
      <c r="C211" s="75"/>
      <c r="D211" s="75"/>
      <c r="E211" s="75"/>
      <c r="F211" s="76"/>
      <c r="G211" s="76"/>
      <c r="H211" s="76"/>
      <c r="I211" s="76"/>
      <c r="J211" s="77"/>
      <c r="K211" s="78"/>
      <c r="L211" s="78"/>
      <c r="M211" s="78"/>
      <c r="N211" s="78"/>
    </row>
    <row r="212" spans="1:14" ht="15" customHeight="1">
      <c r="A212" s="74"/>
      <c r="B212" s="75"/>
      <c r="C212" s="75"/>
      <c r="D212" s="75"/>
      <c r="E212" s="75"/>
      <c r="F212" s="76"/>
      <c r="G212" s="76"/>
      <c r="H212" s="76"/>
      <c r="I212" s="76"/>
      <c r="J212" s="77"/>
      <c r="K212" s="78"/>
      <c r="L212" s="78"/>
      <c r="M212" s="78"/>
      <c r="N212" s="78"/>
    </row>
    <row r="213" spans="1:14" ht="15" customHeight="1">
      <c r="A213" s="74"/>
      <c r="B213" s="75"/>
      <c r="C213" s="75"/>
      <c r="D213" s="75"/>
      <c r="E213" s="75"/>
      <c r="F213" s="76"/>
      <c r="G213" s="76"/>
      <c r="H213" s="76"/>
      <c r="I213" s="76"/>
      <c r="J213" s="77"/>
      <c r="K213" s="78"/>
      <c r="L213" s="78"/>
      <c r="M213" s="78"/>
      <c r="N213" s="78"/>
    </row>
    <row r="214" spans="1:14" ht="15" customHeight="1">
      <c r="A214" s="74"/>
      <c r="B214" s="75"/>
      <c r="C214" s="75"/>
      <c r="D214" s="75"/>
      <c r="E214" s="75"/>
      <c r="F214" s="76"/>
      <c r="G214" s="76"/>
      <c r="H214" s="76"/>
      <c r="I214" s="76"/>
      <c r="J214" s="77"/>
      <c r="K214" s="78"/>
      <c r="L214" s="78"/>
      <c r="M214" s="78"/>
      <c r="N214" s="78"/>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J2372"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dcterms:created xsi:type="dcterms:W3CDTF">2024-09-12T16:35:01Z</dcterms:created>
  <dcterms:modified xsi:type="dcterms:W3CDTF">2025-06-25T11:19:43Z</dcterms:modified>
  <cp:category/>
  <cp:contentStatus/>
</cp:coreProperties>
</file>