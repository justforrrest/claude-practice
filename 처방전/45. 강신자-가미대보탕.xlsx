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31" documentId="8_{6EB8DC0A-AB56-415F-A9F3-EA1534264548}" xr6:coauthVersionLast="47" xr6:coauthVersionMax="47" xr10:uidLastSave="{2B9B3EA9-2E7D-4C11-AFA5-2E3E1628FC09}"/>
  <bookViews>
    <workbookView xWindow="735" yWindow="30" windowWidth="16890" windowHeight="15450" xr2:uid="{8B9F1886-173A-4475-B0CF-D9F36CE30773}"/>
  </bookViews>
  <sheets>
    <sheet name="생간건비탕 (2)" sheetId="9" r:id="rId1"/>
    <sheet name="생간건비탕" sheetId="8" r:id="rId2"/>
    <sheet name="곽향정기산" sheetId="7" r:id="rId3"/>
    <sheet name="오약순기산가감" sheetId="6" r:id="rId4"/>
    <sheet name="청심보혈탕" sheetId="5" r:id="rId5"/>
    <sheet name="가미대보탕" sheetId="4" r:id="rId6"/>
    <sheet name="약재관리"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H30" i="9"/>
  <c r="F30" i="9"/>
  <c r="I30" i="9" s="1"/>
  <c r="H29" i="9"/>
  <c r="F29" i="9"/>
  <c r="I29" i="9" s="1"/>
  <c r="H28" i="9"/>
  <c r="F28" i="9"/>
  <c r="I28" i="9" s="1"/>
  <c r="H27" i="9"/>
  <c r="F27" i="9"/>
  <c r="I27" i="9" s="1"/>
  <c r="H26" i="9"/>
  <c r="F26" i="9"/>
  <c r="I26" i="9" s="1"/>
  <c r="H25" i="9"/>
  <c r="F25" i="9"/>
  <c r="I25" i="9" s="1"/>
  <c r="F24" i="9"/>
  <c r="G23" i="9"/>
  <c r="F23" i="9"/>
  <c r="G22" i="9"/>
  <c r="F22" i="9"/>
  <c r="G21" i="9"/>
  <c r="F21" i="9"/>
  <c r="G20" i="9"/>
  <c r="F20" i="9"/>
  <c r="G19" i="9"/>
  <c r="F19" i="9"/>
  <c r="L18" i="9"/>
  <c r="L19" i="9" s="1"/>
  <c r="L20" i="9" s="1"/>
  <c r="G18" i="9"/>
  <c r="F18" i="9"/>
  <c r="G17" i="9"/>
  <c r="F17" i="9"/>
  <c r="G16" i="9"/>
  <c r="F16" i="9"/>
  <c r="G15" i="9"/>
  <c r="F15" i="9"/>
  <c r="G14" i="9"/>
  <c r="F14" i="9"/>
  <c r="G13" i="9"/>
  <c r="F13" i="9"/>
  <c r="G12" i="9"/>
  <c r="F12" i="9"/>
  <c r="G11" i="9"/>
  <c r="F11" i="9"/>
  <c r="G10" i="9"/>
  <c r="F10" i="9"/>
  <c r="G9" i="9"/>
  <c r="F9" i="9"/>
  <c r="G8" i="9"/>
  <c r="F8" i="9"/>
  <c r="G7" i="9"/>
  <c r="F7" i="9"/>
  <c r="G6" i="9"/>
  <c r="F6" i="9"/>
  <c r="G5" i="9"/>
  <c r="F5" i="9"/>
  <c r="G4" i="9"/>
  <c r="F4" i="9"/>
  <c r="G3" i="9"/>
  <c r="F3" i="9"/>
  <c r="G2" i="9"/>
  <c r="F2" i="9"/>
  <c r="G24" i="8"/>
  <c r="H24" i="8" s="1"/>
  <c r="G23" i="8"/>
  <c r="H31" i="8"/>
  <c r="F31" i="8"/>
  <c r="I31" i="8" s="1"/>
  <c r="H30" i="8"/>
  <c r="F30" i="8"/>
  <c r="I30" i="8" s="1"/>
  <c r="H29" i="8"/>
  <c r="F29" i="8"/>
  <c r="I29" i="8" s="1"/>
  <c r="H28" i="8"/>
  <c r="F28" i="8"/>
  <c r="I28" i="8" s="1"/>
  <c r="I27" i="8"/>
  <c r="H27" i="8"/>
  <c r="F27" i="8"/>
  <c r="H26" i="8"/>
  <c r="F26" i="8"/>
  <c r="I26" i="8" s="1"/>
  <c r="H25" i="8"/>
  <c r="F25" i="8"/>
  <c r="I25" i="8" s="1"/>
  <c r="F24" i="8"/>
  <c r="F23" i="8"/>
  <c r="G22" i="8"/>
  <c r="F22" i="8"/>
  <c r="G21" i="8"/>
  <c r="H21" i="8" s="1"/>
  <c r="F21" i="8"/>
  <c r="G20" i="8"/>
  <c r="I20" i="8" s="1"/>
  <c r="F20" i="8"/>
  <c r="G19" i="8"/>
  <c r="F19" i="8"/>
  <c r="L18" i="8"/>
  <c r="L19" i="8" s="1"/>
  <c r="L20" i="8" s="1"/>
  <c r="G18" i="8"/>
  <c r="F18" i="8"/>
  <c r="G17" i="8"/>
  <c r="F17" i="8"/>
  <c r="G16" i="8"/>
  <c r="F16" i="8"/>
  <c r="G15" i="8"/>
  <c r="F15" i="8"/>
  <c r="G14" i="8"/>
  <c r="F14" i="8"/>
  <c r="G13" i="8"/>
  <c r="F13" i="8"/>
  <c r="G12" i="8"/>
  <c r="F12" i="8"/>
  <c r="G11" i="8"/>
  <c r="F11" i="8"/>
  <c r="G10" i="8"/>
  <c r="F10" i="8"/>
  <c r="G9" i="8"/>
  <c r="F9" i="8"/>
  <c r="G8" i="8"/>
  <c r="F8" i="8"/>
  <c r="G7" i="8"/>
  <c r="F7" i="8"/>
  <c r="G6" i="8"/>
  <c r="F6" i="8"/>
  <c r="G5" i="8"/>
  <c r="F5" i="8"/>
  <c r="G4" i="8"/>
  <c r="F4" i="8"/>
  <c r="G3" i="8"/>
  <c r="F3" i="8"/>
  <c r="G2" i="8"/>
  <c r="F2" i="8"/>
  <c r="G23" i="7"/>
  <c r="H23" i="7" s="1"/>
  <c r="G21" i="7"/>
  <c r="H21" i="7" s="1"/>
  <c r="G22" i="7"/>
  <c r="H22" i="7" s="1"/>
  <c r="G18" i="7"/>
  <c r="H18" i="7" s="1"/>
  <c r="G19" i="7"/>
  <c r="H19" i="7" s="1"/>
  <c r="G20" i="7"/>
  <c r="H20" i="7" s="1"/>
  <c r="I31" i="7"/>
  <c r="H31" i="7"/>
  <c r="F31" i="7"/>
  <c r="H30" i="7"/>
  <c r="F30" i="7"/>
  <c r="I30" i="7" s="1"/>
  <c r="H29" i="7"/>
  <c r="F29" i="7"/>
  <c r="I29" i="7" s="1"/>
  <c r="I28" i="7"/>
  <c r="H28" i="7"/>
  <c r="F28" i="7"/>
  <c r="H27" i="7"/>
  <c r="F27" i="7"/>
  <c r="I27" i="7" s="1"/>
  <c r="H26" i="7"/>
  <c r="F26" i="7"/>
  <c r="I26" i="7" s="1"/>
  <c r="H25" i="7"/>
  <c r="F25" i="7"/>
  <c r="I25" i="7" s="1"/>
  <c r="I24" i="7"/>
  <c r="H24" i="7"/>
  <c r="F24" i="7"/>
  <c r="F23" i="7"/>
  <c r="F22" i="7"/>
  <c r="F21" i="7"/>
  <c r="F20" i="7"/>
  <c r="F19" i="7"/>
  <c r="L18" i="7"/>
  <c r="L19" i="7" s="1"/>
  <c r="L20" i="7" s="1"/>
  <c r="F18" i="7"/>
  <c r="G17" i="7"/>
  <c r="F17" i="7"/>
  <c r="G16" i="7"/>
  <c r="F16" i="7"/>
  <c r="G15" i="7"/>
  <c r="F15" i="7"/>
  <c r="G14" i="7"/>
  <c r="F14" i="7"/>
  <c r="G13" i="7"/>
  <c r="F13" i="7"/>
  <c r="G12" i="7"/>
  <c r="F12" i="7"/>
  <c r="G11" i="7"/>
  <c r="F11" i="7"/>
  <c r="G10" i="7"/>
  <c r="F10" i="7"/>
  <c r="G9" i="7"/>
  <c r="F9" i="7"/>
  <c r="G8" i="7"/>
  <c r="F8" i="7"/>
  <c r="G7" i="7"/>
  <c r="F7" i="7"/>
  <c r="G6" i="7"/>
  <c r="F6" i="7"/>
  <c r="G5" i="7"/>
  <c r="F5" i="7"/>
  <c r="G4" i="7"/>
  <c r="F4" i="7"/>
  <c r="G3" i="7"/>
  <c r="F3" i="7"/>
  <c r="G2" i="7"/>
  <c r="F2" i="7"/>
  <c r="G23" i="6"/>
  <c r="H23" i="6" s="1"/>
  <c r="G24" i="6"/>
  <c r="H24" i="6" s="1"/>
  <c r="H25" i="6"/>
  <c r="G18" i="6"/>
  <c r="H18" i="6" s="1"/>
  <c r="G19" i="6"/>
  <c r="I19" i="6" s="1"/>
  <c r="G20" i="6"/>
  <c r="H20" i="6" s="1"/>
  <c r="G21" i="6"/>
  <c r="H21" i="6" s="1"/>
  <c r="G22" i="6"/>
  <c r="H22" i="6" s="1"/>
  <c r="I31" i="6"/>
  <c r="H31" i="6"/>
  <c r="F31" i="6"/>
  <c r="I30" i="6"/>
  <c r="H30" i="6"/>
  <c r="F30" i="6"/>
  <c r="I29" i="6"/>
  <c r="H29" i="6"/>
  <c r="F29" i="6"/>
  <c r="I28" i="6"/>
  <c r="H28" i="6"/>
  <c r="F28" i="6"/>
  <c r="I27" i="6"/>
  <c r="H27" i="6"/>
  <c r="F27" i="6"/>
  <c r="I26" i="6"/>
  <c r="H26" i="6"/>
  <c r="F26" i="6"/>
  <c r="F25" i="6"/>
  <c r="F24" i="6"/>
  <c r="F23" i="6"/>
  <c r="F22" i="6"/>
  <c r="F21" i="6"/>
  <c r="F20" i="6"/>
  <c r="F19" i="6"/>
  <c r="L18" i="6"/>
  <c r="L19" i="6" s="1"/>
  <c r="L20" i="6" s="1"/>
  <c r="F18" i="6"/>
  <c r="G17" i="6"/>
  <c r="F17" i="6"/>
  <c r="G16" i="6"/>
  <c r="I16" i="6" s="1"/>
  <c r="F16" i="6"/>
  <c r="G15" i="6"/>
  <c r="F15" i="6"/>
  <c r="G14" i="6"/>
  <c r="F14" i="6"/>
  <c r="G13" i="6"/>
  <c r="I13" i="6" s="1"/>
  <c r="F13" i="6"/>
  <c r="G12" i="6"/>
  <c r="F12" i="6"/>
  <c r="G11" i="6"/>
  <c r="F11" i="6"/>
  <c r="G10" i="6"/>
  <c r="F10" i="6"/>
  <c r="G9" i="6"/>
  <c r="F9" i="6"/>
  <c r="G8" i="6"/>
  <c r="F8" i="6"/>
  <c r="G7" i="6"/>
  <c r="F7" i="6"/>
  <c r="G6" i="6"/>
  <c r="F6" i="6"/>
  <c r="G5" i="6"/>
  <c r="F5" i="6"/>
  <c r="G4" i="6"/>
  <c r="F4" i="6"/>
  <c r="G3" i="6"/>
  <c r="F3" i="6"/>
  <c r="G2" i="6"/>
  <c r="F2" i="6"/>
  <c r="G17" i="5"/>
  <c r="G14" i="5"/>
  <c r="G15" i="5"/>
  <c r="G16" i="5"/>
  <c r="G12" i="5"/>
  <c r="G13" i="5"/>
  <c r="H31" i="5"/>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F22" i="5"/>
  <c r="F21" i="5"/>
  <c r="F20" i="5"/>
  <c r="H19" i="5"/>
  <c r="F19" i="5"/>
  <c r="L18" i="5"/>
  <c r="L19" i="5" s="1"/>
  <c r="L20" i="5" s="1"/>
  <c r="F18" i="5"/>
  <c r="F17" i="5"/>
  <c r="F16" i="5"/>
  <c r="F15" i="5"/>
  <c r="F14" i="5"/>
  <c r="F13" i="5"/>
  <c r="F12" i="5"/>
  <c r="G11" i="5"/>
  <c r="F11" i="5"/>
  <c r="G10" i="5"/>
  <c r="F10" i="5"/>
  <c r="G9" i="5"/>
  <c r="F9" i="5"/>
  <c r="G8" i="5"/>
  <c r="F8" i="5"/>
  <c r="G7" i="5"/>
  <c r="F7" i="5"/>
  <c r="G6" i="5"/>
  <c r="F6" i="5"/>
  <c r="G5" i="5"/>
  <c r="F5" i="5"/>
  <c r="G4" i="5"/>
  <c r="F4" i="5"/>
  <c r="G3" i="5"/>
  <c r="F3" i="5"/>
  <c r="G2" i="5"/>
  <c r="F2" i="5"/>
  <c r="G22" i="4"/>
  <c r="G21" i="4"/>
  <c r="G20" i="4"/>
  <c r="I26" i="3"/>
  <c r="H26" i="3"/>
  <c r="G26" i="3"/>
  <c r="F26" i="3"/>
  <c r="G2" i="4"/>
  <c r="I174" i="3"/>
  <c r="G40" i="3"/>
  <c r="L23" i="9" l="1"/>
  <c r="H24" i="9"/>
  <c r="I24" i="9"/>
  <c r="I23" i="9"/>
  <c r="H23" i="9"/>
  <c r="H22" i="9"/>
  <c r="I22" i="9"/>
  <c r="H21" i="9"/>
  <c r="I21" i="9"/>
  <c r="H20" i="9"/>
  <c r="I20" i="9"/>
  <c r="I19" i="9"/>
  <c r="H19" i="9"/>
  <c r="H18" i="9"/>
  <c r="I18" i="9"/>
  <c r="I17" i="9"/>
  <c r="H17" i="9"/>
  <c r="H16" i="9"/>
  <c r="I16" i="9"/>
  <c r="H15" i="9"/>
  <c r="I15" i="9"/>
  <c r="I14" i="9"/>
  <c r="H14" i="9"/>
  <c r="I13" i="9"/>
  <c r="H13" i="9"/>
  <c r="I12" i="9"/>
  <c r="H12" i="9"/>
  <c r="I11" i="9"/>
  <c r="H11" i="9"/>
  <c r="I10" i="9"/>
  <c r="H10" i="9"/>
  <c r="I9" i="9"/>
  <c r="H9" i="9"/>
  <c r="H8" i="9"/>
  <c r="I8" i="9"/>
  <c r="H7" i="9"/>
  <c r="I7" i="9"/>
  <c r="H6" i="9"/>
  <c r="I6" i="9"/>
  <c r="I5" i="9"/>
  <c r="H5" i="9"/>
  <c r="H4" i="9"/>
  <c r="I4" i="9"/>
  <c r="H3" i="9"/>
  <c r="I3" i="9"/>
  <c r="H2" i="9"/>
  <c r="I2" i="9"/>
  <c r="I24" i="8"/>
  <c r="I23" i="8"/>
  <c r="I22" i="8"/>
  <c r="I19" i="8"/>
  <c r="I18" i="8"/>
  <c r="I17" i="8"/>
  <c r="I16" i="8"/>
  <c r="I14" i="8"/>
  <c r="I13" i="8"/>
  <c r="I12" i="8"/>
  <c r="I11" i="8"/>
  <c r="I10" i="8"/>
  <c r="I8" i="8"/>
  <c r="I7" i="8"/>
  <c r="I6" i="8"/>
  <c r="I5" i="8"/>
  <c r="I4" i="8"/>
  <c r="I3" i="8"/>
  <c r="L23" i="8"/>
  <c r="I2" i="8"/>
  <c r="I9" i="8"/>
  <c r="I15" i="8"/>
  <c r="H20" i="8"/>
  <c r="I21" i="8"/>
  <c r="H4" i="8"/>
  <c r="H7" i="8"/>
  <c r="H10" i="8"/>
  <c r="H13" i="8"/>
  <c r="H16" i="8"/>
  <c r="H19" i="8"/>
  <c r="H22" i="8"/>
  <c r="H2" i="8"/>
  <c r="H5" i="8"/>
  <c r="H8" i="8"/>
  <c r="H11" i="8"/>
  <c r="H14" i="8"/>
  <c r="H17" i="8"/>
  <c r="H23" i="8"/>
  <c r="H3" i="8"/>
  <c r="H6" i="8"/>
  <c r="H9" i="8"/>
  <c r="H12" i="8"/>
  <c r="H15" i="8"/>
  <c r="H18" i="8"/>
  <c r="I23" i="7"/>
  <c r="I4" i="7"/>
  <c r="I16" i="7"/>
  <c r="I10" i="7"/>
  <c r="I18" i="7"/>
  <c r="I19" i="7"/>
  <c r="I20" i="7"/>
  <c r="I22" i="7"/>
  <c r="I21" i="7"/>
  <c r="I17" i="7"/>
  <c r="I15" i="7"/>
  <c r="I12" i="7"/>
  <c r="I11" i="7"/>
  <c r="I9" i="7"/>
  <c r="I7" i="7"/>
  <c r="I6" i="7"/>
  <c r="I5" i="7"/>
  <c r="I3" i="7"/>
  <c r="I2" i="7"/>
  <c r="I13" i="7"/>
  <c r="I14" i="7"/>
  <c r="I8" i="7"/>
  <c r="L23" i="7"/>
  <c r="H3" i="7"/>
  <c r="H6" i="7"/>
  <c r="H9" i="7"/>
  <c r="H12" i="7"/>
  <c r="H15" i="7"/>
  <c r="H4" i="7"/>
  <c r="H7" i="7"/>
  <c r="H10" i="7"/>
  <c r="H13" i="7"/>
  <c r="H16" i="7"/>
  <c r="H2" i="7"/>
  <c r="H5" i="7"/>
  <c r="H8" i="7"/>
  <c r="H11" i="7"/>
  <c r="H14" i="7"/>
  <c r="H17" i="7"/>
  <c r="I23" i="6"/>
  <c r="I24" i="6"/>
  <c r="I25" i="6"/>
  <c r="H19" i="6"/>
  <c r="I18" i="6"/>
  <c r="I20" i="6"/>
  <c r="I21" i="6"/>
  <c r="I22" i="6"/>
  <c r="I17" i="6"/>
  <c r="I15" i="6"/>
  <c r="L23" i="6"/>
  <c r="I14" i="6"/>
  <c r="I12" i="6"/>
  <c r="I11" i="6"/>
  <c r="I10" i="6"/>
  <c r="I9" i="6"/>
  <c r="I8" i="6"/>
  <c r="I7" i="6"/>
  <c r="I6" i="6"/>
  <c r="I5" i="6"/>
  <c r="I4" i="6"/>
  <c r="I3" i="6"/>
  <c r="I2" i="6"/>
  <c r="H3" i="6"/>
  <c r="H9" i="6"/>
  <c r="H12" i="6"/>
  <c r="H15" i="6"/>
  <c r="H6" i="6"/>
  <c r="H4" i="6"/>
  <c r="H7" i="6"/>
  <c r="H10" i="6"/>
  <c r="H13" i="6"/>
  <c r="H16" i="6"/>
  <c r="H2" i="6"/>
  <c r="H5" i="6"/>
  <c r="H8" i="6"/>
  <c r="H11" i="6"/>
  <c r="H14" i="6"/>
  <c r="H17" i="6"/>
  <c r="I4" i="5"/>
  <c r="I10" i="5"/>
  <c r="I16" i="5"/>
  <c r="I14" i="5"/>
  <c r="I9" i="5"/>
  <c r="I8" i="5"/>
  <c r="I3" i="5"/>
  <c r="I2" i="5"/>
  <c r="I12" i="5"/>
  <c r="I18" i="5"/>
  <c r="I11" i="5"/>
  <c r="I6" i="5"/>
  <c r="I7" i="5"/>
  <c r="I13" i="5"/>
  <c r="I17" i="5"/>
  <c r="L23" i="5"/>
  <c r="I5" i="5"/>
  <c r="I20" i="5"/>
  <c r="I22" i="5"/>
  <c r="I15" i="5"/>
  <c r="I21" i="5"/>
  <c r="I19" i="5"/>
  <c r="H21" i="5"/>
  <c r="H4" i="5"/>
  <c r="H7" i="5"/>
  <c r="H10" i="5"/>
  <c r="H13" i="5"/>
  <c r="H16" i="5"/>
  <c r="H22" i="5"/>
  <c r="H2" i="5"/>
  <c r="H5" i="5"/>
  <c r="H8" i="5"/>
  <c r="H11" i="5"/>
  <c r="H14" i="5"/>
  <c r="H17" i="5"/>
  <c r="H20" i="5"/>
  <c r="H3" i="5"/>
  <c r="H6" i="5"/>
  <c r="H9" i="5"/>
  <c r="H12" i="5"/>
  <c r="H15" i="5"/>
  <c r="H18" i="5"/>
  <c r="I63" i="3"/>
  <c r="G121" i="3"/>
  <c r="I121" i="3"/>
  <c r="H121" i="3"/>
  <c r="F121" i="3"/>
  <c r="F2" i="4"/>
  <c r="I52" i="3"/>
  <c r="H52" i="3"/>
  <c r="G52" i="3"/>
  <c r="F52" i="3"/>
  <c r="L31" i="9" l="1"/>
  <c r="L30" i="9"/>
  <c r="L31" i="8"/>
  <c r="L30" i="8"/>
  <c r="L31" i="7"/>
  <c r="L30" i="7"/>
  <c r="L31" i="6"/>
  <c r="L30" i="6"/>
  <c r="L31" i="5"/>
  <c r="L30" i="5"/>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<sst xmlns="http://schemas.openxmlformats.org/spreadsheetml/2006/main" count="935" uniqueCount="468">
  <si>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</si>
  <si>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</si>
  <si>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</si>
  <si>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</si>
  <si>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</si>
  <si>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</si>
  <si>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</si>
  <si>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</si>
  <si>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</si>
  <si>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</si>
  <si>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</si>
  <si>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</si>
  <si>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</si>
  <si>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</si>
  <si>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</si>
  <si>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</si>
  <si>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</si>
  <si>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</si>
  <si>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</si>
  <si>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</si>
  <si>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</si>
  <si>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</si>
  <si>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</si>
  <si>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</si>
  <si>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</si>
  <si>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</si>
  <si>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</si>
  <si>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</si>
  <si>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</si>
  <si>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</si>
  <si>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</si>
  <si>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</si>
  <si>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</si>
  <si>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</si>
  <si>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</si>
  <si>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</si>
  <si>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</si>
  <si>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</si>
  <si>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</si>
  <si>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</si>
  <si>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</si>
  <si>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</si>
  <si>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</si>
  <si>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</si>
  <si>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</si>
  <si>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</si>
  <si>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</si>
  <si>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</si>
  <si>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</si>
  <si>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</si>
  <si>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</si>
  <si>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</si>
  <si>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</si>
  <si>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</si>
  <si>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</si>
  <si>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</si>
  <si>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</si>
  <si>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</si>
  <si>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</si>
  <si>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</si>
  <si>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</si>
  <si>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</si>
  <si>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</si>
  <si>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</si>
  <si>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</si>
  <si>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</si>
  <si>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</si>
  <si>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</si>
  <si>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</si>
  <si>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</si>
  <si>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</si>
  <si>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</si>
  <si>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</si>
  <si>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</si>
  <si>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</si>
  <si>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</si>
  <si>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</si>
  <si>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</si>
  <si>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</si>
  <si>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</si>
  <si>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</si>
  <si>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</si>
  <si>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</si>
  <si>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</si>
  <si>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</si>
  <si>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</si>
  <si>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</si>
  <si>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</si>
  <si>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</si>
  <si>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</si>
  <si>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</si>
  <si>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</si>
  <si>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</si>
  <si>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</si>
  <si>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</si>
  <si>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</si>
  <si>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</si>
  <si>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</si>
  <si>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</si>
  <si>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</si>
  <si>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</si>
  <si>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</si>
  <si>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</si>
  <si>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</si>
  <si>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</si>
  <si>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</si>
  <si>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</si>
  <si>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</si>
  <si>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</si>
  <si>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</si>
  <si>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</si>
  <si>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</si>
  <si>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</si>
  <si>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</si>
  <si>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</si>
  <si>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</si>
  <si>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</si>
  <si>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</si>
  <si>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</si>
  <si>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</si>
  <si>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</si>
  <si>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</si>
  <si>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</si>
  <si>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</si>
  <si>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</si>
  <si>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</si>
  <si>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</si>
  <si>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</si>
  <si>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</si>
  <si>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</si>
  <si>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</si>
  <si>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</si>
  <si>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</si>
  <si>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</si>
  <si>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</si>
  <si>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</si>
  <si>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</si>
  <si>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</si>
  <si>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</si>
  <si>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</si>
  <si>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</si>
  <si>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</si>
  <si>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</si>
  <si>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</si>
  <si>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</si>
  <si>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</si>
  <si>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</si>
  <si>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</si>
  <si>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</si>
  <si>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</si>
  <si>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</si>
  <si>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</si>
  <si>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</si>
  <si>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</si>
  <si>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</si>
  <si>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</si>
  <si>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</si>
  <si>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</si>
  <si>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</si>
  <si>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</si>
  <si>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</si>
  <si>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</si>
  <si>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</si>
  <si>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</si>
  <si>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</si>
  <si>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</si>
  <si>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</si>
  <si>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</si>
  <si>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</si>
  <si>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</si>
  <si>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</si>
  <si>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</si>
  <si>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</si>
  <si>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</si>
  <si>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</si>
  <si>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</si>
  <si>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</si>
  <si>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</si>
  <si>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</si>
  <si>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</si>
  <si>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</si>
  <si>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</si>
  <si>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</si>
  <si>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</si>
  <si>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</si>
  <si>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</si>
  <si>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</si>
  <si>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</si>
  <si>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</si>
  <si>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</si>
  <si>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</si>
  <si>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</si>
  <si>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</si>
  <si>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</si>
  <si>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</si>
  <si>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</si>
  <si>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</si>
  <si>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</si>
  <si>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</si>
  <si>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</si>
  <si>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</si>
  <si>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</si>
  <si>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</si>
  <si>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</si>
  <si>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</si>
  <si>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</si>
  <si>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</si>
  <si>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</si>
  <si>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</si>
  <si>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</si>
  <si>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</si>
  <si>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</si>
  <si>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</si>
  <si>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</si>
  <si>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</si>
  <si>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</si>
  <si>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</si>
  <si>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</si>
  <si>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</si>
  <si>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</si>
  <si>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</si>
  <si>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</si>
  <si>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</si>
  <si>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</si>
  <si>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</si>
  <si>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</si>
  <si>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</si>
  <si>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</si>
  <si>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</si>
  <si>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</si>
  <si>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</si>
  <si>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</si>
  <si>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</si>
  <si>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</si>
  <si>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</si>
  <si>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</si>
  <si>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</si>
  <si>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</si>
  <si>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</si>
  <si>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</si>
  <si>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</si>
  <si>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</si>
  <si>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</si>
  <si>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</si>
  <si>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</si>
  <si>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</si>
  <si>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</si>
  <si>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</si>
  <si>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</si>
  <si>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</si>
  <si>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</si>
  <si>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</si>
  <si>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</si>
  <si>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</si>
  <si>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</si>
  <si>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</si>
  <si>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</si>
  <si>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</si>
  <si>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</si>
  <si>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</si>
  <si>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</si>
  <si>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</si>
  <si>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</si>
  <si>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</si>
  <si>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</si>
  <si>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</si>
  <si>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</si>
  <si>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</si>
  <si>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</si>
  <si>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</si>
  <si>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</si>
  <si>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</si>
  <si>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</si>
  <si>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</si>
  <si>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</si>
  <si>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</si>
  <si>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</si>
  <si>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</si>
  <si>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</si>
  <si>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</si>
  <si>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</si>
  <si>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</si>
  <si>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</si>
  <si>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</si>
  <si>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</si>
  <si>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</si>
  <si>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</si>
  <si>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</si>
  <si>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</si>
  <si>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</si>
  <si>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</si>
  <si>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</si>
  <si>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</si>
  <si>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</si>
  <si>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</si>
  <si>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</si>
  <si>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</si>
  <si>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</si>
  <si>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</si>
  <si>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</si>
  <si>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</si>
  <si>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</si>
  <si>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</si>
  <si>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</si>
  <si>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</si>
  <si>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</si>
  <si>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</si>
  <si>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</si>
  <si>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</si>
  <si>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</si>
  <si>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</si>
  <si>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</si>
  <si>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</si>
  <si>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</si>
  <si>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</si>
  <si>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</si>
  <si>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</si>
  <si>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</si>
  <si>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</si>
  <si>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</si>
  <si>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</si>
  <si>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</si>
  <si>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</si>
  <si>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</si>
  <si>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</si>
  <si>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</si>
  <si>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</si>
  <si>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</si>
  <si>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</si>
  <si>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</si>
  <si>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</si>
  <si>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</si>
  <si>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</si>
  <si>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</si>
  <si>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</si>
  <si>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</si>
  <si>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</si>
  <si>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</si>
  <si>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</si>
  <si>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</si>
  <si>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</si>
  <si>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</si>
  <si>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</si>
  <si>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</si>
  <si>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</si>
  <si>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</si>
  <si>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</si>
  <si>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</si>
  <si>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</si>
  <si>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</si>
  <si>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</si>
  <si>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</si>
  <si>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</si>
  <si>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</si>
  <si>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</si>
  <si>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</si>
  <si>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</si>
  <si>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</si>
  <si>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</si>
  <si>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</si>
  <si>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</si>
  <si>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</si>
  <si>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</si>
  <si>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</si>
  <si>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</si>
  <si>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</si>
  <si>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</si>
  <si>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</si>
  <si>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</si>
  <si>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</si>
  <si>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</si>
  <si>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</si>
  <si>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</si>
  <si>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</si>
  <si>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</si>
  <si>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</si>
  <si>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</si>
  <si>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</si>
  <si>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</si>
  <si>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</si>
  <si>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</si>
  <si>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</si>
  <si>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</si>
  <si>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</si>
  <si>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</si>
  <si>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</si>
  <si>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</si>
  <si>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</si>
  <si>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</si>
  <si>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</si>
  <si>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</si>
  <si>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</si>
  <si>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</si>
  <si>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</si>
  <si>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</si>
  <si>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</si>
  <si>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</si>
  <si>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</si>
  <si>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</si>
  <si>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</si>
  <si>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</si>
  <si>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</si>
  <si>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</si>
  <si>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</si>
  <si>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가미대보탕</t>
    <phoneticPr fontId="5" type="noConversion"/>
  </si>
  <si>
    <t>생지황</t>
    <phoneticPr fontId="5" type="noConversion"/>
  </si>
  <si>
    <t>당귀1</t>
    <phoneticPr fontId="5" type="noConversion"/>
  </si>
  <si>
    <t>천궁1</t>
    <phoneticPr fontId="5" type="noConversion"/>
  </si>
  <si>
    <t>생강</t>
    <phoneticPr fontId="5" type="noConversion"/>
  </si>
  <si>
    <t>원육</t>
    <phoneticPr fontId="5" type="noConversion"/>
  </si>
  <si>
    <t>황기</t>
    <phoneticPr fontId="5" type="noConversion"/>
  </si>
  <si>
    <t>복령</t>
    <phoneticPr fontId="5" type="noConversion"/>
  </si>
  <si>
    <t>창출1</t>
    <phoneticPr fontId="5" type="noConversion"/>
  </si>
  <si>
    <t>백작약</t>
    <phoneticPr fontId="5" type="noConversion"/>
  </si>
  <si>
    <t>향부자</t>
    <phoneticPr fontId="5" type="noConversion"/>
  </si>
  <si>
    <t>자소엽</t>
    <phoneticPr fontId="5" type="noConversion"/>
  </si>
  <si>
    <t>진피1</t>
    <phoneticPr fontId="5" type="noConversion"/>
  </si>
  <si>
    <t>육계</t>
    <phoneticPr fontId="5" type="noConversion"/>
  </si>
  <si>
    <t>사인</t>
    <phoneticPr fontId="5" type="noConversion"/>
  </si>
  <si>
    <t>산사</t>
    <phoneticPr fontId="5" type="noConversion"/>
  </si>
  <si>
    <t>신곡</t>
    <phoneticPr fontId="5" type="noConversion"/>
  </si>
  <si>
    <t>맥아</t>
    <phoneticPr fontId="5" type="noConversion"/>
  </si>
  <si>
    <t>구기자</t>
    <phoneticPr fontId="5" type="noConversion"/>
  </si>
  <si>
    <t>황련</t>
    <phoneticPr fontId="5" type="noConversion"/>
  </si>
  <si>
    <t>인삼</t>
    <phoneticPr fontId="5" type="noConversion"/>
  </si>
  <si>
    <t>녹용</t>
    <phoneticPr fontId="5" type="noConversion"/>
  </si>
  <si>
    <t>강신자</t>
    <phoneticPr fontId="5" type="noConversion"/>
  </si>
  <si>
    <t>F</t>
    <phoneticPr fontId="5" type="noConversion"/>
  </si>
  <si>
    <t>대추</t>
    <phoneticPr fontId="5" type="noConversion"/>
  </si>
  <si>
    <t>감초</t>
    <phoneticPr fontId="5" type="noConversion"/>
  </si>
  <si>
    <t>맥문동</t>
    <phoneticPr fontId="5" type="noConversion"/>
  </si>
  <si>
    <t>단삼</t>
    <phoneticPr fontId="5" type="noConversion"/>
  </si>
  <si>
    <t>청심보혈탕</t>
    <phoneticPr fontId="5" type="noConversion"/>
  </si>
  <si>
    <t xml:space="preserve">청심보혈탕 + 녹용, 단삼, 산사 신곡 맥아, 치자 대 황련
</t>
    <phoneticPr fontId="5" type="noConversion"/>
  </si>
  <si>
    <t>오약순기산</t>
    <phoneticPr fontId="5" type="noConversion"/>
  </si>
  <si>
    <t>오약</t>
    <phoneticPr fontId="5" type="noConversion"/>
  </si>
  <si>
    <t>길경</t>
    <phoneticPr fontId="5" type="noConversion"/>
  </si>
  <si>
    <t>지각</t>
    <phoneticPr fontId="5" type="noConversion"/>
  </si>
  <si>
    <t>계지</t>
    <phoneticPr fontId="5" type="noConversion"/>
  </si>
  <si>
    <t>건강</t>
    <phoneticPr fontId="5" type="noConversion"/>
  </si>
  <si>
    <t>홍화</t>
    <phoneticPr fontId="5" type="noConversion"/>
  </si>
  <si>
    <t>독활</t>
    <phoneticPr fontId="5" type="noConversion"/>
  </si>
  <si>
    <t xml:space="preserve">오약순기산 + 삼사, 원육 황련 당귀 작약 단삼 홍화 향부자 소엽
</t>
    <phoneticPr fontId="5" type="noConversion"/>
  </si>
  <si>
    <t>모과</t>
    <phoneticPr fontId="5" type="noConversion"/>
  </si>
  <si>
    <t>백출</t>
    <phoneticPr fontId="5" type="noConversion"/>
  </si>
  <si>
    <t>후박</t>
    <phoneticPr fontId="5" type="noConversion"/>
  </si>
  <si>
    <t>대복피</t>
    <phoneticPr fontId="5" type="noConversion"/>
  </si>
  <si>
    <t>곽향1</t>
    <phoneticPr fontId="5" type="noConversion"/>
  </si>
  <si>
    <t>방기1</t>
    <phoneticPr fontId="5" type="noConversion"/>
  </si>
  <si>
    <t>곽향정기산</t>
    <phoneticPr fontId="5" type="noConversion"/>
  </si>
  <si>
    <t>백지</t>
    <phoneticPr fontId="5" type="noConversion"/>
  </si>
  <si>
    <t>반하</t>
    <phoneticPr fontId="5" type="noConversion"/>
  </si>
  <si>
    <t>주초</t>
    <phoneticPr fontId="5" type="noConversion"/>
  </si>
  <si>
    <t>연교</t>
    <phoneticPr fontId="5" type="noConversion"/>
  </si>
  <si>
    <t xml:space="preserve">백지 대 우슬
+산사 신곡 맥아 사인 황련 연교 모과 녹용
</t>
    <phoneticPr fontId="5" type="noConversion"/>
  </si>
  <si>
    <t>생간건비탕</t>
    <phoneticPr fontId="5" type="noConversion"/>
  </si>
  <si>
    <t>인진</t>
    <phoneticPr fontId="5" type="noConversion"/>
  </si>
  <si>
    <t>저령</t>
    <phoneticPr fontId="5" type="noConversion"/>
  </si>
  <si>
    <t>목향</t>
    <phoneticPr fontId="5" type="noConversion"/>
  </si>
  <si>
    <t>나복자</t>
    <phoneticPr fontId="5" type="noConversion"/>
  </si>
  <si>
    <t>삼릉</t>
    <phoneticPr fontId="5" type="noConversion"/>
  </si>
  <si>
    <t>봉출</t>
    <phoneticPr fontId="5" type="noConversion"/>
  </si>
  <si>
    <t>청피</t>
    <phoneticPr fontId="5" type="noConversion"/>
  </si>
  <si>
    <t>죽여1</t>
    <phoneticPr fontId="5" type="noConversion"/>
  </si>
  <si>
    <t>용담초</t>
    <phoneticPr fontId="5" type="noConversion"/>
  </si>
  <si>
    <t>청간건비탕 + 지각 - 택사 + 죽여 맥문동</t>
    <phoneticPr fontId="5" type="noConversion"/>
  </si>
  <si>
    <t>택사1</t>
    <phoneticPr fontId="5" type="noConversion"/>
  </si>
  <si>
    <t>청간건비탕 + 지실 대 지각 + 맥문동</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</si>
</sst>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A641-3181-4C0F-B2CF-261FB9FBA0EF}">
  <sheetPr>
    <pageSetUpPr fitToPage="1"/>
  </sheetPr>
  <dimension ref="B1:M31"/>
  <sheetViews>
    <sheetView tabSelected="1" workbookViewId="0">
      <selection activeCell="D21" sqref="D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456</v>
      </c>
      <c r="D2" s="4"/>
      <c r="E2" s="88">
        <v>15</v>
      </c>
      <c r="F2" s="101">
        <f>E2*$L$15</f>
        <v>300</v>
      </c>
      <c r="G2">
        <f>VLOOKUP($C2,약재관리!A:J,10,FALSE)</f>
        <v>12</v>
      </c>
      <c r="H2" s="5">
        <f>G2*E2</f>
        <v>180</v>
      </c>
      <c r="I2" s="90">
        <f>G2*F2</f>
        <v>3600</v>
      </c>
      <c r="K2" s="7" t="s">
        <v>6</v>
      </c>
      <c r="L2" s="151">
        <v>45</v>
      </c>
      <c r="M2" s="152"/>
    </row>
    <row r="3" spans="2:13">
      <c r="B3" s="3">
        <v>2</v>
      </c>
      <c r="C3" t="s">
        <v>430</v>
      </c>
      <c r="D3" s="4"/>
      <c r="E3" s="88">
        <v>4</v>
      </c>
      <c r="F3" s="101">
        <f t="shared" ref="F3:F31" si="0">E3*$L$15</f>
        <v>80</v>
      </c>
      <c r="G3">
        <f>VLOOKUP($C3,약재관리!A:J,10,FALSE)</f>
        <v>44.3</v>
      </c>
      <c r="H3" s="5">
        <f t="shared" ref="H3:H31" si="1">G3*E3</f>
        <v>177.2</v>
      </c>
      <c r="I3" s="6">
        <f t="shared" ref="I3:I31" si="2">G3*F3</f>
        <v>3544</v>
      </c>
      <c r="K3" s="8" t="s">
        <v>7</v>
      </c>
      <c r="L3" s="146" t="s">
        <v>455</v>
      </c>
      <c r="M3" s="147"/>
    </row>
    <row r="4" spans="2:13">
      <c r="B4" s="3">
        <v>3</v>
      </c>
      <c r="C4" t="s">
        <v>419</v>
      </c>
      <c r="D4" s="4"/>
      <c r="E4" s="88">
        <v>4</v>
      </c>
      <c r="F4" s="101">
        <f t="shared" si="0"/>
        <v>80</v>
      </c>
      <c r="G4">
        <f>VLOOKUP($C4,약재관리!A:J,10,FALSE)</f>
        <v>7</v>
      </c>
      <c r="H4" s="5">
        <f t="shared" si="1"/>
        <v>28</v>
      </c>
      <c r="I4" s="6">
        <f t="shared" si="2"/>
        <v>560</v>
      </c>
      <c r="K4" s="8" t="s">
        <v>8</v>
      </c>
      <c r="L4" s="153">
        <v>46027</v>
      </c>
      <c r="M4" s="147"/>
    </row>
    <row r="5" spans="2:13">
      <c r="B5" s="3">
        <v>4</v>
      </c>
      <c r="C5" t="s">
        <v>421</v>
      </c>
      <c r="D5" s="4"/>
      <c r="E5" s="88">
        <v>4</v>
      </c>
      <c r="F5" s="101">
        <f t="shared" si="0"/>
        <v>80</v>
      </c>
      <c r="G5">
        <f>VLOOKUP($C5,약재관리!A:J,10,FALSE)</f>
        <v>7.5</v>
      </c>
      <c r="H5" s="5">
        <f t="shared" si="1"/>
        <v>30</v>
      </c>
      <c r="I5" s="6">
        <f t="shared" si="2"/>
        <v>600</v>
      </c>
      <c r="K5" s="8" t="s">
        <v>9</v>
      </c>
      <c r="L5" s="146" t="s">
        <v>426</v>
      </c>
      <c r="M5" s="147"/>
    </row>
    <row r="6" spans="2:13">
      <c r="B6" s="3">
        <v>5</v>
      </c>
      <c r="C6" t="s">
        <v>444</v>
      </c>
      <c r="D6" s="4"/>
      <c r="E6" s="88">
        <v>4</v>
      </c>
      <c r="F6" s="101">
        <f t="shared" si="0"/>
        <v>80</v>
      </c>
      <c r="G6">
        <f>VLOOKUP($C6,약재관리!A:J,10,FALSE)</f>
        <v>28.3</v>
      </c>
      <c r="H6" s="5">
        <f t="shared" si="1"/>
        <v>113.2</v>
      </c>
      <c r="I6" s="6">
        <f t="shared" si="2"/>
        <v>2264</v>
      </c>
      <c r="K6" s="8" t="s">
        <v>10</v>
      </c>
      <c r="L6" s="146" t="s">
        <v>427</v>
      </c>
      <c r="M6" s="147"/>
    </row>
    <row r="7" spans="2:13" ht="17.25" thickBot="1">
      <c r="B7" s="3">
        <v>6</v>
      </c>
      <c r="C7" t="s">
        <v>411</v>
      </c>
      <c r="D7" s="4"/>
      <c r="E7" s="88">
        <v>4</v>
      </c>
      <c r="F7" s="101">
        <f t="shared" si="0"/>
        <v>80</v>
      </c>
      <c r="G7">
        <f>VLOOKUP($C7,약재관리!A:J,10,FALSE)</f>
        <v>11</v>
      </c>
      <c r="H7" s="5">
        <f t="shared" si="1"/>
        <v>44</v>
      </c>
      <c r="I7" s="6">
        <f t="shared" si="2"/>
        <v>880</v>
      </c>
      <c r="K7" s="8" t="s">
        <v>11</v>
      </c>
      <c r="L7" s="154">
        <v>65</v>
      </c>
      <c r="M7" s="155"/>
    </row>
    <row r="8" spans="2:13" ht="17.25" thickBot="1">
      <c r="B8" s="3">
        <v>7</v>
      </c>
      <c r="C8" t="s">
        <v>445</v>
      </c>
      <c r="D8" s="4"/>
      <c r="E8" s="88">
        <v>4</v>
      </c>
      <c r="F8" s="101">
        <f t="shared" si="0"/>
        <v>80</v>
      </c>
      <c r="G8">
        <f>VLOOKUP($C8,약재관리!A:J,10,FALSE)</f>
        <v>8.8000000000000007</v>
      </c>
      <c r="H8" s="5">
        <f t="shared" si="1"/>
        <v>35.200000000000003</v>
      </c>
      <c r="I8" s="6">
        <f t="shared" si="2"/>
        <v>704</v>
      </c>
      <c r="K8" s="148" t="s">
        <v>12</v>
      </c>
      <c r="L8" s="149"/>
      <c r="M8" s="150"/>
    </row>
    <row r="9" spans="2:13">
      <c r="B9" s="3">
        <v>8</v>
      </c>
      <c r="C9" t="s">
        <v>416</v>
      </c>
      <c r="D9" s="4"/>
      <c r="E9" s="88">
        <v>4</v>
      </c>
      <c r="F9" s="101">
        <f t="shared" si="0"/>
        <v>80</v>
      </c>
      <c r="G9">
        <f>VLOOKUP($C9,약재관리!A:J,10,FALSE)</f>
        <v>17.600000000000001</v>
      </c>
      <c r="H9" s="5">
        <f t="shared" si="1"/>
        <v>70.400000000000006</v>
      </c>
      <c r="I9" s="6">
        <f t="shared" si="2"/>
        <v>1408</v>
      </c>
      <c r="K9" s="156" t="s">
        <v>467</v>
      </c>
      <c r="L9" s="157"/>
      <c r="M9" s="158"/>
    </row>
    <row r="10" spans="2:13">
      <c r="B10" s="3">
        <v>9</v>
      </c>
      <c r="C10" t="s">
        <v>466</v>
      </c>
      <c r="D10" s="4"/>
      <c r="E10" s="88">
        <v>8</v>
      </c>
      <c r="F10" s="101">
        <f t="shared" si="0"/>
        <v>160</v>
      </c>
      <c r="G10">
        <f>VLOOKUP($C10,약재관리!A:J,10,FALSE)</f>
        <v>23.7</v>
      </c>
      <c r="H10" s="5">
        <f t="shared" si="1"/>
        <v>189.6</v>
      </c>
      <c r="I10" s="6">
        <f t="shared" si="2"/>
        <v>3792</v>
      </c>
      <c r="K10" s="159"/>
      <c r="L10" s="160"/>
      <c r="M10" s="161"/>
    </row>
    <row r="11" spans="2:13">
      <c r="B11" s="3">
        <v>10</v>
      </c>
      <c r="C11" t="s">
        <v>420</v>
      </c>
      <c r="D11" s="4"/>
      <c r="E11" s="88">
        <v>3</v>
      </c>
      <c r="F11" s="101">
        <f t="shared" si="0"/>
        <v>60</v>
      </c>
      <c r="G11">
        <f>VLOOKUP($C11,약재관리!A:J,10,FALSE)</f>
        <v>8</v>
      </c>
      <c r="H11" s="5">
        <f t="shared" si="1"/>
        <v>24</v>
      </c>
      <c r="I11" s="6">
        <f t="shared" si="2"/>
        <v>480</v>
      </c>
      <c r="K11" s="159"/>
      <c r="L11" s="160"/>
      <c r="M11" s="161"/>
    </row>
    <row r="12" spans="2:13">
      <c r="B12" s="3">
        <v>11</v>
      </c>
      <c r="C12" t="s">
        <v>413</v>
      </c>
      <c r="D12" s="4"/>
      <c r="E12" s="88">
        <v>4</v>
      </c>
      <c r="F12" s="101">
        <f t="shared" si="0"/>
        <v>80</v>
      </c>
      <c r="G12">
        <f>VLOOKUP($C12,약재관리!A:J,10,FALSE)</f>
        <v>19.600000000000001</v>
      </c>
      <c r="H12" s="5">
        <f t="shared" si="1"/>
        <v>78.400000000000006</v>
      </c>
      <c r="I12" s="6">
        <f t="shared" si="2"/>
        <v>1568</v>
      </c>
      <c r="K12" s="159"/>
      <c r="L12" s="160"/>
      <c r="M12" s="161"/>
    </row>
    <row r="13" spans="2:13" ht="17.25" thickBot="1">
      <c r="B13" s="3">
        <v>12</v>
      </c>
      <c r="C13" t="s">
        <v>447</v>
      </c>
      <c r="D13" s="4"/>
      <c r="E13" s="88">
        <v>2</v>
      </c>
      <c r="F13" s="101">
        <f t="shared" si="0"/>
        <v>40</v>
      </c>
      <c r="G13">
        <f>VLOOKUP($C13,약재관리!A:J,10,FALSE)</f>
        <v>13.8</v>
      </c>
      <c r="H13" s="5">
        <f t="shared" si="1"/>
        <v>27.6</v>
      </c>
      <c r="I13" s="6">
        <f t="shared" si="2"/>
        <v>552</v>
      </c>
      <c r="K13" s="162"/>
      <c r="L13" s="163"/>
      <c r="M13" s="164"/>
    </row>
    <row r="14" spans="2:13">
      <c r="B14" s="3">
        <v>13</v>
      </c>
      <c r="C14" t="s">
        <v>429</v>
      </c>
      <c r="D14" s="4"/>
      <c r="E14" s="88">
        <v>2</v>
      </c>
      <c r="F14" s="101">
        <f t="shared" si="0"/>
        <v>40</v>
      </c>
      <c r="G14">
        <f>VLOOKUP($C14,약재관리!A:J,10,FALSE)</f>
        <v>28.3</v>
      </c>
      <c r="H14" s="5">
        <f t="shared" si="1"/>
        <v>56.6</v>
      </c>
      <c r="I14" s="6">
        <f t="shared" si="2"/>
        <v>1132</v>
      </c>
      <c r="K14" s="92" t="s">
        <v>13</v>
      </c>
      <c r="L14" s="9">
        <v>20</v>
      </c>
      <c r="M14" s="10" t="s">
        <v>14</v>
      </c>
    </row>
    <row r="15" spans="2:13">
      <c r="B15" s="3">
        <v>14</v>
      </c>
      <c r="C15" t="s">
        <v>458</v>
      </c>
      <c r="D15" s="4"/>
      <c r="E15" s="88">
        <v>3</v>
      </c>
      <c r="F15" s="101">
        <f t="shared" si="0"/>
        <v>60</v>
      </c>
      <c r="G15">
        <f>VLOOKUP($C15,약재관리!A:J,10,FALSE)</f>
        <v>9.8000000000000007</v>
      </c>
      <c r="H15" s="5">
        <f t="shared" si="1"/>
        <v>29.400000000000002</v>
      </c>
      <c r="I15" s="6">
        <f t="shared" si="2"/>
        <v>588</v>
      </c>
      <c r="K15" s="91" t="s">
        <v>15</v>
      </c>
      <c r="L15">
        <v>20</v>
      </c>
      <c r="M15" s="4" t="s">
        <v>16</v>
      </c>
    </row>
    <row r="16" spans="2:13">
      <c r="B16" s="3">
        <v>15</v>
      </c>
      <c r="C16" t="s">
        <v>418</v>
      </c>
      <c r="D16" s="4"/>
      <c r="E16" s="88">
        <v>3</v>
      </c>
      <c r="F16" s="101">
        <f t="shared" si="0"/>
        <v>60</v>
      </c>
      <c r="G16">
        <f>VLOOKUP($C16,약재관리!A:J,10,FALSE)</f>
        <v>21.8</v>
      </c>
      <c r="H16" s="5">
        <f t="shared" si="1"/>
        <v>65.400000000000006</v>
      </c>
      <c r="I16" s="6">
        <f t="shared" si="2"/>
        <v>1308</v>
      </c>
      <c r="K16" s="91" t="s">
        <v>17</v>
      </c>
      <c r="L16">
        <v>45</v>
      </c>
      <c r="M16" s="4" t="s">
        <v>18</v>
      </c>
    </row>
    <row r="17" spans="2:13" ht="17.25" thickBot="1">
      <c r="B17" s="3">
        <v>16</v>
      </c>
      <c r="C17" t="s">
        <v>459</v>
      </c>
      <c r="D17" s="4"/>
      <c r="E17" s="88">
        <v>4</v>
      </c>
      <c r="F17" s="101">
        <f t="shared" si="0"/>
        <v>80</v>
      </c>
      <c r="G17">
        <f>VLOOKUP($C17,약재관리!A:J,10,FALSE)</f>
        <v>6.7</v>
      </c>
      <c r="H17" s="5">
        <f t="shared" si="1"/>
        <v>26.8</v>
      </c>
      <c r="I17" s="6">
        <f t="shared" si="2"/>
        <v>536</v>
      </c>
      <c r="K17" s="14" t="s">
        <v>19</v>
      </c>
      <c r="L17" s="11">
        <v>100</v>
      </c>
      <c r="M17" s="12" t="s">
        <v>20</v>
      </c>
    </row>
    <row r="18" spans="2:13">
      <c r="B18" s="3">
        <v>17</v>
      </c>
      <c r="C18" t="s">
        <v>460</v>
      </c>
      <c r="D18" s="4"/>
      <c r="E18" s="88">
        <v>2</v>
      </c>
      <c r="F18" s="101">
        <f t="shared" si="0"/>
        <v>40</v>
      </c>
      <c r="G18">
        <f>VLOOKUP($C18,약재관리!A:J,10,FALSE)</f>
        <v>9.1999999999999993</v>
      </c>
      <c r="H18" s="5">
        <f t="shared" si="1"/>
        <v>18.399999999999999</v>
      </c>
      <c r="I18" s="6">
        <f t="shared" si="2"/>
        <v>368</v>
      </c>
      <c r="K18" s="92" t="s">
        <v>21</v>
      </c>
      <c r="L18" s="9">
        <f>SUM(E2:E31)</f>
        <v>89</v>
      </c>
      <c r="M18" s="10" t="s">
        <v>22</v>
      </c>
    </row>
    <row r="19" spans="2:13">
      <c r="B19" s="3">
        <v>18</v>
      </c>
      <c r="C19" t="s">
        <v>461</v>
      </c>
      <c r="D19" s="4"/>
      <c r="E19" s="88">
        <v>2</v>
      </c>
      <c r="F19" s="101">
        <f t="shared" si="0"/>
        <v>40</v>
      </c>
      <c r="G19">
        <f>VLOOKUP($C19,약재관리!A:J,10,FALSE)</f>
        <v>10.8</v>
      </c>
      <c r="H19" s="5">
        <f t="shared" si="1"/>
        <v>21.6</v>
      </c>
      <c r="I19" s="6">
        <f t="shared" si="2"/>
        <v>432</v>
      </c>
      <c r="K19" s="91" t="s">
        <v>23</v>
      </c>
      <c r="L19">
        <f>L15*L18</f>
        <v>1780</v>
      </c>
      <c r="M19" s="4" t="s">
        <v>22</v>
      </c>
    </row>
    <row r="20" spans="2:13" ht="17.25" thickBot="1">
      <c r="B20" s="3">
        <v>19</v>
      </c>
      <c r="C20" t="s">
        <v>437</v>
      </c>
      <c r="D20" s="4"/>
      <c r="E20" s="88">
        <v>4</v>
      </c>
      <c r="F20" s="101">
        <f t="shared" si="0"/>
        <v>80</v>
      </c>
      <c r="G20">
        <f>VLOOKUP($C20,약재관리!A:J,10,FALSE)</f>
        <v>10</v>
      </c>
      <c r="H20" s="5">
        <f t="shared" si="1"/>
        <v>40</v>
      </c>
      <c r="I20" s="6">
        <f t="shared" si="2"/>
        <v>800</v>
      </c>
      <c r="K20" s="14" t="s">
        <v>24</v>
      </c>
      <c r="L20" s="11">
        <f>L16*L17+L19</f>
        <v>6280</v>
      </c>
      <c r="M20" s="12" t="s">
        <v>20</v>
      </c>
    </row>
    <row r="21" spans="2:13" ht="17.25" thickBot="1">
      <c r="B21" s="3">
        <v>20</v>
      </c>
      <c r="C21" t="s">
        <v>462</v>
      </c>
      <c r="D21" s="4"/>
      <c r="E21" s="88">
        <v>3</v>
      </c>
      <c r="F21" s="101">
        <f t="shared" si="0"/>
        <v>60</v>
      </c>
      <c r="G21">
        <f>VLOOKUP($C21,약재관리!A:J,10,FALSE)</f>
        <v>7.3</v>
      </c>
      <c r="H21" s="5">
        <f t="shared" si="1"/>
        <v>21.9</v>
      </c>
      <c r="I21" s="6">
        <f t="shared" si="2"/>
        <v>438</v>
      </c>
      <c r="J21" s="91"/>
      <c r="M21" s="94"/>
    </row>
    <row r="22" spans="2:13" ht="17.25" thickBot="1">
      <c r="B22" s="3">
        <v>21</v>
      </c>
      <c r="C22" t="s">
        <v>408</v>
      </c>
      <c r="D22" s="4"/>
      <c r="E22" s="88">
        <v>4</v>
      </c>
      <c r="F22" s="101">
        <f t="shared" si="0"/>
        <v>80</v>
      </c>
      <c r="G22">
        <f>VLOOKUP($C22,약재관리!A:J,10,FALSE)</f>
        <v>15</v>
      </c>
      <c r="H22" s="5">
        <f t="shared" si="1"/>
        <v>60</v>
      </c>
      <c r="I22" s="6">
        <f t="shared" si="2"/>
        <v>1200</v>
      </c>
      <c r="K22" s="148" t="s">
        <v>385</v>
      </c>
      <c r="L22" s="149"/>
      <c r="M22" s="150"/>
    </row>
    <row r="23" spans="2:13">
      <c r="B23" s="3">
        <v>22</v>
      </c>
      <c r="C23" t="s">
        <v>425</v>
      </c>
      <c r="D23" s="4"/>
      <c r="E23" s="88">
        <v>2</v>
      </c>
      <c r="F23" s="101">
        <f t="shared" si="0"/>
        <v>40</v>
      </c>
      <c r="G23">
        <f>VLOOKUP($C23,약재관리!A:J,10,FALSE)</f>
        <v>463.3</v>
      </c>
      <c r="H23" s="5">
        <f t="shared" si="1"/>
        <v>926.6</v>
      </c>
      <c r="I23" s="6">
        <f t="shared" si="2"/>
        <v>18532</v>
      </c>
      <c r="K23" s="91" t="s">
        <v>379</v>
      </c>
      <c r="L23">
        <f>SUM(F2:F31)</f>
        <v>1780</v>
      </c>
      <c r="M23" s="4" t="s">
        <v>22</v>
      </c>
    </row>
    <row r="24" spans="2:13">
      <c r="B24" s="3">
        <v>23</v>
      </c>
      <c r="D24" s="4"/>
      <c r="F24" s="101">
        <f t="shared" si="0"/>
        <v>0</v>
      </c>
      <c r="H24" s="5">
        <f t="shared" si="1"/>
        <v>0</v>
      </c>
      <c r="I24" s="6">
        <f t="shared" si="2"/>
        <v>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2264.3000000000002</v>
      </c>
      <c r="M30" s="4" t="s">
        <v>383</v>
      </c>
    </row>
    <row r="31" spans="2:13" ht="17.25" thickBot="1">
      <c r="B31" s="13">
        <v>30</v>
      </c>
      <c r="C31" s="14"/>
      <c r="D31" s="12"/>
      <c r="E31" s="95"/>
      <c r="F31" s="102">
        <f t="shared" si="0"/>
        <v>0</v>
      </c>
      <c r="G31" s="14"/>
      <c r="H31" s="15">
        <f t="shared" si="1"/>
        <v>0</v>
      </c>
      <c r="I31" s="16">
        <f t="shared" si="2"/>
        <v>0</v>
      </c>
      <c r="K31" s="14" t="s">
        <v>382</v>
      </c>
      <c r="L31" s="15">
        <f>SUM(I2:I31)</f>
        <v>45286</v>
      </c>
      <c r="M31" s="12" t="s">
        <v>383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8FA8-2D68-47B0-B045-8058EB02E7A8}">
  <sheetPr>
    <pageSetUpPr fitToPage="1"/>
  </sheetPr>
  <dimension ref="B1:M31"/>
  <sheetViews>
    <sheetView workbookViewId="0">
      <selection activeCell="K18" sqref="K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456</v>
      </c>
      <c r="D2" s="4"/>
      <c r="E2" s="88">
        <v>15</v>
      </c>
      <c r="F2" s="101">
        <f>E2*$L$15</f>
        <v>300</v>
      </c>
      <c r="G2">
        <f>VLOOKUP($C2,약재관리!A:J,10,FALSE)</f>
        <v>12</v>
      </c>
      <c r="H2" s="5">
        <f>G2*E2</f>
        <v>180</v>
      </c>
      <c r="I2" s="90">
        <f>G2*F2</f>
        <v>3600</v>
      </c>
      <c r="K2" s="7" t="s">
        <v>6</v>
      </c>
      <c r="L2" s="151">
        <v>45</v>
      </c>
      <c r="M2" s="152"/>
    </row>
    <row r="3" spans="2:13">
      <c r="B3" s="3">
        <v>2</v>
      </c>
      <c r="C3" t="s">
        <v>430</v>
      </c>
      <c r="D3" s="4"/>
      <c r="E3" s="88">
        <v>4</v>
      </c>
      <c r="F3" s="101">
        <f t="shared" ref="F3:F31" si="0">E3*$L$15</f>
        <v>80</v>
      </c>
      <c r="G3">
        <f>VLOOKUP($C3,약재관리!A:J,10,FALSE)</f>
        <v>44.3</v>
      </c>
      <c r="H3" s="5">
        <f t="shared" ref="H3:H31" si="1">G3*E3</f>
        <v>177.2</v>
      </c>
      <c r="I3" s="6">
        <f t="shared" ref="I3:I31" si="2">G3*F3</f>
        <v>3544</v>
      </c>
      <c r="K3" s="8" t="s">
        <v>7</v>
      </c>
      <c r="L3" s="146" t="s">
        <v>455</v>
      </c>
      <c r="M3" s="147"/>
    </row>
    <row r="4" spans="2:13">
      <c r="B4" s="3">
        <v>3</v>
      </c>
      <c r="C4" t="s">
        <v>419</v>
      </c>
      <c r="D4" s="4"/>
      <c r="E4" s="88">
        <v>8</v>
      </c>
      <c r="F4" s="101">
        <f t="shared" si="0"/>
        <v>160</v>
      </c>
      <c r="G4">
        <f>VLOOKUP($C4,약재관리!A:J,10,FALSE)</f>
        <v>7</v>
      </c>
      <c r="H4" s="5">
        <f t="shared" si="1"/>
        <v>56</v>
      </c>
      <c r="I4" s="6">
        <f t="shared" si="2"/>
        <v>1120</v>
      </c>
      <c r="K4" s="8" t="s">
        <v>8</v>
      </c>
      <c r="L4" s="153">
        <v>45943</v>
      </c>
      <c r="M4" s="147"/>
    </row>
    <row r="5" spans="2:13">
      <c r="B5" s="3">
        <v>4</v>
      </c>
      <c r="C5" t="s">
        <v>421</v>
      </c>
      <c r="D5" s="4"/>
      <c r="E5" s="88">
        <v>8</v>
      </c>
      <c r="F5" s="101">
        <f t="shared" si="0"/>
        <v>160</v>
      </c>
      <c r="G5">
        <f>VLOOKUP($C5,약재관리!A:J,10,FALSE)</f>
        <v>7.5</v>
      </c>
      <c r="H5" s="5">
        <f t="shared" si="1"/>
        <v>60</v>
      </c>
      <c r="I5" s="6">
        <f t="shared" si="2"/>
        <v>1200</v>
      </c>
      <c r="K5" s="8" t="s">
        <v>9</v>
      </c>
      <c r="L5" s="146" t="s">
        <v>426</v>
      </c>
      <c r="M5" s="147"/>
    </row>
    <row r="6" spans="2:13">
      <c r="B6" s="3">
        <v>5</v>
      </c>
      <c r="C6" t="s">
        <v>444</v>
      </c>
      <c r="D6" s="4"/>
      <c r="E6" s="88">
        <v>8</v>
      </c>
      <c r="F6" s="101">
        <f t="shared" si="0"/>
        <v>160</v>
      </c>
      <c r="G6">
        <f>VLOOKUP($C6,약재관리!A:J,10,FALSE)</f>
        <v>28.3</v>
      </c>
      <c r="H6" s="5">
        <f t="shared" si="1"/>
        <v>226.4</v>
      </c>
      <c r="I6" s="6">
        <f t="shared" si="2"/>
        <v>4528</v>
      </c>
      <c r="K6" s="8" t="s">
        <v>10</v>
      </c>
      <c r="L6" s="146" t="s">
        <v>427</v>
      </c>
      <c r="M6" s="147"/>
    </row>
    <row r="7" spans="2:13" ht="17.25" thickBot="1">
      <c r="B7" s="3">
        <v>6</v>
      </c>
      <c r="C7" t="s">
        <v>411</v>
      </c>
      <c r="D7" s="4"/>
      <c r="E7" s="88">
        <v>4</v>
      </c>
      <c r="F7" s="101">
        <f t="shared" si="0"/>
        <v>80</v>
      </c>
      <c r="G7">
        <f>VLOOKUP($C7,약재관리!A:J,10,FALSE)</f>
        <v>11</v>
      </c>
      <c r="H7" s="5">
        <f t="shared" si="1"/>
        <v>44</v>
      </c>
      <c r="I7" s="6">
        <f t="shared" si="2"/>
        <v>880</v>
      </c>
      <c r="K7" s="8" t="s">
        <v>11</v>
      </c>
      <c r="L7" s="154">
        <v>65</v>
      </c>
      <c r="M7" s="155"/>
    </row>
    <row r="8" spans="2:13" ht="17.25" thickBot="1">
      <c r="B8" s="3">
        <v>7</v>
      </c>
      <c r="C8" t="s">
        <v>445</v>
      </c>
      <c r="D8" s="4"/>
      <c r="E8" s="88">
        <v>4</v>
      </c>
      <c r="F8" s="101">
        <f t="shared" si="0"/>
        <v>80</v>
      </c>
      <c r="G8">
        <f>VLOOKUP($C8,약재관리!A:J,10,FALSE)</f>
        <v>8.8000000000000007</v>
      </c>
      <c r="H8" s="5">
        <f t="shared" si="1"/>
        <v>35.200000000000003</v>
      </c>
      <c r="I8" s="6">
        <f t="shared" si="2"/>
        <v>704</v>
      </c>
      <c r="K8" s="148" t="s">
        <v>12</v>
      </c>
      <c r="L8" s="149"/>
      <c r="M8" s="150"/>
    </row>
    <row r="9" spans="2:13">
      <c r="B9" s="3">
        <v>8</v>
      </c>
      <c r="C9" t="s">
        <v>416</v>
      </c>
      <c r="D9" s="4"/>
      <c r="E9" s="88">
        <v>4</v>
      </c>
      <c r="F9" s="101">
        <f t="shared" si="0"/>
        <v>80</v>
      </c>
      <c r="G9">
        <f>VLOOKUP($C9,약재관리!A:J,10,FALSE)</f>
        <v>17.600000000000001</v>
      </c>
      <c r="H9" s="5">
        <f t="shared" si="1"/>
        <v>70.400000000000006</v>
      </c>
      <c r="I9" s="6">
        <f t="shared" si="2"/>
        <v>1408</v>
      </c>
      <c r="K9" s="156" t="s">
        <v>465</v>
      </c>
      <c r="L9" s="157"/>
      <c r="M9" s="158"/>
    </row>
    <row r="10" spans="2:13">
      <c r="B10" s="3">
        <v>9</v>
      </c>
      <c r="C10" t="s">
        <v>457</v>
      </c>
      <c r="D10" s="4"/>
      <c r="E10" s="88">
        <v>4</v>
      </c>
      <c r="F10" s="101">
        <f t="shared" si="0"/>
        <v>80</v>
      </c>
      <c r="G10">
        <f>VLOOKUP($C10,약재관리!A:J,10,FALSE)</f>
        <v>46.7</v>
      </c>
      <c r="H10" s="5">
        <f t="shared" si="1"/>
        <v>186.8</v>
      </c>
      <c r="I10" s="6">
        <f t="shared" si="2"/>
        <v>3736</v>
      </c>
      <c r="K10" s="159"/>
      <c r="L10" s="160"/>
      <c r="M10" s="161"/>
    </row>
    <row r="11" spans="2:13">
      <c r="B11" s="3">
        <v>10</v>
      </c>
      <c r="C11" t="s">
        <v>420</v>
      </c>
      <c r="D11" s="4"/>
      <c r="E11" s="88">
        <v>3</v>
      </c>
      <c r="F11" s="101">
        <f t="shared" si="0"/>
        <v>60</v>
      </c>
      <c r="G11">
        <f>VLOOKUP($C11,약재관리!A:J,10,FALSE)</f>
        <v>8</v>
      </c>
      <c r="H11" s="5">
        <f t="shared" si="1"/>
        <v>24</v>
      </c>
      <c r="I11" s="6">
        <f t="shared" si="2"/>
        <v>480</v>
      </c>
      <c r="K11" s="159"/>
      <c r="L11" s="160"/>
      <c r="M11" s="161"/>
    </row>
    <row r="12" spans="2:13">
      <c r="B12" s="3">
        <v>11</v>
      </c>
      <c r="C12" t="s">
        <v>464</v>
      </c>
      <c r="D12" s="4"/>
      <c r="E12" s="88">
        <v>3</v>
      </c>
      <c r="F12" s="101">
        <f t="shared" si="0"/>
        <v>60</v>
      </c>
      <c r="G12">
        <f>VLOOKUP($C12,약재관리!A:J,10,FALSE)</f>
        <v>55</v>
      </c>
      <c r="H12" s="5">
        <f t="shared" si="1"/>
        <v>165</v>
      </c>
      <c r="I12" s="6">
        <f t="shared" si="2"/>
        <v>3300</v>
      </c>
      <c r="K12" s="159"/>
      <c r="L12" s="160"/>
      <c r="M12" s="161"/>
    </row>
    <row r="13" spans="2:13" ht="17.25" thickBot="1">
      <c r="B13" s="3">
        <v>12</v>
      </c>
      <c r="C13" t="s">
        <v>447</v>
      </c>
      <c r="D13" s="4"/>
      <c r="E13" s="88">
        <v>2</v>
      </c>
      <c r="F13" s="101">
        <f t="shared" si="0"/>
        <v>40</v>
      </c>
      <c r="G13">
        <f>VLOOKUP($C13,약재관리!A:J,10,FALSE)</f>
        <v>13.8</v>
      </c>
      <c r="H13" s="5">
        <f t="shared" si="1"/>
        <v>27.6</v>
      </c>
      <c r="I13" s="6">
        <f t="shared" si="2"/>
        <v>552</v>
      </c>
      <c r="K13" s="162"/>
      <c r="L13" s="163"/>
      <c r="M13" s="164"/>
    </row>
    <row r="14" spans="2:13">
      <c r="B14" s="3">
        <v>13</v>
      </c>
      <c r="C14" t="s">
        <v>429</v>
      </c>
      <c r="D14" s="4"/>
      <c r="E14" s="88">
        <v>2</v>
      </c>
      <c r="F14" s="101">
        <f t="shared" si="0"/>
        <v>40</v>
      </c>
      <c r="G14">
        <f>VLOOKUP($C14,약재관리!A:J,10,FALSE)</f>
        <v>28.3</v>
      </c>
      <c r="H14" s="5">
        <f t="shared" si="1"/>
        <v>56.6</v>
      </c>
      <c r="I14" s="6">
        <f t="shared" si="2"/>
        <v>1132</v>
      </c>
      <c r="K14" s="92" t="s">
        <v>13</v>
      </c>
      <c r="L14" s="9">
        <v>15</v>
      </c>
      <c r="M14" s="10" t="s">
        <v>14</v>
      </c>
    </row>
    <row r="15" spans="2:13">
      <c r="B15" s="3">
        <v>14</v>
      </c>
      <c r="C15" t="s">
        <v>458</v>
      </c>
      <c r="D15" s="4"/>
      <c r="E15" s="88">
        <v>3</v>
      </c>
      <c r="F15" s="101">
        <f t="shared" si="0"/>
        <v>60</v>
      </c>
      <c r="G15">
        <f>VLOOKUP($C15,약재관리!A:J,10,FALSE)</f>
        <v>9.8000000000000007</v>
      </c>
      <c r="H15" s="5">
        <f t="shared" si="1"/>
        <v>29.400000000000002</v>
      </c>
      <c r="I15" s="6">
        <f t="shared" si="2"/>
        <v>588</v>
      </c>
      <c r="K15" s="91" t="s">
        <v>15</v>
      </c>
      <c r="L15">
        <v>20</v>
      </c>
      <c r="M15" s="4" t="s">
        <v>16</v>
      </c>
    </row>
    <row r="16" spans="2:13">
      <c r="B16" s="3">
        <v>15</v>
      </c>
      <c r="C16" t="s">
        <v>418</v>
      </c>
      <c r="D16" s="4"/>
      <c r="E16" s="88">
        <v>3</v>
      </c>
      <c r="F16" s="101">
        <f t="shared" si="0"/>
        <v>60</v>
      </c>
      <c r="G16">
        <f>VLOOKUP($C16,약재관리!A:J,10,FALSE)</f>
        <v>21.8</v>
      </c>
      <c r="H16" s="5">
        <f t="shared" si="1"/>
        <v>65.400000000000006</v>
      </c>
      <c r="I16" s="6">
        <f t="shared" si="2"/>
        <v>1308</v>
      </c>
      <c r="K16" s="91" t="s">
        <v>17</v>
      </c>
      <c r="L16">
        <v>45</v>
      </c>
      <c r="M16" s="4" t="s">
        <v>18</v>
      </c>
    </row>
    <row r="17" spans="2:13" ht="17.25" thickBot="1">
      <c r="B17" s="3">
        <v>16</v>
      </c>
      <c r="C17" t="s">
        <v>459</v>
      </c>
      <c r="D17" s="4"/>
      <c r="E17" s="88">
        <v>4</v>
      </c>
      <c r="F17" s="101">
        <f t="shared" si="0"/>
        <v>80</v>
      </c>
      <c r="G17">
        <f>VLOOKUP($C17,약재관리!A:J,10,FALSE)</f>
        <v>6.7</v>
      </c>
      <c r="H17" s="5">
        <f t="shared" si="1"/>
        <v>26.8</v>
      </c>
      <c r="I17" s="6">
        <f t="shared" si="2"/>
        <v>536</v>
      </c>
      <c r="K17" s="14" t="s">
        <v>19</v>
      </c>
      <c r="L17" s="11">
        <v>100</v>
      </c>
      <c r="M17" s="12" t="s">
        <v>20</v>
      </c>
    </row>
    <row r="18" spans="2:13">
      <c r="B18" s="3">
        <v>17</v>
      </c>
      <c r="C18" t="s">
        <v>460</v>
      </c>
      <c r="D18" s="4"/>
      <c r="E18" s="88">
        <v>2</v>
      </c>
      <c r="F18" s="101">
        <f t="shared" si="0"/>
        <v>40</v>
      </c>
      <c r="G18">
        <f>VLOOKUP($C18,약재관리!A:J,10,FALSE)</f>
        <v>9.1999999999999993</v>
      </c>
      <c r="H18" s="5">
        <f t="shared" si="1"/>
        <v>18.399999999999999</v>
      </c>
      <c r="I18" s="6">
        <f t="shared" si="2"/>
        <v>368</v>
      </c>
      <c r="K18" s="92" t="s">
        <v>21</v>
      </c>
      <c r="L18" s="9">
        <f>SUM(E2:E31)</f>
        <v>99</v>
      </c>
      <c r="M18" s="10" t="s">
        <v>22</v>
      </c>
    </row>
    <row r="19" spans="2:13">
      <c r="B19" s="3">
        <v>18</v>
      </c>
      <c r="C19" t="s">
        <v>461</v>
      </c>
      <c r="D19" s="4"/>
      <c r="E19" s="88">
        <v>2</v>
      </c>
      <c r="F19" s="101">
        <f t="shared" si="0"/>
        <v>40</v>
      </c>
      <c r="G19">
        <f>VLOOKUP($C19,약재관리!A:J,10,FALSE)</f>
        <v>10.8</v>
      </c>
      <c r="H19" s="5">
        <f t="shared" si="1"/>
        <v>21.6</v>
      </c>
      <c r="I19" s="6">
        <f t="shared" si="2"/>
        <v>432</v>
      </c>
      <c r="K19" s="91" t="s">
        <v>23</v>
      </c>
      <c r="L19">
        <f>L15*L18</f>
        <v>1980</v>
      </c>
      <c r="M19" s="4" t="s">
        <v>22</v>
      </c>
    </row>
    <row r="20" spans="2:13" ht="17.25" thickBot="1">
      <c r="B20" s="3">
        <v>19</v>
      </c>
      <c r="C20" t="s">
        <v>437</v>
      </c>
      <c r="D20" s="4"/>
      <c r="E20" s="88">
        <v>4</v>
      </c>
      <c r="F20" s="101">
        <f t="shared" si="0"/>
        <v>80</v>
      </c>
      <c r="G20">
        <f>VLOOKUP($C20,약재관리!A:J,10,FALSE)</f>
        <v>10</v>
      </c>
      <c r="H20" s="5">
        <f t="shared" si="1"/>
        <v>40</v>
      </c>
      <c r="I20" s="6">
        <f t="shared" si="2"/>
        <v>800</v>
      </c>
      <c r="K20" s="14" t="s">
        <v>24</v>
      </c>
      <c r="L20" s="11">
        <f>L16*L17+L19</f>
        <v>6480</v>
      </c>
      <c r="M20" s="12" t="s">
        <v>20</v>
      </c>
    </row>
    <row r="21" spans="2:13" ht="17.25" thickBot="1">
      <c r="B21" s="3">
        <v>20</v>
      </c>
      <c r="C21" t="s">
        <v>462</v>
      </c>
      <c r="D21" s="4"/>
      <c r="E21" s="88">
        <v>3</v>
      </c>
      <c r="F21" s="101">
        <f t="shared" si="0"/>
        <v>60</v>
      </c>
      <c r="G21">
        <f>VLOOKUP($C21,약재관리!A:J,10,FALSE)</f>
        <v>7.3</v>
      </c>
      <c r="H21" s="5">
        <f t="shared" si="1"/>
        <v>21.9</v>
      </c>
      <c r="I21" s="6">
        <f t="shared" si="2"/>
        <v>438</v>
      </c>
      <c r="J21" s="91"/>
      <c r="M21" s="94"/>
    </row>
    <row r="22" spans="2:13" ht="17.25" thickBot="1">
      <c r="B22" s="3">
        <v>21</v>
      </c>
      <c r="C22" t="s">
        <v>408</v>
      </c>
      <c r="D22" s="4"/>
      <c r="E22" s="88">
        <v>4</v>
      </c>
      <c r="F22" s="101">
        <f t="shared" si="0"/>
        <v>80</v>
      </c>
      <c r="G22">
        <f>VLOOKUP($C22,약재관리!A:J,10,FALSE)</f>
        <v>15</v>
      </c>
      <c r="H22" s="5">
        <f t="shared" si="1"/>
        <v>60</v>
      </c>
      <c r="I22" s="6">
        <f t="shared" si="2"/>
        <v>1200</v>
      </c>
      <c r="K22" s="148" t="s">
        <v>385</v>
      </c>
      <c r="L22" s="149"/>
      <c r="M22" s="150"/>
    </row>
    <row r="23" spans="2:13">
      <c r="B23" s="3">
        <v>22</v>
      </c>
      <c r="C23" t="s">
        <v>425</v>
      </c>
      <c r="D23" s="4"/>
      <c r="E23" s="88">
        <v>2</v>
      </c>
      <c r="F23" s="101">
        <f t="shared" si="0"/>
        <v>40</v>
      </c>
      <c r="G23">
        <f>VLOOKUP($C23,약재관리!A:J,10,FALSE)</f>
        <v>463.3</v>
      </c>
      <c r="H23" s="5">
        <f t="shared" si="1"/>
        <v>926.6</v>
      </c>
      <c r="I23" s="6">
        <f t="shared" si="2"/>
        <v>18532</v>
      </c>
      <c r="K23" s="91" t="s">
        <v>379</v>
      </c>
      <c r="L23">
        <f>SUM(F2:F31)</f>
        <v>1980</v>
      </c>
      <c r="M23" s="4" t="s">
        <v>22</v>
      </c>
    </row>
    <row r="24" spans="2:13">
      <c r="B24" s="3">
        <v>23</v>
      </c>
      <c r="C24" t="s">
        <v>463</v>
      </c>
      <c r="D24" s="4"/>
      <c r="E24" s="88">
        <v>3</v>
      </c>
      <c r="F24" s="101">
        <f t="shared" si="0"/>
        <v>60</v>
      </c>
      <c r="G24">
        <f>VLOOKUP($C24,약재관리!A:J,10,FALSE)</f>
        <v>15.4</v>
      </c>
      <c r="H24" s="5">
        <f t="shared" si="1"/>
        <v>46.2</v>
      </c>
      <c r="I24" s="6">
        <f t="shared" si="2"/>
        <v>924</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2565.5</v>
      </c>
      <c r="M30" s="4" t="s">
        <v>383</v>
      </c>
    </row>
    <row r="31" spans="2:13" ht="17.25" thickBot="1">
      <c r="B31" s="13">
        <v>30</v>
      </c>
      <c r="C31" s="14"/>
      <c r="D31" s="12"/>
      <c r="E31" s="95"/>
      <c r="F31" s="102">
        <f t="shared" si="0"/>
        <v>0</v>
      </c>
      <c r="G31" s="14"/>
      <c r="H31" s="15">
        <f t="shared" si="1"/>
        <v>0</v>
      </c>
      <c r="I31" s="16">
        <f t="shared" si="2"/>
        <v>0</v>
      </c>
      <c r="K31" s="14" t="s">
        <v>382</v>
      </c>
      <c r="L31" s="15">
        <f>SUM(I2:I31)</f>
        <v>51310</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8D08-279B-4417-8F92-F9BB0D9532A0}">
  <sheetPr>
    <pageSetUpPr fitToPage="1"/>
  </sheetPr>
  <dimension ref="B1:M31"/>
  <sheetViews>
    <sheetView workbookViewId="0">
      <selection activeCell="G22" sqref="G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447</v>
      </c>
      <c r="D2" s="4"/>
      <c r="E2" s="88">
        <v>6</v>
      </c>
      <c r="F2" s="101">
        <f>E2*$L$15</f>
        <v>120</v>
      </c>
      <c r="G2">
        <f>VLOOKUP($C2,약재관리!A:J,10,FALSE)</f>
        <v>13.8</v>
      </c>
      <c r="H2" s="5">
        <f>G2*E2</f>
        <v>82.800000000000011</v>
      </c>
      <c r="I2" s="90">
        <f>G2*F2</f>
        <v>1656</v>
      </c>
      <c r="K2" s="7" t="s">
        <v>6</v>
      </c>
      <c r="L2" s="151">
        <v>45</v>
      </c>
      <c r="M2" s="152"/>
    </row>
    <row r="3" spans="2:13">
      <c r="B3" s="3">
        <v>2</v>
      </c>
      <c r="C3" t="s">
        <v>415</v>
      </c>
      <c r="D3" s="4"/>
      <c r="E3" s="88">
        <v>4</v>
      </c>
      <c r="F3" s="101">
        <f t="shared" ref="F3:F31" si="0">E3*$L$15</f>
        <v>80</v>
      </c>
      <c r="G3">
        <f>VLOOKUP($C3,약재관리!A:J,10,FALSE)</f>
        <v>12</v>
      </c>
      <c r="H3" s="5">
        <f t="shared" ref="H3:H31" si="1">G3*E3</f>
        <v>48</v>
      </c>
      <c r="I3" s="6">
        <f t="shared" ref="I3:I31" si="2">G3*F3</f>
        <v>960</v>
      </c>
      <c r="K3" s="8" t="s">
        <v>7</v>
      </c>
      <c r="L3" s="146" t="s">
        <v>449</v>
      </c>
      <c r="M3" s="147"/>
    </row>
    <row r="4" spans="2:13">
      <c r="B4" s="3">
        <v>3</v>
      </c>
      <c r="C4" t="s">
        <v>450</v>
      </c>
      <c r="D4" s="4"/>
      <c r="E4" s="88">
        <v>2</v>
      </c>
      <c r="F4" s="101">
        <f t="shared" si="0"/>
        <v>40</v>
      </c>
      <c r="G4">
        <f>VLOOKUP($C4,약재관리!A:J,10,FALSE)</f>
        <v>26.4</v>
      </c>
      <c r="H4" s="5">
        <f t="shared" si="1"/>
        <v>52.8</v>
      </c>
      <c r="I4" s="6">
        <f t="shared" si="2"/>
        <v>1056</v>
      </c>
      <c r="K4" s="8" t="s">
        <v>8</v>
      </c>
      <c r="L4" s="153">
        <v>45775</v>
      </c>
      <c r="M4" s="147"/>
    </row>
    <row r="5" spans="2:13">
      <c r="B5" s="3">
        <v>4</v>
      </c>
      <c r="C5" t="s">
        <v>446</v>
      </c>
      <c r="D5" s="4"/>
      <c r="E5" s="88">
        <v>4</v>
      </c>
      <c r="F5" s="101">
        <f t="shared" si="0"/>
        <v>80</v>
      </c>
      <c r="G5">
        <f>VLOOKUP($C5,약재관리!A:J,10,FALSE)</f>
        <v>5.3</v>
      </c>
      <c r="H5" s="5">
        <f t="shared" si="1"/>
        <v>21.2</v>
      </c>
      <c r="I5" s="6">
        <f t="shared" si="2"/>
        <v>424</v>
      </c>
      <c r="K5" s="8" t="s">
        <v>9</v>
      </c>
      <c r="L5" s="146" t="s">
        <v>426</v>
      </c>
      <c r="M5" s="147"/>
    </row>
    <row r="6" spans="2:13">
      <c r="B6" s="3">
        <v>5</v>
      </c>
      <c r="C6" t="s">
        <v>411</v>
      </c>
      <c r="D6" s="4"/>
      <c r="E6" s="88">
        <v>6</v>
      </c>
      <c r="F6" s="101">
        <f t="shared" si="0"/>
        <v>120</v>
      </c>
      <c r="G6">
        <f>VLOOKUP($C6,약재관리!A:J,10,FALSE)</f>
        <v>11</v>
      </c>
      <c r="H6" s="5">
        <f t="shared" si="1"/>
        <v>66</v>
      </c>
      <c r="I6" s="6">
        <f t="shared" si="2"/>
        <v>1320</v>
      </c>
      <c r="K6" s="8" t="s">
        <v>10</v>
      </c>
      <c r="L6" s="146" t="s">
        <v>427</v>
      </c>
      <c r="M6" s="147"/>
    </row>
    <row r="7" spans="2:13" ht="17.25" thickBot="1">
      <c r="B7" s="3">
        <v>6</v>
      </c>
      <c r="C7" t="s">
        <v>445</v>
      </c>
      <c r="D7" s="4"/>
      <c r="E7" s="88">
        <v>4</v>
      </c>
      <c r="F7" s="101">
        <f t="shared" si="0"/>
        <v>80</v>
      </c>
      <c r="G7">
        <f>VLOOKUP($C7,약재관리!A:J,10,FALSE)</f>
        <v>8.8000000000000007</v>
      </c>
      <c r="H7" s="5">
        <f t="shared" si="1"/>
        <v>35.200000000000003</v>
      </c>
      <c r="I7" s="6">
        <f t="shared" si="2"/>
        <v>704</v>
      </c>
      <c r="K7" s="8" t="s">
        <v>11</v>
      </c>
      <c r="L7" s="154">
        <v>65</v>
      </c>
      <c r="M7" s="155"/>
    </row>
    <row r="8" spans="2:13" ht="17.25" thickBot="1">
      <c r="B8" s="3">
        <v>7</v>
      </c>
      <c r="C8" t="s">
        <v>444</v>
      </c>
      <c r="D8" s="4"/>
      <c r="E8" s="88">
        <v>6</v>
      </c>
      <c r="F8" s="101">
        <f t="shared" si="0"/>
        <v>120</v>
      </c>
      <c r="G8">
        <f>VLOOKUP($C8,약재관리!A:J,10,FALSE)</f>
        <v>28.3</v>
      </c>
      <c r="H8" s="5">
        <f t="shared" si="1"/>
        <v>169.8</v>
      </c>
      <c r="I8" s="6">
        <f t="shared" si="2"/>
        <v>3396</v>
      </c>
      <c r="K8" s="148" t="s">
        <v>12</v>
      </c>
      <c r="L8" s="149"/>
      <c r="M8" s="150"/>
    </row>
    <row r="9" spans="2:13">
      <c r="B9" s="3">
        <v>8</v>
      </c>
      <c r="C9" t="s">
        <v>416</v>
      </c>
      <c r="D9" s="4"/>
      <c r="E9" s="88">
        <v>4</v>
      </c>
      <c r="F9" s="101">
        <f t="shared" si="0"/>
        <v>80</v>
      </c>
      <c r="G9">
        <f>VLOOKUP($C9,약재관리!A:J,10,FALSE)</f>
        <v>17.600000000000001</v>
      </c>
      <c r="H9" s="5">
        <f t="shared" si="1"/>
        <v>70.400000000000006</v>
      </c>
      <c r="I9" s="6">
        <f t="shared" si="2"/>
        <v>1408</v>
      </c>
      <c r="K9" s="156" t="s">
        <v>454</v>
      </c>
      <c r="L9" s="157"/>
      <c r="M9" s="158"/>
    </row>
    <row r="10" spans="2:13">
      <c r="B10" s="3">
        <v>9</v>
      </c>
      <c r="C10" t="s">
        <v>451</v>
      </c>
      <c r="D10" s="4"/>
      <c r="E10" s="88">
        <v>2</v>
      </c>
      <c r="F10" s="101">
        <f t="shared" si="0"/>
        <v>40</v>
      </c>
      <c r="G10">
        <f>VLOOKUP($C10,약재관리!A:J,10,FALSE)</f>
        <v>47</v>
      </c>
      <c r="H10" s="5">
        <f t="shared" si="1"/>
        <v>94</v>
      </c>
      <c r="I10" s="6">
        <f t="shared" si="2"/>
        <v>1880</v>
      </c>
      <c r="K10" s="159"/>
      <c r="L10" s="160"/>
      <c r="M10" s="161"/>
    </row>
    <row r="11" spans="2:13">
      <c r="B11" s="3">
        <v>10</v>
      </c>
      <c r="C11" t="s">
        <v>436</v>
      </c>
      <c r="D11" s="4"/>
      <c r="E11" s="88">
        <v>2</v>
      </c>
      <c r="F11" s="101">
        <f t="shared" si="0"/>
        <v>40</v>
      </c>
      <c r="G11">
        <f>VLOOKUP($C11,약재관리!A:J,10,FALSE)</f>
        <v>11.2</v>
      </c>
      <c r="H11" s="5">
        <f t="shared" si="1"/>
        <v>22.4</v>
      </c>
      <c r="I11" s="6">
        <f t="shared" si="2"/>
        <v>448</v>
      </c>
      <c r="K11" s="159"/>
      <c r="L11" s="160"/>
      <c r="M11" s="161"/>
    </row>
    <row r="12" spans="2:13">
      <c r="B12" s="3">
        <v>11</v>
      </c>
      <c r="C12" t="s">
        <v>429</v>
      </c>
      <c r="D12" s="4"/>
      <c r="E12" s="88">
        <v>2</v>
      </c>
      <c r="F12" s="101">
        <f t="shared" si="0"/>
        <v>40</v>
      </c>
      <c r="G12">
        <f>VLOOKUP($C12,약재관리!A:J,10,FALSE)</f>
        <v>28.3</v>
      </c>
      <c r="H12" s="5">
        <f t="shared" si="1"/>
        <v>56.6</v>
      </c>
      <c r="I12" s="6">
        <f t="shared" si="2"/>
        <v>1132</v>
      </c>
      <c r="K12" s="159"/>
      <c r="L12" s="160"/>
      <c r="M12" s="161"/>
    </row>
    <row r="13" spans="2:13" ht="17.25" thickBot="1">
      <c r="B13" s="3">
        <v>12</v>
      </c>
      <c r="C13" t="s">
        <v>408</v>
      </c>
      <c r="D13" s="4"/>
      <c r="E13" s="88">
        <v>3</v>
      </c>
      <c r="F13" s="101">
        <f t="shared" si="0"/>
        <v>60</v>
      </c>
      <c r="G13">
        <f>VLOOKUP($C13,약재관리!A:J,10,FALSE)</f>
        <v>15</v>
      </c>
      <c r="H13" s="5">
        <f t="shared" si="1"/>
        <v>45</v>
      </c>
      <c r="I13" s="6">
        <f t="shared" si="2"/>
        <v>900</v>
      </c>
      <c r="K13" s="162"/>
      <c r="L13" s="163"/>
      <c r="M13" s="164"/>
    </row>
    <row r="14" spans="2:13">
      <c r="B14" s="3">
        <v>13</v>
      </c>
      <c r="C14" t="s">
        <v>428</v>
      </c>
      <c r="D14" s="4"/>
      <c r="E14" s="88">
        <v>2</v>
      </c>
      <c r="F14" s="101">
        <f t="shared" si="0"/>
        <v>40</v>
      </c>
      <c r="G14">
        <f>VLOOKUP($C14,약재관리!A:J,10,FALSE)</f>
        <v>20.8</v>
      </c>
      <c r="H14" s="5">
        <f t="shared" si="1"/>
        <v>41.6</v>
      </c>
      <c r="I14" s="6">
        <f t="shared" si="2"/>
        <v>832</v>
      </c>
      <c r="K14" s="92" t="s">
        <v>13</v>
      </c>
      <c r="L14" s="9">
        <v>15</v>
      </c>
      <c r="M14" s="10" t="s">
        <v>14</v>
      </c>
    </row>
    <row r="15" spans="2:13">
      <c r="B15" s="3">
        <v>14</v>
      </c>
      <c r="C15" t="s">
        <v>443</v>
      </c>
      <c r="D15" s="4"/>
      <c r="E15" s="88">
        <v>4</v>
      </c>
      <c r="F15" s="101">
        <f t="shared" si="0"/>
        <v>80</v>
      </c>
      <c r="G15">
        <f>VLOOKUP($C15,약재관리!A:J,10,FALSE)</f>
        <v>9.8000000000000007</v>
      </c>
      <c r="H15" s="5">
        <f t="shared" si="1"/>
        <v>39.200000000000003</v>
      </c>
      <c r="I15" s="6">
        <f t="shared" si="2"/>
        <v>784</v>
      </c>
      <c r="K15" s="91" t="s">
        <v>15</v>
      </c>
      <c r="L15">
        <v>20</v>
      </c>
      <c r="M15" s="4" t="s">
        <v>16</v>
      </c>
    </row>
    <row r="16" spans="2:13">
      <c r="B16" s="3">
        <v>15</v>
      </c>
      <c r="C16" t="s">
        <v>419</v>
      </c>
      <c r="D16" s="4"/>
      <c r="E16" s="88">
        <v>4</v>
      </c>
      <c r="F16" s="101">
        <f t="shared" si="0"/>
        <v>80</v>
      </c>
      <c r="G16">
        <f>VLOOKUP($C16,약재관리!A:J,10,FALSE)</f>
        <v>7</v>
      </c>
      <c r="H16" s="5">
        <f t="shared" si="1"/>
        <v>28</v>
      </c>
      <c r="I16" s="6">
        <f t="shared" si="2"/>
        <v>560</v>
      </c>
      <c r="K16" s="91" t="s">
        <v>17</v>
      </c>
      <c r="L16">
        <v>45</v>
      </c>
      <c r="M16" s="4" t="s">
        <v>18</v>
      </c>
    </row>
    <row r="17" spans="2:13" ht="17.25" thickBot="1">
      <c r="B17" s="3">
        <v>16</v>
      </c>
      <c r="C17" t="s">
        <v>420</v>
      </c>
      <c r="D17" s="4"/>
      <c r="E17" s="88">
        <v>3</v>
      </c>
      <c r="F17" s="101">
        <f t="shared" si="0"/>
        <v>60</v>
      </c>
      <c r="G17">
        <f>VLOOKUP($C17,약재관리!A:J,10,FALSE)</f>
        <v>8</v>
      </c>
      <c r="H17" s="5">
        <f t="shared" si="1"/>
        <v>24</v>
      </c>
      <c r="I17" s="6">
        <f t="shared" si="2"/>
        <v>480</v>
      </c>
      <c r="K17" s="14" t="s">
        <v>19</v>
      </c>
      <c r="L17" s="11">
        <v>100</v>
      </c>
      <c r="M17" s="12" t="s">
        <v>20</v>
      </c>
    </row>
    <row r="18" spans="2:13">
      <c r="B18" s="3">
        <v>17</v>
      </c>
      <c r="C18" t="s">
        <v>421</v>
      </c>
      <c r="D18" s="4"/>
      <c r="E18" s="88">
        <v>3</v>
      </c>
      <c r="F18" s="101">
        <f t="shared" si="0"/>
        <v>60</v>
      </c>
      <c r="G18">
        <f>VLOOKUP($C18,약재관리!A:J,10,FALSE)</f>
        <v>7.5</v>
      </c>
      <c r="H18" s="5">
        <f t="shared" si="1"/>
        <v>22.5</v>
      </c>
      <c r="I18" s="6">
        <f t="shared" si="2"/>
        <v>450</v>
      </c>
      <c r="K18" s="92" t="s">
        <v>21</v>
      </c>
      <c r="L18" s="9">
        <f>SUM(E2:E31)</f>
        <v>75</v>
      </c>
      <c r="M18" s="10" t="s">
        <v>22</v>
      </c>
    </row>
    <row r="19" spans="2:13">
      <c r="B19" s="3">
        <v>18</v>
      </c>
      <c r="C19" t="s">
        <v>418</v>
      </c>
      <c r="D19" s="4"/>
      <c r="E19" s="88">
        <v>2</v>
      </c>
      <c r="F19" s="101">
        <f t="shared" si="0"/>
        <v>40</v>
      </c>
      <c r="G19">
        <f>VLOOKUP($C19,약재관리!A:J,10,FALSE)</f>
        <v>21.8</v>
      </c>
      <c r="H19" s="5">
        <f t="shared" si="1"/>
        <v>43.6</v>
      </c>
      <c r="I19" s="6">
        <f t="shared" si="2"/>
        <v>872</v>
      </c>
      <c r="K19" s="91" t="s">
        <v>23</v>
      </c>
      <c r="L19">
        <f>L15*L18</f>
        <v>1500</v>
      </c>
      <c r="M19" s="4" t="s">
        <v>22</v>
      </c>
    </row>
    <row r="20" spans="2:13" ht="17.25" thickBot="1">
      <c r="B20" s="3">
        <v>19</v>
      </c>
      <c r="C20" t="s">
        <v>425</v>
      </c>
      <c r="D20" s="4"/>
      <c r="E20" s="88">
        <v>2</v>
      </c>
      <c r="F20" s="101">
        <f t="shared" si="0"/>
        <v>40</v>
      </c>
      <c r="G20">
        <f>VLOOKUP($C20,약재관리!A:J,10,FALSE)</f>
        <v>463.3</v>
      </c>
      <c r="H20" s="5">
        <f t="shared" si="1"/>
        <v>926.6</v>
      </c>
      <c r="I20" s="6">
        <f t="shared" si="2"/>
        <v>18532</v>
      </c>
      <c r="K20" s="14" t="s">
        <v>24</v>
      </c>
      <c r="L20" s="11">
        <f>L16*L17+L19</f>
        <v>6000</v>
      </c>
      <c r="M20" s="12" t="s">
        <v>20</v>
      </c>
    </row>
    <row r="21" spans="2:13" ht="17.25" thickBot="1">
      <c r="B21" s="3">
        <v>20</v>
      </c>
      <c r="C21" t="s">
        <v>423</v>
      </c>
      <c r="D21" s="4" t="s">
        <v>452</v>
      </c>
      <c r="E21" s="88">
        <v>2</v>
      </c>
      <c r="F21" s="101">
        <f t="shared" si="0"/>
        <v>40</v>
      </c>
      <c r="G21">
        <f>VLOOKUP($C21,약재관리!A:J,10,FALSE)</f>
        <v>136.69999999999999</v>
      </c>
      <c r="H21" s="5">
        <f t="shared" si="1"/>
        <v>273.39999999999998</v>
      </c>
      <c r="I21" s="6">
        <f t="shared" si="2"/>
        <v>5468</v>
      </c>
      <c r="J21" s="91"/>
      <c r="M21" s="94"/>
    </row>
    <row r="22" spans="2:13" ht="17.25" thickBot="1">
      <c r="B22" s="3">
        <v>21</v>
      </c>
      <c r="C22" t="s">
        <v>453</v>
      </c>
      <c r="D22" s="4"/>
      <c r="E22" s="88">
        <v>4</v>
      </c>
      <c r="F22" s="101">
        <f t="shared" si="0"/>
        <v>80</v>
      </c>
      <c r="G22">
        <f>VLOOKUP($C22,약재관리!A:J,10,FALSE)</f>
        <v>28</v>
      </c>
      <c r="H22" s="5">
        <f t="shared" si="1"/>
        <v>112</v>
      </c>
      <c r="I22" s="6">
        <f t="shared" si="2"/>
        <v>2240</v>
      </c>
      <c r="K22" s="148" t="s">
        <v>385</v>
      </c>
      <c r="L22" s="149"/>
      <c r="M22" s="150"/>
    </row>
    <row r="23" spans="2:13">
      <c r="B23" s="3">
        <v>22</v>
      </c>
      <c r="C23" t="s">
        <v>448</v>
      </c>
      <c r="D23" s="4"/>
      <c r="E23" s="88">
        <v>4</v>
      </c>
      <c r="F23" s="101">
        <f t="shared" si="0"/>
        <v>80</v>
      </c>
      <c r="G23">
        <f>VLOOKUP($C23,약재관리!A:J,10,FALSE)</f>
        <v>70.2</v>
      </c>
      <c r="H23" s="5">
        <f t="shared" si="1"/>
        <v>280.8</v>
      </c>
      <c r="I23" s="6">
        <f t="shared" si="2"/>
        <v>5616</v>
      </c>
      <c r="K23" s="91" t="s">
        <v>379</v>
      </c>
      <c r="L23">
        <f>SUM(F2:F31)</f>
        <v>1500</v>
      </c>
      <c r="M23" s="4" t="s">
        <v>22</v>
      </c>
    </row>
    <row r="24" spans="2:13">
      <c r="B24" s="3">
        <v>23</v>
      </c>
      <c r="D24" s="4"/>
      <c r="F24" s="101">
        <f t="shared" si="0"/>
        <v>0</v>
      </c>
      <c r="H24" s="5">
        <f t="shared" si="1"/>
        <v>0</v>
      </c>
      <c r="I24" s="6">
        <f t="shared" si="2"/>
        <v>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2555.9000000000005</v>
      </c>
      <c r="M30" s="4" t="s">
        <v>383</v>
      </c>
    </row>
    <row r="31" spans="2:13" ht="17.25" thickBot="1">
      <c r="B31" s="13">
        <v>30</v>
      </c>
      <c r="C31" s="14"/>
      <c r="D31" s="12"/>
      <c r="E31" s="95"/>
      <c r="F31" s="102">
        <f t="shared" si="0"/>
        <v>0</v>
      </c>
      <c r="G31" s="14"/>
      <c r="H31" s="15">
        <f t="shared" si="1"/>
        <v>0</v>
      </c>
      <c r="I31" s="16">
        <f t="shared" si="2"/>
        <v>0</v>
      </c>
      <c r="K31" s="14" t="s">
        <v>382</v>
      </c>
      <c r="L31" s="15">
        <f>SUM(I2:I31)</f>
        <v>51118</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7E0D-F4DA-49B7-A366-6D35BF3252A4}">
  <sheetPr>
    <pageSetUpPr fitToPage="1"/>
  </sheetPr>
  <dimension ref="B1:M31"/>
  <sheetViews>
    <sheetView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435</v>
      </c>
      <c r="D2" s="4"/>
      <c r="E2" s="88">
        <v>6</v>
      </c>
      <c r="F2" s="101">
        <f>E2*$L$15</f>
        <v>120</v>
      </c>
      <c r="G2">
        <f>VLOOKUP($C2,약재관리!A:J,10,FALSE)</f>
        <v>9.1999999999999993</v>
      </c>
      <c r="H2" s="5">
        <f>G2*E2</f>
        <v>55.199999999999996</v>
      </c>
      <c r="I2" s="90">
        <f>G2*F2</f>
        <v>1104</v>
      </c>
      <c r="K2" s="7" t="s">
        <v>6</v>
      </c>
      <c r="L2" s="151">
        <v>45</v>
      </c>
      <c r="M2" s="152"/>
    </row>
    <row r="3" spans="2:13">
      <c r="B3" s="3">
        <v>2</v>
      </c>
      <c r="C3" t="s">
        <v>412</v>
      </c>
      <c r="D3" s="4"/>
      <c r="E3" s="88">
        <v>6</v>
      </c>
      <c r="F3" s="101">
        <f t="shared" ref="F3:F31" si="0">E3*$L$15</f>
        <v>120</v>
      </c>
      <c r="G3">
        <f>VLOOKUP($C3,약재관리!A:J,10,FALSE)</f>
        <v>24</v>
      </c>
      <c r="H3" s="5">
        <f t="shared" ref="H3:H31" si="1">G3*E3</f>
        <v>144</v>
      </c>
      <c r="I3" s="6">
        <f t="shared" ref="I3:I31" si="2">G3*F3</f>
        <v>2880</v>
      </c>
      <c r="K3" s="8" t="s">
        <v>7</v>
      </c>
      <c r="L3" s="146" t="s">
        <v>434</v>
      </c>
      <c r="M3" s="147"/>
    </row>
    <row r="4" spans="2:13">
      <c r="B4" s="3">
        <v>3</v>
      </c>
      <c r="C4" t="s">
        <v>416</v>
      </c>
      <c r="D4" s="4"/>
      <c r="E4" s="88">
        <v>6</v>
      </c>
      <c r="F4" s="101">
        <f t="shared" si="0"/>
        <v>120</v>
      </c>
      <c r="G4">
        <f>VLOOKUP($C4,약재관리!A:J,10,FALSE)</f>
        <v>17.600000000000001</v>
      </c>
      <c r="H4" s="5">
        <f t="shared" si="1"/>
        <v>105.60000000000001</v>
      </c>
      <c r="I4" s="6">
        <f t="shared" si="2"/>
        <v>2112</v>
      </c>
      <c r="K4" s="8" t="s">
        <v>8</v>
      </c>
      <c r="L4" s="153">
        <v>45752</v>
      </c>
      <c r="M4" s="147"/>
    </row>
    <row r="5" spans="2:13">
      <c r="B5" s="3">
        <v>4</v>
      </c>
      <c r="C5" t="s">
        <v>441</v>
      </c>
      <c r="D5" s="4"/>
      <c r="E5" s="88">
        <v>4</v>
      </c>
      <c r="F5" s="101">
        <f t="shared" si="0"/>
        <v>80</v>
      </c>
      <c r="G5">
        <f>VLOOKUP($C5,약재관리!A:J,10,FALSE)</f>
        <v>31.2</v>
      </c>
      <c r="H5" s="5">
        <f t="shared" si="1"/>
        <v>124.8</v>
      </c>
      <c r="I5" s="6">
        <f t="shared" si="2"/>
        <v>2496</v>
      </c>
      <c r="K5" s="8" t="s">
        <v>9</v>
      </c>
      <c r="L5" s="146" t="s">
        <v>426</v>
      </c>
      <c r="M5" s="147"/>
    </row>
    <row r="6" spans="2:13">
      <c r="B6" s="3">
        <v>5</v>
      </c>
      <c r="C6" t="s">
        <v>407</v>
      </c>
      <c r="D6" s="4"/>
      <c r="E6" s="88">
        <v>4</v>
      </c>
      <c r="F6" s="101">
        <f t="shared" si="0"/>
        <v>80</v>
      </c>
      <c r="G6">
        <f>VLOOKUP($C6,약재관리!A:J,10,FALSE)</f>
        <v>10.8</v>
      </c>
      <c r="H6" s="5">
        <f t="shared" si="1"/>
        <v>43.2</v>
      </c>
      <c r="I6" s="6">
        <f t="shared" si="2"/>
        <v>864</v>
      </c>
      <c r="K6" s="8" t="s">
        <v>10</v>
      </c>
      <c r="L6" s="146" t="s">
        <v>427</v>
      </c>
      <c r="M6" s="147"/>
    </row>
    <row r="7" spans="2:13" ht="17.25" thickBot="1">
      <c r="B7" s="3">
        <v>6</v>
      </c>
      <c r="C7" t="s">
        <v>436</v>
      </c>
      <c r="D7" s="4"/>
      <c r="E7" s="88">
        <v>4</v>
      </c>
      <c r="F7" s="101">
        <f t="shared" si="0"/>
        <v>80</v>
      </c>
      <c r="G7">
        <f>VLOOKUP($C7,약재관리!A:J,10,FALSE)</f>
        <v>11.2</v>
      </c>
      <c r="H7" s="5">
        <f t="shared" si="1"/>
        <v>44.8</v>
      </c>
      <c r="I7" s="6">
        <f t="shared" si="2"/>
        <v>896</v>
      </c>
      <c r="K7" s="8" t="s">
        <v>11</v>
      </c>
      <c r="L7" s="154">
        <v>65</v>
      </c>
      <c r="M7" s="155"/>
    </row>
    <row r="8" spans="2:13" ht="17.25" thickBot="1">
      <c r="B8" s="3">
        <v>7</v>
      </c>
      <c r="C8" t="s">
        <v>437</v>
      </c>
      <c r="D8" s="4"/>
      <c r="E8" s="88">
        <v>4</v>
      </c>
      <c r="F8" s="101">
        <f t="shared" si="0"/>
        <v>80</v>
      </c>
      <c r="G8">
        <f>VLOOKUP($C8,약재관리!A:J,10,FALSE)</f>
        <v>10</v>
      </c>
      <c r="H8" s="5">
        <f t="shared" si="1"/>
        <v>40</v>
      </c>
      <c r="I8" s="6">
        <f t="shared" si="2"/>
        <v>800</v>
      </c>
      <c r="K8" s="148" t="s">
        <v>12</v>
      </c>
      <c r="L8" s="149"/>
      <c r="M8" s="150"/>
    </row>
    <row r="9" spans="2:13">
      <c r="B9" s="3">
        <v>8</v>
      </c>
      <c r="C9" t="s">
        <v>438</v>
      </c>
      <c r="D9" s="4"/>
      <c r="E9" s="88">
        <v>4</v>
      </c>
      <c r="F9" s="101">
        <f t="shared" si="0"/>
        <v>80</v>
      </c>
      <c r="G9">
        <f>VLOOKUP($C9,약재관리!A:J,10,FALSE)</f>
        <v>4.8</v>
      </c>
      <c r="H9" s="5">
        <f t="shared" si="1"/>
        <v>19.2</v>
      </c>
      <c r="I9" s="6">
        <f t="shared" si="2"/>
        <v>384</v>
      </c>
      <c r="K9" s="156" t="s">
        <v>442</v>
      </c>
      <c r="L9" s="157"/>
      <c r="M9" s="158"/>
    </row>
    <row r="10" spans="2:13">
      <c r="B10" s="3">
        <v>9</v>
      </c>
      <c r="C10" t="s">
        <v>439</v>
      </c>
      <c r="D10" s="4"/>
      <c r="E10" s="88">
        <v>2</v>
      </c>
      <c r="F10" s="101">
        <f t="shared" si="0"/>
        <v>40</v>
      </c>
      <c r="G10">
        <f>VLOOKUP($C10,약재관리!A:J,10,FALSE)</f>
        <v>9.5</v>
      </c>
      <c r="H10" s="5">
        <f t="shared" si="1"/>
        <v>19</v>
      </c>
      <c r="I10" s="6">
        <f t="shared" si="2"/>
        <v>380</v>
      </c>
      <c r="K10" s="159"/>
      <c r="L10" s="160"/>
      <c r="M10" s="161"/>
    </row>
    <row r="11" spans="2:13">
      <c r="B11" s="3">
        <v>10</v>
      </c>
      <c r="C11" t="s">
        <v>429</v>
      </c>
      <c r="D11" s="4"/>
      <c r="E11" s="88">
        <v>2</v>
      </c>
      <c r="F11" s="101">
        <f t="shared" si="0"/>
        <v>40</v>
      </c>
      <c r="G11">
        <f>VLOOKUP($C11,약재관리!A:J,10,FALSE)</f>
        <v>28.3</v>
      </c>
      <c r="H11" s="5">
        <f t="shared" si="1"/>
        <v>56.6</v>
      </c>
      <c r="I11" s="6">
        <f t="shared" si="2"/>
        <v>1132</v>
      </c>
      <c r="K11" s="159"/>
      <c r="L11" s="160"/>
      <c r="M11" s="161"/>
    </row>
    <row r="12" spans="2:13">
      <c r="B12" s="3">
        <v>11</v>
      </c>
      <c r="C12" t="s">
        <v>408</v>
      </c>
      <c r="D12" s="4"/>
      <c r="E12" s="88">
        <v>4</v>
      </c>
      <c r="F12" s="101">
        <f t="shared" si="0"/>
        <v>80</v>
      </c>
      <c r="G12">
        <f>VLOOKUP($C12,약재관리!A:J,10,FALSE)</f>
        <v>15</v>
      </c>
      <c r="H12" s="5">
        <f t="shared" si="1"/>
        <v>60</v>
      </c>
      <c r="I12" s="6">
        <f t="shared" si="2"/>
        <v>1200</v>
      </c>
      <c r="K12" s="159"/>
      <c r="L12" s="160"/>
      <c r="M12" s="161"/>
    </row>
    <row r="13" spans="2:13" ht="17.25" thickBot="1">
      <c r="B13" s="3">
        <v>12</v>
      </c>
      <c r="C13" t="s">
        <v>431</v>
      </c>
      <c r="D13" s="4"/>
      <c r="E13" s="88">
        <v>4</v>
      </c>
      <c r="F13" s="101">
        <f t="shared" si="0"/>
        <v>80</v>
      </c>
      <c r="G13">
        <f>VLOOKUP($C13,약재관리!A:J,10,FALSE)</f>
        <v>14.8</v>
      </c>
      <c r="H13" s="5">
        <f t="shared" si="1"/>
        <v>59.2</v>
      </c>
      <c r="I13" s="6">
        <f t="shared" si="2"/>
        <v>1184</v>
      </c>
      <c r="K13" s="162"/>
      <c r="L13" s="163"/>
      <c r="M13" s="164"/>
    </row>
    <row r="14" spans="2:13">
      <c r="B14" s="3">
        <v>13</v>
      </c>
      <c r="C14" t="s">
        <v>414</v>
      </c>
      <c r="D14" s="4"/>
      <c r="E14" s="88">
        <v>6</v>
      </c>
      <c r="F14" s="101">
        <f t="shared" si="0"/>
        <v>120</v>
      </c>
      <c r="G14">
        <f>VLOOKUP($C14,약재관리!A:J,10,FALSE)</f>
        <v>14.7</v>
      </c>
      <c r="H14" s="5">
        <f t="shared" si="1"/>
        <v>88.199999999999989</v>
      </c>
      <c r="I14" s="6">
        <f t="shared" si="2"/>
        <v>1764</v>
      </c>
      <c r="K14" s="92" t="s">
        <v>13</v>
      </c>
      <c r="L14" s="9">
        <v>15</v>
      </c>
      <c r="M14" s="10" t="s">
        <v>14</v>
      </c>
    </row>
    <row r="15" spans="2:13">
      <c r="B15" s="3">
        <v>14</v>
      </c>
      <c r="C15" t="s">
        <v>415</v>
      </c>
      <c r="D15" s="4"/>
      <c r="E15" s="88">
        <v>4</v>
      </c>
      <c r="F15" s="101">
        <f t="shared" si="0"/>
        <v>80</v>
      </c>
      <c r="G15">
        <f>VLOOKUP($C15,약재관리!A:J,10,FALSE)</f>
        <v>12</v>
      </c>
      <c r="H15" s="5">
        <f t="shared" si="1"/>
        <v>48</v>
      </c>
      <c r="I15" s="6">
        <f t="shared" si="2"/>
        <v>960</v>
      </c>
      <c r="K15" s="91" t="s">
        <v>15</v>
      </c>
      <c r="L15">
        <v>20</v>
      </c>
      <c r="M15" s="4" t="s">
        <v>16</v>
      </c>
    </row>
    <row r="16" spans="2:13">
      <c r="B16" s="3">
        <v>15</v>
      </c>
      <c r="C16" t="s">
        <v>406</v>
      </c>
      <c r="D16" s="4"/>
      <c r="E16" s="88">
        <v>4</v>
      </c>
      <c r="F16" s="101">
        <f t="shared" si="0"/>
        <v>80</v>
      </c>
      <c r="G16">
        <f>VLOOKUP($C16,약재관리!A:J,10,FALSE)</f>
        <v>25</v>
      </c>
      <c r="H16" s="5">
        <f t="shared" si="1"/>
        <v>100</v>
      </c>
      <c r="I16" s="6">
        <f t="shared" si="2"/>
        <v>2000</v>
      </c>
      <c r="K16" s="91" t="s">
        <v>17</v>
      </c>
      <c r="L16">
        <v>45</v>
      </c>
      <c r="M16" s="4" t="s">
        <v>18</v>
      </c>
    </row>
    <row r="17" spans="2:13" ht="17.25" thickBot="1">
      <c r="B17" s="3">
        <v>16</v>
      </c>
      <c r="C17" t="s">
        <v>413</v>
      </c>
      <c r="D17" s="4"/>
      <c r="E17" s="88">
        <v>4</v>
      </c>
      <c r="F17" s="101">
        <f t="shared" si="0"/>
        <v>80</v>
      </c>
      <c r="G17">
        <f>VLOOKUP($C17,약재관리!A:J,10,FALSE)</f>
        <v>19.600000000000001</v>
      </c>
      <c r="H17" s="5">
        <f t="shared" si="1"/>
        <v>78.400000000000006</v>
      </c>
      <c r="I17" s="6">
        <f t="shared" si="2"/>
        <v>1568</v>
      </c>
      <c r="K17" s="14" t="s">
        <v>19</v>
      </c>
      <c r="L17" s="11">
        <v>100</v>
      </c>
      <c r="M17" s="12" t="s">
        <v>20</v>
      </c>
    </row>
    <row r="18" spans="2:13">
      <c r="B18" s="3">
        <v>17</v>
      </c>
      <c r="C18" t="s">
        <v>440</v>
      </c>
      <c r="D18" s="4"/>
      <c r="E18" s="88">
        <v>2</v>
      </c>
      <c r="F18" s="101">
        <f t="shared" si="0"/>
        <v>40</v>
      </c>
      <c r="G18">
        <f>VLOOKUP($C18,약재관리!A:J,10,FALSE)</f>
        <v>44.2</v>
      </c>
      <c r="H18" s="5">
        <f t="shared" si="1"/>
        <v>88.4</v>
      </c>
      <c r="I18" s="6">
        <f t="shared" si="2"/>
        <v>1768</v>
      </c>
      <c r="K18" s="92" t="s">
        <v>21</v>
      </c>
      <c r="L18" s="9">
        <f>SUM(E2:E31)</f>
        <v>87</v>
      </c>
      <c r="M18" s="10" t="s">
        <v>22</v>
      </c>
    </row>
    <row r="19" spans="2:13">
      <c r="B19" s="3">
        <v>18</v>
      </c>
      <c r="C19" t="s">
        <v>409</v>
      </c>
      <c r="D19" s="4"/>
      <c r="E19" s="88">
        <v>6</v>
      </c>
      <c r="F19" s="101">
        <f t="shared" si="0"/>
        <v>120</v>
      </c>
      <c r="G19">
        <f>VLOOKUP($C19,약재관리!A:J,10,FALSE)</f>
        <v>19.2</v>
      </c>
      <c r="H19" s="5">
        <f t="shared" si="1"/>
        <v>115.19999999999999</v>
      </c>
      <c r="I19" s="6">
        <f t="shared" si="2"/>
        <v>2304</v>
      </c>
      <c r="K19" s="91" t="s">
        <v>23</v>
      </c>
      <c r="L19">
        <f>L15*L18</f>
        <v>1740</v>
      </c>
      <c r="M19" s="4" t="s">
        <v>22</v>
      </c>
    </row>
    <row r="20" spans="2:13" ht="17.25" thickBot="1">
      <c r="B20" s="3">
        <v>19</v>
      </c>
      <c r="C20" t="s">
        <v>411</v>
      </c>
      <c r="D20" s="4"/>
      <c r="E20" s="88">
        <v>3</v>
      </c>
      <c r="F20" s="101">
        <f t="shared" si="0"/>
        <v>60</v>
      </c>
      <c r="G20">
        <f>VLOOKUP($C20,약재관리!A:J,10,FALSE)</f>
        <v>11</v>
      </c>
      <c r="H20" s="5">
        <f t="shared" si="1"/>
        <v>33</v>
      </c>
      <c r="I20" s="6">
        <f t="shared" si="2"/>
        <v>660</v>
      </c>
      <c r="K20" s="14" t="s">
        <v>24</v>
      </c>
      <c r="L20" s="11">
        <f>L16*L17+L19</f>
        <v>6240</v>
      </c>
      <c r="M20" s="12" t="s">
        <v>20</v>
      </c>
    </row>
    <row r="21" spans="2:13" ht="17.25" thickBot="1">
      <c r="B21" s="3">
        <v>20</v>
      </c>
      <c r="C21" t="s">
        <v>425</v>
      </c>
      <c r="D21" s="4"/>
      <c r="E21" s="88">
        <v>2</v>
      </c>
      <c r="F21" s="101">
        <f t="shared" si="0"/>
        <v>40</v>
      </c>
      <c r="G21">
        <f>VLOOKUP($C21,약재관리!A:J,10,FALSE)</f>
        <v>463.3</v>
      </c>
      <c r="H21" s="5">
        <f t="shared" si="1"/>
        <v>926.6</v>
      </c>
      <c r="I21" s="6">
        <f t="shared" si="2"/>
        <v>18532</v>
      </c>
      <c r="J21" s="91"/>
      <c r="M21" s="94"/>
    </row>
    <row r="22" spans="2:13" ht="17.25" thickBot="1">
      <c r="B22" s="3">
        <v>21</v>
      </c>
      <c r="C22" t="s">
        <v>419</v>
      </c>
      <c r="D22" s="4"/>
      <c r="E22" s="88">
        <v>2</v>
      </c>
      <c r="F22" s="101">
        <f t="shared" si="0"/>
        <v>40</v>
      </c>
      <c r="G22">
        <f>VLOOKUP($C22,약재관리!A:J,10,FALSE)</f>
        <v>7</v>
      </c>
      <c r="H22" s="5">
        <f t="shared" si="1"/>
        <v>14</v>
      </c>
      <c r="I22" s="6">
        <f t="shared" si="2"/>
        <v>280</v>
      </c>
      <c r="K22" s="148" t="s">
        <v>385</v>
      </c>
      <c r="L22" s="149"/>
      <c r="M22" s="150"/>
    </row>
    <row r="23" spans="2:13">
      <c r="B23" s="3">
        <v>22</v>
      </c>
      <c r="C23" t="s">
        <v>420</v>
      </c>
      <c r="D23" s="4"/>
      <c r="E23" s="88">
        <v>2</v>
      </c>
      <c r="F23" s="101">
        <f t="shared" si="0"/>
        <v>40</v>
      </c>
      <c r="G23">
        <f>VLOOKUP($C23,약재관리!A:J,10,FALSE)</f>
        <v>8</v>
      </c>
      <c r="H23" s="5">
        <f t="shared" si="1"/>
        <v>16</v>
      </c>
      <c r="I23" s="6">
        <f t="shared" si="2"/>
        <v>320</v>
      </c>
      <c r="K23" s="91" t="s">
        <v>379</v>
      </c>
      <c r="L23">
        <f>SUM(F2:F31)</f>
        <v>1740</v>
      </c>
      <c r="M23" s="4" t="s">
        <v>22</v>
      </c>
    </row>
    <row r="24" spans="2:13">
      <c r="B24" s="3">
        <v>23</v>
      </c>
      <c r="C24" t="s">
        <v>421</v>
      </c>
      <c r="D24" s="4"/>
      <c r="E24" s="88">
        <v>2</v>
      </c>
      <c r="F24" s="101">
        <f t="shared" si="0"/>
        <v>40</v>
      </c>
      <c r="G24">
        <f>VLOOKUP($C24,약재관리!A:J,10,FALSE)</f>
        <v>7.5</v>
      </c>
      <c r="H24" s="5">
        <f t="shared" si="1"/>
        <v>15</v>
      </c>
      <c r="I24" s="6">
        <f t="shared" si="2"/>
        <v>300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2294.4000000000005</v>
      </c>
      <c r="M30" s="4" t="s">
        <v>383</v>
      </c>
    </row>
    <row r="31" spans="2:13" ht="17.25" thickBot="1">
      <c r="B31" s="13">
        <v>30</v>
      </c>
      <c r="C31" s="14"/>
      <c r="D31" s="12"/>
      <c r="E31" s="95"/>
      <c r="F31" s="102">
        <f t="shared" si="0"/>
        <v>0</v>
      </c>
      <c r="G31" s="14"/>
      <c r="H31" s="15">
        <f t="shared" si="1"/>
        <v>0</v>
      </c>
      <c r="I31" s="16">
        <f t="shared" si="2"/>
        <v>0</v>
      </c>
      <c r="K31" s="14" t="s">
        <v>382</v>
      </c>
      <c r="L31" s="15">
        <f>SUM(I2:I31)</f>
        <v>45888</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4D878-B71A-49EE-9E18-3E3307FF16F1}">
  <sheetPr>
    <pageSetUpPr fitToPage="1"/>
  </sheetPr>
  <dimension ref="B1:M31"/>
  <sheetViews>
    <sheetView workbookViewId="0">
      <selection activeCell="C2" sqref="C2:E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424</v>
      </c>
      <c r="D2" s="4"/>
      <c r="E2" s="88">
        <v>5</v>
      </c>
      <c r="F2" s="101">
        <f>E2*$L$15</f>
        <v>100</v>
      </c>
      <c r="G2">
        <f>VLOOKUP($C2,약재관리!A:J,10,FALSE)</f>
        <v>90</v>
      </c>
      <c r="H2" s="5">
        <f>G2*E2</f>
        <v>450</v>
      </c>
      <c r="I2" s="90">
        <f>G2*F2</f>
        <v>9000</v>
      </c>
      <c r="K2" s="7" t="s">
        <v>6</v>
      </c>
      <c r="L2" s="151">
        <v>45</v>
      </c>
      <c r="M2" s="152"/>
    </row>
    <row r="3" spans="2:13">
      <c r="B3" s="3">
        <v>2</v>
      </c>
      <c r="C3" t="s">
        <v>406</v>
      </c>
      <c r="D3" s="4"/>
      <c r="E3" s="88">
        <v>4</v>
      </c>
      <c r="F3" s="101">
        <f t="shared" ref="F3:F31" si="0">E3*$L$15</f>
        <v>80</v>
      </c>
      <c r="G3">
        <f>VLOOKUP($C3,약재관리!A:J,10,FALSE)</f>
        <v>25</v>
      </c>
      <c r="H3" s="5">
        <f t="shared" ref="H3:H31" si="1">G3*E3</f>
        <v>100</v>
      </c>
      <c r="I3" s="6">
        <f t="shared" ref="I3:I31" si="2">G3*F3</f>
        <v>2000</v>
      </c>
      <c r="K3" s="8" t="s">
        <v>7</v>
      </c>
      <c r="L3" s="146" t="s">
        <v>432</v>
      </c>
      <c r="M3" s="147"/>
    </row>
    <row r="4" spans="2:13">
      <c r="B4" s="3">
        <v>3</v>
      </c>
      <c r="C4" t="s">
        <v>413</v>
      </c>
      <c r="D4" s="4"/>
      <c r="E4" s="88">
        <v>4</v>
      </c>
      <c r="F4" s="101">
        <f t="shared" si="0"/>
        <v>80</v>
      </c>
      <c r="G4">
        <f>VLOOKUP($C4,약재관리!A:J,10,FALSE)</f>
        <v>19.600000000000001</v>
      </c>
      <c r="H4" s="5">
        <f t="shared" si="1"/>
        <v>78.400000000000006</v>
      </c>
      <c r="I4" s="6">
        <f t="shared" si="2"/>
        <v>1568</v>
      </c>
      <c r="K4" s="8" t="s">
        <v>8</v>
      </c>
      <c r="L4" s="153">
        <v>45695</v>
      </c>
      <c r="M4" s="147"/>
    </row>
    <row r="5" spans="2:13">
      <c r="B5" s="3">
        <v>4</v>
      </c>
      <c r="C5" t="s">
        <v>411</v>
      </c>
      <c r="D5" s="4"/>
      <c r="E5" s="88">
        <v>4</v>
      </c>
      <c r="F5" s="101">
        <f t="shared" si="0"/>
        <v>80</v>
      </c>
      <c r="G5">
        <f>VLOOKUP($C5,약재관리!A:J,10,FALSE)</f>
        <v>11</v>
      </c>
      <c r="H5" s="5">
        <f t="shared" si="1"/>
        <v>44</v>
      </c>
      <c r="I5" s="6">
        <f t="shared" si="2"/>
        <v>880</v>
      </c>
      <c r="K5" s="8" t="s">
        <v>9</v>
      </c>
      <c r="L5" s="146" t="s">
        <v>426</v>
      </c>
      <c r="M5" s="147"/>
    </row>
    <row r="6" spans="2:13">
      <c r="B6" s="3">
        <v>5</v>
      </c>
      <c r="C6" t="s">
        <v>428</v>
      </c>
      <c r="D6" s="4"/>
      <c r="E6" s="88">
        <v>6</v>
      </c>
      <c r="F6" s="101">
        <f t="shared" si="0"/>
        <v>120</v>
      </c>
      <c r="G6">
        <f>VLOOKUP($C6,약재관리!A:J,10,FALSE)</f>
        <v>20.8</v>
      </c>
      <c r="H6" s="5">
        <f t="shared" si="1"/>
        <v>124.80000000000001</v>
      </c>
      <c r="I6" s="6">
        <f t="shared" si="2"/>
        <v>2496</v>
      </c>
      <c r="K6" s="8" t="s">
        <v>10</v>
      </c>
      <c r="L6" s="146" t="s">
        <v>427</v>
      </c>
      <c r="M6" s="147"/>
    </row>
    <row r="7" spans="2:13" ht="17.25" thickBot="1">
      <c r="B7" s="3">
        <v>6</v>
      </c>
      <c r="C7" t="s">
        <v>430</v>
      </c>
      <c r="D7" s="4"/>
      <c r="E7" s="88">
        <v>4</v>
      </c>
      <c r="F7" s="101">
        <f t="shared" si="0"/>
        <v>80</v>
      </c>
      <c r="G7">
        <f>VLOOKUP($C7,약재관리!A:J,10,FALSE)</f>
        <v>44.3</v>
      </c>
      <c r="H7" s="5">
        <f t="shared" si="1"/>
        <v>177.2</v>
      </c>
      <c r="I7" s="6">
        <f t="shared" si="2"/>
        <v>3544</v>
      </c>
      <c r="K7" s="8" t="s">
        <v>11</v>
      </c>
      <c r="L7" s="154">
        <v>65</v>
      </c>
      <c r="M7" s="155"/>
    </row>
    <row r="8" spans="2:13" ht="17.25" thickBot="1">
      <c r="B8" s="3">
        <v>7</v>
      </c>
      <c r="C8" t="s">
        <v>407</v>
      </c>
      <c r="D8" s="4"/>
      <c r="E8" s="88">
        <v>4</v>
      </c>
      <c r="F8" s="101">
        <f t="shared" si="0"/>
        <v>80</v>
      </c>
      <c r="G8">
        <f>VLOOKUP($C8,약재관리!A:J,10,FALSE)</f>
        <v>10.8</v>
      </c>
      <c r="H8" s="5">
        <f t="shared" si="1"/>
        <v>43.2</v>
      </c>
      <c r="I8" s="6">
        <f t="shared" si="2"/>
        <v>864</v>
      </c>
      <c r="K8" s="148" t="s">
        <v>12</v>
      </c>
      <c r="L8" s="149"/>
      <c r="M8" s="150"/>
    </row>
    <row r="9" spans="2:13">
      <c r="B9" s="3">
        <v>8</v>
      </c>
      <c r="C9" t="s">
        <v>405</v>
      </c>
      <c r="D9" s="4"/>
      <c r="E9" s="88">
        <v>4</v>
      </c>
      <c r="F9" s="101">
        <f t="shared" si="0"/>
        <v>80</v>
      </c>
      <c r="G9">
        <f>VLOOKUP($C9,약재관리!A:J,10,FALSE)</f>
        <v>17.399999999999999</v>
      </c>
      <c r="H9" s="5">
        <f t="shared" si="1"/>
        <v>69.599999999999994</v>
      </c>
      <c r="I9" s="6">
        <f t="shared" si="2"/>
        <v>1392</v>
      </c>
      <c r="K9" s="156" t="s">
        <v>433</v>
      </c>
      <c r="L9" s="157"/>
      <c r="M9" s="158"/>
    </row>
    <row r="10" spans="2:13">
      <c r="B10" s="3">
        <v>9</v>
      </c>
      <c r="C10" t="s">
        <v>416</v>
      </c>
      <c r="D10" s="4"/>
      <c r="E10" s="88">
        <v>2</v>
      </c>
      <c r="F10" s="101">
        <f t="shared" si="0"/>
        <v>40</v>
      </c>
      <c r="G10">
        <f>VLOOKUP($C10,약재관리!A:J,10,FALSE)</f>
        <v>17.600000000000001</v>
      </c>
      <c r="H10" s="5">
        <f t="shared" si="1"/>
        <v>35.200000000000003</v>
      </c>
      <c r="I10" s="6">
        <f t="shared" si="2"/>
        <v>704</v>
      </c>
      <c r="K10" s="159"/>
      <c r="L10" s="160"/>
      <c r="M10" s="161"/>
    </row>
    <row r="11" spans="2:13">
      <c r="B11" s="3">
        <v>10</v>
      </c>
      <c r="C11" t="s">
        <v>423</v>
      </c>
      <c r="D11" s="4"/>
      <c r="E11" s="88">
        <v>2</v>
      </c>
      <c r="F11" s="101">
        <f t="shared" si="0"/>
        <v>40</v>
      </c>
      <c r="G11">
        <f>VLOOKUP($C11,약재관리!A:J,10,FALSE)</f>
        <v>136.69999999999999</v>
      </c>
      <c r="H11" s="5">
        <f t="shared" si="1"/>
        <v>273.39999999999998</v>
      </c>
      <c r="I11" s="6">
        <f t="shared" si="2"/>
        <v>5468</v>
      </c>
      <c r="K11" s="159"/>
      <c r="L11" s="160"/>
      <c r="M11" s="161"/>
    </row>
    <row r="12" spans="2:13">
      <c r="B12" s="3">
        <v>11</v>
      </c>
      <c r="C12" t="s">
        <v>429</v>
      </c>
      <c r="D12" s="4"/>
      <c r="E12" s="88">
        <v>2</v>
      </c>
      <c r="F12" s="101">
        <f t="shared" si="0"/>
        <v>40</v>
      </c>
      <c r="G12">
        <f>VLOOKUP($C12,약재관리!A:J,10,FALSE)</f>
        <v>28.3</v>
      </c>
      <c r="H12" s="5">
        <f t="shared" si="1"/>
        <v>56.6</v>
      </c>
      <c r="I12" s="6">
        <f t="shared" si="2"/>
        <v>1132</v>
      </c>
      <c r="K12" s="159"/>
      <c r="L12" s="160"/>
      <c r="M12" s="161"/>
    </row>
    <row r="13" spans="2:13" ht="17.25" thickBot="1">
      <c r="B13" s="3">
        <v>12</v>
      </c>
      <c r="C13" t="s">
        <v>431</v>
      </c>
      <c r="D13" s="4"/>
      <c r="E13" s="88">
        <v>4</v>
      </c>
      <c r="F13" s="101">
        <f t="shared" si="0"/>
        <v>80</v>
      </c>
      <c r="G13">
        <f>VLOOKUP($C13,약재관리!A:J,10,FALSE)</f>
        <v>14.8</v>
      </c>
      <c r="H13" s="5">
        <f t="shared" si="1"/>
        <v>59.2</v>
      </c>
      <c r="I13" s="6">
        <f t="shared" si="2"/>
        <v>1184</v>
      </c>
      <c r="K13" s="162"/>
      <c r="L13" s="163"/>
      <c r="M13" s="164"/>
    </row>
    <row r="14" spans="2:13">
      <c r="B14" s="3">
        <v>13</v>
      </c>
      <c r="C14" t="s">
        <v>419</v>
      </c>
      <c r="D14" s="4"/>
      <c r="E14" s="88">
        <v>3</v>
      </c>
      <c r="F14" s="101">
        <f t="shared" si="0"/>
        <v>60</v>
      </c>
      <c r="G14">
        <f>VLOOKUP($C14,약재관리!A:J,10,FALSE)</f>
        <v>7</v>
      </c>
      <c r="H14" s="5">
        <f t="shared" si="1"/>
        <v>21</v>
      </c>
      <c r="I14" s="6">
        <f t="shared" si="2"/>
        <v>420</v>
      </c>
      <c r="K14" s="92" t="s">
        <v>13</v>
      </c>
      <c r="L14" s="9">
        <v>15</v>
      </c>
      <c r="M14" s="10" t="s">
        <v>14</v>
      </c>
    </row>
    <row r="15" spans="2:13">
      <c r="B15" s="3">
        <v>14</v>
      </c>
      <c r="C15" t="s">
        <v>420</v>
      </c>
      <c r="D15" s="4"/>
      <c r="E15" s="88">
        <v>3</v>
      </c>
      <c r="F15" s="101">
        <f t="shared" si="0"/>
        <v>60</v>
      </c>
      <c r="G15">
        <f>VLOOKUP($C15,약재관리!A:J,10,FALSE)</f>
        <v>8</v>
      </c>
      <c r="H15" s="5">
        <f t="shared" si="1"/>
        <v>24</v>
      </c>
      <c r="I15" s="6">
        <f t="shared" si="2"/>
        <v>480</v>
      </c>
      <c r="K15" s="91" t="s">
        <v>15</v>
      </c>
      <c r="L15">
        <v>20</v>
      </c>
      <c r="M15" s="4" t="s">
        <v>16</v>
      </c>
    </row>
    <row r="16" spans="2:13">
      <c r="B16" s="3">
        <v>15</v>
      </c>
      <c r="C16" t="s">
        <v>421</v>
      </c>
      <c r="D16" s="4"/>
      <c r="E16" s="88">
        <v>3</v>
      </c>
      <c r="F16" s="101">
        <f t="shared" si="0"/>
        <v>60</v>
      </c>
      <c r="G16">
        <f>VLOOKUP($C16,약재관리!A:J,10,FALSE)</f>
        <v>7.5</v>
      </c>
      <c r="H16" s="5">
        <f t="shared" si="1"/>
        <v>22.5</v>
      </c>
      <c r="I16" s="6">
        <f t="shared" si="2"/>
        <v>450</v>
      </c>
      <c r="K16" s="91" t="s">
        <v>17</v>
      </c>
      <c r="L16">
        <v>45</v>
      </c>
      <c r="M16" s="4" t="s">
        <v>18</v>
      </c>
    </row>
    <row r="17" spans="2:13" ht="17.25" thickBot="1">
      <c r="B17" s="3">
        <v>16</v>
      </c>
      <c r="C17" t="s">
        <v>425</v>
      </c>
      <c r="D17" s="4"/>
      <c r="E17" s="88">
        <v>2</v>
      </c>
      <c r="F17" s="101">
        <f t="shared" si="0"/>
        <v>40</v>
      </c>
      <c r="G17">
        <f>VLOOKUP($C17,약재관리!A:J,10,FALSE)</f>
        <v>463.3</v>
      </c>
      <c r="H17" s="5">
        <f t="shared" si="1"/>
        <v>926.6</v>
      </c>
      <c r="I17" s="6">
        <f t="shared" si="2"/>
        <v>18532</v>
      </c>
      <c r="K17" s="14" t="s">
        <v>19</v>
      </c>
      <c r="L17" s="11">
        <v>100</v>
      </c>
      <c r="M17" s="12" t="s">
        <v>20</v>
      </c>
    </row>
    <row r="18" spans="2:13">
      <c r="B18" s="3">
        <v>17</v>
      </c>
      <c r="D18" s="4"/>
      <c r="F18" s="101">
        <f t="shared" si="0"/>
        <v>0</v>
      </c>
      <c r="H18" s="5">
        <f t="shared" si="1"/>
        <v>0</v>
      </c>
      <c r="I18" s="6">
        <f t="shared" si="2"/>
        <v>0</v>
      </c>
      <c r="K18" s="92" t="s">
        <v>21</v>
      </c>
      <c r="L18" s="9">
        <f>SUM(E2:E31)</f>
        <v>56</v>
      </c>
      <c r="M18" s="10" t="s">
        <v>22</v>
      </c>
    </row>
    <row r="19" spans="2:13">
      <c r="B19" s="3">
        <v>18</v>
      </c>
      <c r="D19" s="4"/>
      <c r="F19" s="101">
        <f t="shared" si="0"/>
        <v>0</v>
      </c>
      <c r="H19" s="5">
        <f t="shared" si="1"/>
        <v>0</v>
      </c>
      <c r="I19" s="6">
        <f t="shared" si="2"/>
        <v>0</v>
      </c>
      <c r="K19" s="91" t="s">
        <v>23</v>
      </c>
      <c r="L19">
        <f>L15*L18</f>
        <v>1120</v>
      </c>
      <c r="M19" s="4" t="s">
        <v>22</v>
      </c>
    </row>
    <row r="20" spans="2:13" ht="17.25" thickBot="1">
      <c r="B20" s="3">
        <v>19</v>
      </c>
      <c r="D20" s="4"/>
      <c r="F20" s="101">
        <f t="shared" si="0"/>
        <v>0</v>
      </c>
      <c r="H20" s="5">
        <f t="shared" si="1"/>
        <v>0</v>
      </c>
      <c r="I20" s="6">
        <f t="shared" si="2"/>
        <v>0</v>
      </c>
      <c r="K20" s="14" t="s">
        <v>24</v>
      </c>
      <c r="L20" s="11">
        <f>L16*L17+L19</f>
        <v>5620</v>
      </c>
      <c r="M20" s="12" t="s">
        <v>20</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385</v>
      </c>
      <c r="L22" s="149"/>
      <c r="M22" s="150"/>
    </row>
    <row r="23" spans="2:13">
      <c r="B23" s="3">
        <v>22</v>
      </c>
      <c r="D23" s="4"/>
      <c r="F23" s="101">
        <f t="shared" si="0"/>
        <v>0</v>
      </c>
      <c r="H23" s="5">
        <f t="shared" si="1"/>
        <v>0</v>
      </c>
      <c r="I23" s="6">
        <f t="shared" si="2"/>
        <v>0</v>
      </c>
      <c r="K23" s="91" t="s">
        <v>379</v>
      </c>
      <c r="L23">
        <f>SUM(F2:F31)</f>
        <v>1120</v>
      </c>
      <c r="M23" s="4" t="s">
        <v>22</v>
      </c>
    </row>
    <row r="24" spans="2:13">
      <c r="B24" s="3">
        <v>23</v>
      </c>
      <c r="D24" s="4"/>
      <c r="F24" s="101">
        <f t="shared" si="0"/>
        <v>0</v>
      </c>
      <c r="H24" s="5">
        <f t="shared" si="1"/>
        <v>0</v>
      </c>
      <c r="I24" s="6">
        <f t="shared" si="2"/>
        <v>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2505.7000000000003</v>
      </c>
      <c r="M30" s="4" t="s">
        <v>383</v>
      </c>
    </row>
    <row r="31" spans="2:13" ht="17.25" thickBot="1">
      <c r="B31" s="13">
        <v>30</v>
      </c>
      <c r="C31" s="14"/>
      <c r="D31" s="12"/>
      <c r="E31" s="95"/>
      <c r="F31" s="102">
        <f t="shared" si="0"/>
        <v>0</v>
      </c>
      <c r="G31" s="14"/>
      <c r="H31" s="15">
        <f t="shared" si="1"/>
        <v>0</v>
      </c>
      <c r="I31" s="16">
        <f t="shared" si="2"/>
        <v>0</v>
      </c>
      <c r="K31" s="14" t="s">
        <v>382</v>
      </c>
      <c r="L31" s="15">
        <f>SUM(I2:I31)</f>
        <v>50114</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28" sqref="E2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410</v>
      </c>
      <c r="D2" s="4"/>
      <c r="E2" s="88">
        <v>6</v>
      </c>
      <c r="F2" s="101">
        <f>E2*$L$15</f>
        <v>120</v>
      </c>
      <c r="G2">
        <f>VLOOKUP($C2,약재관리!A:J,10,FALSE)</f>
        <v>22</v>
      </c>
      <c r="H2" s="5">
        <f>G2*E2</f>
        <v>132</v>
      </c>
      <c r="I2" s="90">
        <f>G2*F2</f>
        <v>2640</v>
      </c>
      <c r="K2" s="7" t="s">
        <v>6</v>
      </c>
      <c r="L2" s="151">
        <v>45</v>
      </c>
      <c r="M2" s="152"/>
    </row>
    <row r="3" spans="2:13">
      <c r="B3" s="3">
        <v>2</v>
      </c>
      <c r="C3" t="s">
        <v>424</v>
      </c>
      <c r="D3" s="4"/>
      <c r="E3" s="88">
        <v>2</v>
      </c>
      <c r="F3" s="101">
        <f t="shared" ref="F3:F31" si="0">E3*$L$15</f>
        <v>40</v>
      </c>
      <c r="G3">
        <f>VLOOKUP($C3,약재관리!A:J,10,FALSE)</f>
        <v>90</v>
      </c>
      <c r="H3" s="5">
        <f t="shared" ref="H3:H31" si="1">G3*E3</f>
        <v>180</v>
      </c>
      <c r="I3" s="6">
        <f t="shared" ref="I3:I31" si="2">G3*F3</f>
        <v>3600</v>
      </c>
      <c r="K3" s="8" t="s">
        <v>7</v>
      </c>
      <c r="L3" s="146" t="s">
        <v>404</v>
      </c>
      <c r="M3" s="147"/>
    </row>
    <row r="4" spans="2:13">
      <c r="B4" s="3">
        <v>3</v>
      </c>
      <c r="C4" t="s">
        <v>412</v>
      </c>
      <c r="D4" s="4"/>
      <c r="E4" s="88">
        <v>6</v>
      </c>
      <c r="F4" s="101">
        <f t="shared" si="0"/>
        <v>120</v>
      </c>
      <c r="G4">
        <f>VLOOKUP($C4,약재관리!A:J,10,FALSE)</f>
        <v>24</v>
      </c>
      <c r="H4" s="5">
        <f t="shared" si="1"/>
        <v>144</v>
      </c>
      <c r="I4" s="6">
        <f t="shared" si="2"/>
        <v>2880</v>
      </c>
      <c r="K4" s="8" t="s">
        <v>8</v>
      </c>
      <c r="L4" s="153">
        <v>45615</v>
      </c>
      <c r="M4" s="147"/>
    </row>
    <row r="5" spans="2:13">
      <c r="B5" s="3">
        <v>4</v>
      </c>
      <c r="C5" t="s">
        <v>411</v>
      </c>
      <c r="D5" s="4"/>
      <c r="E5" s="88">
        <v>6</v>
      </c>
      <c r="F5" s="101">
        <f t="shared" si="0"/>
        <v>120</v>
      </c>
      <c r="G5">
        <f>VLOOKUP($C5,약재관리!A:J,10,FALSE)</f>
        <v>11</v>
      </c>
      <c r="H5" s="5">
        <f t="shared" si="1"/>
        <v>66</v>
      </c>
      <c r="I5" s="6">
        <f t="shared" si="2"/>
        <v>1320</v>
      </c>
      <c r="K5" s="8" t="s">
        <v>9</v>
      </c>
      <c r="L5" s="146" t="s">
        <v>426</v>
      </c>
      <c r="M5" s="147"/>
    </row>
    <row r="6" spans="2:13">
      <c r="B6" s="3">
        <v>5</v>
      </c>
      <c r="C6" t="s">
        <v>406</v>
      </c>
      <c r="D6" s="4"/>
      <c r="E6" s="88">
        <v>4</v>
      </c>
      <c r="F6" s="101">
        <f t="shared" si="0"/>
        <v>80</v>
      </c>
      <c r="G6">
        <f>VLOOKUP($C6,약재관리!A:J,10,FALSE)</f>
        <v>25</v>
      </c>
      <c r="H6" s="5">
        <f t="shared" si="1"/>
        <v>100</v>
      </c>
      <c r="I6" s="6">
        <f t="shared" si="2"/>
        <v>2000</v>
      </c>
      <c r="K6" s="8" t="s">
        <v>10</v>
      </c>
      <c r="L6" s="146" t="s">
        <v>427</v>
      </c>
      <c r="M6" s="147"/>
    </row>
    <row r="7" spans="2:13" ht="17.25" thickBot="1">
      <c r="B7" s="3">
        <v>6</v>
      </c>
      <c r="C7" t="s">
        <v>413</v>
      </c>
      <c r="D7" s="4"/>
      <c r="E7" s="88">
        <v>4</v>
      </c>
      <c r="F7" s="101">
        <f t="shared" si="0"/>
        <v>80</v>
      </c>
      <c r="G7">
        <f>VLOOKUP($C7,약재관리!A:J,10,FALSE)</f>
        <v>19.600000000000001</v>
      </c>
      <c r="H7" s="5">
        <f t="shared" si="1"/>
        <v>78.400000000000006</v>
      </c>
      <c r="I7" s="6">
        <f t="shared" si="2"/>
        <v>1568</v>
      </c>
      <c r="K7" s="8" t="s">
        <v>11</v>
      </c>
      <c r="L7" s="154">
        <v>64</v>
      </c>
      <c r="M7" s="155"/>
    </row>
    <row r="8" spans="2:13" ht="17.25" thickBot="1">
      <c r="B8" s="3">
        <v>7</v>
      </c>
      <c r="C8" t="s">
        <v>405</v>
      </c>
      <c r="D8" s="4"/>
      <c r="E8" s="88">
        <v>4</v>
      </c>
      <c r="F8" s="101">
        <f t="shared" si="0"/>
        <v>80</v>
      </c>
      <c r="G8">
        <f>VLOOKUP($C8,약재관리!A:J,10,FALSE)</f>
        <v>17.399999999999999</v>
      </c>
      <c r="H8" s="5">
        <f t="shared" si="1"/>
        <v>69.599999999999994</v>
      </c>
      <c r="I8" s="6">
        <f t="shared" si="2"/>
        <v>1392</v>
      </c>
      <c r="K8" s="148" t="s">
        <v>12</v>
      </c>
      <c r="L8" s="149"/>
      <c r="M8" s="150"/>
    </row>
    <row r="9" spans="2:13">
      <c r="B9" s="3">
        <v>8</v>
      </c>
      <c r="C9" t="s">
        <v>409</v>
      </c>
      <c r="D9" s="4"/>
      <c r="E9" s="88">
        <v>6</v>
      </c>
      <c r="F9" s="101">
        <f t="shared" si="0"/>
        <v>120</v>
      </c>
      <c r="G9">
        <f>VLOOKUP($C9,약재관리!A:J,10,FALSE)</f>
        <v>19.2</v>
      </c>
      <c r="H9" s="5">
        <f t="shared" si="1"/>
        <v>115.19999999999999</v>
      </c>
      <c r="I9" s="6">
        <f t="shared" si="2"/>
        <v>2304</v>
      </c>
      <c r="K9" s="165"/>
      <c r="L9" s="157"/>
      <c r="M9" s="158"/>
    </row>
    <row r="10" spans="2:13">
      <c r="B10" s="3">
        <v>9</v>
      </c>
      <c r="C10" t="s">
        <v>407</v>
      </c>
      <c r="D10" s="4"/>
      <c r="E10" s="88">
        <v>4</v>
      </c>
      <c r="F10" s="101">
        <f t="shared" si="0"/>
        <v>80</v>
      </c>
      <c r="G10">
        <f>VLOOKUP($C10,약재관리!A:J,10,FALSE)</f>
        <v>10.8</v>
      </c>
      <c r="H10" s="5">
        <f t="shared" si="1"/>
        <v>43.2</v>
      </c>
      <c r="I10" s="6">
        <f t="shared" si="2"/>
        <v>864</v>
      </c>
      <c r="K10" s="159"/>
      <c r="L10" s="160"/>
      <c r="M10" s="161"/>
    </row>
    <row r="11" spans="2:13">
      <c r="B11" s="3">
        <v>10</v>
      </c>
      <c r="C11" t="s">
        <v>422</v>
      </c>
      <c r="D11" s="4"/>
      <c r="E11" s="88">
        <v>4</v>
      </c>
      <c r="F11" s="101">
        <f t="shared" si="0"/>
        <v>80</v>
      </c>
      <c r="G11">
        <f>VLOOKUP($C11,약재관리!A:J,10,FALSE)</f>
        <v>13.3</v>
      </c>
      <c r="H11" s="5">
        <f t="shared" si="1"/>
        <v>53.2</v>
      </c>
      <c r="I11" s="6">
        <f t="shared" si="2"/>
        <v>1064</v>
      </c>
      <c r="K11" s="159"/>
      <c r="L11" s="160"/>
      <c r="M11" s="161"/>
    </row>
    <row r="12" spans="2:13">
      <c r="B12" s="3">
        <v>11</v>
      </c>
      <c r="C12" t="s">
        <v>416</v>
      </c>
      <c r="D12" s="4"/>
      <c r="E12" s="88">
        <v>4</v>
      </c>
      <c r="F12" s="101">
        <f t="shared" si="0"/>
        <v>80</v>
      </c>
      <c r="G12">
        <f>VLOOKUP($C12,약재관리!A:J,10,FALSE)</f>
        <v>17.600000000000001</v>
      </c>
      <c r="H12" s="5">
        <f t="shared" si="1"/>
        <v>70.400000000000006</v>
      </c>
      <c r="I12" s="6">
        <f t="shared" si="2"/>
        <v>1408</v>
      </c>
      <c r="K12" s="159"/>
      <c r="L12" s="160"/>
      <c r="M12" s="161"/>
    </row>
    <row r="13" spans="2:13" ht="17.25" thickBot="1">
      <c r="B13" s="3">
        <v>12</v>
      </c>
      <c r="C13" t="s">
        <v>417</v>
      </c>
      <c r="D13" s="4"/>
      <c r="E13" s="88">
        <v>4</v>
      </c>
      <c r="F13" s="101">
        <f t="shared" si="0"/>
        <v>80</v>
      </c>
      <c r="G13">
        <f>VLOOKUP($C13,약재관리!A:J,10,FALSE)</f>
        <v>14.8</v>
      </c>
      <c r="H13" s="5">
        <f t="shared" si="1"/>
        <v>59.2</v>
      </c>
      <c r="I13" s="6">
        <f t="shared" si="2"/>
        <v>1184</v>
      </c>
      <c r="K13" s="162"/>
      <c r="L13" s="163"/>
      <c r="M13" s="164"/>
    </row>
    <row r="14" spans="2:13">
      <c r="B14" s="3">
        <v>13</v>
      </c>
      <c r="C14" t="s">
        <v>423</v>
      </c>
      <c r="D14" s="4"/>
      <c r="E14" s="88">
        <v>2</v>
      </c>
      <c r="F14" s="101">
        <f t="shared" si="0"/>
        <v>40</v>
      </c>
      <c r="G14">
        <f>VLOOKUP($C14,약재관리!A:J,10,FALSE)</f>
        <v>136.69999999999999</v>
      </c>
      <c r="H14" s="5">
        <f t="shared" si="1"/>
        <v>273.39999999999998</v>
      </c>
      <c r="I14" s="6">
        <f t="shared" si="2"/>
        <v>5468</v>
      </c>
      <c r="K14" s="92" t="s">
        <v>13</v>
      </c>
      <c r="L14" s="9">
        <v>15</v>
      </c>
      <c r="M14" s="10" t="s">
        <v>14</v>
      </c>
    </row>
    <row r="15" spans="2:13">
      <c r="B15" s="3">
        <v>14</v>
      </c>
      <c r="C15" t="s">
        <v>414</v>
      </c>
      <c r="D15" s="4"/>
      <c r="E15" s="88">
        <v>6</v>
      </c>
      <c r="F15" s="101">
        <f t="shared" si="0"/>
        <v>120</v>
      </c>
      <c r="G15">
        <f>VLOOKUP($C15,약재관리!A:J,10,FALSE)</f>
        <v>14.7</v>
      </c>
      <c r="H15" s="5">
        <f t="shared" si="1"/>
        <v>88.199999999999989</v>
      </c>
      <c r="I15" s="6">
        <f t="shared" si="2"/>
        <v>1764</v>
      </c>
      <c r="K15" s="91" t="s">
        <v>15</v>
      </c>
      <c r="L15">
        <v>20</v>
      </c>
      <c r="M15" s="4" t="s">
        <v>16</v>
      </c>
    </row>
    <row r="16" spans="2:13">
      <c r="B16" s="3">
        <v>15</v>
      </c>
      <c r="C16" t="s">
        <v>415</v>
      </c>
      <c r="D16" s="4"/>
      <c r="E16" s="88">
        <v>4</v>
      </c>
      <c r="F16" s="101">
        <f t="shared" si="0"/>
        <v>80</v>
      </c>
      <c r="G16">
        <f>VLOOKUP($C16,약재관리!A:J,10,FALSE)</f>
        <v>12</v>
      </c>
      <c r="H16" s="5">
        <f t="shared" si="1"/>
        <v>48</v>
      </c>
      <c r="I16" s="6">
        <f t="shared" si="2"/>
        <v>960</v>
      </c>
      <c r="K16" s="91" t="s">
        <v>17</v>
      </c>
      <c r="L16">
        <v>45</v>
      </c>
      <c r="M16" s="4" t="s">
        <v>18</v>
      </c>
    </row>
    <row r="17" spans="2:13" ht="17.25" thickBot="1">
      <c r="B17" s="3">
        <v>16</v>
      </c>
      <c r="C17" t="s">
        <v>408</v>
      </c>
      <c r="D17" s="4"/>
      <c r="E17" s="88">
        <v>4</v>
      </c>
      <c r="F17" s="101">
        <f t="shared" si="0"/>
        <v>80</v>
      </c>
      <c r="G17">
        <f>VLOOKUP($C17,약재관리!A:J,10,FALSE)</f>
        <v>15</v>
      </c>
      <c r="H17" s="5">
        <f t="shared" si="1"/>
        <v>60</v>
      </c>
      <c r="I17" s="6">
        <f t="shared" si="2"/>
        <v>1200</v>
      </c>
      <c r="K17" s="14" t="s">
        <v>19</v>
      </c>
      <c r="L17" s="11">
        <v>100</v>
      </c>
      <c r="M17" s="12" t="s">
        <v>20</v>
      </c>
    </row>
    <row r="18" spans="2:13">
      <c r="B18" s="3">
        <v>17</v>
      </c>
      <c r="C18" t="s">
        <v>419</v>
      </c>
      <c r="D18" s="4"/>
      <c r="E18" s="88">
        <v>3</v>
      </c>
      <c r="F18" s="101">
        <f t="shared" si="0"/>
        <v>60</v>
      </c>
      <c r="G18">
        <f>VLOOKUP($C18,약재관리!A:J,10,FALSE)</f>
        <v>7</v>
      </c>
      <c r="H18" s="5">
        <f t="shared" si="1"/>
        <v>21</v>
      </c>
      <c r="I18" s="6">
        <f t="shared" si="2"/>
        <v>420</v>
      </c>
      <c r="K18" s="92" t="s">
        <v>21</v>
      </c>
      <c r="L18" s="9">
        <f>SUM(E2:E31)</f>
        <v>83</v>
      </c>
      <c r="M18" s="10" t="s">
        <v>22</v>
      </c>
    </row>
    <row r="19" spans="2:13">
      <c r="B19" s="3">
        <v>18</v>
      </c>
      <c r="C19" t="s">
        <v>420</v>
      </c>
      <c r="D19" s="4"/>
      <c r="E19" s="88">
        <v>3</v>
      </c>
      <c r="F19" s="101">
        <f t="shared" si="0"/>
        <v>60</v>
      </c>
      <c r="G19">
        <f>VLOOKUP($C19,약재관리!A:J,10,FALSE)</f>
        <v>8</v>
      </c>
      <c r="H19" s="5">
        <f t="shared" si="1"/>
        <v>24</v>
      </c>
      <c r="I19" s="6">
        <f t="shared" si="2"/>
        <v>480</v>
      </c>
      <c r="K19" s="91" t="s">
        <v>23</v>
      </c>
      <c r="L19">
        <f>L15*L18</f>
        <v>1660</v>
      </c>
      <c r="M19" s="4" t="s">
        <v>22</v>
      </c>
    </row>
    <row r="20" spans="2:13" ht="17.25" thickBot="1">
      <c r="B20" s="3">
        <v>19</v>
      </c>
      <c r="C20" t="s">
        <v>421</v>
      </c>
      <c r="D20" s="4"/>
      <c r="E20" s="88">
        <v>3</v>
      </c>
      <c r="F20" s="101">
        <f t="shared" si="0"/>
        <v>60</v>
      </c>
      <c r="G20">
        <f>VLOOKUP($C20,약재관리!A:J,10,FALSE)</f>
        <v>7.5</v>
      </c>
      <c r="H20" s="5">
        <f t="shared" si="1"/>
        <v>22.5</v>
      </c>
      <c r="I20" s="6">
        <f t="shared" si="2"/>
        <v>450</v>
      </c>
      <c r="K20" s="14" t="s">
        <v>24</v>
      </c>
      <c r="L20" s="11">
        <f>L16*L17+L19</f>
        <v>6160</v>
      </c>
      <c r="M20" s="12" t="s">
        <v>20</v>
      </c>
    </row>
    <row r="21" spans="2:13" ht="17.25" thickBot="1">
      <c r="B21" s="3">
        <v>20</v>
      </c>
      <c r="C21" t="s">
        <v>418</v>
      </c>
      <c r="D21" s="4"/>
      <c r="E21" s="88">
        <v>2</v>
      </c>
      <c r="F21" s="101">
        <f t="shared" si="0"/>
        <v>40</v>
      </c>
      <c r="G21">
        <f>VLOOKUP($C21,약재관리!A:J,10,FALSE)</f>
        <v>21.8</v>
      </c>
      <c r="H21" s="5">
        <f t="shared" si="1"/>
        <v>43.6</v>
      </c>
      <c r="I21" s="6">
        <f t="shared" si="2"/>
        <v>872</v>
      </c>
      <c r="J21" s="91"/>
      <c r="M21" s="94"/>
    </row>
    <row r="22" spans="2:13" ht="17.25" thickBot="1">
      <c r="B22" s="3">
        <v>21</v>
      </c>
      <c r="C22" t="s">
        <v>425</v>
      </c>
      <c r="D22" s="4"/>
      <c r="E22" s="88">
        <v>2</v>
      </c>
      <c r="F22" s="101">
        <f t="shared" si="0"/>
        <v>40</v>
      </c>
      <c r="G22">
        <f>VLOOKUP($C22,약재관리!A:J,10,FALSE)</f>
        <v>463.3</v>
      </c>
      <c r="H22" s="5">
        <f t="shared" si="1"/>
        <v>926.6</v>
      </c>
      <c r="I22" s="6">
        <f t="shared" si="2"/>
        <v>18532</v>
      </c>
      <c r="K22" s="148" t="s">
        <v>385</v>
      </c>
      <c r="L22" s="149"/>
      <c r="M22" s="150"/>
    </row>
    <row r="23" spans="2:13">
      <c r="B23" s="3">
        <v>22</v>
      </c>
      <c r="D23" s="4"/>
      <c r="F23" s="101">
        <f t="shared" si="0"/>
        <v>0</v>
      </c>
      <c r="H23" s="5">
        <f t="shared" si="1"/>
        <v>0</v>
      </c>
      <c r="I23" s="6">
        <f t="shared" si="2"/>
        <v>0</v>
      </c>
      <c r="K23" s="91" t="s">
        <v>379</v>
      </c>
      <c r="L23">
        <f>SUM(F2:F31)</f>
        <v>1660</v>
      </c>
      <c r="M23" s="4" t="s">
        <v>22</v>
      </c>
    </row>
    <row r="24" spans="2:13">
      <c r="B24" s="3">
        <v>23</v>
      </c>
      <c r="D24" s="4"/>
      <c r="F24" s="101">
        <f t="shared" si="0"/>
        <v>0</v>
      </c>
      <c r="H24" s="5">
        <f t="shared" si="1"/>
        <v>0</v>
      </c>
      <c r="I24" s="6">
        <f t="shared" si="2"/>
        <v>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2618.5000000000005</v>
      </c>
      <c r="M30" s="4" t="s">
        <v>383</v>
      </c>
    </row>
    <row r="31" spans="2:13" ht="17.25" thickBot="1">
      <c r="B31" s="13">
        <v>30</v>
      </c>
      <c r="C31" s="14"/>
      <c r="D31" s="12"/>
      <c r="E31" s="95"/>
      <c r="F31" s="102">
        <f t="shared" si="0"/>
        <v>0</v>
      </c>
      <c r="G31" s="14"/>
      <c r="H31" s="15">
        <f t="shared" si="1"/>
        <v>0</v>
      </c>
      <c r="I31" s="16">
        <f t="shared" si="2"/>
        <v>0</v>
      </c>
      <c r="K31" s="14" t="s">
        <v>382</v>
      </c>
      <c r="L31" s="15">
        <f>SUM(I2:I31)</f>
        <v>52370</v>
      </c>
      <c r="M31" s="12" t="s">
        <v>383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5" zoomScaleNormal="100" workbookViewId="0">
      <selection activeCell="J152" sqref="J15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27</v>
      </c>
      <c r="B1" s="123" t="s">
        <v>28</v>
      </c>
      <c r="C1" s="17" t="s">
        <v>29</v>
      </c>
      <c r="D1" s="17" t="s">
        <v>30</v>
      </c>
      <c r="E1" s="18" t="s">
        <v>31</v>
      </c>
      <c r="F1" s="19" t="s">
        <v>28</v>
      </c>
      <c r="G1" s="20" t="s">
        <v>29</v>
      </c>
      <c r="H1" s="20" t="s">
        <v>30</v>
      </c>
      <c r="I1" s="21" t="s">
        <v>31</v>
      </c>
      <c r="J1" s="114" t="s">
        <v>32</v>
      </c>
      <c r="K1" s="22" t="s">
        <v>28</v>
      </c>
      <c r="L1" s="23" t="s">
        <v>29</v>
      </c>
      <c r="M1" s="23" t="s">
        <v>30</v>
      </c>
      <c r="N1" s="24" t="s">
        <v>31</v>
      </c>
    </row>
    <row r="2" spans="1:14" ht="15.75" customHeight="1" thickTop="1" thickBot="1">
      <c r="A2" s="117">
        <v>45602</v>
      </c>
      <c r="B2" s="124" t="s">
        <v>33</v>
      </c>
      <c r="C2" s="104" t="s">
        <v>34</v>
      </c>
      <c r="D2" s="104" t="s">
        <v>34</v>
      </c>
      <c r="E2" s="105" t="s">
        <v>34</v>
      </c>
      <c r="F2" s="106" t="s">
        <v>35</v>
      </c>
      <c r="G2" s="107" t="s">
        <v>35</v>
      </c>
      <c r="H2" s="107" t="s">
        <v>35</v>
      </c>
      <c r="I2" s="108" t="s">
        <v>35</v>
      </c>
      <c r="J2" s="109" t="s">
        <v>35</v>
      </c>
      <c r="K2" s="110" t="s">
        <v>36</v>
      </c>
      <c r="L2" s="111" t="s">
        <v>36</v>
      </c>
      <c r="M2" s="111" t="s">
        <v>37</v>
      </c>
      <c r="N2" s="112" t="s">
        <v>37</v>
      </c>
    </row>
    <row r="3" spans="1:14" ht="15.75" customHeight="1">
      <c r="A3" s="127" t="s">
        <v>38</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39</v>
      </c>
      <c r="M3" s="34" t="s">
        <v>40</v>
      </c>
      <c r="N3" s="35" t="s">
        <v>41</v>
      </c>
    </row>
    <row r="4" spans="1:14" ht="15.75" customHeight="1">
      <c r="A4" s="118" t="s">
        <v>42</v>
      </c>
      <c r="B4" s="125"/>
      <c r="C4" s="36">
        <v>2700</v>
      </c>
      <c r="D4" s="36"/>
      <c r="E4" s="37"/>
      <c r="F4" s="115">
        <f t="shared" si="0"/>
        <v>0</v>
      </c>
      <c r="G4" s="38">
        <f t="shared" si="0"/>
        <v>5.4</v>
      </c>
      <c r="H4" s="38">
        <f t="shared" si="1"/>
        <v>0</v>
      </c>
      <c r="I4" s="46">
        <f t="shared" si="2"/>
        <v>0</v>
      </c>
      <c r="K4" s="41"/>
      <c r="L4" s="42" t="s">
        <v>43</v>
      </c>
      <c r="M4" s="47"/>
      <c r="N4" s="43"/>
    </row>
    <row r="5" spans="1:14" ht="15.75" customHeight="1">
      <c r="A5" s="118" t="s">
        <v>44</v>
      </c>
      <c r="B5" s="125"/>
      <c r="C5" s="36"/>
      <c r="D5" s="36"/>
      <c r="E5" s="37"/>
      <c r="F5" s="115">
        <f t="shared" si="0"/>
        <v>0</v>
      </c>
      <c r="G5" s="38">
        <f t="shared" si="0"/>
        <v>0</v>
      </c>
      <c r="H5" s="38">
        <f t="shared" si="1"/>
        <v>0</v>
      </c>
      <c r="I5" s="39">
        <f t="shared" si="2"/>
        <v>0</v>
      </c>
      <c r="K5" s="41"/>
      <c r="L5" s="42"/>
      <c r="M5" s="42"/>
      <c r="N5" s="43"/>
    </row>
    <row r="6" spans="1:14" ht="15.75" customHeight="1">
      <c r="A6" s="118" t="s">
        <v>45</v>
      </c>
      <c r="B6" s="125"/>
      <c r="C6" s="36">
        <v>23400</v>
      </c>
      <c r="D6" s="36"/>
      <c r="E6" s="37">
        <v>27100</v>
      </c>
      <c r="F6" s="115">
        <f t="shared" ref="F6:F37" si="3">B6/500</f>
        <v>0</v>
      </c>
      <c r="G6" s="44">
        <f>C6/600</f>
        <v>39</v>
      </c>
      <c r="H6" s="38">
        <f t="shared" si="1"/>
        <v>0</v>
      </c>
      <c r="I6" s="39">
        <f t="shared" si="2"/>
        <v>45.166666666666664</v>
      </c>
      <c r="J6" s="40">
        <v>45.2</v>
      </c>
      <c r="K6" s="41"/>
      <c r="L6" s="42" t="s">
        <v>46</v>
      </c>
      <c r="M6" s="42"/>
      <c r="N6" s="43" t="s">
        <v>47</v>
      </c>
    </row>
    <row r="7" spans="1:14" ht="15.75" customHeight="1">
      <c r="A7" s="118" t="s">
        <v>48</v>
      </c>
      <c r="B7" s="125"/>
      <c r="C7" s="36"/>
      <c r="D7" s="36">
        <v>17000</v>
      </c>
      <c r="E7" s="37">
        <v>25500</v>
      </c>
      <c r="F7" s="115">
        <f t="shared" si="3"/>
        <v>0</v>
      </c>
      <c r="G7" s="38">
        <f t="shared" ref="G7:G16" si="4">C7/500</f>
        <v>0</v>
      </c>
      <c r="H7" s="44">
        <f t="shared" si="1"/>
        <v>28.333333333333332</v>
      </c>
      <c r="I7" s="39">
        <f t="shared" si="2"/>
        <v>42.5</v>
      </c>
      <c r="J7" s="40">
        <v>28.3</v>
      </c>
      <c r="K7" s="41"/>
      <c r="L7" s="42"/>
      <c r="M7" s="113" t="s">
        <v>49</v>
      </c>
      <c r="N7" s="45" t="s">
        <v>50</v>
      </c>
    </row>
    <row r="8" spans="1:14" ht="15.75" customHeight="1">
      <c r="A8" s="118" t="s">
        <v>51</v>
      </c>
      <c r="B8" s="125">
        <v>27200</v>
      </c>
      <c r="C8" s="36">
        <v>20500</v>
      </c>
      <c r="D8" s="36">
        <v>24000</v>
      </c>
      <c r="E8" s="37"/>
      <c r="F8" s="115">
        <f t="shared" si="3"/>
        <v>54.4</v>
      </c>
      <c r="G8" s="38">
        <f t="shared" si="4"/>
        <v>41</v>
      </c>
      <c r="H8" s="38">
        <f t="shared" si="1"/>
        <v>40</v>
      </c>
      <c r="I8" s="46">
        <f t="shared" si="2"/>
        <v>0</v>
      </c>
      <c r="J8" s="40">
        <v>40</v>
      </c>
      <c r="K8" s="41"/>
      <c r="L8" s="42" t="s">
        <v>39</v>
      </c>
      <c r="M8" s="42" t="s">
        <v>52</v>
      </c>
      <c r="N8" s="45"/>
    </row>
    <row r="9" spans="1:14" ht="15.75" customHeight="1">
      <c r="A9" s="118" t="s">
        <v>53</v>
      </c>
      <c r="B9" s="125"/>
      <c r="C9" s="36">
        <v>18700</v>
      </c>
      <c r="D9" s="36">
        <v>21000</v>
      </c>
      <c r="E9" s="37">
        <v>23300</v>
      </c>
      <c r="F9" s="115">
        <f t="shared" si="3"/>
        <v>0</v>
      </c>
      <c r="G9" s="38">
        <f t="shared" si="4"/>
        <v>37.4</v>
      </c>
      <c r="H9" s="44">
        <f t="shared" si="1"/>
        <v>35</v>
      </c>
      <c r="I9" s="64">
        <f t="shared" si="2"/>
        <v>38.833333333333336</v>
      </c>
      <c r="J9" s="40">
        <v>38.799999999999997</v>
      </c>
      <c r="K9" s="41"/>
      <c r="L9" s="42" t="s">
        <v>54</v>
      </c>
      <c r="M9" s="42"/>
      <c r="N9" s="45" t="s">
        <v>39</v>
      </c>
    </row>
    <row r="10" spans="1:14" ht="15.75" customHeight="1">
      <c r="A10" s="118" t="s">
        <v>55</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56</v>
      </c>
      <c r="N10" s="43"/>
    </row>
    <row r="11" spans="1:14" ht="15.75" customHeight="1">
      <c r="A11" s="118" t="s">
        <v>57</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58</v>
      </c>
      <c r="B12" s="125"/>
      <c r="C12" s="36">
        <v>13500</v>
      </c>
      <c r="D12" s="36">
        <v>16500</v>
      </c>
      <c r="E12" s="37">
        <v>16700</v>
      </c>
      <c r="F12" s="115">
        <f t="shared" si="3"/>
        <v>0</v>
      </c>
      <c r="G12" s="38">
        <f t="shared" si="4"/>
        <v>27</v>
      </c>
      <c r="H12" s="38">
        <f t="shared" si="1"/>
        <v>27.5</v>
      </c>
      <c r="I12" s="39">
        <f t="shared" si="2"/>
        <v>27.833333333333332</v>
      </c>
      <c r="J12" s="40">
        <v>27.5</v>
      </c>
      <c r="K12" s="41"/>
      <c r="L12" s="42"/>
      <c r="M12" s="47" t="s">
        <v>59</v>
      </c>
      <c r="N12" s="43" t="s">
        <v>60</v>
      </c>
    </row>
    <row r="13" spans="1:14" ht="15.75" customHeight="1">
      <c r="A13" s="118" t="s">
        <v>61</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62</v>
      </c>
      <c r="M13" s="47"/>
      <c r="N13" s="43"/>
    </row>
    <row r="14" spans="1:14" ht="15.75" customHeight="1">
      <c r="A14" s="118" t="s">
        <v>63</v>
      </c>
      <c r="B14" s="125"/>
      <c r="C14" s="36"/>
      <c r="D14" s="36"/>
      <c r="E14" s="37"/>
      <c r="F14" s="115">
        <f t="shared" si="3"/>
        <v>0</v>
      </c>
      <c r="G14" s="38">
        <f t="shared" si="4"/>
        <v>0</v>
      </c>
      <c r="H14" s="38">
        <f t="shared" si="1"/>
        <v>0</v>
      </c>
      <c r="I14" s="39">
        <f t="shared" si="2"/>
        <v>0</v>
      </c>
      <c r="K14" s="41"/>
      <c r="L14" s="42"/>
      <c r="M14" s="42"/>
      <c r="N14" s="43"/>
    </row>
    <row r="15" spans="1:14" ht="15.75" customHeight="1">
      <c r="A15" s="118" t="s">
        <v>64</v>
      </c>
      <c r="B15" s="125"/>
      <c r="C15" s="36"/>
      <c r="D15" s="36"/>
      <c r="E15" s="37"/>
      <c r="F15" s="115">
        <f t="shared" si="3"/>
        <v>0</v>
      </c>
      <c r="G15" s="38">
        <f t="shared" si="4"/>
        <v>0</v>
      </c>
      <c r="H15" s="38">
        <f t="shared" si="1"/>
        <v>0</v>
      </c>
      <c r="I15" s="39">
        <f t="shared" si="2"/>
        <v>0</v>
      </c>
      <c r="K15" s="41"/>
      <c r="L15" s="42"/>
      <c r="M15" s="42"/>
      <c r="N15" s="43"/>
    </row>
    <row r="16" spans="1:14" ht="15.75" customHeight="1">
      <c r="A16" s="118" t="s">
        <v>65</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66</v>
      </c>
      <c r="M16" s="47" t="s">
        <v>67</v>
      </c>
      <c r="N16" s="43" t="s">
        <v>68</v>
      </c>
    </row>
    <row r="17" spans="1:14" ht="15.75" customHeight="1">
      <c r="A17" s="118" t="s">
        <v>69</v>
      </c>
      <c r="B17" s="125"/>
      <c r="C17" s="36">
        <v>10200</v>
      </c>
      <c r="D17" s="36"/>
      <c r="E17" s="37">
        <v>11100</v>
      </c>
      <c r="F17" s="115">
        <f t="shared" si="3"/>
        <v>0</v>
      </c>
      <c r="G17" s="38">
        <f>C17/600</f>
        <v>17</v>
      </c>
      <c r="H17" s="38">
        <f t="shared" si="1"/>
        <v>0</v>
      </c>
      <c r="I17" s="39">
        <f t="shared" si="2"/>
        <v>18.5</v>
      </c>
      <c r="J17" s="40">
        <v>17</v>
      </c>
      <c r="K17" s="41"/>
      <c r="L17" s="42" t="s">
        <v>70</v>
      </c>
      <c r="M17" s="42"/>
      <c r="N17" s="43" t="s">
        <v>47</v>
      </c>
    </row>
    <row r="18" spans="1:14" ht="15.75" customHeight="1">
      <c r="A18" s="118" t="s">
        <v>71</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41</v>
      </c>
    </row>
    <row r="19" spans="1:14" ht="15.75" customHeight="1">
      <c r="A19" s="118" t="s">
        <v>72</v>
      </c>
      <c r="B19" s="125"/>
      <c r="C19" s="36">
        <v>4500</v>
      </c>
      <c r="D19" s="36"/>
      <c r="E19" s="37"/>
      <c r="F19" s="115">
        <f t="shared" si="3"/>
        <v>0</v>
      </c>
      <c r="G19" s="38">
        <f t="shared" si="5"/>
        <v>9</v>
      </c>
      <c r="H19" s="38">
        <f t="shared" si="1"/>
        <v>0</v>
      </c>
      <c r="I19" s="39">
        <f t="shared" si="2"/>
        <v>0</v>
      </c>
      <c r="J19" s="40">
        <v>9</v>
      </c>
      <c r="K19" s="41"/>
      <c r="L19" s="42" t="s">
        <v>73</v>
      </c>
      <c r="M19" s="42"/>
      <c r="N19" s="43"/>
    </row>
    <row r="20" spans="1:14" ht="15.75" customHeight="1">
      <c r="A20" s="118" t="s">
        <v>74</v>
      </c>
      <c r="B20" s="125"/>
      <c r="C20" s="36"/>
      <c r="D20" s="36"/>
      <c r="E20" s="37"/>
      <c r="F20" s="115">
        <f t="shared" si="3"/>
        <v>0</v>
      </c>
      <c r="G20" s="38">
        <f t="shared" si="5"/>
        <v>0</v>
      </c>
      <c r="H20" s="38">
        <f t="shared" si="1"/>
        <v>0</v>
      </c>
      <c r="I20" s="39">
        <f t="shared" si="2"/>
        <v>0</v>
      </c>
      <c r="K20" s="41"/>
      <c r="L20" s="42"/>
      <c r="M20" s="42"/>
      <c r="N20" s="43"/>
    </row>
    <row r="21" spans="1:14" ht="15.75" customHeight="1">
      <c r="A21" s="118" t="s">
        <v>75</v>
      </c>
      <c r="B21" s="125"/>
      <c r="C21" s="36">
        <v>3500</v>
      </c>
      <c r="D21" s="36">
        <v>6500</v>
      </c>
      <c r="E21" s="37"/>
      <c r="F21" s="115">
        <f t="shared" si="3"/>
        <v>0</v>
      </c>
      <c r="G21" s="38">
        <f t="shared" si="5"/>
        <v>7</v>
      </c>
      <c r="H21" s="38">
        <f t="shared" si="1"/>
        <v>10.833333333333334</v>
      </c>
      <c r="I21" s="39">
        <f t="shared" si="2"/>
        <v>0</v>
      </c>
      <c r="J21" s="40">
        <v>10.8</v>
      </c>
      <c r="K21" s="41"/>
      <c r="L21" s="42"/>
      <c r="M21" s="47" t="s">
        <v>76</v>
      </c>
      <c r="N21" s="43"/>
    </row>
    <row r="22" spans="1:14" ht="15.75" customHeight="1">
      <c r="A22" s="118" t="s">
        <v>77</v>
      </c>
      <c r="B22" s="125">
        <v>6900</v>
      </c>
      <c r="C22" s="36">
        <v>5600</v>
      </c>
      <c r="D22" s="36"/>
      <c r="E22" s="37">
        <v>6900</v>
      </c>
      <c r="F22" s="115">
        <f t="shared" si="3"/>
        <v>13.8</v>
      </c>
      <c r="G22" s="38">
        <f t="shared" si="5"/>
        <v>11.2</v>
      </c>
      <c r="H22" s="38">
        <f t="shared" si="1"/>
        <v>0</v>
      </c>
      <c r="I22" s="39">
        <f t="shared" si="2"/>
        <v>11.5</v>
      </c>
      <c r="J22" s="40">
        <v>13.8</v>
      </c>
      <c r="K22" s="41"/>
      <c r="L22" s="42" t="s">
        <v>388</v>
      </c>
      <c r="M22" s="42"/>
      <c r="N22" s="43" t="s">
        <v>389</v>
      </c>
    </row>
    <row r="23" spans="1:14" ht="15.75" customHeight="1">
      <c r="A23" s="118" t="s">
        <v>78</v>
      </c>
      <c r="B23" s="125">
        <v>4600</v>
      </c>
      <c r="C23" s="36">
        <v>3500</v>
      </c>
      <c r="D23" s="36"/>
      <c r="E23" s="37">
        <v>4800</v>
      </c>
      <c r="F23" s="115">
        <f t="shared" si="3"/>
        <v>9.1999999999999993</v>
      </c>
      <c r="G23" s="38">
        <f t="shared" si="5"/>
        <v>7</v>
      </c>
      <c r="H23" s="38">
        <f t="shared" si="1"/>
        <v>0</v>
      </c>
      <c r="I23" s="39">
        <f t="shared" si="2"/>
        <v>8</v>
      </c>
      <c r="J23" s="40">
        <v>7</v>
      </c>
      <c r="K23" s="41" t="s">
        <v>390</v>
      </c>
      <c r="L23" s="42" t="s">
        <v>387</v>
      </c>
      <c r="M23" s="42"/>
      <c r="N23" s="43" t="s">
        <v>391</v>
      </c>
    </row>
    <row r="24" spans="1:14" ht="15.75" customHeight="1">
      <c r="A24" s="118" t="s">
        <v>79</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80</v>
      </c>
      <c r="M24" s="42"/>
      <c r="N24" s="43" t="s">
        <v>81</v>
      </c>
    </row>
    <row r="25" spans="1:14" ht="15.75" customHeight="1">
      <c r="A25" s="118" t="s">
        <v>82</v>
      </c>
      <c r="B25" s="125"/>
      <c r="C25" s="36"/>
      <c r="D25" s="36"/>
      <c r="E25" s="37"/>
      <c r="F25" s="115">
        <f t="shared" si="3"/>
        <v>0</v>
      </c>
      <c r="G25" s="38">
        <f>C25/500</f>
        <v>0</v>
      </c>
      <c r="H25" s="38">
        <f t="shared" si="1"/>
        <v>0</v>
      </c>
      <c r="I25" s="39">
        <f t="shared" si="2"/>
        <v>0</v>
      </c>
      <c r="K25" s="41"/>
      <c r="L25" s="42"/>
      <c r="M25" s="42"/>
      <c r="N25" s="43"/>
    </row>
    <row r="26" spans="1:14" ht="15.75" customHeight="1">
      <c r="A26" s="118" t="s">
        <v>403</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83</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84</v>
      </c>
    </row>
    <row r="28" spans="1:14" ht="15.75" customHeight="1">
      <c r="A28" s="118" t="s">
        <v>85</v>
      </c>
      <c r="B28" s="125"/>
      <c r="C28" s="36"/>
      <c r="D28" s="36"/>
      <c r="E28" s="37"/>
      <c r="F28" s="115">
        <f t="shared" si="3"/>
        <v>0</v>
      </c>
      <c r="G28" s="38">
        <f>C28/500</f>
        <v>0</v>
      </c>
      <c r="H28" s="38">
        <f t="shared" si="1"/>
        <v>0</v>
      </c>
      <c r="I28" s="39">
        <f t="shared" si="2"/>
        <v>0</v>
      </c>
      <c r="K28" s="41"/>
      <c r="L28" s="42"/>
      <c r="M28" s="42"/>
      <c r="N28" s="43"/>
    </row>
    <row r="29" spans="1:14" ht="15.75" customHeight="1">
      <c r="A29" s="118" t="s">
        <v>86</v>
      </c>
      <c r="B29" s="125"/>
      <c r="C29" s="36"/>
      <c r="D29" s="36"/>
      <c r="E29" s="37"/>
      <c r="F29" s="115">
        <f t="shared" si="3"/>
        <v>0</v>
      </c>
      <c r="G29" s="38">
        <f>C29/500</f>
        <v>0</v>
      </c>
      <c r="H29" s="38">
        <f t="shared" si="1"/>
        <v>0</v>
      </c>
      <c r="I29" s="39">
        <f t="shared" si="2"/>
        <v>0</v>
      </c>
      <c r="K29" s="41"/>
      <c r="L29" s="42"/>
      <c r="M29" s="42"/>
      <c r="N29" s="43"/>
    </row>
    <row r="30" spans="1:14" ht="15.75" customHeight="1">
      <c r="A30" s="118" t="s">
        <v>87</v>
      </c>
      <c r="B30" s="125"/>
      <c r="C30" s="36">
        <v>20500</v>
      </c>
      <c r="D30" s="36">
        <v>19000</v>
      </c>
      <c r="E30" s="37"/>
      <c r="F30" s="115">
        <f t="shared" si="3"/>
        <v>0</v>
      </c>
      <c r="G30" s="38">
        <f>C30/600</f>
        <v>34.166666666666664</v>
      </c>
      <c r="H30" s="38">
        <f t="shared" si="1"/>
        <v>31.666666666666668</v>
      </c>
      <c r="I30" s="39">
        <f t="shared" si="2"/>
        <v>0</v>
      </c>
      <c r="J30" s="40">
        <v>31.7</v>
      </c>
      <c r="K30" s="41"/>
      <c r="L30" s="42" t="s">
        <v>88</v>
      </c>
      <c r="M30" s="42"/>
      <c r="N30" s="43"/>
    </row>
    <row r="31" spans="1:14" ht="15.75" customHeight="1">
      <c r="A31" s="118" t="s">
        <v>89</v>
      </c>
      <c r="B31" s="125"/>
      <c r="C31" s="36">
        <v>22000</v>
      </c>
      <c r="D31" s="36"/>
      <c r="E31" s="37">
        <v>30800</v>
      </c>
      <c r="F31" s="115">
        <f t="shared" si="3"/>
        <v>0</v>
      </c>
      <c r="G31" s="38">
        <f>C31/500</f>
        <v>44</v>
      </c>
      <c r="H31" s="38">
        <f t="shared" si="1"/>
        <v>0</v>
      </c>
      <c r="I31" s="39">
        <f t="shared" si="2"/>
        <v>51.333333333333336</v>
      </c>
      <c r="J31" s="40">
        <v>44</v>
      </c>
      <c r="K31" s="41"/>
      <c r="L31" s="42" t="s">
        <v>90</v>
      </c>
      <c r="M31" s="42"/>
      <c r="N31" s="43" t="s">
        <v>81</v>
      </c>
    </row>
    <row r="32" spans="1:14" ht="15.75" customHeight="1" thickBot="1">
      <c r="A32" s="129" t="s">
        <v>91</v>
      </c>
      <c r="B32" s="126">
        <v>11500</v>
      </c>
      <c r="C32" s="49">
        <v>12900</v>
      </c>
      <c r="D32" s="49">
        <v>7500</v>
      </c>
      <c r="E32" s="50">
        <v>6700</v>
      </c>
      <c r="F32" s="73">
        <f t="shared" si="3"/>
        <v>23</v>
      </c>
      <c r="G32" s="51">
        <f>C32/500</f>
        <v>25.8</v>
      </c>
      <c r="H32" s="51">
        <f t="shared" si="1"/>
        <v>12.5</v>
      </c>
      <c r="I32" s="138">
        <f t="shared" si="2"/>
        <v>11.166666666666666</v>
      </c>
      <c r="J32" s="52">
        <v>11.2</v>
      </c>
      <c r="K32" s="137" t="s">
        <v>92</v>
      </c>
      <c r="L32" s="53" t="s">
        <v>39</v>
      </c>
      <c r="M32" s="54" t="s">
        <v>93</v>
      </c>
      <c r="N32" s="136" t="s">
        <v>94</v>
      </c>
    </row>
    <row r="33" spans="1:14" ht="15.75" customHeight="1">
      <c r="A33" s="130" t="s">
        <v>95</v>
      </c>
      <c r="B33" s="128"/>
      <c r="C33" s="26">
        <v>3000</v>
      </c>
      <c r="D33" s="26">
        <v>4000</v>
      </c>
      <c r="E33" s="27"/>
      <c r="F33" s="28">
        <f t="shared" si="3"/>
        <v>0</v>
      </c>
      <c r="G33" s="29">
        <f>C33/500</f>
        <v>6</v>
      </c>
      <c r="H33" s="55">
        <f t="shared" si="1"/>
        <v>6.666666666666667</v>
      </c>
      <c r="I33" s="56">
        <f t="shared" si="2"/>
        <v>0</v>
      </c>
      <c r="J33" s="31">
        <v>6.7</v>
      </c>
      <c r="K33" s="32"/>
      <c r="L33" s="33" t="s">
        <v>96</v>
      </c>
      <c r="M33" s="140" t="s">
        <v>97</v>
      </c>
      <c r="N33" s="35"/>
    </row>
    <row r="34" spans="1:14" ht="15.75" customHeight="1">
      <c r="A34" s="119" t="s">
        <v>98</v>
      </c>
      <c r="B34" s="125"/>
      <c r="C34" s="36">
        <v>13000</v>
      </c>
      <c r="D34" s="36">
        <v>13000</v>
      </c>
      <c r="E34" s="37"/>
      <c r="F34" s="115">
        <f t="shared" si="3"/>
        <v>0</v>
      </c>
      <c r="G34" s="44">
        <f>C34/500</f>
        <v>26</v>
      </c>
      <c r="H34" s="44">
        <f>D34/500</f>
        <v>26</v>
      </c>
      <c r="I34" s="39">
        <f t="shared" ref="I34:I48" si="6">E34/600</f>
        <v>0</v>
      </c>
      <c r="J34" s="40">
        <v>26</v>
      </c>
      <c r="K34" s="41"/>
      <c r="L34" s="57" t="s">
        <v>99</v>
      </c>
      <c r="M34" s="58" t="s">
        <v>100</v>
      </c>
      <c r="N34" s="43"/>
    </row>
    <row r="35" spans="1:14" ht="15.75" customHeight="1" thickBot="1">
      <c r="A35" s="131" t="s">
        <v>101</v>
      </c>
      <c r="B35" s="126"/>
      <c r="C35" s="49">
        <v>278000</v>
      </c>
      <c r="D35" s="49"/>
      <c r="E35" s="50"/>
      <c r="F35" s="73">
        <f t="shared" si="3"/>
        <v>0</v>
      </c>
      <c r="G35" s="59">
        <f>C35/600</f>
        <v>463.33333333333331</v>
      </c>
      <c r="H35" s="51">
        <f>D35/600</f>
        <v>0</v>
      </c>
      <c r="I35" s="60">
        <f t="shared" si="6"/>
        <v>0</v>
      </c>
      <c r="J35" s="52">
        <v>463.3</v>
      </c>
      <c r="K35" s="61"/>
      <c r="L35" s="141" t="s">
        <v>102</v>
      </c>
      <c r="M35" s="53"/>
      <c r="N35" s="62"/>
    </row>
    <row r="36" spans="1:14" ht="15.75" customHeight="1">
      <c r="A36" s="127" t="s">
        <v>103</v>
      </c>
      <c r="B36" s="128"/>
      <c r="C36" s="26">
        <v>6600</v>
      </c>
      <c r="D36" s="26"/>
      <c r="E36" s="27">
        <v>8900</v>
      </c>
      <c r="F36" s="28">
        <f t="shared" si="3"/>
        <v>0</v>
      </c>
      <c r="G36" s="29">
        <f>C36/500</f>
        <v>13.2</v>
      </c>
      <c r="H36" s="29">
        <f t="shared" ref="H36:H48" si="7">D36/600</f>
        <v>0</v>
      </c>
      <c r="I36" s="30">
        <f t="shared" si="6"/>
        <v>14.833333333333334</v>
      </c>
      <c r="J36" s="31">
        <v>14.8</v>
      </c>
      <c r="K36" s="32"/>
      <c r="L36" s="33" t="s">
        <v>104</v>
      </c>
      <c r="M36" s="33"/>
      <c r="N36" s="35" t="s">
        <v>81</v>
      </c>
    </row>
    <row r="37" spans="1:14" ht="15.75" customHeight="1">
      <c r="A37" s="118" t="s">
        <v>105</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106</v>
      </c>
      <c r="B38" s="125">
        <v>14900</v>
      </c>
      <c r="C38" s="36">
        <v>12000</v>
      </c>
      <c r="D38" s="36">
        <v>15000</v>
      </c>
      <c r="E38" s="37">
        <v>15000</v>
      </c>
      <c r="F38" s="115">
        <f t="shared" ref="F38:F69" si="8">B38/500</f>
        <v>29.8</v>
      </c>
      <c r="G38" s="38">
        <f>C38/500</f>
        <v>24</v>
      </c>
      <c r="H38" s="38">
        <f t="shared" si="7"/>
        <v>25</v>
      </c>
      <c r="I38" s="48">
        <f t="shared" si="6"/>
        <v>25</v>
      </c>
      <c r="J38" s="40">
        <v>25</v>
      </c>
      <c r="K38" s="41"/>
      <c r="L38" s="42" t="s">
        <v>39</v>
      </c>
      <c r="M38" s="42"/>
      <c r="N38" s="63" t="s">
        <v>39</v>
      </c>
    </row>
    <row r="39" spans="1:14" ht="15.75" customHeight="1">
      <c r="A39" s="118" t="s">
        <v>107</v>
      </c>
      <c r="B39" s="125"/>
      <c r="C39" s="36">
        <v>12700</v>
      </c>
      <c r="D39" s="36"/>
      <c r="E39" s="37">
        <v>13800</v>
      </c>
      <c r="F39" s="115">
        <f t="shared" si="8"/>
        <v>0</v>
      </c>
      <c r="G39" s="38">
        <f>C39/500</f>
        <v>25.4</v>
      </c>
      <c r="H39" s="38">
        <f t="shared" si="7"/>
        <v>0</v>
      </c>
      <c r="I39" s="48">
        <f t="shared" si="6"/>
        <v>23</v>
      </c>
      <c r="J39" s="40">
        <v>23</v>
      </c>
      <c r="K39" s="41"/>
      <c r="L39" s="42" t="s">
        <v>39</v>
      </c>
      <c r="M39" s="42"/>
      <c r="N39" s="43" t="s">
        <v>39</v>
      </c>
    </row>
    <row r="40" spans="1:14" ht="15.75" customHeight="1">
      <c r="A40" s="118" t="s">
        <v>108</v>
      </c>
      <c r="B40" s="125"/>
      <c r="C40" s="36">
        <v>31200</v>
      </c>
      <c r="D40" s="36">
        <v>32000</v>
      </c>
      <c r="E40" s="37">
        <v>35500</v>
      </c>
      <c r="F40" s="115">
        <f t="shared" si="8"/>
        <v>0</v>
      </c>
      <c r="G40" s="38">
        <f>C40/600</f>
        <v>52</v>
      </c>
      <c r="H40" s="38">
        <f t="shared" si="7"/>
        <v>53.333333333333336</v>
      </c>
      <c r="I40" s="39">
        <f t="shared" si="6"/>
        <v>59.166666666666664</v>
      </c>
      <c r="J40" s="40">
        <v>53.3</v>
      </c>
      <c r="K40" s="41"/>
      <c r="L40" s="42" t="s">
        <v>399</v>
      </c>
      <c r="M40" s="47"/>
      <c r="N40" s="43" t="s">
        <v>393</v>
      </c>
    </row>
    <row r="41" spans="1:14" ht="15.75" customHeight="1">
      <c r="A41" s="118" t="s">
        <v>109</v>
      </c>
      <c r="B41" s="125"/>
      <c r="C41" s="36">
        <v>13000</v>
      </c>
      <c r="D41" s="36"/>
      <c r="E41" s="37">
        <v>15800</v>
      </c>
      <c r="F41" s="115">
        <f t="shared" si="8"/>
        <v>0</v>
      </c>
      <c r="G41" s="44">
        <f t="shared" ref="G41:G48" si="9">C41/500</f>
        <v>26</v>
      </c>
      <c r="H41" s="38">
        <f t="shared" si="7"/>
        <v>0</v>
      </c>
      <c r="I41" s="39">
        <f t="shared" si="6"/>
        <v>26.333333333333332</v>
      </c>
      <c r="J41" s="40">
        <v>26</v>
      </c>
      <c r="K41" s="41"/>
      <c r="L41" s="42" t="s">
        <v>47</v>
      </c>
      <c r="M41" s="42"/>
      <c r="N41" s="43" t="s">
        <v>47</v>
      </c>
    </row>
    <row r="42" spans="1:14" ht="15.75" customHeight="1">
      <c r="A42" s="118" t="s">
        <v>110</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111</v>
      </c>
    </row>
    <row r="43" spans="1:14" ht="15.75" customHeight="1">
      <c r="A43" s="118" t="s">
        <v>112</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113</v>
      </c>
      <c r="M43" s="47" t="s">
        <v>59</v>
      </c>
      <c r="N43" s="43" t="s">
        <v>114</v>
      </c>
    </row>
    <row r="44" spans="1:14" ht="15.75" customHeight="1">
      <c r="A44" s="118" t="s">
        <v>115</v>
      </c>
      <c r="B44" s="125"/>
      <c r="C44" s="36">
        <v>4500</v>
      </c>
      <c r="D44" s="36">
        <v>9500</v>
      </c>
      <c r="E44" s="37">
        <v>7800</v>
      </c>
      <c r="F44" s="115">
        <f t="shared" si="8"/>
        <v>0</v>
      </c>
      <c r="G44" s="38">
        <f t="shared" si="9"/>
        <v>9</v>
      </c>
      <c r="H44" s="38">
        <f t="shared" si="7"/>
        <v>15.833333333333334</v>
      </c>
      <c r="I44" s="48">
        <f t="shared" si="6"/>
        <v>13</v>
      </c>
      <c r="J44" s="40">
        <v>13</v>
      </c>
      <c r="K44" s="41"/>
      <c r="L44" s="42"/>
      <c r="M44" s="47" t="s">
        <v>116</v>
      </c>
      <c r="N44" s="43" t="s">
        <v>117</v>
      </c>
    </row>
    <row r="45" spans="1:14" ht="15.75" customHeight="1">
      <c r="A45" s="118" t="s">
        <v>118</v>
      </c>
      <c r="B45" s="125"/>
      <c r="C45" s="36">
        <v>6200</v>
      </c>
      <c r="D45" s="36">
        <v>8000</v>
      </c>
      <c r="E45" s="37"/>
      <c r="F45" s="115">
        <f t="shared" si="8"/>
        <v>0</v>
      </c>
      <c r="G45" s="38">
        <f t="shared" si="9"/>
        <v>12.4</v>
      </c>
      <c r="H45" s="38">
        <f t="shared" si="7"/>
        <v>13.333333333333334</v>
      </c>
      <c r="I45" s="39">
        <f t="shared" si="6"/>
        <v>0</v>
      </c>
      <c r="J45" s="40">
        <v>13.3</v>
      </c>
      <c r="K45" s="41"/>
      <c r="L45" s="42"/>
      <c r="M45" s="47" t="s">
        <v>93</v>
      </c>
      <c r="N45" s="43"/>
    </row>
    <row r="46" spans="1:14" ht="15.75" customHeight="1">
      <c r="A46" s="118" t="s">
        <v>119</v>
      </c>
      <c r="B46" s="125"/>
      <c r="C46" s="36">
        <v>15600</v>
      </c>
      <c r="D46" s="36">
        <v>19000</v>
      </c>
      <c r="E46" s="37">
        <v>23100</v>
      </c>
      <c r="F46" s="115">
        <f t="shared" si="8"/>
        <v>0</v>
      </c>
      <c r="G46" s="44">
        <f t="shared" si="9"/>
        <v>31.2</v>
      </c>
      <c r="H46" s="38">
        <f t="shared" si="7"/>
        <v>31.666666666666668</v>
      </c>
      <c r="I46" s="39">
        <f t="shared" si="6"/>
        <v>38.5</v>
      </c>
      <c r="J46" s="40">
        <v>31.2</v>
      </c>
      <c r="K46" s="41"/>
      <c r="L46" s="42" t="s">
        <v>39</v>
      </c>
      <c r="M46" s="42" t="s">
        <v>59</v>
      </c>
      <c r="N46" s="43"/>
    </row>
    <row r="47" spans="1:14" ht="15.75" customHeight="1">
      <c r="A47" s="118" t="s">
        <v>120</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121</v>
      </c>
      <c r="B48" s="125"/>
      <c r="C48" s="36">
        <v>5700</v>
      </c>
      <c r="D48" s="36"/>
      <c r="E48" s="37">
        <v>6500</v>
      </c>
      <c r="F48" s="115">
        <f t="shared" si="8"/>
        <v>0</v>
      </c>
      <c r="G48" s="38">
        <f t="shared" si="9"/>
        <v>11.4</v>
      </c>
      <c r="H48" s="38">
        <f t="shared" si="7"/>
        <v>0</v>
      </c>
      <c r="I48" s="48">
        <f t="shared" si="6"/>
        <v>10.833333333333334</v>
      </c>
      <c r="J48" s="40">
        <v>10.8</v>
      </c>
      <c r="K48" s="41"/>
      <c r="L48" s="42" t="s">
        <v>122</v>
      </c>
      <c r="M48" s="42"/>
      <c r="N48" s="43" t="s">
        <v>123</v>
      </c>
    </row>
    <row r="49" spans="1:14" ht="15.75" customHeight="1" thickBot="1">
      <c r="A49" s="129" t="s">
        <v>124</v>
      </c>
      <c r="B49" s="126"/>
      <c r="C49" s="49">
        <v>6500</v>
      </c>
      <c r="D49" s="49">
        <v>7000</v>
      </c>
      <c r="E49" s="50">
        <v>6700</v>
      </c>
      <c r="F49" s="73">
        <f t="shared" si="8"/>
        <v>0</v>
      </c>
      <c r="G49" s="59">
        <f>C49/100</f>
        <v>65</v>
      </c>
      <c r="H49" s="51">
        <f>D49/100</f>
        <v>70</v>
      </c>
      <c r="I49" s="60">
        <f>E49/100</f>
        <v>67</v>
      </c>
      <c r="J49" s="52">
        <v>65</v>
      </c>
      <c r="K49" s="61"/>
      <c r="L49" s="53" t="s">
        <v>125</v>
      </c>
      <c r="M49" s="54" t="s">
        <v>126</v>
      </c>
      <c r="N49" s="62" t="s">
        <v>127</v>
      </c>
    </row>
    <row r="50" spans="1:14" ht="15.75" customHeight="1">
      <c r="A50" s="130" t="s">
        <v>128</v>
      </c>
      <c r="B50" s="128"/>
      <c r="C50" s="26">
        <v>4000</v>
      </c>
      <c r="D50" s="26"/>
      <c r="E50" s="27">
        <v>5100</v>
      </c>
      <c r="F50" s="28">
        <f t="shared" si="8"/>
        <v>0</v>
      </c>
      <c r="G50" s="55">
        <f>C50/500</f>
        <v>8</v>
      </c>
      <c r="H50" s="29">
        <f t="shared" ref="H50:I54" si="10">D50/600</f>
        <v>0</v>
      </c>
      <c r="I50" s="56">
        <f t="shared" si="10"/>
        <v>8.5</v>
      </c>
      <c r="J50" s="31">
        <v>8</v>
      </c>
      <c r="K50" s="32"/>
      <c r="L50" s="33" t="s">
        <v>47</v>
      </c>
      <c r="M50" s="33"/>
      <c r="N50" s="35" t="s">
        <v>81</v>
      </c>
    </row>
    <row r="51" spans="1:14" ht="15.75" customHeight="1">
      <c r="A51" s="119" t="s">
        <v>129</v>
      </c>
      <c r="B51" s="125"/>
      <c r="C51" s="36">
        <v>4200</v>
      </c>
      <c r="D51" s="36">
        <v>7500</v>
      </c>
      <c r="E51" s="37">
        <v>5100</v>
      </c>
      <c r="F51" s="115">
        <f t="shared" si="8"/>
        <v>0</v>
      </c>
      <c r="G51" s="38">
        <f>C51/500</f>
        <v>8.4</v>
      </c>
      <c r="H51" s="38">
        <f t="shared" si="10"/>
        <v>12.5</v>
      </c>
      <c r="I51" s="48">
        <f t="shared" si="10"/>
        <v>8.5</v>
      </c>
      <c r="J51" s="40">
        <v>8.5</v>
      </c>
      <c r="K51" s="41"/>
      <c r="L51" s="42" t="s">
        <v>47</v>
      </c>
      <c r="M51" s="47"/>
      <c r="N51" s="43" t="s">
        <v>130</v>
      </c>
    </row>
    <row r="52" spans="1:14" ht="15.75" customHeight="1">
      <c r="A52" s="119" t="s">
        <v>131</v>
      </c>
      <c r="B52" s="125"/>
      <c r="C52" s="36">
        <v>13200</v>
      </c>
      <c r="D52" s="36"/>
      <c r="E52" s="37">
        <v>15800</v>
      </c>
      <c r="F52" s="115">
        <f t="shared" si="8"/>
        <v>0</v>
      </c>
      <c r="G52" s="38">
        <f>C52/500</f>
        <v>26.4</v>
      </c>
      <c r="H52" s="38">
        <f t="shared" si="10"/>
        <v>0</v>
      </c>
      <c r="I52" s="39">
        <f t="shared" si="10"/>
        <v>26.333333333333332</v>
      </c>
      <c r="J52" s="40">
        <v>26.3</v>
      </c>
      <c r="K52" s="41"/>
      <c r="L52" s="42" t="s">
        <v>394</v>
      </c>
      <c r="M52" s="42"/>
      <c r="N52" s="43" t="s">
        <v>395</v>
      </c>
    </row>
    <row r="53" spans="1:14" ht="15.75" customHeight="1">
      <c r="A53" s="119" t="s">
        <v>132</v>
      </c>
      <c r="B53" s="125"/>
      <c r="C53" s="36">
        <v>3000</v>
      </c>
      <c r="D53" s="36">
        <v>4000</v>
      </c>
      <c r="E53" s="37"/>
      <c r="F53" s="115">
        <f t="shared" si="8"/>
        <v>0</v>
      </c>
      <c r="G53" s="38">
        <f>C53/600</f>
        <v>5</v>
      </c>
      <c r="H53" s="38">
        <f t="shared" si="10"/>
        <v>6.666666666666667</v>
      </c>
      <c r="I53" s="39">
        <f t="shared" si="10"/>
        <v>0</v>
      </c>
      <c r="J53" s="40">
        <v>5</v>
      </c>
      <c r="K53" s="41"/>
      <c r="L53" s="42" t="s">
        <v>133</v>
      </c>
      <c r="M53" s="42"/>
      <c r="N53" s="43"/>
    </row>
    <row r="54" spans="1:14" ht="15.75" customHeight="1">
      <c r="A54" s="119" t="s">
        <v>134</v>
      </c>
      <c r="B54" s="125"/>
      <c r="C54" s="36">
        <v>34500</v>
      </c>
      <c r="D54" s="36">
        <v>39000</v>
      </c>
      <c r="E54" s="37">
        <v>26600</v>
      </c>
      <c r="F54" s="115">
        <f t="shared" si="8"/>
        <v>0</v>
      </c>
      <c r="G54" s="38">
        <f>C54/500</f>
        <v>69</v>
      </c>
      <c r="H54" s="38">
        <f t="shared" si="10"/>
        <v>65</v>
      </c>
      <c r="I54" s="48">
        <f t="shared" si="10"/>
        <v>44.333333333333336</v>
      </c>
      <c r="J54" s="40">
        <v>44.3</v>
      </c>
      <c r="K54" s="41"/>
      <c r="L54" s="42" t="s">
        <v>135</v>
      </c>
      <c r="M54" s="47" t="s">
        <v>59</v>
      </c>
      <c r="N54" s="45" t="s">
        <v>136</v>
      </c>
    </row>
    <row r="55" spans="1:14" ht="15.75" customHeight="1">
      <c r="A55" s="119" t="s">
        <v>137</v>
      </c>
      <c r="B55" s="125"/>
      <c r="C55" s="36">
        <v>8000</v>
      </c>
      <c r="D55" s="36">
        <v>7500</v>
      </c>
      <c r="E55" s="37">
        <v>8000</v>
      </c>
      <c r="F55" s="115">
        <f t="shared" si="8"/>
        <v>0</v>
      </c>
      <c r="G55" s="38">
        <f>C55/1000</f>
        <v>8</v>
      </c>
      <c r="H55" s="44">
        <f>D55/1000</f>
        <v>7.5</v>
      </c>
      <c r="I55" s="39">
        <f>E55/1000</f>
        <v>8</v>
      </c>
      <c r="J55" s="40">
        <v>7.5</v>
      </c>
      <c r="K55" s="41"/>
      <c r="L55" s="42" t="s">
        <v>138</v>
      </c>
      <c r="M55" s="47" t="s">
        <v>138</v>
      </c>
      <c r="N55" s="45" t="s">
        <v>139</v>
      </c>
    </row>
    <row r="56" spans="1:14" ht="15.75" customHeight="1">
      <c r="A56" s="119" t="s">
        <v>140</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141</v>
      </c>
      <c r="B57" s="125"/>
      <c r="C57" s="36">
        <v>8000</v>
      </c>
      <c r="D57" s="36"/>
      <c r="E57" s="37"/>
      <c r="F57" s="115">
        <f t="shared" si="8"/>
        <v>0</v>
      </c>
      <c r="G57" s="38">
        <f>C57/1000</f>
        <v>8</v>
      </c>
      <c r="H57" s="38">
        <f t="shared" si="11"/>
        <v>0</v>
      </c>
      <c r="I57" s="39">
        <f t="shared" si="11"/>
        <v>0</v>
      </c>
      <c r="J57" s="40">
        <v>8</v>
      </c>
      <c r="K57" s="41"/>
      <c r="L57" s="42" t="s">
        <v>139</v>
      </c>
      <c r="M57" s="42"/>
      <c r="N57" s="43"/>
    </row>
    <row r="58" spans="1:14" ht="15.75" customHeight="1">
      <c r="A58" s="119" t="s">
        <v>142</v>
      </c>
      <c r="B58" s="125">
        <v>18500</v>
      </c>
      <c r="C58" s="36">
        <v>12500</v>
      </c>
      <c r="D58" s="36">
        <v>15000</v>
      </c>
      <c r="E58" s="37">
        <v>18900</v>
      </c>
      <c r="F58" s="115">
        <f t="shared" si="8"/>
        <v>37</v>
      </c>
      <c r="G58" s="38">
        <f>C58/500</f>
        <v>25</v>
      </c>
      <c r="H58" s="38">
        <f t="shared" si="11"/>
        <v>25</v>
      </c>
      <c r="I58" s="48">
        <f t="shared" si="11"/>
        <v>31.5</v>
      </c>
      <c r="J58" s="40">
        <v>31.5</v>
      </c>
      <c r="K58" s="41"/>
      <c r="L58" s="42" t="s">
        <v>73</v>
      </c>
      <c r="M58" s="47"/>
      <c r="N58" s="43" t="s">
        <v>81</v>
      </c>
    </row>
    <row r="59" spans="1:14" ht="15.75" customHeight="1">
      <c r="A59" s="119" t="s">
        <v>143</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144</v>
      </c>
      <c r="N59" s="63" t="s">
        <v>145</v>
      </c>
    </row>
    <row r="60" spans="1:14" ht="15.75" customHeight="1">
      <c r="A60" s="119" t="s">
        <v>146</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102</v>
      </c>
      <c r="M60" s="47" t="s">
        <v>144</v>
      </c>
      <c r="N60" s="43" t="s">
        <v>81</v>
      </c>
    </row>
    <row r="61" spans="1:14" ht="15.75" customHeight="1" thickBot="1">
      <c r="A61" s="131" t="s">
        <v>147</v>
      </c>
      <c r="B61" s="126"/>
      <c r="C61" s="49"/>
      <c r="D61" s="49"/>
      <c r="E61" s="50">
        <v>10500</v>
      </c>
      <c r="F61" s="73">
        <f t="shared" si="8"/>
        <v>0</v>
      </c>
      <c r="G61" s="51">
        <f t="shared" ref="G61:G78" si="12">C61/500</f>
        <v>0</v>
      </c>
      <c r="H61" s="51">
        <f t="shared" si="11"/>
        <v>0</v>
      </c>
      <c r="I61" s="60">
        <f t="shared" si="11"/>
        <v>17.5</v>
      </c>
      <c r="J61" s="52">
        <v>17.5</v>
      </c>
      <c r="K61" s="61"/>
      <c r="L61" s="53"/>
      <c r="M61" s="53"/>
      <c r="N61" s="62" t="s">
        <v>81</v>
      </c>
    </row>
    <row r="62" spans="1:14" ht="15.75" customHeight="1">
      <c r="A62" s="127" t="s">
        <v>148</v>
      </c>
      <c r="B62" s="128"/>
      <c r="C62" s="26">
        <v>10900</v>
      </c>
      <c r="D62" s="26"/>
      <c r="E62" s="27">
        <v>14000</v>
      </c>
      <c r="F62" s="28">
        <f t="shared" si="8"/>
        <v>0</v>
      </c>
      <c r="G62" s="55">
        <f t="shared" si="12"/>
        <v>21.8</v>
      </c>
      <c r="H62" s="29">
        <f t="shared" si="11"/>
        <v>0</v>
      </c>
      <c r="I62" s="56">
        <f t="shared" si="11"/>
        <v>23.333333333333332</v>
      </c>
      <c r="J62" s="31">
        <v>21.8</v>
      </c>
      <c r="K62" s="32"/>
      <c r="L62" s="33" t="s">
        <v>39</v>
      </c>
      <c r="M62" s="33"/>
      <c r="N62" s="35" t="s">
        <v>149</v>
      </c>
    </row>
    <row r="63" spans="1:14" ht="15.75" customHeight="1">
      <c r="A63" s="118" t="s">
        <v>150</v>
      </c>
      <c r="B63" s="125"/>
      <c r="C63" s="36">
        <v>26500</v>
      </c>
      <c r="D63" s="36">
        <v>26500</v>
      </c>
      <c r="E63" s="37">
        <v>23500</v>
      </c>
      <c r="F63" s="115">
        <f t="shared" si="8"/>
        <v>0</v>
      </c>
      <c r="G63" s="44">
        <f t="shared" si="12"/>
        <v>53</v>
      </c>
      <c r="H63" s="44">
        <f>D63/500</f>
        <v>53</v>
      </c>
      <c r="I63" s="39">
        <f>E63/500</f>
        <v>47</v>
      </c>
      <c r="J63" s="40">
        <v>47</v>
      </c>
      <c r="K63" s="41"/>
      <c r="L63" s="113" t="s">
        <v>151</v>
      </c>
      <c r="M63" s="113" t="s">
        <v>152</v>
      </c>
      <c r="N63" s="43" t="s">
        <v>398</v>
      </c>
    </row>
    <row r="64" spans="1:14" ht="15.75" customHeight="1">
      <c r="A64" s="118" t="s">
        <v>153</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154</v>
      </c>
    </row>
    <row r="65" spans="1:14" ht="15.75" customHeight="1">
      <c r="A65" s="118" t="s">
        <v>155</v>
      </c>
      <c r="B65" s="125"/>
      <c r="C65" s="36">
        <v>3000</v>
      </c>
      <c r="D65" s="36"/>
      <c r="E65" s="37">
        <v>3500</v>
      </c>
      <c r="F65" s="115">
        <f t="shared" si="8"/>
        <v>0</v>
      </c>
      <c r="G65" s="38">
        <f t="shared" si="12"/>
        <v>6</v>
      </c>
      <c r="H65" s="38">
        <f t="shared" si="13"/>
        <v>0</v>
      </c>
      <c r="I65" s="48">
        <f t="shared" si="14"/>
        <v>5.833333333333333</v>
      </c>
      <c r="J65" s="40">
        <v>5.8</v>
      </c>
      <c r="K65" s="41"/>
      <c r="L65" s="57" t="s">
        <v>47</v>
      </c>
      <c r="M65" s="42"/>
      <c r="N65" s="43" t="s">
        <v>47</v>
      </c>
    </row>
    <row r="66" spans="1:14" ht="15.75" customHeight="1">
      <c r="A66" s="118" t="s">
        <v>156</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157</v>
      </c>
      <c r="B67" s="125"/>
      <c r="C67" s="36"/>
      <c r="D67" s="36"/>
      <c r="E67" s="37">
        <v>9400</v>
      </c>
      <c r="F67" s="115">
        <f t="shared" si="8"/>
        <v>0</v>
      </c>
      <c r="G67" s="38">
        <f t="shared" si="12"/>
        <v>0</v>
      </c>
      <c r="H67" s="38">
        <f t="shared" si="13"/>
        <v>0</v>
      </c>
      <c r="I67" s="48">
        <f t="shared" si="14"/>
        <v>15.666666666666666</v>
      </c>
      <c r="J67" s="40">
        <v>15.7</v>
      </c>
      <c r="K67" s="41"/>
      <c r="L67" s="42"/>
      <c r="M67" s="42"/>
      <c r="N67" s="43" t="s">
        <v>81</v>
      </c>
    </row>
    <row r="68" spans="1:14" ht="15.75" customHeight="1">
      <c r="A68" s="118" t="s">
        <v>158</v>
      </c>
      <c r="B68" s="125"/>
      <c r="C68" s="36">
        <v>11300</v>
      </c>
      <c r="D68" s="36">
        <v>14000</v>
      </c>
      <c r="E68" s="37"/>
      <c r="F68" s="115">
        <f t="shared" si="8"/>
        <v>0</v>
      </c>
      <c r="G68" s="38">
        <f t="shared" si="12"/>
        <v>22.6</v>
      </c>
      <c r="H68" s="38">
        <f t="shared" si="13"/>
        <v>23.333333333333332</v>
      </c>
      <c r="I68" s="39">
        <f t="shared" si="14"/>
        <v>0</v>
      </c>
      <c r="J68" s="40">
        <v>22.6</v>
      </c>
      <c r="K68" s="41"/>
      <c r="L68" s="42" t="s">
        <v>39</v>
      </c>
      <c r="M68" s="47"/>
      <c r="N68" s="43"/>
    </row>
    <row r="69" spans="1:14" ht="15.75" customHeight="1">
      <c r="A69" s="118" t="s">
        <v>159</v>
      </c>
      <c r="B69" s="125"/>
      <c r="C69" s="36">
        <v>14000</v>
      </c>
      <c r="D69" s="36"/>
      <c r="E69" s="37"/>
      <c r="F69" s="115">
        <f t="shared" si="8"/>
        <v>0</v>
      </c>
      <c r="G69" s="38">
        <f t="shared" si="12"/>
        <v>28</v>
      </c>
      <c r="H69" s="38">
        <f t="shared" si="13"/>
        <v>0</v>
      </c>
      <c r="I69" s="39">
        <f t="shared" si="14"/>
        <v>0</v>
      </c>
      <c r="J69" s="40">
        <v>28</v>
      </c>
      <c r="K69" s="41"/>
      <c r="L69" s="42" t="s">
        <v>62</v>
      </c>
      <c r="M69" s="42"/>
      <c r="N69" s="43"/>
    </row>
    <row r="70" spans="1:14" ht="15.75" customHeight="1">
      <c r="A70" s="118" t="s">
        <v>160</v>
      </c>
      <c r="B70" s="125"/>
      <c r="C70" s="36">
        <v>3600</v>
      </c>
      <c r="D70" s="36"/>
      <c r="E70" s="37">
        <v>3800</v>
      </c>
      <c r="F70" s="115">
        <f t="shared" ref="F70:F101" si="15">B70/500</f>
        <v>0</v>
      </c>
      <c r="G70" s="38">
        <f t="shared" si="12"/>
        <v>7.2</v>
      </c>
      <c r="H70" s="38">
        <f t="shared" si="13"/>
        <v>0</v>
      </c>
      <c r="I70" s="39">
        <f t="shared" si="14"/>
        <v>6.333333333333333</v>
      </c>
      <c r="J70" s="40">
        <v>6.3</v>
      </c>
      <c r="K70" s="41"/>
      <c r="L70" s="42" t="s">
        <v>161</v>
      </c>
      <c r="M70" s="42"/>
      <c r="N70" s="43"/>
    </row>
    <row r="71" spans="1:14" ht="15.75" customHeight="1">
      <c r="A71" s="118" t="s">
        <v>162</v>
      </c>
      <c r="B71" s="125"/>
      <c r="C71" s="36">
        <v>10500</v>
      </c>
      <c r="D71" s="36"/>
      <c r="E71" s="37">
        <v>12600</v>
      </c>
      <c r="F71" s="115">
        <f t="shared" si="15"/>
        <v>0</v>
      </c>
      <c r="G71" s="38">
        <f t="shared" si="12"/>
        <v>21</v>
      </c>
      <c r="H71" s="38">
        <f t="shared" si="13"/>
        <v>0</v>
      </c>
      <c r="I71" s="39">
        <f t="shared" si="14"/>
        <v>21</v>
      </c>
      <c r="J71" s="40">
        <v>21</v>
      </c>
      <c r="K71" s="41"/>
      <c r="L71" s="42" t="s">
        <v>163</v>
      </c>
      <c r="M71" s="42"/>
      <c r="N71" s="43" t="s">
        <v>164</v>
      </c>
    </row>
    <row r="72" spans="1:14" ht="15.75" customHeight="1">
      <c r="A72" s="118" t="s">
        <v>166</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167</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168</v>
      </c>
      <c r="B74" s="125"/>
      <c r="C74" s="36">
        <v>21500</v>
      </c>
      <c r="D74" s="36">
        <v>32000</v>
      </c>
      <c r="E74" s="37">
        <v>30600</v>
      </c>
      <c r="F74" s="115">
        <f t="shared" si="15"/>
        <v>0</v>
      </c>
      <c r="G74" s="44">
        <f t="shared" si="12"/>
        <v>43</v>
      </c>
      <c r="H74" s="38">
        <f t="shared" si="13"/>
        <v>53.333333333333336</v>
      </c>
      <c r="I74" s="39">
        <f t="shared" si="14"/>
        <v>51</v>
      </c>
      <c r="J74" s="40">
        <v>43</v>
      </c>
      <c r="K74" s="41"/>
      <c r="L74" s="42" t="s">
        <v>169</v>
      </c>
      <c r="M74" s="47"/>
      <c r="N74" s="43"/>
    </row>
    <row r="75" spans="1:14" ht="15.75" customHeight="1">
      <c r="A75" s="118" t="s">
        <v>170</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392</v>
      </c>
      <c r="L75" s="42" t="s">
        <v>171</v>
      </c>
      <c r="M75" s="42"/>
      <c r="N75" s="43" t="s">
        <v>41</v>
      </c>
    </row>
    <row r="76" spans="1:14" ht="15.75" customHeight="1">
      <c r="A76" s="118" t="s">
        <v>172</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388</v>
      </c>
      <c r="M76" s="42" t="s">
        <v>59</v>
      </c>
      <c r="N76" s="43" t="s">
        <v>39</v>
      </c>
    </row>
    <row r="77" spans="1:14" ht="15.75" customHeight="1">
      <c r="A77" s="118" t="s">
        <v>173</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174</v>
      </c>
      <c r="B78" s="125"/>
      <c r="C78" s="36"/>
      <c r="D78" s="36"/>
      <c r="E78" s="37">
        <v>17000</v>
      </c>
      <c r="F78" s="115">
        <f t="shared" si="15"/>
        <v>0</v>
      </c>
      <c r="G78" s="38">
        <f t="shared" si="12"/>
        <v>0</v>
      </c>
      <c r="H78" s="38">
        <f t="shared" si="13"/>
        <v>0</v>
      </c>
      <c r="I78" s="39">
        <f t="shared" si="14"/>
        <v>28.333333333333332</v>
      </c>
      <c r="J78" s="40">
        <v>28.3</v>
      </c>
      <c r="K78" s="41"/>
      <c r="L78" s="42"/>
      <c r="M78" s="42"/>
      <c r="N78" s="43" t="s">
        <v>81</v>
      </c>
    </row>
    <row r="79" spans="1:14" ht="15.75" customHeight="1">
      <c r="A79" s="118" t="s">
        <v>175</v>
      </c>
      <c r="B79" s="125"/>
      <c r="C79" s="36">
        <v>6300</v>
      </c>
      <c r="D79" s="36"/>
      <c r="E79" s="37"/>
      <c r="F79" s="115">
        <f t="shared" si="15"/>
        <v>0</v>
      </c>
      <c r="G79" s="38">
        <f>C79/600</f>
        <v>10.5</v>
      </c>
      <c r="H79" s="38">
        <f t="shared" si="13"/>
        <v>0</v>
      </c>
      <c r="I79" s="39">
        <f t="shared" si="14"/>
        <v>0</v>
      </c>
      <c r="J79" s="40">
        <v>10.5</v>
      </c>
      <c r="K79" s="41"/>
      <c r="L79" s="42" t="s">
        <v>176</v>
      </c>
      <c r="M79" s="42"/>
      <c r="N79" s="43"/>
    </row>
    <row r="80" spans="1:14" ht="15.75" customHeight="1">
      <c r="A80" s="118" t="s">
        <v>177</v>
      </c>
      <c r="B80" s="125"/>
      <c r="C80" s="36">
        <v>23000</v>
      </c>
      <c r="D80" s="36"/>
      <c r="E80" s="37">
        <v>29900</v>
      </c>
      <c r="F80" s="115">
        <f t="shared" si="15"/>
        <v>0</v>
      </c>
      <c r="G80" s="44">
        <f>C80/500</f>
        <v>46</v>
      </c>
      <c r="H80" s="38">
        <f t="shared" si="13"/>
        <v>0</v>
      </c>
      <c r="I80" s="39">
        <f t="shared" si="14"/>
        <v>49.833333333333336</v>
      </c>
      <c r="J80" s="40">
        <v>49.8</v>
      </c>
      <c r="K80" s="41"/>
      <c r="L80" s="42" t="s">
        <v>39</v>
      </c>
      <c r="M80" s="42"/>
      <c r="N80" s="43" t="s">
        <v>178</v>
      </c>
    </row>
    <row r="81" spans="1:14" ht="15.75" customHeight="1">
      <c r="A81" s="118" t="s">
        <v>179</v>
      </c>
      <c r="B81" s="125"/>
      <c r="C81" s="36">
        <v>20500</v>
      </c>
      <c r="D81" s="36"/>
      <c r="E81" s="37">
        <v>16600</v>
      </c>
      <c r="F81" s="115">
        <f t="shared" si="15"/>
        <v>0</v>
      </c>
      <c r="G81" s="38">
        <f>C81/600</f>
        <v>34.166666666666664</v>
      </c>
      <c r="H81" s="38">
        <f t="shared" si="13"/>
        <v>0</v>
      </c>
      <c r="I81" s="39">
        <f t="shared" si="14"/>
        <v>27.666666666666668</v>
      </c>
      <c r="K81" s="41"/>
      <c r="L81" s="42" t="s">
        <v>180</v>
      </c>
      <c r="M81" s="42"/>
      <c r="N81" s="43" t="s">
        <v>56</v>
      </c>
    </row>
    <row r="82" spans="1:14" ht="15.75" customHeight="1">
      <c r="A82" s="118" t="s">
        <v>377</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165</v>
      </c>
      <c r="L82" s="47"/>
      <c r="M82" s="42"/>
      <c r="N82" s="45" t="s">
        <v>81</v>
      </c>
    </row>
    <row r="83" spans="1:14" ht="15.75" customHeight="1">
      <c r="A83" s="118" t="s">
        <v>181</v>
      </c>
      <c r="B83" s="125"/>
      <c r="C83" s="36">
        <v>5200</v>
      </c>
      <c r="D83" s="36"/>
      <c r="E83" s="37"/>
      <c r="F83" s="115">
        <f t="shared" si="15"/>
        <v>0</v>
      </c>
      <c r="G83" s="38">
        <f t="shared" si="16"/>
        <v>10.4</v>
      </c>
      <c r="H83" s="38">
        <f t="shared" si="13"/>
        <v>0</v>
      </c>
      <c r="I83" s="39">
        <f t="shared" si="14"/>
        <v>0</v>
      </c>
      <c r="J83" s="40">
        <v>10.4</v>
      </c>
      <c r="K83" s="41"/>
      <c r="L83" s="42" t="s">
        <v>182</v>
      </c>
      <c r="M83" s="42"/>
      <c r="N83" s="43"/>
    </row>
    <row r="84" spans="1:14" ht="15.75" customHeight="1">
      <c r="A84" s="118" t="s">
        <v>378</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183</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47</v>
      </c>
      <c r="M85" s="42"/>
      <c r="N85" s="43" t="s">
        <v>62</v>
      </c>
    </row>
    <row r="86" spans="1:14" ht="15.75" customHeight="1">
      <c r="A86" s="118" t="s">
        <v>184</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185</v>
      </c>
      <c r="N86" s="43" t="s">
        <v>186</v>
      </c>
    </row>
    <row r="87" spans="1:14" ht="15.75" customHeight="1" thickBot="1">
      <c r="A87" s="129" t="s">
        <v>187</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111</v>
      </c>
    </row>
    <row r="88" spans="1:14" ht="15.75" customHeight="1">
      <c r="A88" s="130" t="s">
        <v>188</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81</v>
      </c>
    </row>
    <row r="89" spans="1:14" ht="15.75" customHeight="1">
      <c r="A89" s="119" t="s">
        <v>189</v>
      </c>
      <c r="B89" s="125"/>
      <c r="C89" s="36">
        <v>11000</v>
      </c>
      <c r="D89" s="36">
        <v>15000</v>
      </c>
      <c r="E89" s="37">
        <v>13100</v>
      </c>
      <c r="F89" s="115">
        <f t="shared" si="15"/>
        <v>0</v>
      </c>
      <c r="G89" s="38">
        <f t="shared" si="16"/>
        <v>22</v>
      </c>
      <c r="H89" s="38">
        <f t="shared" si="13"/>
        <v>25</v>
      </c>
      <c r="I89" s="48">
        <f t="shared" si="14"/>
        <v>21.833333333333332</v>
      </c>
      <c r="J89" s="40">
        <v>21.8</v>
      </c>
      <c r="K89" s="41"/>
      <c r="L89" s="42" t="s">
        <v>190</v>
      </c>
      <c r="M89" s="47" t="s">
        <v>190</v>
      </c>
      <c r="N89" s="66" t="s">
        <v>191</v>
      </c>
    </row>
    <row r="90" spans="1:14" ht="15.75" customHeight="1">
      <c r="A90" s="119" t="s">
        <v>192</v>
      </c>
      <c r="B90" s="125"/>
      <c r="C90" s="36">
        <v>3500</v>
      </c>
      <c r="D90" s="36">
        <v>4500</v>
      </c>
      <c r="E90" s="37">
        <v>4300</v>
      </c>
      <c r="F90" s="115">
        <f t="shared" si="15"/>
        <v>0</v>
      </c>
      <c r="G90" s="44">
        <f t="shared" si="16"/>
        <v>7</v>
      </c>
      <c r="H90" s="38">
        <f t="shared" si="13"/>
        <v>7.5</v>
      </c>
      <c r="I90" s="39">
        <f t="shared" si="14"/>
        <v>7.166666666666667</v>
      </c>
      <c r="J90" s="40">
        <v>7</v>
      </c>
      <c r="K90" s="41"/>
      <c r="L90" s="42" t="s">
        <v>161</v>
      </c>
      <c r="M90" s="47"/>
      <c r="N90" s="45" t="s">
        <v>81</v>
      </c>
    </row>
    <row r="91" spans="1:14" ht="15.75" customHeight="1">
      <c r="A91" s="119" t="s">
        <v>193</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194</v>
      </c>
      <c r="M91" s="47" t="s">
        <v>195</v>
      </c>
      <c r="N91" s="43" t="s">
        <v>196</v>
      </c>
    </row>
    <row r="92" spans="1:14" ht="15.75" customHeight="1">
      <c r="A92" s="119" t="s">
        <v>197</v>
      </c>
      <c r="B92" s="125"/>
      <c r="C92" s="36">
        <v>10400</v>
      </c>
      <c r="D92" s="36">
        <v>11000</v>
      </c>
      <c r="E92" s="37">
        <v>24600</v>
      </c>
      <c r="F92" s="115">
        <f t="shared" si="15"/>
        <v>0</v>
      </c>
      <c r="G92" s="38">
        <f t="shared" si="16"/>
        <v>20.8</v>
      </c>
      <c r="H92" s="44">
        <f t="shared" si="13"/>
        <v>18.333333333333332</v>
      </c>
      <c r="I92" s="39">
        <f t="shared" si="14"/>
        <v>41</v>
      </c>
      <c r="J92" s="40">
        <v>18.3</v>
      </c>
      <c r="K92" s="41"/>
      <c r="L92" s="42" t="s">
        <v>198</v>
      </c>
      <c r="M92" s="58" t="s">
        <v>199</v>
      </c>
      <c r="N92" s="43" t="s">
        <v>200</v>
      </c>
    </row>
    <row r="93" spans="1:14" ht="15.75" customHeight="1">
      <c r="A93" s="119" t="s">
        <v>201</v>
      </c>
      <c r="B93" s="125"/>
      <c r="C93" s="36">
        <v>125800</v>
      </c>
      <c r="D93" s="36"/>
      <c r="E93" s="37">
        <v>169000</v>
      </c>
      <c r="F93" s="115">
        <f t="shared" si="15"/>
        <v>0</v>
      </c>
      <c r="G93" s="38">
        <f t="shared" si="16"/>
        <v>251.6</v>
      </c>
      <c r="H93" s="38">
        <f t="shared" si="13"/>
        <v>0</v>
      </c>
      <c r="I93" s="39">
        <f t="shared" si="14"/>
        <v>281.66666666666669</v>
      </c>
      <c r="K93" s="41"/>
      <c r="L93" s="113" t="s">
        <v>202</v>
      </c>
      <c r="M93" s="42"/>
      <c r="N93" s="43" t="s">
        <v>203</v>
      </c>
    </row>
    <row r="94" spans="1:14" ht="15.75" customHeight="1">
      <c r="A94" s="119" t="s">
        <v>204</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62</v>
      </c>
      <c r="M94" s="42"/>
      <c r="N94" s="43" t="s">
        <v>81</v>
      </c>
    </row>
    <row r="95" spans="1:14" ht="15.75" customHeight="1">
      <c r="A95" s="119" t="s">
        <v>205</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206</v>
      </c>
      <c r="B96" s="125"/>
      <c r="C96" s="36">
        <v>17500</v>
      </c>
      <c r="D96" s="36"/>
      <c r="E96" s="37">
        <v>20100</v>
      </c>
      <c r="F96" s="115">
        <f t="shared" si="15"/>
        <v>0</v>
      </c>
      <c r="G96" s="38">
        <f t="shared" si="16"/>
        <v>35</v>
      </c>
      <c r="H96" s="38">
        <f t="shared" si="13"/>
        <v>0</v>
      </c>
      <c r="I96" s="39">
        <f t="shared" si="14"/>
        <v>33.5</v>
      </c>
      <c r="J96" s="40">
        <v>35</v>
      </c>
      <c r="K96" s="41"/>
      <c r="L96" s="42" t="s">
        <v>39</v>
      </c>
      <c r="M96" s="42"/>
      <c r="N96" s="43" t="s">
        <v>39</v>
      </c>
    </row>
    <row r="97" spans="1:14" ht="15.75" customHeight="1">
      <c r="A97" s="119" t="s">
        <v>207</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208</v>
      </c>
      <c r="B98" s="125">
        <v>7500</v>
      </c>
      <c r="C98" s="36">
        <v>9000</v>
      </c>
      <c r="D98" s="36">
        <v>9000</v>
      </c>
      <c r="E98" s="37"/>
      <c r="F98" s="115">
        <f t="shared" si="15"/>
        <v>15</v>
      </c>
      <c r="G98" s="44">
        <f t="shared" si="16"/>
        <v>18</v>
      </c>
      <c r="H98" s="38">
        <f t="shared" si="13"/>
        <v>15</v>
      </c>
      <c r="I98" s="39">
        <f t="shared" si="14"/>
        <v>0</v>
      </c>
      <c r="J98" s="40">
        <v>15</v>
      </c>
      <c r="K98" s="67"/>
      <c r="L98" s="68" t="s">
        <v>149</v>
      </c>
      <c r="M98" s="47" t="s">
        <v>267</v>
      </c>
      <c r="N98" s="43"/>
    </row>
    <row r="99" spans="1:14" ht="15.75" customHeight="1">
      <c r="A99" s="119" t="s">
        <v>209</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149</v>
      </c>
      <c r="M99" s="47"/>
      <c r="N99" s="43"/>
    </row>
    <row r="100" spans="1:14" ht="15.75" customHeight="1">
      <c r="A100" s="119" t="s">
        <v>210</v>
      </c>
      <c r="B100" s="125"/>
      <c r="C100" s="36">
        <v>5500</v>
      </c>
      <c r="D100" s="36"/>
      <c r="E100" s="37">
        <v>3000</v>
      </c>
      <c r="F100" s="115">
        <f t="shared" si="15"/>
        <v>0</v>
      </c>
      <c r="G100" s="44">
        <f>C100/1000</f>
        <v>5.5</v>
      </c>
      <c r="H100" s="38">
        <f t="shared" ref="H100:H108" si="17">D100/600</f>
        <v>0</v>
      </c>
      <c r="I100" s="39">
        <f>E100/1000</f>
        <v>3</v>
      </c>
      <c r="J100" s="40">
        <v>5.5</v>
      </c>
      <c r="K100" s="41"/>
      <c r="L100" s="42" t="s">
        <v>211</v>
      </c>
      <c r="M100" s="42"/>
      <c r="N100" s="43" t="s">
        <v>212</v>
      </c>
    </row>
    <row r="101" spans="1:14" ht="15.75" customHeight="1">
      <c r="A101" s="119" t="s">
        <v>213</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214</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161</v>
      </c>
      <c r="M102" s="47"/>
      <c r="N102" s="43" t="s">
        <v>81</v>
      </c>
    </row>
    <row r="103" spans="1:14" ht="15" customHeight="1">
      <c r="A103" s="119" t="s">
        <v>215</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216</v>
      </c>
      <c r="B104" s="125"/>
      <c r="C104" s="36">
        <v>58500</v>
      </c>
      <c r="D104" s="36"/>
      <c r="E104" s="37">
        <v>81200</v>
      </c>
      <c r="F104" s="115">
        <f t="shared" si="20"/>
        <v>0</v>
      </c>
      <c r="G104" s="44">
        <f t="shared" si="18"/>
        <v>117</v>
      </c>
      <c r="H104" s="38">
        <f t="shared" si="17"/>
        <v>0</v>
      </c>
      <c r="I104" s="39">
        <f t="shared" si="19"/>
        <v>135.33333333333334</v>
      </c>
      <c r="J104" s="40">
        <v>117</v>
      </c>
      <c r="K104" s="41"/>
      <c r="L104" s="57" t="s">
        <v>62</v>
      </c>
      <c r="M104" s="42"/>
      <c r="N104" s="43" t="s">
        <v>81</v>
      </c>
    </row>
    <row r="105" spans="1:14" ht="15" customHeight="1">
      <c r="A105" s="119" t="s">
        <v>217</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111</v>
      </c>
    </row>
    <row r="106" spans="1:14" ht="15" customHeight="1">
      <c r="A106" s="119" t="s">
        <v>218</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219</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220</v>
      </c>
      <c r="B108" s="125"/>
      <c r="C108" s="36">
        <v>5700</v>
      </c>
      <c r="D108" s="36"/>
      <c r="E108" s="37">
        <v>7000</v>
      </c>
      <c r="F108" s="115">
        <f t="shared" si="20"/>
        <v>0</v>
      </c>
      <c r="G108" s="38">
        <f t="shared" si="18"/>
        <v>11.4</v>
      </c>
      <c r="H108" s="38">
        <f t="shared" si="17"/>
        <v>0</v>
      </c>
      <c r="I108" s="39">
        <f t="shared" si="19"/>
        <v>11.666666666666666</v>
      </c>
      <c r="J108" s="40">
        <v>11.7</v>
      </c>
      <c r="K108" s="41"/>
      <c r="L108" s="42" t="s">
        <v>90</v>
      </c>
      <c r="M108" s="47"/>
      <c r="N108" s="43" t="s">
        <v>47</v>
      </c>
    </row>
    <row r="109" spans="1:14" ht="15" customHeight="1">
      <c r="A109" s="119" t="s">
        <v>221</v>
      </c>
      <c r="B109" s="125"/>
      <c r="C109" s="36">
        <v>20000</v>
      </c>
      <c r="D109" s="36">
        <v>20000</v>
      </c>
      <c r="E109" s="37">
        <v>20000</v>
      </c>
      <c r="F109" s="115">
        <f t="shared" si="20"/>
        <v>0</v>
      </c>
      <c r="G109" s="44">
        <f>C109/1000</f>
        <v>20</v>
      </c>
      <c r="H109" s="44">
        <f>D109/1000</f>
        <v>20</v>
      </c>
      <c r="I109" s="48">
        <f>E109/1000</f>
        <v>20</v>
      </c>
      <c r="J109" s="40">
        <v>20</v>
      </c>
      <c r="K109" s="69"/>
      <c r="L109" s="58" t="s">
        <v>222</v>
      </c>
      <c r="M109" s="58" t="s">
        <v>222</v>
      </c>
      <c r="N109" s="70" t="s">
        <v>222</v>
      </c>
    </row>
    <row r="110" spans="1:14" ht="15" customHeight="1">
      <c r="A110" s="119" t="s">
        <v>223</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62</v>
      </c>
      <c r="M110" s="68"/>
      <c r="N110" s="70" t="s">
        <v>81</v>
      </c>
    </row>
    <row r="111" spans="1:14" ht="15" customHeight="1">
      <c r="A111" s="119" t="s">
        <v>224</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225</v>
      </c>
    </row>
    <row r="112" spans="1:14" ht="15" customHeight="1">
      <c r="A112" s="119" t="s">
        <v>226</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144</v>
      </c>
      <c r="N112" s="66" t="s">
        <v>227</v>
      </c>
    </row>
    <row r="113" spans="1:14" ht="15" customHeight="1">
      <c r="A113" s="119" t="s">
        <v>228</v>
      </c>
      <c r="B113" s="125"/>
      <c r="C113" s="36">
        <v>8500</v>
      </c>
      <c r="D113" s="36">
        <v>8000</v>
      </c>
      <c r="E113" s="37">
        <v>8500</v>
      </c>
      <c r="F113" s="115">
        <f t="shared" si="20"/>
        <v>0</v>
      </c>
      <c r="G113" s="38">
        <f>C113/1000</f>
        <v>8.5</v>
      </c>
      <c r="H113" s="44">
        <f>D113/1000</f>
        <v>8</v>
      </c>
      <c r="I113" s="39">
        <f>E113/1000</f>
        <v>8.5</v>
      </c>
      <c r="J113" s="40">
        <v>8</v>
      </c>
      <c r="K113" s="41"/>
      <c r="L113" s="42" t="s">
        <v>229</v>
      </c>
      <c r="M113" s="47" t="s">
        <v>229</v>
      </c>
      <c r="N113" s="43" t="s">
        <v>230</v>
      </c>
    </row>
    <row r="114" spans="1:14" ht="15" customHeight="1" thickBot="1">
      <c r="A114" s="131" t="s">
        <v>231</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232</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233</v>
      </c>
      <c r="M115" s="33"/>
      <c r="N115" s="35" t="s">
        <v>234</v>
      </c>
    </row>
    <row r="116" spans="1:14" ht="15" customHeight="1">
      <c r="A116" s="118" t="s">
        <v>235</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236</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47</v>
      </c>
      <c r="M117" s="47" t="s">
        <v>237</v>
      </c>
      <c r="N117" s="43" t="s">
        <v>81</v>
      </c>
    </row>
    <row r="118" spans="1:14" ht="15" customHeight="1">
      <c r="A118" s="118" t="s">
        <v>238</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239</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368</v>
      </c>
      <c r="M119" s="42"/>
      <c r="N119" s="43" t="s">
        <v>393</v>
      </c>
    </row>
    <row r="120" spans="1:14" ht="15" customHeight="1">
      <c r="A120" s="118" t="s">
        <v>240</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241</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368</v>
      </c>
      <c r="M121" s="47"/>
      <c r="N121" s="43" t="s">
        <v>397</v>
      </c>
    </row>
    <row r="122" spans="1:14" ht="15" customHeight="1">
      <c r="A122" s="118" t="s">
        <v>242</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243</v>
      </c>
      <c r="M122" s="47"/>
      <c r="N122" s="43" t="s">
        <v>186</v>
      </c>
    </row>
    <row r="123" spans="1:14" ht="15" customHeight="1">
      <c r="A123" s="118" t="s">
        <v>244</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245</v>
      </c>
      <c r="B124" s="125"/>
      <c r="C124" s="36">
        <v>8400</v>
      </c>
      <c r="D124" s="36"/>
      <c r="E124" s="37"/>
      <c r="F124" s="115">
        <f t="shared" si="20"/>
        <v>0</v>
      </c>
      <c r="G124" s="38">
        <f t="shared" si="23"/>
        <v>16.8</v>
      </c>
      <c r="H124" s="38">
        <f t="shared" si="22"/>
        <v>0</v>
      </c>
      <c r="I124" s="39">
        <f t="shared" si="24"/>
        <v>0</v>
      </c>
      <c r="J124" s="40">
        <v>16.8</v>
      </c>
      <c r="K124" s="41"/>
      <c r="L124" s="42" t="s">
        <v>47</v>
      </c>
      <c r="M124" s="42"/>
      <c r="N124" s="43"/>
    </row>
    <row r="125" spans="1:14" ht="15" customHeight="1">
      <c r="A125" s="118" t="s">
        <v>246</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81</v>
      </c>
    </row>
    <row r="126" spans="1:14" ht="15" customHeight="1">
      <c r="A126" s="118" t="s">
        <v>247</v>
      </c>
      <c r="B126" s="125"/>
      <c r="C126" s="36">
        <v>14000</v>
      </c>
      <c r="D126" s="36">
        <v>15000</v>
      </c>
      <c r="E126" s="37">
        <v>14000</v>
      </c>
      <c r="F126" s="115">
        <f t="shared" si="20"/>
        <v>0</v>
      </c>
      <c r="G126" s="38">
        <f>C126/1000</f>
        <v>14</v>
      </c>
      <c r="H126" s="38">
        <f>D126/1000</f>
        <v>15</v>
      </c>
      <c r="I126" s="39">
        <f t="shared" si="24"/>
        <v>23.333333333333332</v>
      </c>
      <c r="J126" s="40">
        <v>15</v>
      </c>
      <c r="K126" s="41"/>
      <c r="L126" s="42" t="s">
        <v>211</v>
      </c>
      <c r="M126" s="47" t="s">
        <v>211</v>
      </c>
      <c r="N126" s="43" t="s">
        <v>248</v>
      </c>
    </row>
    <row r="127" spans="1:14" ht="15" customHeight="1">
      <c r="A127" s="118" t="s">
        <v>249</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250</v>
      </c>
      <c r="N127" s="43"/>
    </row>
    <row r="128" spans="1:14" ht="15" customHeight="1">
      <c r="A128" s="118" t="s">
        <v>251</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252</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161</v>
      </c>
      <c r="M129" s="47" t="s">
        <v>253</v>
      </c>
      <c r="N129" s="43" t="s">
        <v>81</v>
      </c>
    </row>
    <row r="130" spans="1:14" ht="15" customHeight="1">
      <c r="A130" s="118" t="s">
        <v>254</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255</v>
      </c>
      <c r="M130" s="58"/>
      <c r="N130" s="43" t="s">
        <v>256</v>
      </c>
    </row>
    <row r="131" spans="1:14" ht="15" customHeight="1">
      <c r="A131" s="118" t="s">
        <v>257</v>
      </c>
      <c r="B131" s="125"/>
      <c r="C131" s="36">
        <v>34000</v>
      </c>
      <c r="D131" s="36"/>
      <c r="E131" s="37">
        <v>55900</v>
      </c>
      <c r="F131" s="115">
        <f t="shared" si="20"/>
        <v>0</v>
      </c>
      <c r="G131" s="38">
        <f>C131/500</f>
        <v>68</v>
      </c>
      <c r="H131" s="38">
        <f t="shared" si="25"/>
        <v>0</v>
      </c>
      <c r="I131" s="39">
        <f t="shared" si="24"/>
        <v>93.166666666666671</v>
      </c>
      <c r="J131" s="40">
        <v>68</v>
      </c>
      <c r="K131" s="41"/>
      <c r="L131" s="42" t="s">
        <v>47</v>
      </c>
      <c r="M131" s="42"/>
      <c r="N131" s="43" t="s">
        <v>81</v>
      </c>
    </row>
    <row r="132" spans="1:14" ht="15" customHeight="1">
      <c r="A132" s="118" t="s">
        <v>258</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259</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111</v>
      </c>
    </row>
    <row r="134" spans="1:14" ht="15" customHeight="1">
      <c r="A134" s="118" t="s">
        <v>260</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261</v>
      </c>
    </row>
    <row r="135" spans="1:14" ht="15" customHeight="1">
      <c r="A135" s="118" t="s">
        <v>262</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263</v>
      </c>
      <c r="B136" s="125"/>
      <c r="C136" s="36">
        <v>13200</v>
      </c>
      <c r="D136" s="36">
        <v>14000</v>
      </c>
      <c r="E136" s="37"/>
      <c r="F136" s="115">
        <f t="shared" si="26"/>
        <v>0</v>
      </c>
      <c r="G136" s="38">
        <f>C136/600</f>
        <v>22</v>
      </c>
      <c r="H136" s="38">
        <f t="shared" si="25"/>
        <v>23.333333333333332</v>
      </c>
      <c r="I136" s="39">
        <f t="shared" si="24"/>
        <v>0</v>
      </c>
      <c r="J136" s="40">
        <v>22</v>
      </c>
      <c r="K136" s="69"/>
      <c r="L136" s="68" t="s">
        <v>102</v>
      </c>
      <c r="M136" s="68"/>
      <c r="N136" s="70"/>
    </row>
    <row r="137" spans="1:14" ht="15" customHeight="1">
      <c r="A137" s="118" t="s">
        <v>264</v>
      </c>
      <c r="B137" s="125"/>
      <c r="C137" s="36">
        <v>11900</v>
      </c>
      <c r="D137" s="36"/>
      <c r="E137" s="37"/>
      <c r="F137" s="115">
        <f t="shared" si="26"/>
        <v>0</v>
      </c>
      <c r="G137" s="38">
        <f>C137/500</f>
        <v>23.8</v>
      </c>
      <c r="H137" s="38">
        <f t="shared" si="25"/>
        <v>0</v>
      </c>
      <c r="I137" s="39">
        <f t="shared" si="24"/>
        <v>0</v>
      </c>
      <c r="J137" s="40">
        <v>23.8</v>
      </c>
      <c r="K137" s="69"/>
      <c r="L137" s="68" t="s">
        <v>161</v>
      </c>
      <c r="M137" s="68"/>
      <c r="N137" s="70"/>
    </row>
    <row r="138" spans="1:14" ht="15" customHeight="1">
      <c r="A138" s="118" t="s">
        <v>265</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266</v>
      </c>
      <c r="M138" s="71" t="s">
        <v>267</v>
      </c>
      <c r="N138" s="70" t="s">
        <v>149</v>
      </c>
    </row>
    <row r="139" spans="1:14" ht="15" customHeight="1">
      <c r="A139" s="118" t="s">
        <v>268</v>
      </c>
      <c r="B139" s="125"/>
      <c r="C139" s="36">
        <v>5800</v>
      </c>
      <c r="D139" s="36">
        <v>7500</v>
      </c>
      <c r="E139" s="37"/>
      <c r="F139" s="115">
        <f t="shared" si="26"/>
        <v>0</v>
      </c>
      <c r="G139" s="38">
        <f>C139/500</f>
        <v>11.6</v>
      </c>
      <c r="H139" s="38">
        <f t="shared" si="25"/>
        <v>12.5</v>
      </c>
      <c r="I139" s="39">
        <f t="shared" si="24"/>
        <v>0</v>
      </c>
      <c r="K139" s="69"/>
      <c r="L139" s="68"/>
      <c r="M139" s="68" t="s">
        <v>149</v>
      </c>
      <c r="N139" s="70"/>
    </row>
    <row r="140" spans="1:14" ht="15" customHeight="1">
      <c r="A140" s="118" t="s">
        <v>269</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270</v>
      </c>
      <c r="M140" s="68"/>
      <c r="N140" s="70" t="s">
        <v>393</v>
      </c>
    </row>
    <row r="141" spans="1:14" ht="15" customHeight="1">
      <c r="A141" s="118" t="s">
        <v>271</v>
      </c>
      <c r="B141" s="125"/>
      <c r="C141" s="36">
        <v>54000</v>
      </c>
      <c r="D141" s="36">
        <v>30000</v>
      </c>
      <c r="E141" s="37"/>
      <c r="F141" s="115">
        <f t="shared" si="26"/>
        <v>0</v>
      </c>
      <c r="G141" s="44">
        <f>C141/600</f>
        <v>90</v>
      </c>
      <c r="H141" s="38">
        <f>D141/300</f>
        <v>100</v>
      </c>
      <c r="I141" s="39">
        <f t="shared" si="24"/>
        <v>0</v>
      </c>
      <c r="J141" s="40">
        <v>90</v>
      </c>
      <c r="K141" s="69"/>
      <c r="L141" s="57" t="s">
        <v>272</v>
      </c>
      <c r="M141" s="71" t="s">
        <v>273</v>
      </c>
      <c r="N141" s="70"/>
    </row>
    <row r="142" spans="1:14" ht="15" customHeight="1" thickBot="1">
      <c r="A142" s="129" t="s">
        <v>274</v>
      </c>
      <c r="B142" s="126"/>
      <c r="C142" s="49">
        <v>6000</v>
      </c>
      <c r="D142" s="49">
        <v>7500</v>
      </c>
      <c r="E142" s="50">
        <v>7200</v>
      </c>
      <c r="F142" s="73">
        <f t="shared" si="26"/>
        <v>0</v>
      </c>
      <c r="G142" s="51">
        <f>C142/500</f>
        <v>12</v>
      </c>
      <c r="H142" s="51">
        <f>D142/600</f>
        <v>12.5</v>
      </c>
      <c r="I142" s="60">
        <f t="shared" si="24"/>
        <v>12</v>
      </c>
      <c r="J142" s="52">
        <v>12</v>
      </c>
      <c r="K142" s="61"/>
      <c r="L142" s="53"/>
      <c r="M142" s="53"/>
      <c r="N142" s="62" t="s">
        <v>39</v>
      </c>
    </row>
    <row r="143" spans="1:14" ht="15" customHeight="1">
      <c r="A143" s="130" t="s">
        <v>275</v>
      </c>
      <c r="B143" s="128"/>
      <c r="C143" s="26">
        <v>7500</v>
      </c>
      <c r="D143" s="26">
        <v>8500</v>
      </c>
      <c r="E143" s="27">
        <v>7200</v>
      </c>
      <c r="F143" s="28">
        <f t="shared" si="26"/>
        <v>0</v>
      </c>
      <c r="G143" s="29">
        <f>C143/500</f>
        <v>15</v>
      </c>
      <c r="H143" s="29">
        <f>D143/600</f>
        <v>14.166666666666666</v>
      </c>
      <c r="I143" s="56">
        <f t="shared" si="24"/>
        <v>12</v>
      </c>
      <c r="J143" s="31">
        <v>12</v>
      </c>
      <c r="K143" s="32"/>
      <c r="L143" s="33" t="s">
        <v>39</v>
      </c>
      <c r="M143" s="34" t="s">
        <v>149</v>
      </c>
      <c r="N143" s="35" t="s">
        <v>186</v>
      </c>
    </row>
    <row r="144" spans="1:14" ht="15" customHeight="1">
      <c r="A144" s="119" t="s">
        <v>276</v>
      </c>
      <c r="B144" s="125"/>
      <c r="C144" s="36">
        <v>20500</v>
      </c>
      <c r="D144" s="36">
        <v>23000</v>
      </c>
      <c r="E144" s="37">
        <v>20700</v>
      </c>
      <c r="F144" s="115">
        <f t="shared" si="26"/>
        <v>0</v>
      </c>
      <c r="G144" s="38">
        <f>C144/500</f>
        <v>41</v>
      </c>
      <c r="H144" s="38">
        <f>D144/600</f>
        <v>38.333333333333336</v>
      </c>
      <c r="I144" s="48">
        <f t="shared" si="24"/>
        <v>34.5</v>
      </c>
      <c r="J144" s="40">
        <v>38</v>
      </c>
      <c r="K144" s="41"/>
      <c r="L144" s="42" t="s">
        <v>102</v>
      </c>
      <c r="M144" s="42"/>
      <c r="N144" s="43" t="s">
        <v>395</v>
      </c>
    </row>
    <row r="145" spans="1:14" ht="15" customHeight="1">
      <c r="A145" s="119" t="s">
        <v>277</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278</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279</v>
      </c>
      <c r="B147" s="125"/>
      <c r="C147" s="36">
        <v>20000</v>
      </c>
      <c r="D147" s="36">
        <v>20000</v>
      </c>
      <c r="E147" s="37"/>
      <c r="F147" s="115">
        <f t="shared" si="26"/>
        <v>0</v>
      </c>
      <c r="G147" s="38">
        <f>C147/1000</f>
        <v>20</v>
      </c>
      <c r="H147" s="38">
        <f>D147/1000</f>
        <v>20</v>
      </c>
      <c r="I147" s="39">
        <f t="shared" si="24"/>
        <v>0</v>
      </c>
      <c r="J147" s="40">
        <v>20</v>
      </c>
      <c r="K147" s="41"/>
      <c r="L147" s="42" t="s">
        <v>280</v>
      </c>
      <c r="M147" s="47" t="s">
        <v>280</v>
      </c>
      <c r="N147" s="43"/>
    </row>
    <row r="148" spans="1:14" ht="15" customHeight="1">
      <c r="A148" s="119" t="s">
        <v>281</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62</v>
      </c>
      <c r="M148" s="42"/>
      <c r="N148" s="43" t="s">
        <v>282</v>
      </c>
    </row>
    <row r="149" spans="1:14" ht="15" customHeight="1">
      <c r="A149" s="120" t="s">
        <v>283</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284</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285</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286</v>
      </c>
      <c r="B152" s="125"/>
      <c r="C152" s="36">
        <v>7700</v>
      </c>
      <c r="D152" s="36"/>
      <c r="E152" s="37">
        <v>10200</v>
      </c>
      <c r="F152" s="115">
        <f t="shared" si="26"/>
        <v>0</v>
      </c>
      <c r="G152" s="44">
        <f>C152/500</f>
        <v>15.4</v>
      </c>
      <c r="H152" s="38">
        <f t="shared" si="27"/>
        <v>0</v>
      </c>
      <c r="I152" s="39">
        <f t="shared" si="28"/>
        <v>17</v>
      </c>
      <c r="J152" s="40">
        <v>15.4</v>
      </c>
      <c r="K152" s="41"/>
      <c r="L152" s="42" t="s">
        <v>54</v>
      </c>
      <c r="M152" s="42"/>
      <c r="N152" s="43"/>
    </row>
    <row r="153" spans="1:14" ht="15" customHeight="1">
      <c r="A153" s="119" t="s">
        <v>287</v>
      </c>
      <c r="B153" s="125"/>
      <c r="C153" s="36">
        <v>3500</v>
      </c>
      <c r="D153" s="36">
        <v>4500</v>
      </c>
      <c r="E153" s="37"/>
      <c r="F153" s="115">
        <f t="shared" si="26"/>
        <v>0</v>
      </c>
      <c r="G153" s="38">
        <f>C153/600</f>
        <v>5.833333333333333</v>
      </c>
      <c r="H153" s="38">
        <f t="shared" si="27"/>
        <v>7.5</v>
      </c>
      <c r="I153" s="39">
        <f t="shared" si="28"/>
        <v>0</v>
      </c>
      <c r="K153" s="41"/>
      <c r="L153" s="42" t="s">
        <v>46</v>
      </c>
      <c r="M153" s="42"/>
      <c r="N153" s="43"/>
    </row>
    <row r="154" spans="1:14" ht="15" customHeight="1">
      <c r="A154" s="120" t="s">
        <v>288</v>
      </c>
      <c r="B154" s="125"/>
      <c r="C154" s="36">
        <v>4500</v>
      </c>
      <c r="D154" s="36"/>
      <c r="E154" s="37"/>
      <c r="F154" s="115">
        <f t="shared" si="26"/>
        <v>0</v>
      </c>
      <c r="G154" s="38">
        <f>C154/600</f>
        <v>7.5</v>
      </c>
      <c r="H154" s="38">
        <f t="shared" si="27"/>
        <v>0</v>
      </c>
      <c r="I154" s="39">
        <f t="shared" si="28"/>
        <v>0</v>
      </c>
      <c r="J154" s="40">
        <v>7.5</v>
      </c>
      <c r="K154" s="41"/>
      <c r="L154" s="42" t="s">
        <v>289</v>
      </c>
      <c r="M154" s="42"/>
      <c r="N154" s="43"/>
    </row>
    <row r="155" spans="1:14" ht="15" customHeight="1">
      <c r="A155" s="120" t="s">
        <v>290</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73</v>
      </c>
      <c r="M155" s="47" t="s">
        <v>144</v>
      </c>
      <c r="N155" s="43" t="s">
        <v>81</v>
      </c>
    </row>
    <row r="156" spans="1:14" ht="15" customHeight="1">
      <c r="A156" s="120" t="s">
        <v>291</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250</v>
      </c>
      <c r="N156" s="43" t="s">
        <v>81</v>
      </c>
    </row>
    <row r="157" spans="1:14" ht="15" customHeight="1">
      <c r="A157" s="120" t="s">
        <v>292</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293</v>
      </c>
      <c r="M157" s="47"/>
      <c r="N157" s="43" t="s">
        <v>186</v>
      </c>
    </row>
    <row r="158" spans="1:14" ht="15" customHeight="1">
      <c r="A158" s="120" t="s">
        <v>294</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295</v>
      </c>
      <c r="B159" s="125"/>
      <c r="C159" s="36">
        <v>10000</v>
      </c>
      <c r="D159" s="36"/>
      <c r="E159" s="37">
        <v>10000</v>
      </c>
      <c r="F159" s="115">
        <f t="shared" si="26"/>
        <v>0</v>
      </c>
      <c r="G159" s="38">
        <f t="shared" si="29"/>
        <v>20</v>
      </c>
      <c r="H159" s="38">
        <f t="shared" si="27"/>
        <v>0</v>
      </c>
      <c r="I159" s="48">
        <f t="shared" si="28"/>
        <v>16.666666666666668</v>
      </c>
      <c r="J159" s="40">
        <v>16.7</v>
      </c>
      <c r="K159" s="41"/>
      <c r="L159" s="42" t="s">
        <v>243</v>
      </c>
      <c r="M159" s="42"/>
      <c r="N159" s="43" t="s">
        <v>296</v>
      </c>
    </row>
    <row r="160" spans="1:14" ht="15" customHeight="1">
      <c r="A160" s="120" t="s">
        <v>297</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298</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299</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300</v>
      </c>
      <c r="M162" s="58" t="s">
        <v>301</v>
      </c>
      <c r="N162" s="66" t="s">
        <v>302</v>
      </c>
    </row>
    <row r="163" spans="1:14" ht="15" customHeight="1">
      <c r="A163" s="120" t="s">
        <v>303</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304</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305</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306</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307</v>
      </c>
      <c r="B167" s="125"/>
      <c r="C167" s="36">
        <v>12000</v>
      </c>
      <c r="D167" s="36"/>
      <c r="E167" s="37">
        <v>13400</v>
      </c>
      <c r="F167" s="115">
        <f t="shared" si="30"/>
        <v>0</v>
      </c>
      <c r="G167" s="72">
        <f t="shared" si="29"/>
        <v>24</v>
      </c>
      <c r="H167" s="38">
        <f t="shared" si="27"/>
        <v>0</v>
      </c>
      <c r="I167" s="48">
        <f t="shared" si="28"/>
        <v>22.333333333333332</v>
      </c>
      <c r="J167" s="40">
        <v>24</v>
      </c>
      <c r="K167" s="41"/>
      <c r="L167" s="57" t="s">
        <v>47</v>
      </c>
      <c r="M167" s="42"/>
      <c r="N167" s="43" t="s">
        <v>81</v>
      </c>
    </row>
    <row r="168" spans="1:14" ht="15" customHeight="1">
      <c r="A168" s="121" t="s">
        <v>311</v>
      </c>
      <c r="B168" s="125">
        <v>31900</v>
      </c>
      <c r="C168" s="36"/>
      <c r="D168" s="36">
        <v>17000</v>
      </c>
      <c r="E168" s="37">
        <v>25800</v>
      </c>
      <c r="F168" s="115">
        <f t="shared" si="30"/>
        <v>63.8</v>
      </c>
      <c r="G168" s="38">
        <f t="shared" si="29"/>
        <v>0</v>
      </c>
      <c r="H168" s="38">
        <f t="shared" si="27"/>
        <v>28.333333333333332</v>
      </c>
      <c r="I168" s="39">
        <f t="shared" si="28"/>
        <v>43</v>
      </c>
      <c r="J168" s="40">
        <v>43</v>
      </c>
      <c r="K168" s="41" t="s">
        <v>308</v>
      </c>
      <c r="L168" s="42"/>
      <c r="M168" s="47" t="s">
        <v>309</v>
      </c>
      <c r="N168" s="66" t="s">
        <v>310</v>
      </c>
    </row>
    <row r="169" spans="1:14" ht="15" customHeight="1">
      <c r="A169" s="121" t="s">
        <v>312</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313</v>
      </c>
      <c r="M169" s="42" t="s">
        <v>149</v>
      </c>
      <c r="N169" s="43" t="s">
        <v>81</v>
      </c>
    </row>
    <row r="170" spans="1:14" ht="15" customHeight="1">
      <c r="A170" s="118" t="s">
        <v>314</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39</v>
      </c>
    </row>
    <row r="171" spans="1:14" ht="15" customHeight="1">
      <c r="A171" s="121" t="s">
        <v>315</v>
      </c>
      <c r="B171" s="125"/>
      <c r="C171" s="36">
        <v>5800</v>
      </c>
      <c r="D171" s="36"/>
      <c r="E171" s="37"/>
      <c r="F171" s="115">
        <f t="shared" si="30"/>
        <v>0</v>
      </c>
      <c r="G171" s="38">
        <f t="shared" si="31"/>
        <v>11.6</v>
      </c>
      <c r="H171" s="38">
        <f t="shared" si="27"/>
        <v>0</v>
      </c>
      <c r="I171" s="39">
        <f t="shared" si="28"/>
        <v>0</v>
      </c>
      <c r="J171" s="40">
        <v>11.6</v>
      </c>
      <c r="K171" s="41"/>
      <c r="L171" s="42" t="s">
        <v>316</v>
      </c>
      <c r="M171" s="42"/>
      <c r="N171" s="43"/>
    </row>
    <row r="172" spans="1:14" ht="15" customHeight="1">
      <c r="A172" s="121" t="s">
        <v>317</v>
      </c>
      <c r="B172" s="125"/>
      <c r="C172" s="36">
        <v>21900</v>
      </c>
      <c r="D172" s="36">
        <v>24000</v>
      </c>
      <c r="E172" s="37">
        <v>24300</v>
      </c>
      <c r="F172" s="115">
        <f t="shared" si="30"/>
        <v>0</v>
      </c>
      <c r="G172" s="38">
        <f t="shared" si="31"/>
        <v>43.8</v>
      </c>
      <c r="H172" s="38">
        <f t="shared" si="27"/>
        <v>40</v>
      </c>
      <c r="I172" s="39">
        <f t="shared" si="28"/>
        <v>40.5</v>
      </c>
      <c r="J172" s="40">
        <v>40</v>
      </c>
      <c r="K172" s="41"/>
      <c r="L172" s="42" t="s">
        <v>62</v>
      </c>
      <c r="M172" s="47"/>
      <c r="N172" s="43" t="s">
        <v>81</v>
      </c>
    </row>
    <row r="173" spans="1:14" ht="15" customHeight="1">
      <c r="A173" s="121" t="s">
        <v>318</v>
      </c>
      <c r="B173" s="125"/>
      <c r="C173" s="36">
        <v>13800</v>
      </c>
      <c r="D173" s="36"/>
      <c r="E173" s="37">
        <v>17100</v>
      </c>
      <c r="F173" s="115">
        <f t="shared" si="30"/>
        <v>0</v>
      </c>
      <c r="G173" s="38">
        <f t="shared" si="31"/>
        <v>27.6</v>
      </c>
      <c r="H173" s="38">
        <f t="shared" si="27"/>
        <v>0</v>
      </c>
      <c r="I173" s="39">
        <f t="shared" si="28"/>
        <v>28.5</v>
      </c>
      <c r="J173" s="40">
        <v>28.5</v>
      </c>
      <c r="K173" s="41"/>
      <c r="L173" s="42" t="s">
        <v>243</v>
      </c>
      <c r="M173" s="42"/>
      <c r="N173" s="43" t="s">
        <v>319</v>
      </c>
    </row>
    <row r="174" spans="1:14" ht="15" customHeight="1">
      <c r="A174" s="121" t="s">
        <v>400</v>
      </c>
      <c r="B174" s="125"/>
      <c r="C174" s="36">
        <v>11000</v>
      </c>
      <c r="D174" s="36"/>
      <c r="E174" s="37">
        <v>11000</v>
      </c>
      <c r="F174" s="115">
        <f t="shared" si="30"/>
        <v>0</v>
      </c>
      <c r="G174" s="38">
        <f t="shared" si="31"/>
        <v>22</v>
      </c>
      <c r="H174" s="38">
        <f t="shared" si="27"/>
        <v>0</v>
      </c>
      <c r="I174" s="39">
        <f>E174/500</f>
        <v>22</v>
      </c>
      <c r="J174" s="40">
        <v>22</v>
      </c>
      <c r="K174" s="41"/>
      <c r="L174" s="42" t="s">
        <v>402</v>
      </c>
      <c r="M174" s="42"/>
      <c r="N174" s="43" t="s">
        <v>401</v>
      </c>
    </row>
    <row r="175" spans="1:14" ht="15" customHeight="1">
      <c r="A175" s="121" t="s">
        <v>320</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39</v>
      </c>
      <c r="M175" s="42"/>
      <c r="N175" s="43" t="s">
        <v>39</v>
      </c>
    </row>
    <row r="176" spans="1:14" ht="15" customHeight="1">
      <c r="A176" s="121" t="s">
        <v>321</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322</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323</v>
      </c>
      <c r="N177" s="43" t="s">
        <v>81</v>
      </c>
    </row>
    <row r="178" spans="1:14" ht="15" customHeight="1">
      <c r="A178" s="121" t="s">
        <v>324</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325</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326</v>
      </c>
      <c r="B180" s="125"/>
      <c r="C180" s="36">
        <v>5800</v>
      </c>
      <c r="D180" s="36">
        <v>7000</v>
      </c>
      <c r="E180" s="37"/>
      <c r="F180" s="115">
        <f t="shared" si="30"/>
        <v>0</v>
      </c>
      <c r="G180" s="38">
        <f t="shared" si="31"/>
        <v>11.6</v>
      </c>
      <c r="H180" s="38">
        <f t="shared" si="27"/>
        <v>11.666666666666666</v>
      </c>
      <c r="I180" s="39">
        <f t="shared" si="32"/>
        <v>0</v>
      </c>
      <c r="J180" s="40">
        <v>11.7</v>
      </c>
      <c r="K180" s="41"/>
      <c r="L180" s="42" t="s">
        <v>270</v>
      </c>
      <c r="M180" s="42"/>
      <c r="N180" s="43"/>
    </row>
    <row r="181" spans="1:14" ht="15" customHeight="1">
      <c r="A181" s="121" t="s">
        <v>327</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328</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39</v>
      </c>
      <c r="M182" s="54"/>
      <c r="N182" s="62" t="s">
        <v>186</v>
      </c>
    </row>
    <row r="183" spans="1:14" ht="15" customHeight="1">
      <c r="A183" s="134" t="s">
        <v>329</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39</v>
      </c>
      <c r="M183" s="34" t="s">
        <v>59</v>
      </c>
      <c r="N183" s="35" t="s">
        <v>41</v>
      </c>
    </row>
    <row r="184" spans="1:14" ht="15" customHeight="1">
      <c r="A184" s="144" t="s">
        <v>330</v>
      </c>
      <c r="B184" s="125"/>
      <c r="C184" s="36">
        <v>5500</v>
      </c>
      <c r="D184" s="36"/>
      <c r="E184" s="37"/>
      <c r="F184" s="115"/>
      <c r="G184" s="38">
        <f t="shared" si="31"/>
        <v>11</v>
      </c>
      <c r="H184" s="38"/>
      <c r="I184" s="39"/>
      <c r="J184" s="40">
        <v>11</v>
      </c>
      <c r="K184" s="139"/>
      <c r="L184" s="42" t="s">
        <v>331</v>
      </c>
      <c r="M184" s="135"/>
      <c r="N184" s="145"/>
    </row>
    <row r="185" spans="1:14" ht="15" customHeight="1" thickBot="1">
      <c r="A185" s="122" t="s">
        <v>332</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102</v>
      </c>
      <c r="M185" s="54" t="s">
        <v>333</v>
      </c>
      <c r="N185" s="62"/>
    </row>
    <row r="186" spans="1:14" ht="15" customHeight="1">
      <c r="A186" s="132" t="s">
        <v>334</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335</v>
      </c>
      <c r="M186" s="34" t="s">
        <v>336</v>
      </c>
      <c r="N186" s="35" t="s">
        <v>337</v>
      </c>
    </row>
    <row r="187" spans="1:14" ht="15" customHeight="1">
      <c r="A187" s="121" t="s">
        <v>338</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339</v>
      </c>
      <c r="M187" s="42"/>
      <c r="N187" s="43" t="s">
        <v>81</v>
      </c>
    </row>
    <row r="188" spans="1:14" ht="15" customHeight="1">
      <c r="A188" s="121" t="s">
        <v>340</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341</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342</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70</v>
      </c>
      <c r="M190" s="53"/>
      <c r="N190" s="62" t="s">
        <v>47</v>
      </c>
    </row>
    <row r="191" spans="1:14" ht="15" customHeight="1">
      <c r="A191" s="134" t="s">
        <v>343</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47</v>
      </c>
      <c r="M191" s="33"/>
      <c r="N191" s="35"/>
    </row>
    <row r="192" spans="1:14" ht="15" customHeight="1">
      <c r="A192" s="120" t="s">
        <v>344</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345</v>
      </c>
      <c r="N192" s="43" t="s">
        <v>396</v>
      </c>
    </row>
    <row r="193" spans="1:14" ht="15" customHeight="1">
      <c r="A193" s="120" t="s">
        <v>346</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39</v>
      </c>
      <c r="M193" s="47" t="s">
        <v>347</v>
      </c>
      <c r="N193" s="43" t="s">
        <v>39</v>
      </c>
    </row>
    <row r="194" spans="1:14" ht="15" customHeight="1">
      <c r="A194" s="120" t="s">
        <v>348</v>
      </c>
      <c r="B194" s="125"/>
      <c r="C194" s="36"/>
      <c r="D194" s="36"/>
      <c r="E194" s="37">
        <v>39000</v>
      </c>
      <c r="F194" s="115">
        <f t="shared" si="33"/>
        <v>0</v>
      </c>
      <c r="G194" s="38">
        <f t="shared" si="36"/>
        <v>0</v>
      </c>
      <c r="H194" s="38">
        <f>D194/600</f>
        <v>0</v>
      </c>
      <c r="I194" s="39">
        <f>E194/1000</f>
        <v>39</v>
      </c>
      <c r="J194" s="40">
        <v>39</v>
      </c>
      <c r="K194" s="41"/>
      <c r="L194" s="42"/>
      <c r="M194" s="42"/>
      <c r="N194" s="43" t="s">
        <v>349</v>
      </c>
    </row>
    <row r="195" spans="1:14" ht="15" customHeight="1">
      <c r="A195" s="120" t="s">
        <v>350</v>
      </c>
      <c r="B195" s="125"/>
      <c r="C195" s="36">
        <v>12000</v>
      </c>
      <c r="D195" s="36">
        <v>6000</v>
      </c>
      <c r="E195" s="37"/>
      <c r="F195" s="115">
        <f t="shared" si="33"/>
        <v>0</v>
      </c>
      <c r="G195" s="38">
        <f t="shared" si="36"/>
        <v>24</v>
      </c>
      <c r="H195" s="38">
        <f>D195/600</f>
        <v>10</v>
      </c>
      <c r="I195" s="39">
        <f t="shared" ref="I195:I205" si="37">E195/600</f>
        <v>0</v>
      </c>
      <c r="J195" s="40">
        <v>24</v>
      </c>
      <c r="K195" s="41"/>
      <c r="L195" s="42" t="s">
        <v>351</v>
      </c>
      <c r="M195" s="42" t="s">
        <v>250</v>
      </c>
      <c r="N195" s="43"/>
    </row>
    <row r="196" spans="1:14" ht="15" customHeight="1">
      <c r="A196" s="120" t="s">
        <v>352</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353</v>
      </c>
      <c r="B197" s="125"/>
      <c r="C197" s="36">
        <v>9600</v>
      </c>
      <c r="D197" s="36"/>
      <c r="E197" s="37">
        <v>11900</v>
      </c>
      <c r="F197" s="115">
        <f t="shared" si="33"/>
        <v>0</v>
      </c>
      <c r="G197" s="38">
        <f t="shared" si="36"/>
        <v>19.2</v>
      </c>
      <c r="H197" s="38">
        <f>D197/600</f>
        <v>0</v>
      </c>
      <c r="I197" s="39">
        <f t="shared" si="37"/>
        <v>19.833333333333332</v>
      </c>
      <c r="J197" s="40">
        <v>19.8</v>
      </c>
      <c r="K197" s="41"/>
      <c r="L197" s="42" t="s">
        <v>293</v>
      </c>
      <c r="M197" s="42"/>
      <c r="N197" s="43" t="s">
        <v>393</v>
      </c>
    </row>
    <row r="198" spans="1:14" ht="15" customHeight="1">
      <c r="A198" s="120" t="s">
        <v>354</v>
      </c>
      <c r="B198" s="125"/>
      <c r="C198" s="36">
        <v>20500</v>
      </c>
      <c r="D198" s="36">
        <v>30000</v>
      </c>
      <c r="E198" s="37">
        <v>26500</v>
      </c>
      <c r="F198" s="115">
        <f t="shared" si="33"/>
        <v>0</v>
      </c>
      <c r="G198" s="38">
        <f t="shared" si="36"/>
        <v>41</v>
      </c>
      <c r="H198" s="38">
        <f>D198/600</f>
        <v>50</v>
      </c>
      <c r="I198" s="39">
        <f t="shared" si="37"/>
        <v>44.166666666666664</v>
      </c>
      <c r="J198" s="40">
        <v>44.2</v>
      </c>
      <c r="K198" s="41"/>
      <c r="L198" s="42" t="s">
        <v>355</v>
      </c>
      <c r="M198" s="47" t="s">
        <v>356</v>
      </c>
      <c r="N198" s="43" t="s">
        <v>62</v>
      </c>
    </row>
    <row r="199" spans="1:14" ht="15" customHeight="1">
      <c r="A199" s="120" t="s">
        <v>357</v>
      </c>
      <c r="B199" s="125"/>
      <c r="C199" s="36"/>
      <c r="D199" s="36">
        <v>8500</v>
      </c>
      <c r="E199" s="37"/>
      <c r="F199" s="115">
        <f t="shared" si="33"/>
        <v>0</v>
      </c>
      <c r="G199" s="38">
        <f t="shared" si="36"/>
        <v>0</v>
      </c>
      <c r="H199" s="38">
        <f>D199/1000</f>
        <v>8.5</v>
      </c>
      <c r="I199" s="39">
        <f t="shared" si="37"/>
        <v>0</v>
      </c>
      <c r="K199" s="41"/>
      <c r="L199" s="42"/>
      <c r="M199" s="47" t="s">
        <v>358</v>
      </c>
      <c r="N199" s="43"/>
    </row>
    <row r="200" spans="1:14" ht="15" customHeight="1">
      <c r="A200" s="120" t="s">
        <v>359</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360</v>
      </c>
    </row>
    <row r="201" spans="1:14" ht="15" customHeight="1">
      <c r="A201" s="120" t="s">
        <v>361</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362</v>
      </c>
      <c r="M201" s="47" t="s">
        <v>363</v>
      </c>
      <c r="N201" s="43" t="s">
        <v>364</v>
      </c>
    </row>
    <row r="202" spans="1:14" ht="15" customHeight="1">
      <c r="A202" s="120" t="s">
        <v>365</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366</v>
      </c>
      <c r="M202" s="58" t="s">
        <v>367</v>
      </c>
      <c r="N202" s="43" t="s">
        <v>368</v>
      </c>
    </row>
    <row r="203" spans="1:14" ht="15" customHeight="1">
      <c r="A203" s="120" t="s">
        <v>369</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370</v>
      </c>
      <c r="N203" s="43" t="s">
        <v>371</v>
      </c>
    </row>
    <row r="204" spans="1:14" ht="15" customHeight="1">
      <c r="A204" s="120" t="s">
        <v>372</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373</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374</v>
      </c>
      <c r="M205" s="54" t="s">
        <v>375</v>
      </c>
      <c r="N205" s="62" t="s">
        <v>376</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생간건비탕 (2)</vt:lpstr>
      <vt:lpstr>생간건비탕</vt:lpstr>
      <vt:lpstr>곽향정기산</vt:lpstr>
      <vt:lpstr>오약순기산가감</vt:lpstr>
      <vt:lpstr>청심보혈탕</vt:lpstr>
      <vt:lpstr>가미대보탕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2025-02-07T00:30:49Z</cp:lastPrinted>
  <dcterms:created xsi:type="dcterms:W3CDTF">2024-09-12T16:35:01Z</dcterms:created>
  <dcterms:modified xsi:type="dcterms:W3CDTF">2026-01-05T00:21:56Z</dcterms:modified>
</cp:coreProperties>
</file>