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76" documentId="8_{6EB8DC0A-AB56-415F-A9F3-EA1534264548}" xr6:coauthVersionLast="47" xr6:coauthVersionMax="47" xr10:uidLastSave="{E70E86F3-D132-446A-BB75-A9F03D33BC11}"/>
  <bookViews>
    <workbookView xWindow="-120" yWindow="-120" windowWidth="29040" windowHeight="15720" xr2:uid="{8B9F1886-173A-4475-B0CF-D9F36CE30773}"/>
  </bookViews>
  <sheets>
    <sheet name="241106 황련탕"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4" l="1"/>
  <c r="G10" i="4"/>
  <c r="I26" i="3"/>
  <c r="H26" i="3"/>
  <c r="G26" i="3"/>
  <c r="F26" i="3"/>
  <c r="G2" i="4"/>
  <c r="I174" i="3"/>
  <c r="G40" i="3"/>
  <c r="I63" i="3" l="1"/>
  <c r="G121" i="3"/>
  <c r="I121" i="3"/>
  <c r="H121" i="3"/>
  <c r="F121" i="3"/>
  <c r="F2" i="4"/>
  <c r="I52" i="3"/>
  <c r="H52" i="3"/>
  <c r="G52" i="3"/>
  <c r="F52" i="3"/>
  <c r="G3" i="4" l="1"/>
  <c r="G4" i="4"/>
  <c r="H4" i="4" s="1"/>
  <c r="G5" i="4"/>
  <c r="H5" i="4" s="1"/>
  <c r="G6" i="4"/>
  <c r="H6" i="4" s="1"/>
  <c r="G7" i="4"/>
  <c r="H7" i="4" s="1"/>
  <c r="G8" i="4"/>
  <c r="H8" i="4" s="1"/>
  <c r="H12" i="4"/>
  <c r="H13" i="4"/>
  <c r="H14" i="4"/>
  <c r="H15" i="4"/>
  <c r="H16" i="4"/>
  <c r="I18"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<sst xmlns="http://schemas.openxmlformats.org/spreadsheetml/2006/main" count="579" uniqueCount="419">
  <si>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</si>
  <si>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</si>
  <si>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</si>
  <si>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</si>
  <si>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</si>
  <si>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</si>
  <si>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</si>
  <si>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</si>
  <si>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</si>
  <si>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</si>
  <si>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</si>
  <si>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</si>
  <si>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</si>
  <si>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</si>
  <si>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</si>
  <si>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</si>
  <si>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</si>
  <si>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</si>
  <si>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</si>
  <si>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</si>
  <si>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</si>
  <si>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</si>
  <si>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</si>
  <si>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</si>
  <si>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</si>
  <si>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</si>
  <si>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</si>
  <si>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</si>
  <si>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</si>
  <si>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</si>
  <si>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</si>
  <si>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</si>
  <si>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</si>
  <si>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</si>
  <si>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</si>
  <si>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</si>
  <si>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</si>
  <si>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</si>
  <si>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</si>
  <si>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</si>
  <si>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</si>
  <si>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</si>
  <si>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</si>
  <si>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</si>
  <si>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</si>
  <si>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</si>
  <si>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</si>
  <si>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</si>
  <si>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</si>
  <si>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</si>
  <si>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</si>
  <si>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</si>
  <si>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</si>
  <si>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</si>
  <si>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</si>
  <si>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</si>
  <si>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</si>
  <si>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</si>
  <si>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</si>
  <si>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</si>
  <si>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</si>
  <si>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</si>
  <si>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</si>
  <si>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</si>
  <si>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</si>
  <si>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</si>
  <si>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</si>
  <si>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</si>
  <si>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</si>
  <si>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</si>
  <si>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</si>
  <si>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</si>
  <si>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</si>
  <si>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</si>
  <si>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</si>
  <si>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</si>
  <si>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</si>
  <si>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</si>
  <si>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</si>
  <si>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</si>
  <si>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</si>
  <si>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</si>
  <si>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</si>
  <si>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</si>
  <si>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</si>
  <si>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</si>
  <si>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</si>
  <si>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</si>
  <si>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</si>
  <si>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</si>
  <si>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</si>
  <si>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</si>
  <si>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</si>
  <si>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</si>
  <si>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</si>
  <si>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</si>
  <si>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</si>
  <si>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</si>
  <si>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</si>
  <si>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</si>
  <si>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</si>
  <si>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</si>
  <si>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</si>
  <si>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</si>
  <si>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</si>
  <si>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</si>
  <si>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</si>
  <si>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</si>
  <si>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</si>
  <si>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</si>
  <si>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</si>
  <si>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</si>
  <si>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</si>
  <si>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</si>
  <si>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</si>
  <si>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</si>
  <si>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</si>
  <si>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</si>
  <si>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</si>
  <si>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</si>
  <si>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</si>
  <si>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</si>
  <si>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</si>
  <si>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</si>
  <si>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</si>
  <si>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</si>
  <si>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</si>
  <si>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</si>
  <si>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</si>
  <si>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</si>
  <si>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</si>
  <si>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</si>
  <si>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</si>
  <si>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</si>
  <si>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</si>
  <si>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</si>
  <si>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</si>
  <si>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</si>
  <si>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</si>
  <si>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</si>
  <si>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</si>
  <si>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</si>
  <si>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</si>
  <si>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</si>
  <si>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</si>
  <si>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</si>
  <si>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</si>
  <si>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</si>
  <si>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</si>
  <si>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</si>
  <si>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</si>
  <si>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</si>
  <si>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</si>
  <si>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</si>
  <si>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</si>
  <si>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</si>
  <si>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</si>
  <si>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</si>
  <si>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</si>
  <si>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</si>
  <si>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</si>
  <si>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</si>
  <si>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</si>
  <si>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</si>
  <si>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</si>
  <si>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</si>
  <si>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</si>
  <si>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</si>
  <si>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</si>
  <si>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</si>
  <si>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</si>
  <si>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</si>
  <si>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</si>
  <si>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</si>
  <si>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</si>
  <si>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</si>
  <si>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</si>
  <si>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</si>
  <si>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</si>
  <si>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</si>
  <si>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</si>
  <si>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</si>
  <si>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</si>
  <si>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</si>
  <si>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</si>
  <si>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</si>
  <si>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</si>
  <si>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</si>
  <si>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</si>
  <si>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</si>
  <si>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</si>
  <si>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</si>
  <si>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</si>
  <si>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</si>
  <si>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</si>
  <si>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</si>
  <si>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</si>
  <si>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</si>
  <si>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</si>
  <si>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</si>
  <si>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</si>
  <si>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</si>
  <si>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</si>
  <si>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</si>
  <si>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</si>
  <si>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</si>
  <si>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</si>
  <si>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</si>
  <si>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</si>
  <si>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</si>
  <si>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</si>
  <si>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</si>
  <si>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</si>
  <si>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</si>
  <si>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</si>
  <si>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</si>
  <si>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</si>
  <si>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</si>
  <si>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</si>
  <si>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</si>
  <si>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</si>
  <si>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</si>
  <si>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</si>
  <si>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</si>
  <si>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</si>
  <si>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</si>
  <si>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</si>
  <si>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</si>
  <si>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</si>
  <si>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</si>
  <si>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</si>
  <si>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</si>
  <si>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</si>
  <si>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</si>
  <si>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</si>
  <si>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</si>
  <si>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</si>
  <si>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</si>
  <si>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</si>
  <si>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</si>
  <si>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</si>
  <si>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</si>
  <si>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</si>
  <si>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</si>
  <si>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</si>
  <si>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</si>
  <si>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</si>
  <si>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</si>
  <si>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</si>
  <si>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</si>
  <si>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</si>
  <si>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</si>
  <si>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</si>
  <si>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</si>
  <si>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</si>
  <si>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</si>
  <si>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</si>
  <si>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</si>
  <si>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</si>
  <si>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</si>
  <si>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</si>
  <si>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</si>
  <si>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</si>
  <si>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</si>
  <si>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</si>
  <si>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</si>
  <si>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</si>
  <si>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</si>
  <si>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</si>
  <si>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</si>
  <si>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</si>
  <si>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</si>
  <si>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</si>
  <si>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</si>
  <si>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</si>
  <si>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</si>
  <si>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</si>
  <si>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</si>
  <si>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</si>
  <si>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</si>
  <si>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</si>
  <si>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</si>
  <si>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</si>
  <si>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</si>
  <si>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</si>
  <si>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</si>
  <si>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</si>
  <si>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</si>
  <si>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</si>
  <si>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</si>
  <si>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</si>
  <si>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</si>
  <si>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</si>
  <si>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</si>
  <si>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</si>
  <si>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</si>
  <si>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</si>
  <si>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</si>
  <si>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</si>
  <si>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</si>
  <si>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</si>
  <si>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</si>
  <si>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</si>
  <si>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</si>
  <si>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</si>
  <si>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</si>
  <si>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</si>
  <si>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</si>
  <si>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</si>
  <si>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</si>
  <si>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</si>
  <si>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</si>
  <si>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</si>
  <si>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</si>
  <si>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</si>
  <si>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</si>
  <si>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</si>
  <si>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</si>
  <si>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</si>
  <si>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</si>
  <si>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</si>
  <si>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</si>
  <si>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</si>
  <si>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</si>
  <si>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</si>
  <si>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</si>
  <si>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</si>
  <si>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</si>
  <si>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</si>
  <si>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</si>
  <si>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</si>
  <si>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</si>
  <si>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</si>
  <si>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</si>
  <si>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</si>
  <si>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</si>
  <si>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</si>
  <si>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</si>
  <si>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</si>
  <si>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</si>
  <si>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</si>
  <si>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</si>
  <si>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</si>
  <si>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</si>
  <si>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</si>
  <si>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</si>
  <si>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</si>
  <si>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</si>
  <si>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</si>
  <si>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</si>
  <si>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</si>
  <si>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</si>
  <si>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</si>
  <si>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</si>
  <si>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</si>
  <si>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</si>
  <si>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</si>
  <si>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</si>
  <si>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</si>
  <si>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</si>
  <si>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</si>
  <si>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</si>
  <si>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</si>
  <si>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</si>
  <si>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</si>
  <si>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</si>
  <si>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</si>
  <si>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</si>
  <si>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</si>
  <si>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</si>
  <si>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</si>
  <si>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</si>
  <si>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</si>
  <si>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</si>
  <si>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</si>
  <si>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</si>
  <si>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</si>
  <si>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</si>
  <si>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</si>
  <si>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</si>
  <si>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</si>
  <si>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</si>
  <si>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</si>
  <si>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</si>
  <si>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</si>
  <si>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</si>
  <si>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</si>
  <si>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</si>
  <si>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</si>
  <si>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</si>
  <si>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</si>
  <si>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</si>
  <si>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</si>
  <si>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</si>
  <si>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</si>
  <si>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</si>
  <si>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</si>
  <si>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</si>
  <si>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</si>
  <si>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</si>
  <si>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</si>
  <si>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</si>
  <si>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</si>
  <si>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</si>
  <si>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</si>
  <si>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</si>
  <si>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</si>
  <si>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반하</t>
    <phoneticPr fontId="5" type="noConversion"/>
  </si>
  <si>
    <t>대추</t>
    <phoneticPr fontId="5" type="noConversion"/>
  </si>
  <si>
    <t>황련</t>
    <phoneticPr fontId="5" type="noConversion"/>
  </si>
  <si>
    <t>인삼</t>
    <phoneticPr fontId="5" type="noConversion"/>
  </si>
  <si>
    <t>생강</t>
    <phoneticPr fontId="5" type="noConversion"/>
  </si>
  <si>
    <t>감초</t>
    <phoneticPr fontId="5" type="noConversion"/>
  </si>
  <si>
    <t>황련탕</t>
    <phoneticPr fontId="5" type="noConversion"/>
  </si>
  <si>
    <t>윤재희</t>
    <phoneticPr fontId="5" type="noConversion"/>
  </si>
  <si>
    <t>F</t>
    <phoneticPr fontId="5" type="noConversion"/>
  </si>
  <si>
    <t>우슬</t>
    <phoneticPr fontId="5" type="noConversion"/>
  </si>
  <si>
    <t>구기자</t>
    <phoneticPr fontId="5" type="noConversion"/>
  </si>
  <si>
    <t>육계</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</si>
</sst>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C8" sqref="C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407</v>
      </c>
      <c r="D2" s="4"/>
      <c r="E2" s="88">
        <v>12</v>
      </c>
      <c r="F2" s="101">
        <f>E2*$L$15</f>
        <v>240</v>
      </c>
      <c r="G2">
        <f>VLOOKUP($C2,약재관리!A:J,10,FALSE)</f>
        <v>47</v>
      </c>
      <c r="H2" s="5">
        <f>G2*E2</f>
        <v>564</v>
      </c>
      <c r="I2" s="90">
        <f>G2*F2</f>
        <v>11280</v>
      </c>
      <c r="K2" s="7" t="s">
        <v>9</v>
      </c>
      <c r="L2" s="151">
        <v>40</v>
      </c>
      <c r="M2" s="152"/>
    </row>
    <row r="3" spans="2:13">
      <c r="B3" s="3">
        <v>2</v>
      </c>
      <c r="C3" t="s">
        <v>408</v>
      </c>
      <c r="D3" s="4"/>
      <c r="E3" s="88">
        <v>8</v>
      </c>
      <c r="F3" s="101">
        <f t="shared" ref="F3:F31" si="0">E3*$L$15</f>
        <v>160</v>
      </c>
      <c r="G3">
        <f>VLOOKUP($C3,약재관리!A:J,10,FALSE)</f>
        <v>20.8</v>
      </c>
      <c r="H3" s="5">
        <f t="shared" ref="H3:H31" si="1">G3*E3</f>
        <v>166.4</v>
      </c>
      <c r="I3" s="6">
        <f t="shared" ref="I3:I31" si="2">G3*F3</f>
        <v>3328</v>
      </c>
      <c r="K3" s="8" t="s">
        <v>10</v>
      </c>
      <c r="L3" s="146" t="s">
        <v>413</v>
      </c>
      <c r="M3" s="147"/>
    </row>
    <row r="4" spans="2:13">
      <c r="B4" s="3">
        <v>3</v>
      </c>
      <c r="C4" t="s">
        <v>409</v>
      </c>
      <c r="D4" s="4"/>
      <c r="E4" s="88">
        <v>6</v>
      </c>
      <c r="F4" s="101">
        <f t="shared" si="0"/>
        <v>120</v>
      </c>
      <c r="G4">
        <f>VLOOKUP($C4,약재관리!A:J,10,FALSE)</f>
        <v>136.69999999999999</v>
      </c>
      <c r="H4" s="5">
        <f t="shared" si="1"/>
        <v>820.19999999999993</v>
      </c>
      <c r="I4" s="6">
        <f t="shared" si="2"/>
        <v>16404</v>
      </c>
      <c r="K4" s="8" t="s">
        <v>11</v>
      </c>
      <c r="L4" s="153">
        <v>45602</v>
      </c>
      <c r="M4" s="147"/>
    </row>
    <row r="5" spans="2:13">
      <c r="B5" s="3">
        <v>4</v>
      </c>
      <c r="C5" t="s">
        <v>410</v>
      </c>
      <c r="D5" s="4"/>
      <c r="E5" s="88">
        <v>6</v>
      </c>
      <c r="F5" s="101">
        <f t="shared" si="0"/>
        <v>120</v>
      </c>
      <c r="G5">
        <f>VLOOKUP($C5,약재관리!A:J,10,FALSE)</f>
        <v>90</v>
      </c>
      <c r="H5" s="5">
        <f t="shared" si="1"/>
        <v>540</v>
      </c>
      <c r="I5" s="6">
        <f t="shared" si="2"/>
        <v>10800</v>
      </c>
      <c r="K5" s="8" t="s">
        <v>12</v>
      </c>
      <c r="L5" s="146" t="s">
        <v>414</v>
      </c>
      <c r="M5" s="147"/>
    </row>
    <row r="6" spans="2:13">
      <c r="B6" s="3">
        <v>5</v>
      </c>
      <c r="C6" t="s">
        <v>411</v>
      </c>
      <c r="D6" s="4"/>
      <c r="E6" s="88">
        <v>6</v>
      </c>
      <c r="F6" s="101">
        <f t="shared" si="0"/>
        <v>120</v>
      </c>
      <c r="G6">
        <f>VLOOKUP($C6,약재관리!A:J,10,FALSE)</f>
        <v>15</v>
      </c>
      <c r="H6" s="5">
        <f t="shared" si="1"/>
        <v>90</v>
      </c>
      <c r="I6" s="6">
        <f t="shared" si="2"/>
        <v>1800</v>
      </c>
      <c r="K6" s="8" t="s">
        <v>13</v>
      </c>
      <c r="L6" s="146">
        <v>58</v>
      </c>
      <c r="M6" s="147"/>
    </row>
    <row r="7" spans="2:13" ht="17.25" thickBot="1">
      <c r="B7" s="3">
        <v>6</v>
      </c>
      <c r="C7" t="s">
        <v>418</v>
      </c>
      <c r="D7" s="4"/>
      <c r="E7" s="88">
        <v>6</v>
      </c>
      <c r="F7" s="101">
        <f t="shared" si="0"/>
        <v>120</v>
      </c>
      <c r="G7">
        <f>VLOOKUP($C7,약재관리!A:J,10,FALSE)</f>
        <v>14.8</v>
      </c>
      <c r="H7" s="5">
        <f t="shared" si="1"/>
        <v>88.800000000000011</v>
      </c>
      <c r="I7" s="6">
        <f t="shared" si="2"/>
        <v>1776</v>
      </c>
      <c r="K7" s="8" t="s">
        <v>14</v>
      </c>
      <c r="L7" s="154" t="s">
        <v>415</v>
      </c>
      <c r="M7" s="155"/>
    </row>
    <row r="8" spans="2:13" ht="17.25" thickBot="1">
      <c r="B8" s="3">
        <v>7</v>
      </c>
      <c r="C8" t="s">
        <v>412</v>
      </c>
      <c r="D8" s="4"/>
      <c r="E8" s="88">
        <v>6</v>
      </c>
      <c r="F8" s="101">
        <f t="shared" si="0"/>
        <v>120</v>
      </c>
      <c r="G8">
        <f>VLOOKUP($C8,약재관리!A:J,10,FALSE)</f>
        <v>28.3</v>
      </c>
      <c r="H8" s="5">
        <f t="shared" si="1"/>
        <v>169.8</v>
      </c>
      <c r="I8" s="6">
        <f t="shared" si="2"/>
        <v>3396</v>
      </c>
      <c r="K8" s="148" t="s">
        <v>15</v>
      </c>
      <c r="L8" s="149"/>
      <c r="M8" s="150"/>
    </row>
    <row r="9" spans="2:13">
      <c r="B9" s="3">
        <v>8</v>
      </c>
      <c r="C9" t="s">
        <v>416</v>
      </c>
      <c r="D9" s="4"/>
      <c r="E9" s="88">
        <v>4</v>
      </c>
      <c r="F9" s="101">
        <f t="shared" si="0"/>
        <v>80</v>
      </c>
      <c r="G9">
        <f>VLOOKUP($C9,약재관리!A:J,10,FALSE)</f>
        <v>17.7</v>
      </c>
      <c r="H9" s="5">
        <f t="shared" si="1"/>
        <v>70.8</v>
      </c>
      <c r="I9" s="6">
        <f t="shared" si="2"/>
        <v>1416</v>
      </c>
      <c r="K9" s="156"/>
      <c r="L9" s="157"/>
      <c r="M9" s="158"/>
    </row>
    <row r="10" spans="2:13">
      <c r="B10" s="3">
        <v>9</v>
      </c>
      <c r="C10" t="s">
        <v>417</v>
      </c>
      <c r="D10" s="4"/>
      <c r="E10" s="88">
        <v>4</v>
      </c>
      <c r="F10" s="101">
        <f t="shared" si="0"/>
        <v>80</v>
      </c>
      <c r="G10">
        <f>VLOOKUP($C10,약재관리!A:J,10,FALSE)</f>
        <v>13.3</v>
      </c>
      <c r="H10" s="5">
        <f t="shared" si="1"/>
        <v>53.2</v>
      </c>
      <c r="I10" s="6">
        <f t="shared" si="2"/>
        <v>1064</v>
      </c>
      <c r="K10" s="159"/>
      <c r="L10" s="160"/>
      <c r="M10" s="161"/>
    </row>
    <row r="11" spans="2:13">
      <c r="B11" s="3">
        <v>10</v>
      </c>
      <c r="D11" s="4"/>
      <c r="F11" s="101">
        <f t="shared" si="0"/>
        <v>0</v>
      </c>
      <c r="H11" s="5">
        <f t="shared" si="1"/>
        <v>0</v>
      </c>
      <c r="I11" s="6">
        <f t="shared" si="2"/>
        <v>0</v>
      </c>
      <c r="K11" s="159"/>
      <c r="L11" s="160"/>
      <c r="M11" s="161"/>
    </row>
    <row r="12" spans="2:13">
      <c r="B12" s="3">
        <v>11</v>
      </c>
      <c r="D12" s="4"/>
      <c r="F12" s="101">
        <f t="shared" si="0"/>
        <v>0</v>
      </c>
      <c r="H12" s="5">
        <f t="shared" si="1"/>
        <v>0</v>
      </c>
      <c r="I12" s="6">
        <f t="shared" si="2"/>
        <v>0</v>
      </c>
      <c r="K12" s="159"/>
      <c r="L12" s="160"/>
      <c r="M12" s="161"/>
    </row>
    <row r="13" spans="2:13" ht="17.25" thickBot="1">
      <c r="B13" s="3">
        <v>12</v>
      </c>
      <c r="D13" s="4"/>
      <c r="F13" s="101">
        <f t="shared" si="0"/>
        <v>0</v>
      </c>
      <c r="H13" s="5">
        <f t="shared" si="1"/>
        <v>0</v>
      </c>
      <c r="I13" s="6">
        <f t="shared" si="2"/>
        <v>0</v>
      </c>
      <c r="K13" s="162"/>
      <c r="L13" s="163"/>
      <c r="M13" s="164"/>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58</v>
      </c>
      <c r="M18" s="10" t="s">
        <v>25</v>
      </c>
    </row>
    <row r="19" spans="2:13">
      <c r="B19" s="3">
        <v>18</v>
      </c>
      <c r="D19" s="4"/>
      <c r="F19" s="101">
        <f t="shared" si="0"/>
        <v>0</v>
      </c>
      <c r="H19" s="5">
        <f t="shared" si="1"/>
        <v>0</v>
      </c>
      <c r="I19" s="6">
        <f t="shared" si="2"/>
        <v>0</v>
      </c>
      <c r="K19" s="91" t="s">
        <v>26</v>
      </c>
      <c r="L19">
        <f>L15*L18</f>
        <v>1160</v>
      </c>
      <c r="M19" s="4" t="s">
        <v>25</v>
      </c>
    </row>
    <row r="20" spans="2:13" ht="17.25" thickBot="1">
      <c r="B20" s="3">
        <v>19</v>
      </c>
      <c r="D20" s="4"/>
      <c r="F20" s="101">
        <f t="shared" si="0"/>
        <v>0</v>
      </c>
      <c r="H20" s="5">
        <f t="shared" si="1"/>
        <v>0</v>
      </c>
      <c r="I20" s="6">
        <f t="shared" si="2"/>
        <v>0</v>
      </c>
      <c r="K20" s="14" t="s">
        <v>27</v>
      </c>
      <c r="L20" s="11">
        <f>L16*L17+L19</f>
        <v>5660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388</v>
      </c>
      <c r="L22" s="149"/>
      <c r="M22" s="150"/>
    </row>
    <row r="23" spans="2:13">
      <c r="B23" s="3">
        <v>22</v>
      </c>
      <c r="D23" s="4"/>
      <c r="F23" s="101">
        <f t="shared" si="0"/>
        <v>0</v>
      </c>
      <c r="H23" s="5">
        <f t="shared" si="1"/>
        <v>0</v>
      </c>
      <c r="I23" s="6">
        <f t="shared" si="2"/>
        <v>0</v>
      </c>
      <c r="K23" s="91" t="s">
        <v>382</v>
      </c>
      <c r="L23">
        <f>SUM(F2:F31)</f>
        <v>1160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2563.2000000000003</v>
      </c>
      <c r="M30" s="4" t="s">
        <v>386</v>
      </c>
    </row>
    <row r="31" spans="2:13" ht="17.25" thickBot="1">
      <c r="B31" s="13">
        <v>30</v>
      </c>
      <c r="C31" s="14"/>
      <c r="D31" s="12"/>
      <c r="E31" s="95"/>
      <c r="F31" s="102">
        <f t="shared" si="0"/>
        <v>0</v>
      </c>
      <c r="G31" s="14"/>
      <c r="H31" s="15">
        <f t="shared" si="1"/>
        <v>0</v>
      </c>
      <c r="I31" s="16">
        <f t="shared" si="2"/>
        <v>0</v>
      </c>
      <c r="K31" s="14" t="s">
        <v>385</v>
      </c>
      <c r="L31" s="15">
        <f>SUM(I2:I31)</f>
        <v>51264</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82" zoomScaleNormal="100" workbookViewId="0">
      <selection sqref="A1:N205"/>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45600</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22000</v>
      </c>
      <c r="D31" s="36"/>
      <c r="E31" s="37">
        <v>30800</v>
      </c>
      <c r="F31" s="115">
        <f t="shared" si="3"/>
        <v>0</v>
      </c>
      <c r="G31" s="38">
        <f>C31/500</f>
        <v>44</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12000</v>
      </c>
      <c r="D38" s="36">
        <v>15000</v>
      </c>
      <c r="E38" s="37">
        <v>15000</v>
      </c>
      <c r="F38" s="115">
        <f t="shared" ref="F38:F69" si="8">B38/500</f>
        <v>29.8</v>
      </c>
      <c r="G38" s="38">
        <f>C38/500</f>
        <v>24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34500</v>
      </c>
      <c r="D54" s="36">
        <v>39000</v>
      </c>
      <c r="E54" s="37">
        <v>26600</v>
      </c>
      <c r="F54" s="115">
        <f t="shared" si="8"/>
        <v>0</v>
      </c>
      <c r="G54" s="38">
        <f>C54/500</f>
        <v>69</v>
      </c>
      <c r="H54" s="38">
        <f t="shared" si="10"/>
        <v>65</v>
      </c>
      <c r="I54" s="48">
        <f t="shared" si="10"/>
        <v>44.333333333333336</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15000</v>
      </c>
      <c r="E76" s="37">
        <v>16300</v>
      </c>
      <c r="F76" s="115">
        <f t="shared" si="15"/>
        <v>33.799999999999997</v>
      </c>
      <c r="G76" s="38">
        <f t="shared" si="12"/>
        <v>26.4</v>
      </c>
      <c r="H76" s="44">
        <f t="shared" si="13"/>
        <v>25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11000</v>
      </c>
      <c r="D89" s="36">
        <v>15000</v>
      </c>
      <c r="E89" s="37">
        <v>13100</v>
      </c>
      <c r="F89" s="115">
        <f t="shared" si="15"/>
        <v>0</v>
      </c>
      <c r="G89" s="38">
        <f t="shared" si="16"/>
        <v>22</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9000</v>
      </c>
      <c r="D98" s="36">
        <v>9000</v>
      </c>
      <c r="E98" s="37"/>
      <c r="F98" s="115">
        <f t="shared" si="15"/>
        <v>15</v>
      </c>
      <c r="G98" s="44">
        <f t="shared" si="16"/>
        <v>18</v>
      </c>
      <c r="H98" s="38">
        <f t="shared" si="13"/>
        <v>15</v>
      </c>
      <c r="I98" s="39">
        <f t="shared" si="14"/>
        <v>0</v>
      </c>
      <c r="J98" s="40">
        <v>15</v>
      </c>
      <c r="K98" s="67"/>
      <c r="L98" s="68" t="s">
        <v>152</v>
      </c>
      <c r="M98" s="47" t="s">
        <v>270</v>
      </c>
      <c r="N98" s="43"/>
    </row>
    <row r="99" spans="1:14" ht="15.75" customHeight="1">
      <c r="A99" s="119" t="s">
        <v>212</v>
      </c>
      <c r="B99" s="125">
        <v>10300</v>
      </c>
      <c r="C99" s="36">
        <v>8700</v>
      </c>
      <c r="D99" s="36">
        <v>9000</v>
      </c>
      <c r="E99" s="37"/>
      <c r="F99" s="115">
        <f t="shared" si="15"/>
        <v>20.6</v>
      </c>
      <c r="G99" s="44">
        <f t="shared" si="16"/>
        <v>17.399999999999999</v>
      </c>
      <c r="H99" s="38">
        <f t="shared" si="13"/>
        <v>15</v>
      </c>
      <c r="I99" s="39">
        <f t="shared" si="14"/>
        <v>0</v>
      </c>
      <c r="J99" s="40">
        <v>17.399999999999999</v>
      </c>
      <c r="K99" s="67"/>
      <c r="L99" s="57" t="s">
        <v>152</v>
      </c>
      <c r="M99" s="47"/>
      <c r="N99" s="43"/>
    </row>
    <row r="100" spans="1:14" ht="15.75" customHeight="1">
      <c r="A100" s="119" t="s">
        <v>213</v>
      </c>
      <c r="B100" s="125"/>
      <c r="C100" s="36">
        <v>5500</v>
      </c>
      <c r="D100" s="36"/>
      <c r="E100" s="37">
        <v>3000</v>
      </c>
      <c r="F100" s="115">
        <f t="shared" si="15"/>
        <v>0</v>
      </c>
      <c r="G100" s="44">
        <f>C100/1000</f>
        <v>5.5</v>
      </c>
      <c r="H100" s="38">
        <f t="shared" ref="H100:H108" si="17">D100/600</f>
        <v>0</v>
      </c>
      <c r="I100" s="39">
        <f>E100/1000</f>
        <v>3</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8">C101/500</f>
        <v>0</v>
      </c>
      <c r="H101" s="38">
        <f t="shared" si="17"/>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8"/>
        <v>27.6</v>
      </c>
      <c r="H102" s="38">
        <f t="shared" si="17"/>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8"/>
        <v>30</v>
      </c>
      <c r="H103" s="38">
        <f t="shared" si="17"/>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8"/>
        <v>117</v>
      </c>
      <c r="H104" s="38">
        <f t="shared" si="17"/>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8"/>
        <v>6.2</v>
      </c>
      <c r="H105" s="38">
        <f t="shared" si="17"/>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8"/>
        <v>11.4</v>
      </c>
      <c r="H106" s="38">
        <f t="shared" si="17"/>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8"/>
        <v>11.6</v>
      </c>
      <c r="H107" s="38">
        <f t="shared" si="17"/>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8"/>
        <v>11.4</v>
      </c>
      <c r="H108" s="38">
        <f t="shared" si="17"/>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9200</v>
      </c>
      <c r="F112" s="115">
        <f t="shared" si="20"/>
        <v>59.8</v>
      </c>
      <c r="G112" s="38">
        <f>C112/500</f>
        <v>15.6</v>
      </c>
      <c r="H112" s="38">
        <f t="shared" si="21"/>
        <v>16.666666666666668</v>
      </c>
      <c r="I112" s="39">
        <f t="shared" si="21"/>
        <v>15.333333333333334</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42700</v>
      </c>
      <c r="F117" s="115">
        <f t="shared" si="20"/>
        <v>0</v>
      </c>
      <c r="G117" s="44">
        <f t="shared" si="23"/>
        <v>28</v>
      </c>
      <c r="H117" s="38">
        <f t="shared" si="22"/>
        <v>63.333333333333336</v>
      </c>
      <c r="I117" s="39">
        <f t="shared" si="24"/>
        <v>71.166666666666671</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11500</v>
      </c>
      <c r="D130" s="36">
        <v>11500</v>
      </c>
      <c r="E130" s="37">
        <v>11100</v>
      </c>
      <c r="F130" s="115">
        <f t="shared" si="20"/>
        <v>0</v>
      </c>
      <c r="G130" s="38">
        <f>C130/600</f>
        <v>19.166666666666668</v>
      </c>
      <c r="H130" s="38">
        <f t="shared" si="25"/>
        <v>19.166666666666668</v>
      </c>
      <c r="I130" s="39">
        <f t="shared" si="24"/>
        <v>18.5</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54000</v>
      </c>
      <c r="D141" s="36">
        <v>30000</v>
      </c>
      <c r="E141" s="37"/>
      <c r="F141" s="115">
        <f t="shared" si="26"/>
        <v>0</v>
      </c>
      <c r="G141" s="44">
        <f>C141/600</f>
        <v>90</v>
      </c>
      <c r="H141" s="38">
        <f>D141/300</f>
        <v>100</v>
      </c>
      <c r="I141" s="39">
        <f t="shared" si="24"/>
        <v>0</v>
      </c>
      <c r="J141" s="40">
        <v>90</v>
      </c>
      <c r="K141" s="69"/>
      <c r="L141" s="57" t="s">
        <v>275</v>
      </c>
      <c r="M141" s="71" t="s">
        <v>276</v>
      </c>
      <c r="N141" s="70"/>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6300</v>
      </c>
      <c r="F162" s="115">
        <f t="shared" si="26"/>
        <v>17.600000000000001</v>
      </c>
      <c r="G162" s="38">
        <f t="shared" si="29"/>
        <v>10.199999999999999</v>
      </c>
      <c r="H162" s="38">
        <f t="shared" si="27"/>
        <v>9.6666666666666661</v>
      </c>
      <c r="I162" s="48">
        <f t="shared" si="28"/>
        <v>10.5</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12000</v>
      </c>
      <c r="D167" s="36"/>
      <c r="E167" s="37">
        <v>13400</v>
      </c>
      <c r="F167" s="115">
        <f t="shared" si="30"/>
        <v>0</v>
      </c>
      <c r="G167" s="72">
        <f t="shared" si="29"/>
        <v>24</v>
      </c>
      <c r="H167" s="38">
        <f t="shared" si="27"/>
        <v>0</v>
      </c>
      <c r="I167" s="48">
        <f t="shared" si="28"/>
        <v>22.333333333333332</v>
      </c>
      <c r="J167" s="40">
        <v>24</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14000</v>
      </c>
      <c r="E183" s="27">
        <v>14200</v>
      </c>
      <c r="F183" s="28">
        <f t="shared" si="30"/>
        <v>0</v>
      </c>
      <c r="G183" s="29">
        <f t="shared" si="31"/>
        <v>23.6</v>
      </c>
      <c r="H183" s="29">
        <f t="shared" si="27"/>
        <v>23.333333333333332</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c r="F195" s="115">
        <f t="shared" si="33"/>
        <v>0</v>
      </c>
      <c r="G195" s="38">
        <f t="shared" si="36"/>
        <v>24</v>
      </c>
      <c r="H195" s="38">
        <f>D195/600</f>
        <v>10</v>
      </c>
      <c r="I195" s="39">
        <f t="shared" ref="I195:I205" si="37">E195/600</f>
        <v>0</v>
      </c>
      <c r="J195" s="40">
        <v>24</v>
      </c>
      <c r="K195" s="41"/>
      <c r="L195" s="42" t="s">
        <v>354</v>
      </c>
      <c r="M195" s="42" t="s">
        <v>253</v>
      </c>
      <c r="N195" s="43"/>
    </row>
    <row r="196" spans="1:14" ht="15" customHeight="1">
      <c r="A196" s="120" t="s">
        <v>355</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20500</v>
      </c>
      <c r="D198" s="36">
        <v>30000</v>
      </c>
      <c r="E198" s="37">
        <v>26500</v>
      </c>
      <c r="F198" s="115">
        <f t="shared" si="33"/>
        <v>0</v>
      </c>
      <c r="G198" s="38">
        <f t="shared" si="36"/>
        <v>41</v>
      </c>
      <c r="H198" s="38">
        <f>D198/600</f>
        <v>50</v>
      </c>
      <c r="I198" s="39">
        <f t="shared" si="37"/>
        <v>44.166666666666664</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5300</v>
      </c>
      <c r="F205" s="73">
        <f t="shared" si="33"/>
        <v>0</v>
      </c>
      <c r="G205" s="51">
        <f t="shared" si="36"/>
        <v>9</v>
      </c>
      <c r="H205" s="51">
        <f t="shared" si="38"/>
        <v>7.5</v>
      </c>
      <c r="I205" s="74">
        <f t="shared" si="37"/>
        <v>8.8333333333333339</v>
      </c>
      <c r="J205" s="52">
        <v>8.8000000000000007</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241106 황련탕</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2024-11-07T00:42:48Z</dcterms:modified>
</cp:coreProperties>
</file>