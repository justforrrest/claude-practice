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22" documentId="8_{6EB8DC0A-AB56-415F-A9F3-EA1534264548}" xr6:coauthVersionLast="47" xr6:coauthVersionMax="47" xr10:uidLastSave="{EFFAAEAA-9DB7-4DB2-960A-53F81B73C014}"/>
  <bookViews>
    <workbookView xWindow="-120" yWindow="-120" windowWidth="29040" windowHeight="15720" xr2:uid="{8B9F1886-173A-4475-B0CF-D9F36CE30773}"/>
  </bookViews>
  <sheets>
    <sheet name="처방전양식 (2)" sheetId="6" r:id="rId1"/>
    <sheet name="처방전양식"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6" l="1"/>
  <c r="H13" i="6" s="1"/>
  <c r="G3" i="6"/>
  <c r="G4" i="6"/>
  <c r="I4" i="6" s="1"/>
  <c r="G5" i="6"/>
  <c r="I5" i="6" s="1"/>
  <c r="G6" i="6"/>
  <c r="G7" i="6"/>
  <c r="G8" i="6"/>
  <c r="G9" i="6"/>
  <c r="I9" i="6" s="1"/>
  <c r="G10" i="6"/>
  <c r="G11" i="6"/>
  <c r="G12" i="6"/>
  <c r="H12" i="6" s="1"/>
  <c r="H31" i="6"/>
  <c r="F31" i="6"/>
  <c r="I31" i="6" s="1"/>
  <c r="H30" i="6"/>
  <c r="F30" i="6"/>
  <c r="I30" i="6" s="1"/>
  <c r="H29" i="6"/>
  <c r="F29" i="6"/>
  <c r="I29" i="6" s="1"/>
  <c r="I28" i="6"/>
  <c r="H28" i="6"/>
  <c r="F28" i="6"/>
  <c r="H27" i="6"/>
  <c r="F27" i="6"/>
  <c r="I27" i="6" s="1"/>
  <c r="H26" i="6"/>
  <c r="F26" i="6"/>
  <c r="I26" i="6" s="1"/>
  <c r="H25" i="6"/>
  <c r="F25" i="6"/>
  <c r="I25" i="6" s="1"/>
  <c r="I24" i="6"/>
  <c r="H24" i="6"/>
  <c r="F24" i="6"/>
  <c r="H23" i="6"/>
  <c r="F23" i="6"/>
  <c r="I23" i="6" s="1"/>
  <c r="H22" i="6"/>
  <c r="F22" i="6"/>
  <c r="I22" i="6" s="1"/>
  <c r="H21" i="6"/>
  <c r="F21" i="6"/>
  <c r="I21" i="6" s="1"/>
  <c r="H20" i="6"/>
  <c r="F20" i="6"/>
  <c r="I20" i="6" s="1"/>
  <c r="H19" i="6"/>
  <c r="F19" i="6"/>
  <c r="I19" i="6" s="1"/>
  <c r="L18" i="6"/>
  <c r="L19" i="6" s="1"/>
  <c r="L20" i="6" s="1"/>
  <c r="H18" i="6"/>
  <c r="F18" i="6"/>
  <c r="I18" i="6" s="1"/>
  <c r="H17" i="6"/>
  <c r="F17" i="6"/>
  <c r="I17" i="6" s="1"/>
  <c r="I16" i="6"/>
  <c r="H16" i="6"/>
  <c r="F16" i="6"/>
  <c r="H15" i="6"/>
  <c r="F15" i="6"/>
  <c r="I15" i="6" s="1"/>
  <c r="H14" i="6"/>
  <c r="F14" i="6"/>
  <c r="I14" i="6" s="1"/>
  <c r="F13" i="6"/>
  <c r="F12" i="6"/>
  <c r="F11" i="6"/>
  <c r="I10" i="6"/>
  <c r="F10" i="6"/>
  <c r="F9" i="6"/>
  <c r="I8" i="6"/>
  <c r="F8" i="6"/>
  <c r="I7" i="6"/>
  <c r="F7" i="6"/>
  <c r="F6" i="6"/>
  <c r="F5" i="6"/>
  <c r="L4" i="6"/>
  <c r="F4" i="6"/>
  <c r="H3" i="6"/>
  <c r="F3" i="6"/>
  <c r="G2" i="6"/>
  <c r="H2" i="6" s="1"/>
  <c r="F2" i="6"/>
  <c r="L4" i="4"/>
  <c r="I126" i="5"/>
  <c r="G141" i="5"/>
  <c r="I144" i="5"/>
  <c r="H144" i="5"/>
  <c r="G144" i="5"/>
  <c r="F144" i="5"/>
  <c r="G170" i="5"/>
  <c r="G3" i="4"/>
  <c r="G4" i="4"/>
  <c r="G5" i="4"/>
  <c r="G6" i="4"/>
  <c r="G7" i="4"/>
  <c r="G8" i="4"/>
  <c r="G9" i="4"/>
  <c r="G10" i="4"/>
  <c r="G11"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3" i="6" l="1"/>
  <c r="I12" i="6"/>
  <c r="I11" i="6"/>
  <c r="I6" i="6"/>
  <c r="L23" i="6"/>
  <c r="H4" i="6"/>
  <c r="H7" i="6"/>
  <c r="H10" i="6"/>
  <c r="I2" i="6"/>
  <c r="H5" i="6"/>
  <c r="H8" i="6"/>
  <c r="H11" i="6"/>
  <c r="I3" i="6"/>
  <c r="H6" i="6"/>
  <c r="H9" i="6"/>
  <c r="F2" i="4"/>
  <c r="L30" i="6" l="1"/>
  <c r="L31" i="6"/>
  <c r="H4" i="4"/>
  <c r="H5" i="4"/>
  <c r="H6" i="4"/>
  <c r="H7" i="4"/>
  <c r="H8" i="4"/>
  <c r="H12" i="4"/>
  <c r="H13" i="4"/>
  <c r="H14" i="4"/>
  <c r="H15" i="4"/>
  <c r="H16" i="4"/>
  <c r="I18"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<sst xmlns="http://schemas.openxmlformats.org/spreadsheetml/2006/main" count="651" uniqueCount="433">
  <si>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</si>
  <si>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</si>
  <si>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</si>
  <si>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</si>
  <si>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</si>
  <si>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</si>
  <si>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</si>
  <si>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</si>
  <si>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</si>
  <si>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</si>
  <si>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</si>
  <si>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</si>
  <si>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</si>
  <si>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</si>
  <si>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</si>
  <si>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</si>
  <si>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</si>
  <si>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</si>
  <si>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</si>
  <si>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</si>
  <si>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</si>
  <si>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</si>
  <si>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</si>
  <si>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</si>
  <si>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</si>
  <si>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</si>
  <si>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</si>
  <si>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</si>
  <si>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</si>
  <si>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</si>
  <si>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</si>
  <si>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</si>
  <si>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</si>
  <si>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</si>
  <si>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</si>
  <si>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</si>
  <si>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</si>
  <si>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</si>
  <si>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</si>
  <si>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</si>
  <si>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</si>
  <si>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</si>
  <si>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</si>
  <si>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</si>
  <si>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</si>
  <si>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</si>
  <si>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</si>
  <si>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</si>
  <si>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</si>
  <si>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</si>
  <si>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</si>
  <si>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</si>
  <si>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</si>
  <si>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</si>
  <si>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</si>
  <si>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</si>
  <si>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</si>
  <si>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</si>
  <si>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</si>
  <si>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</si>
  <si>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</si>
  <si>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</si>
  <si>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</si>
  <si>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</si>
  <si>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</si>
  <si>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</si>
  <si>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</si>
  <si>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</si>
  <si>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</si>
  <si>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</si>
  <si>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</si>
  <si>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</si>
  <si>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</si>
  <si>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</si>
  <si>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</si>
  <si>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</si>
  <si>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</si>
  <si>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</si>
  <si>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</si>
  <si>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</si>
  <si>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</si>
  <si>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</si>
  <si>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</si>
  <si>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</si>
  <si>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</si>
  <si>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</si>
  <si>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</si>
  <si>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</si>
  <si>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</si>
  <si>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</si>
  <si>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</si>
  <si>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</si>
  <si>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</si>
  <si>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</si>
  <si>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</si>
  <si>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</si>
  <si>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</si>
  <si>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</si>
  <si>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</si>
  <si>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</si>
  <si>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</si>
  <si>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</si>
  <si>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</si>
  <si>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</si>
  <si>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</si>
  <si>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</si>
  <si>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</si>
  <si>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</si>
  <si>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</si>
  <si>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</si>
  <si>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</si>
  <si>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</si>
  <si>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</si>
  <si>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</si>
  <si>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</si>
  <si>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</si>
  <si>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</si>
  <si>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</si>
  <si>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</si>
  <si>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</si>
  <si>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</si>
  <si>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</si>
  <si>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</si>
  <si>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</si>
  <si>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</si>
  <si>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</si>
  <si>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</si>
  <si>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</si>
  <si>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</si>
  <si>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</si>
  <si>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</si>
  <si>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</si>
  <si>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</si>
  <si>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</si>
  <si>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</si>
  <si>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</si>
  <si>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</si>
  <si>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</si>
  <si>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</si>
  <si>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</si>
  <si>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</si>
  <si>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</si>
  <si>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</si>
  <si>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</si>
  <si>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</si>
  <si>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</si>
  <si>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</si>
  <si>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</si>
  <si>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</si>
  <si>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</si>
  <si>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</si>
  <si>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</si>
  <si>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</si>
  <si>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</si>
  <si>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</si>
  <si>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</si>
  <si>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</si>
  <si>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</si>
  <si>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</si>
  <si>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</si>
  <si>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</si>
  <si>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</si>
  <si>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</si>
  <si>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</si>
  <si>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</si>
  <si>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</si>
  <si>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</si>
  <si>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</si>
  <si>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</si>
  <si>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</si>
  <si>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</si>
  <si>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</si>
  <si>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</si>
  <si>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</si>
  <si>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</si>
  <si>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</si>
  <si>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</si>
  <si>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</si>
  <si>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</si>
  <si>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</si>
  <si>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</si>
  <si>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</si>
  <si>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</si>
  <si>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</si>
  <si>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</si>
  <si>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</si>
  <si>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</si>
  <si>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</si>
  <si>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</si>
  <si>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</si>
  <si>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</si>
  <si>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</si>
  <si>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</si>
  <si>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</si>
  <si>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</si>
  <si>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</si>
  <si>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</si>
  <si>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</si>
  <si>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</si>
  <si>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</si>
  <si>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</si>
  <si>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</si>
  <si>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</si>
  <si>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</si>
  <si>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</si>
  <si>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</si>
  <si>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</si>
  <si>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</si>
  <si>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</si>
  <si>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</si>
  <si>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</si>
  <si>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</si>
  <si>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</si>
  <si>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</si>
  <si>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</si>
  <si>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</si>
  <si>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</si>
  <si>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</si>
  <si>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</si>
  <si>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</si>
  <si>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</si>
  <si>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</si>
  <si>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</si>
  <si>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</si>
  <si>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</si>
  <si>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</si>
  <si>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</si>
  <si>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</si>
  <si>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</si>
  <si>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</si>
  <si>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</si>
  <si>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</si>
  <si>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</si>
  <si>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</si>
  <si>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</si>
  <si>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</si>
  <si>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</si>
  <si>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</si>
  <si>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</si>
  <si>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</si>
  <si>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</si>
  <si>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</si>
  <si>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</si>
  <si>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</si>
  <si>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</si>
  <si>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</si>
  <si>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</si>
  <si>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</si>
  <si>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</si>
  <si>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</si>
  <si>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</si>
  <si>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</si>
  <si>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</si>
  <si>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</si>
  <si>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</si>
  <si>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</si>
  <si>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</si>
  <si>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</si>
  <si>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</si>
  <si>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</si>
  <si>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</si>
  <si>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</si>
  <si>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</si>
  <si>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</si>
  <si>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</si>
  <si>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</si>
  <si>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</si>
  <si>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</si>
  <si>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</si>
  <si>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</si>
  <si>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</si>
  <si>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</si>
  <si>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</si>
  <si>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</si>
  <si>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</si>
  <si>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</si>
  <si>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</si>
  <si>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</si>
  <si>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</si>
  <si>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</si>
  <si>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</si>
  <si>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</si>
  <si>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</si>
  <si>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</si>
  <si>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</si>
  <si>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</si>
  <si>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</si>
  <si>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</si>
  <si>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</si>
  <si>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</si>
  <si>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</si>
  <si>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</si>
  <si>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</si>
  <si>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</si>
  <si>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</si>
  <si>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</si>
  <si>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</si>
  <si>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</si>
  <si>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</si>
  <si>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</si>
  <si>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</si>
  <si>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</si>
  <si>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</si>
  <si>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</si>
  <si>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</si>
  <si>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</si>
  <si>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</si>
  <si>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</si>
  <si>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</si>
  <si>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</si>
  <si>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</si>
  <si>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</si>
  <si>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</si>
  <si>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</si>
  <si>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</si>
  <si>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</si>
  <si>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</si>
  <si>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</si>
  <si>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</si>
  <si>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</si>
  <si>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</si>
  <si>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</si>
  <si>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</si>
  <si>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</si>
  <si>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</si>
  <si>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</si>
  <si>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</si>
  <si>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</si>
  <si>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</si>
  <si>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</si>
  <si>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</si>
  <si>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</si>
  <si>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</si>
  <si>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</si>
  <si>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</si>
  <si>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</si>
  <si>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</si>
  <si>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</si>
  <si>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</si>
  <si>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</si>
  <si>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</si>
  <si>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</si>
  <si>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</si>
  <si>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</si>
  <si>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</si>
  <si>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</si>
  <si>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</si>
  <si>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</si>
  <si>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</si>
  <si>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</si>
  <si>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</si>
  <si>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</si>
  <si>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</si>
  <si>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</si>
  <si>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</si>
  <si>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</si>
  <si>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</si>
  <si>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</si>
  <si>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</si>
  <si>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</si>
  <si>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</si>
  <si>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</si>
  <si>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</si>
  <si>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</si>
  <si>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</si>
  <si>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</si>
  <si>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</si>
  <si>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</si>
  <si>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</si>
  <si>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</si>
  <si>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</si>
  <si>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</si>
  <si>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</si>
  <si>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</si>
  <si>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</si>
  <si>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</si>
  <si>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</si>
  <si>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</si>
  <si>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</si>
  <si>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</si>
  <si>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</si>
  <si>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</si>
  <si>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</si>
  <si>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</si>
  <si>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</si>
  <si>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</si>
  <si>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</si>
  <si>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</si>
  <si>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</si>
  <si>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</si>
  <si>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</si>
  <si>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</si>
  <si>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</si>
  <si>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</si>
  <si>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</si>
  <si>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</si>
  <si>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</si>
  <si>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</si>
  <si>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</si>
  <si>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</si>
  <si>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</si>
  <si>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</si>
  <si>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</si>
  <si>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</si>
  <si>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</si>
  <si>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</si>
  <si>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</si>
  <si>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</si>
  <si>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</si>
  <si>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</si>
  <si>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</si>
  <si>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숙지황</t>
    <phoneticPr fontId="5" type="noConversion"/>
  </si>
  <si>
    <t>산약</t>
    <phoneticPr fontId="5" type="noConversion"/>
  </si>
  <si>
    <t>산수유</t>
    <phoneticPr fontId="5" type="noConversion"/>
  </si>
  <si>
    <t>복령</t>
    <phoneticPr fontId="5" type="noConversion"/>
  </si>
  <si>
    <t>목단피</t>
    <phoneticPr fontId="5" type="noConversion"/>
  </si>
  <si>
    <t>구기자</t>
    <phoneticPr fontId="5" type="noConversion"/>
  </si>
  <si>
    <t>육계</t>
    <phoneticPr fontId="5" type="noConversion"/>
  </si>
  <si>
    <t>홍화</t>
    <phoneticPr fontId="5" type="noConversion"/>
  </si>
  <si>
    <t>택사1</t>
    <phoneticPr fontId="5" type="noConversion"/>
  </si>
  <si>
    <t>시호2</t>
    <phoneticPr fontId="5" type="noConversion"/>
  </si>
  <si>
    <t>심상은</t>
    <phoneticPr fontId="5" type="noConversion"/>
  </si>
  <si>
    <t>육미지황탕가미</t>
    <phoneticPr fontId="5" type="noConversion"/>
  </si>
  <si>
    <t>m</t>
    <phoneticPr fontId="5" type="noConversion"/>
  </si>
  <si>
    <t xml:space="preserve">#구안와사 + 구건 </t>
    <phoneticPr fontId="5" type="noConversion"/>
  </si>
  <si>
    <t>두우양영전</t>
    <phoneticPr fontId="5" type="noConversion"/>
  </si>
  <si>
    <t>#구안와사 + 하지구련</t>
    <phoneticPr fontId="5" type="noConversion"/>
  </si>
  <si>
    <t>우슬</t>
    <phoneticPr fontId="5" type="noConversion"/>
  </si>
  <si>
    <t>두충</t>
    <phoneticPr fontId="5" type="noConversion"/>
  </si>
  <si>
    <t>모과</t>
    <phoneticPr fontId="5" type="noConversion"/>
  </si>
  <si>
    <t>감초</t>
    <phoneticPr fontId="5" type="noConversion"/>
  </si>
  <si>
    <t>당귀1</t>
    <phoneticPr fontId="5" type="noConversion"/>
  </si>
  <si>
    <t>사인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</si>
</sst>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69649-9E46-4428-9F87-2231694B5B80}">
  <sheetPr>
    <pageSetUpPr fitToPage="1"/>
  </sheetPr>
  <dimension ref="B1:M31"/>
  <sheetViews>
    <sheetView tabSelected="1" workbookViewId="0">
      <selection activeCell="K1" sqref="K1:M2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12</v>
      </c>
      <c r="F2" s="101">
        <f>E2*$L$15</f>
        <v>120</v>
      </c>
      <c r="G2">
        <f>VLOOKUP($C2,약재관리!A:J,10,FALSE)</f>
        <v>20</v>
      </c>
      <c r="H2" s="5">
        <f>G2*E2</f>
        <v>240</v>
      </c>
      <c r="I2" s="90">
        <f>G2*F2</f>
        <v>2400</v>
      </c>
      <c r="K2" s="7" t="s">
        <v>9</v>
      </c>
      <c r="L2" s="161">
        <v>81</v>
      </c>
      <c r="M2" s="162"/>
    </row>
    <row r="3" spans="2:13">
      <c r="B3" s="3">
        <v>2</v>
      </c>
      <c r="C3" t="s">
        <v>412</v>
      </c>
      <c r="D3" s="4"/>
      <c r="E3" s="88">
        <v>8</v>
      </c>
      <c r="F3" s="101">
        <f t="shared" ref="F3:F31" si="0">E3*$L$15</f>
        <v>80</v>
      </c>
      <c r="G3">
        <f>VLOOKUP($C3,약재관리!A:J,10,FALSE)</f>
        <v>18.3</v>
      </c>
      <c r="H3" s="5">
        <f t="shared" ref="H3:H31" si="1">G3*E3</f>
        <v>146.4</v>
      </c>
      <c r="I3" s="6">
        <f t="shared" ref="I3:I31" si="2">G3*F3</f>
        <v>1464</v>
      </c>
      <c r="K3" s="8" t="s">
        <v>10</v>
      </c>
      <c r="L3" s="163" t="s">
        <v>425</v>
      </c>
      <c r="M3" s="164"/>
    </row>
    <row r="4" spans="2:13">
      <c r="B4" s="3">
        <v>3</v>
      </c>
      <c r="C4" t="s">
        <v>427</v>
      </c>
      <c r="D4" s="4"/>
      <c r="E4" s="88">
        <v>8</v>
      </c>
      <c r="F4" s="101">
        <f t="shared" si="0"/>
        <v>80</v>
      </c>
      <c r="G4">
        <f>VLOOKUP($C4,약재관리!A:J,10,FALSE)</f>
        <v>17.7</v>
      </c>
      <c r="H4" s="5">
        <f t="shared" si="1"/>
        <v>141.6</v>
      </c>
      <c r="I4" s="6">
        <f t="shared" si="2"/>
        <v>1416</v>
      </c>
      <c r="K4" s="8" t="s">
        <v>11</v>
      </c>
      <c r="L4" s="165">
        <f ca="1">TODAY()</f>
        <v>45717</v>
      </c>
      <c r="M4" s="164"/>
    </row>
    <row r="5" spans="2:13">
      <c r="B5" s="3">
        <v>4</v>
      </c>
      <c r="C5" t="s">
        <v>428</v>
      </c>
      <c r="D5" s="4"/>
      <c r="E5" s="88">
        <v>8</v>
      </c>
      <c r="F5" s="101">
        <f t="shared" si="0"/>
        <v>80</v>
      </c>
      <c r="G5">
        <f>VLOOKUP($C5,약재관리!A:J,10,FALSE)</f>
        <v>11.3</v>
      </c>
      <c r="H5" s="5">
        <f t="shared" si="1"/>
        <v>90.4</v>
      </c>
      <c r="I5" s="6">
        <f t="shared" si="2"/>
        <v>904</v>
      </c>
      <c r="K5" s="8" t="s">
        <v>12</v>
      </c>
      <c r="L5" s="163" t="s">
        <v>421</v>
      </c>
      <c r="M5" s="164"/>
    </row>
    <row r="6" spans="2:13">
      <c r="B6" s="3">
        <v>5</v>
      </c>
      <c r="C6" t="s">
        <v>431</v>
      </c>
      <c r="D6" s="4"/>
      <c r="E6" s="88">
        <v>8</v>
      </c>
      <c r="F6" s="101">
        <f t="shared" si="0"/>
        <v>80</v>
      </c>
      <c r="G6">
        <f>VLOOKUP($C6,약재관리!A:J,10,FALSE)</f>
        <v>25.3</v>
      </c>
      <c r="H6" s="5">
        <f t="shared" si="1"/>
        <v>202.4</v>
      </c>
      <c r="I6" s="6">
        <f t="shared" si="2"/>
        <v>2024</v>
      </c>
      <c r="K6" s="8" t="s">
        <v>13</v>
      </c>
      <c r="L6" s="163" t="s">
        <v>423</v>
      </c>
      <c r="M6" s="164"/>
    </row>
    <row r="7" spans="2:13" ht="17.25" thickBot="1">
      <c r="B7" s="3">
        <v>6</v>
      </c>
      <c r="C7" t="s">
        <v>416</v>
      </c>
      <c r="D7" s="4"/>
      <c r="E7" s="88">
        <v>6</v>
      </c>
      <c r="F7" s="101">
        <f t="shared" si="0"/>
        <v>60</v>
      </c>
      <c r="G7">
        <f>VLOOKUP($C7,약재관리!A:J,10,FALSE)</f>
        <v>13.7</v>
      </c>
      <c r="H7" s="5">
        <f t="shared" si="1"/>
        <v>82.199999999999989</v>
      </c>
      <c r="I7" s="6">
        <f t="shared" si="2"/>
        <v>822</v>
      </c>
      <c r="K7" s="8" t="s">
        <v>14</v>
      </c>
      <c r="L7" s="147">
        <v>73</v>
      </c>
      <c r="M7" s="148"/>
    </row>
    <row r="8" spans="2:13" ht="17.25" thickBot="1">
      <c r="B8" s="3">
        <v>7</v>
      </c>
      <c r="C8" t="s">
        <v>429</v>
      </c>
      <c r="D8" s="4"/>
      <c r="E8" s="88">
        <v>4</v>
      </c>
      <c r="F8" s="101">
        <f t="shared" si="0"/>
        <v>40</v>
      </c>
      <c r="G8">
        <f>VLOOKUP($C8,약재관리!A:J,10,FALSE)</f>
        <v>9.8000000000000007</v>
      </c>
      <c r="H8" s="5">
        <f t="shared" si="1"/>
        <v>39.200000000000003</v>
      </c>
      <c r="I8" s="6">
        <f t="shared" si="2"/>
        <v>392</v>
      </c>
      <c r="K8" s="149" t="s">
        <v>15</v>
      </c>
      <c r="L8" s="150"/>
      <c r="M8" s="151"/>
    </row>
    <row r="9" spans="2:13">
      <c r="B9" s="3">
        <v>8</v>
      </c>
      <c r="C9" t="s">
        <v>417</v>
      </c>
      <c r="D9" s="4"/>
      <c r="E9" s="88">
        <v>4</v>
      </c>
      <c r="F9" s="101">
        <f t="shared" si="0"/>
        <v>40</v>
      </c>
      <c r="G9">
        <f>VLOOKUP($C9,약재관리!A:J,10,FALSE)</f>
        <v>14.8</v>
      </c>
      <c r="H9" s="5">
        <f t="shared" si="1"/>
        <v>59.2</v>
      </c>
      <c r="I9" s="6">
        <f t="shared" si="2"/>
        <v>592</v>
      </c>
      <c r="K9" s="152" t="s">
        <v>426</v>
      </c>
      <c r="L9" s="153"/>
      <c r="M9" s="154"/>
    </row>
    <row r="10" spans="2:13">
      <c r="B10" s="3">
        <v>9</v>
      </c>
      <c r="C10" t="s">
        <v>430</v>
      </c>
      <c r="D10" s="4"/>
      <c r="E10" s="88">
        <v>4</v>
      </c>
      <c r="F10" s="101">
        <f t="shared" si="0"/>
        <v>40</v>
      </c>
      <c r="G10">
        <f>VLOOKUP($C10,약재관리!A:J,10,FALSE)</f>
        <v>28.3</v>
      </c>
      <c r="H10" s="5">
        <f t="shared" si="1"/>
        <v>113.2</v>
      </c>
      <c r="I10" s="6">
        <f t="shared" si="2"/>
        <v>1132</v>
      </c>
      <c r="K10" s="155"/>
      <c r="L10" s="156"/>
      <c r="M10" s="157"/>
    </row>
    <row r="11" spans="2:13">
      <c r="B11" s="3">
        <v>10</v>
      </c>
      <c r="C11" t="s">
        <v>414</v>
      </c>
      <c r="D11" s="4"/>
      <c r="E11" s="88">
        <v>6</v>
      </c>
      <c r="F11" s="101">
        <f t="shared" si="0"/>
        <v>60</v>
      </c>
      <c r="G11">
        <f>VLOOKUP($C11,약재관리!A:J,10,FALSE)</f>
        <v>11</v>
      </c>
      <c r="H11" s="5">
        <f t="shared" si="1"/>
        <v>66</v>
      </c>
      <c r="I11" s="6">
        <f t="shared" si="2"/>
        <v>660</v>
      </c>
      <c r="K11" s="155"/>
      <c r="L11" s="156"/>
      <c r="M11" s="157"/>
    </row>
    <row r="12" spans="2:13">
      <c r="B12" s="3">
        <v>11</v>
      </c>
      <c r="C12" t="s">
        <v>419</v>
      </c>
      <c r="D12" s="4"/>
      <c r="E12" s="88">
        <v>6</v>
      </c>
      <c r="F12" s="101">
        <f t="shared" si="0"/>
        <v>60</v>
      </c>
      <c r="G12">
        <f>VLOOKUP($C12,약재관리!A:J,10,FALSE)</f>
        <v>23.7</v>
      </c>
      <c r="H12" s="5">
        <f t="shared" si="1"/>
        <v>142.19999999999999</v>
      </c>
      <c r="I12" s="6">
        <f t="shared" si="2"/>
        <v>1422</v>
      </c>
      <c r="K12" s="155"/>
      <c r="L12" s="156"/>
      <c r="M12" s="157"/>
    </row>
    <row r="13" spans="2:13" ht="17.25" thickBot="1">
      <c r="B13" s="3">
        <v>12</v>
      </c>
      <c r="C13" t="s">
        <v>432</v>
      </c>
      <c r="D13" s="4"/>
      <c r="E13" s="88">
        <v>2</v>
      </c>
      <c r="F13" s="101">
        <f t="shared" si="0"/>
        <v>20</v>
      </c>
      <c r="G13">
        <f>VLOOKUP($C13,약재관리!A:J,10,FALSE)</f>
        <v>21.8</v>
      </c>
      <c r="H13" s="5">
        <f t="shared" si="1"/>
        <v>43.6</v>
      </c>
      <c r="I13" s="6">
        <f t="shared" si="2"/>
        <v>436</v>
      </c>
      <c r="K13" s="158"/>
      <c r="L13" s="159"/>
      <c r="M13" s="160"/>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76</v>
      </c>
      <c r="M18" s="10" t="s">
        <v>25</v>
      </c>
    </row>
    <row r="19" spans="2:13">
      <c r="B19" s="3">
        <v>18</v>
      </c>
      <c r="D19" s="4"/>
      <c r="F19" s="101">
        <f t="shared" si="0"/>
        <v>0</v>
      </c>
      <c r="H19" s="5">
        <f t="shared" si="1"/>
        <v>0</v>
      </c>
      <c r="I19" s="6">
        <f t="shared" si="2"/>
        <v>0</v>
      </c>
      <c r="K19" s="91" t="s">
        <v>26</v>
      </c>
      <c r="L19">
        <f>L15*L18</f>
        <v>760</v>
      </c>
      <c r="M19" s="4" t="s">
        <v>25</v>
      </c>
    </row>
    <row r="20" spans="2:13" ht="17.25" thickBot="1">
      <c r="B20" s="3">
        <v>19</v>
      </c>
      <c r="D20" s="4"/>
      <c r="F20" s="101">
        <f t="shared" si="0"/>
        <v>0</v>
      </c>
      <c r="H20" s="5">
        <f t="shared" si="1"/>
        <v>0</v>
      </c>
      <c r="I20" s="6">
        <f t="shared" si="2"/>
        <v>0</v>
      </c>
      <c r="K20" s="14" t="s">
        <v>27</v>
      </c>
      <c r="L20" s="11">
        <f>L16*L17+L19</f>
        <v>2760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760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1366.4</v>
      </c>
      <c r="M30" s="4" t="s">
        <v>384</v>
      </c>
    </row>
    <row r="31" spans="2:13" ht="17.25" thickBot="1">
      <c r="B31" s="13">
        <v>30</v>
      </c>
      <c r="C31" s="14"/>
      <c r="D31" s="12"/>
      <c r="E31" s="95"/>
      <c r="F31" s="102">
        <f t="shared" si="0"/>
        <v>0</v>
      </c>
      <c r="H31" s="15">
        <f t="shared" si="1"/>
        <v>0</v>
      </c>
      <c r="I31" s="16">
        <f t="shared" si="2"/>
        <v>0</v>
      </c>
      <c r="K31" s="14" t="s">
        <v>383</v>
      </c>
      <c r="L31" s="15">
        <f>SUM(I2:I31)</f>
        <v>13664</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P29" sqref="P2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12</v>
      </c>
      <c r="F2" s="101">
        <f>E2*$L$15</f>
        <v>120</v>
      </c>
      <c r="G2">
        <f>VLOOKUP($C2,약재관리!A:J,10,FALSE)</f>
        <v>20</v>
      </c>
      <c r="H2" s="5">
        <f>G2*E2</f>
        <v>240</v>
      </c>
      <c r="I2" s="90">
        <f>G2*F2</f>
        <v>2400</v>
      </c>
      <c r="K2" s="7" t="s">
        <v>9</v>
      </c>
      <c r="L2" s="161">
        <v>81</v>
      </c>
      <c r="M2" s="162"/>
    </row>
    <row r="3" spans="2:13">
      <c r="B3" s="3">
        <v>2</v>
      </c>
      <c r="C3" t="s">
        <v>412</v>
      </c>
      <c r="D3" s="4"/>
      <c r="E3" s="88">
        <v>8</v>
      </c>
      <c r="F3" s="101">
        <f t="shared" ref="F3:F31" si="0">E3*$L$15</f>
        <v>80</v>
      </c>
      <c r="G3">
        <f>VLOOKUP($C3,약재관리!A:J,10,FALSE)</f>
        <v>18.3</v>
      </c>
      <c r="H3" s="5">
        <f t="shared" ref="H3:H31" si="1">G3*E3</f>
        <v>146.4</v>
      </c>
      <c r="I3" s="6">
        <f t="shared" ref="I3:I31" si="2">G3*F3</f>
        <v>1464</v>
      </c>
      <c r="K3" s="8" t="s">
        <v>10</v>
      </c>
      <c r="L3" s="163" t="s">
        <v>422</v>
      </c>
      <c r="M3" s="164"/>
    </row>
    <row r="4" spans="2:13">
      <c r="B4" s="3">
        <v>3</v>
      </c>
      <c r="C4" t="s">
        <v>413</v>
      </c>
      <c r="D4" s="4"/>
      <c r="E4" s="88">
        <v>8</v>
      </c>
      <c r="F4" s="101">
        <f t="shared" si="0"/>
        <v>80</v>
      </c>
      <c r="G4">
        <f>VLOOKUP($C4,약재관리!A:J,10,FALSE)</f>
        <v>31.2</v>
      </c>
      <c r="H4" s="5">
        <f t="shared" si="1"/>
        <v>249.6</v>
      </c>
      <c r="I4" s="6">
        <f t="shared" si="2"/>
        <v>2496</v>
      </c>
      <c r="K4" s="8" t="s">
        <v>11</v>
      </c>
      <c r="L4" s="165">
        <f ca="1">TODAY()</f>
        <v>45717</v>
      </c>
      <c r="M4" s="164"/>
    </row>
    <row r="5" spans="2:13">
      <c r="B5" s="3">
        <v>4</v>
      </c>
      <c r="C5" t="s">
        <v>414</v>
      </c>
      <c r="D5" s="4"/>
      <c r="E5" s="88">
        <v>6</v>
      </c>
      <c r="F5" s="101">
        <f t="shared" si="0"/>
        <v>60</v>
      </c>
      <c r="G5">
        <f>VLOOKUP($C5,약재관리!A:J,10,FALSE)</f>
        <v>11</v>
      </c>
      <c r="H5" s="5">
        <f t="shared" si="1"/>
        <v>66</v>
      </c>
      <c r="I5" s="6">
        <f t="shared" si="2"/>
        <v>660</v>
      </c>
      <c r="K5" s="8" t="s">
        <v>12</v>
      </c>
      <c r="L5" s="163" t="s">
        <v>421</v>
      </c>
      <c r="M5" s="164"/>
    </row>
    <row r="6" spans="2:13">
      <c r="B6" s="3">
        <v>5</v>
      </c>
      <c r="C6" t="s">
        <v>419</v>
      </c>
      <c r="D6" s="4"/>
      <c r="E6" s="88">
        <v>6</v>
      </c>
      <c r="F6" s="101">
        <f t="shared" si="0"/>
        <v>60</v>
      </c>
      <c r="G6">
        <f>VLOOKUP($C6,약재관리!A:J,10,FALSE)</f>
        <v>23.7</v>
      </c>
      <c r="H6" s="5">
        <f t="shared" si="1"/>
        <v>142.19999999999999</v>
      </c>
      <c r="I6" s="6">
        <f t="shared" si="2"/>
        <v>1422</v>
      </c>
      <c r="K6" s="8" t="s">
        <v>13</v>
      </c>
      <c r="L6" s="163" t="s">
        <v>423</v>
      </c>
      <c r="M6" s="164"/>
    </row>
    <row r="7" spans="2:13" ht="17.25" thickBot="1">
      <c r="B7" s="3">
        <v>6</v>
      </c>
      <c r="C7" t="s">
        <v>415</v>
      </c>
      <c r="D7" s="4"/>
      <c r="E7" s="88">
        <v>6</v>
      </c>
      <c r="F7" s="101">
        <f t="shared" si="0"/>
        <v>60</v>
      </c>
      <c r="G7">
        <f>VLOOKUP($C7,약재관리!A:J,10,FALSE)</f>
        <v>31.5</v>
      </c>
      <c r="H7" s="5">
        <f t="shared" si="1"/>
        <v>189</v>
      </c>
      <c r="I7" s="6">
        <f t="shared" si="2"/>
        <v>1890</v>
      </c>
      <c r="K7" s="8" t="s">
        <v>14</v>
      </c>
      <c r="L7" s="147">
        <v>73</v>
      </c>
      <c r="M7" s="148"/>
    </row>
    <row r="8" spans="2:13" ht="17.25" thickBot="1">
      <c r="B8" s="3">
        <v>7</v>
      </c>
      <c r="C8" t="s">
        <v>420</v>
      </c>
      <c r="D8" s="4"/>
      <c r="E8" s="88">
        <v>4</v>
      </c>
      <c r="F8" s="101">
        <f t="shared" si="0"/>
        <v>40</v>
      </c>
      <c r="G8">
        <f>VLOOKUP($C8,약재관리!A:J,10,FALSE)</f>
        <v>15.3</v>
      </c>
      <c r="H8" s="5">
        <f t="shared" si="1"/>
        <v>61.2</v>
      </c>
      <c r="I8" s="6">
        <f t="shared" si="2"/>
        <v>612</v>
      </c>
      <c r="K8" s="149" t="s">
        <v>15</v>
      </c>
      <c r="L8" s="150"/>
      <c r="M8" s="151"/>
    </row>
    <row r="9" spans="2:13">
      <c r="B9" s="3">
        <v>8</v>
      </c>
      <c r="C9" t="s">
        <v>416</v>
      </c>
      <c r="D9" s="4"/>
      <c r="E9" s="88">
        <v>4</v>
      </c>
      <c r="F9" s="101">
        <f t="shared" si="0"/>
        <v>40</v>
      </c>
      <c r="G9">
        <f>VLOOKUP($C9,약재관리!A:J,10,FALSE)</f>
        <v>13.7</v>
      </c>
      <c r="H9" s="5">
        <f t="shared" si="1"/>
        <v>54.8</v>
      </c>
      <c r="I9" s="6">
        <f t="shared" si="2"/>
        <v>548</v>
      </c>
      <c r="K9" s="152" t="s">
        <v>424</v>
      </c>
      <c r="L9" s="153"/>
      <c r="M9" s="154"/>
    </row>
    <row r="10" spans="2:13">
      <c r="B10" s="3">
        <v>9</v>
      </c>
      <c r="C10" t="s">
        <v>417</v>
      </c>
      <c r="D10" s="4"/>
      <c r="E10" s="88">
        <v>3</v>
      </c>
      <c r="F10" s="101">
        <f t="shared" si="0"/>
        <v>30</v>
      </c>
      <c r="G10">
        <f>VLOOKUP($C10,약재관리!A:J,10,FALSE)</f>
        <v>14.8</v>
      </c>
      <c r="H10" s="5">
        <f t="shared" si="1"/>
        <v>44.400000000000006</v>
      </c>
      <c r="I10" s="6">
        <f t="shared" si="2"/>
        <v>444</v>
      </c>
      <c r="K10" s="155"/>
      <c r="L10" s="156"/>
      <c r="M10" s="157"/>
    </row>
    <row r="11" spans="2:13">
      <c r="B11" s="3">
        <v>10</v>
      </c>
      <c r="C11" t="s">
        <v>418</v>
      </c>
      <c r="D11" s="4"/>
      <c r="E11" s="88">
        <v>3</v>
      </c>
      <c r="F11" s="101">
        <f t="shared" si="0"/>
        <v>30</v>
      </c>
      <c r="G11">
        <f>VLOOKUP($C11,약재관리!A:J,10,FALSE)</f>
        <v>44.2</v>
      </c>
      <c r="H11" s="5">
        <f t="shared" si="1"/>
        <v>132.60000000000002</v>
      </c>
      <c r="I11" s="6">
        <f t="shared" si="2"/>
        <v>1326</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60</v>
      </c>
      <c r="M18" s="10" t="s">
        <v>25</v>
      </c>
    </row>
    <row r="19" spans="2:13">
      <c r="B19" s="3">
        <v>18</v>
      </c>
      <c r="D19" s="4"/>
      <c r="F19" s="101">
        <f t="shared" si="0"/>
        <v>0</v>
      </c>
      <c r="H19" s="5">
        <f t="shared" si="1"/>
        <v>0</v>
      </c>
      <c r="I19" s="6">
        <f t="shared" si="2"/>
        <v>0</v>
      </c>
      <c r="K19" s="91" t="s">
        <v>26</v>
      </c>
      <c r="L19">
        <f>L15*L18</f>
        <v>600</v>
      </c>
      <c r="M19" s="4" t="s">
        <v>25</v>
      </c>
    </row>
    <row r="20" spans="2:13" ht="17.25" thickBot="1">
      <c r="B20" s="3">
        <v>19</v>
      </c>
      <c r="D20" s="4"/>
      <c r="F20" s="101">
        <f t="shared" si="0"/>
        <v>0</v>
      </c>
      <c r="H20" s="5">
        <f t="shared" si="1"/>
        <v>0</v>
      </c>
      <c r="I20" s="6">
        <f t="shared" si="2"/>
        <v>0</v>
      </c>
      <c r="K20" s="14" t="s">
        <v>27</v>
      </c>
      <c r="L20" s="11">
        <f>L16*L17+L19</f>
        <v>2600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600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1326.2000000000003</v>
      </c>
      <c r="M30" s="4" t="s">
        <v>384</v>
      </c>
    </row>
    <row r="31" spans="2:13" ht="17.25" thickBot="1">
      <c r="B31" s="13">
        <v>30</v>
      </c>
      <c r="C31" s="14"/>
      <c r="D31" s="12"/>
      <c r="E31" s="95"/>
      <c r="F31" s="102">
        <f t="shared" si="0"/>
        <v>0</v>
      </c>
      <c r="H31" s="15">
        <f t="shared" si="1"/>
        <v>0</v>
      </c>
      <c r="I31" s="16">
        <f t="shared" si="2"/>
        <v>0</v>
      </c>
      <c r="K31" s="14" t="s">
        <v>383</v>
      </c>
      <c r="L31" s="15">
        <f>SUM(I2:I31)</f>
        <v>13262</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148" zoomScaleNormal="100" workbookViewId="0">
      <selection activeCell="J184" sqref="J18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2025-03-01T03:30:51Z</cp:lastPrinted>
  <dcterms:created xsi:type="dcterms:W3CDTF">2024-09-12T16:35:01Z</dcterms:created>
  <dcterms:modified xsi:type="dcterms:W3CDTF">2025-03-01T05:43:32Z</dcterms:modified>
</cp:coreProperties>
</file>