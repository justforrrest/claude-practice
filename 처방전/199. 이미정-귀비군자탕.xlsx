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6" documentId="8_{6EB8DC0A-AB56-415F-A9F3-EA1534264548}" xr6:coauthVersionLast="47" xr6:coauthVersionMax="47" xr10:uidLastSave="{A0FEFE84-0A1A-4035-9E31-2062B983A245}"/>
  <bookViews>
    <workbookView xWindow="-120" yWindow="-120" windowWidth="29040" windowHeight="1572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5" l="1"/>
  <c r="J20" i="5"/>
  <c r="J21" i="5"/>
  <c r="G18" i="5"/>
  <c r="G19" i="5"/>
  <c r="G20" i="5"/>
  <c r="H20" i="5" s="1"/>
  <c r="G21" i="5"/>
  <c r="I21" i="5" s="1"/>
  <c r="H22" i="5"/>
  <c r="H23" i="5"/>
  <c r="H25" i="5"/>
  <c r="I26" i="5"/>
  <c r="H27" i="5"/>
  <c r="I28" i="5"/>
  <c r="H29" i="5"/>
  <c r="F31" i="5"/>
  <c r="F30" i="5"/>
  <c r="F29" i="5"/>
  <c r="F28" i="5"/>
  <c r="F27" i="5"/>
  <c r="F26"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5" i="5" l="1"/>
  <c r="I2" i="5"/>
  <c r="I25" i="5"/>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<sst xmlns="http://schemas.openxmlformats.org/spreadsheetml/2006/main" count="565" uniqueCount="415">
  <si>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</si>
  <si>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</si>
  <si>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</si>
  <si>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</si>
  <si>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</si>
  <si>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</si>
  <si>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</si>
  <si>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</si>
  <si>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</si>
  <si>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</si>
  <si>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</si>
  <si>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</si>
  <si>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</si>
  <si>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</si>
  <si>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</si>
  <si>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</si>
  <si>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</si>
  <si>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</si>
  <si>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</si>
  <si>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</si>
  <si>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</si>
  <si>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</si>
  <si>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</si>
  <si>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</si>
  <si>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</si>
  <si>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</si>
  <si>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</si>
  <si>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</si>
  <si>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</si>
  <si>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</si>
  <si>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</si>
  <si>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</si>
  <si>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</si>
  <si>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</si>
  <si>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</si>
  <si>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</si>
  <si>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</si>
  <si>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</si>
  <si>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</si>
  <si>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</si>
  <si>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</si>
  <si>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</si>
  <si>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</si>
  <si>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</si>
  <si>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</si>
  <si>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</si>
  <si>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</si>
  <si>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</si>
  <si>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</si>
  <si>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</si>
  <si>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</si>
  <si>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</si>
  <si>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</si>
  <si>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</si>
  <si>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</si>
  <si>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</si>
  <si>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</si>
  <si>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</si>
  <si>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</si>
  <si>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</si>
  <si>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</si>
  <si>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</si>
  <si>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</si>
  <si>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</si>
  <si>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</si>
  <si>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</si>
  <si>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</si>
  <si>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</si>
  <si>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</si>
  <si>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</si>
  <si>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</si>
  <si>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</si>
  <si>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</si>
  <si>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</si>
  <si>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</si>
  <si>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</si>
  <si>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</si>
  <si>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</si>
  <si>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</si>
  <si>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</si>
  <si>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</si>
  <si>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</si>
  <si>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</si>
  <si>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</si>
  <si>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</si>
  <si>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</si>
  <si>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</si>
  <si>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</si>
  <si>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</si>
  <si>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</si>
  <si>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</si>
  <si>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</si>
  <si>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</si>
  <si>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</si>
  <si>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</si>
  <si>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</si>
  <si>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</si>
  <si>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</si>
  <si>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</si>
  <si>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</si>
  <si>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</si>
  <si>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</si>
  <si>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</si>
  <si>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</si>
  <si>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</si>
  <si>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</si>
  <si>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</si>
  <si>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</si>
  <si>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</si>
  <si>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</si>
  <si>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</si>
  <si>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</si>
  <si>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</si>
  <si>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</si>
  <si>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</si>
  <si>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</si>
  <si>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</si>
  <si>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</si>
  <si>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</si>
  <si>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</si>
  <si>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</si>
  <si>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</si>
  <si>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</si>
  <si>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</si>
  <si>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</si>
  <si>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</si>
  <si>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</si>
  <si>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</si>
  <si>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</si>
  <si>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</si>
  <si>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</si>
  <si>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</si>
  <si>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</si>
  <si>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</si>
  <si>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</si>
  <si>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</si>
  <si>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</si>
  <si>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</si>
  <si>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</si>
  <si>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</si>
  <si>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</si>
  <si>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</si>
  <si>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</si>
  <si>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</si>
  <si>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</si>
  <si>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</si>
  <si>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</si>
  <si>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</si>
  <si>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</si>
  <si>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</si>
  <si>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</si>
  <si>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</si>
  <si>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</si>
  <si>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</si>
  <si>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</si>
  <si>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</si>
  <si>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</si>
  <si>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</si>
  <si>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</si>
  <si>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</si>
  <si>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</si>
  <si>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</si>
  <si>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</si>
  <si>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</si>
  <si>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</si>
  <si>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</si>
  <si>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</si>
  <si>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</si>
  <si>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</si>
  <si>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</si>
  <si>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</si>
  <si>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</si>
  <si>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</si>
  <si>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</si>
  <si>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</si>
  <si>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</si>
  <si>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</si>
  <si>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</si>
  <si>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</si>
  <si>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</si>
  <si>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</si>
  <si>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</si>
  <si>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</si>
  <si>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</si>
  <si>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</si>
  <si>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</si>
  <si>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</si>
  <si>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</si>
  <si>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</si>
  <si>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</si>
  <si>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</si>
  <si>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</si>
  <si>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</si>
  <si>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</si>
  <si>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</si>
  <si>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</si>
  <si>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</si>
  <si>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</si>
  <si>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</si>
  <si>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</si>
  <si>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</si>
  <si>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</si>
  <si>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</si>
  <si>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</si>
  <si>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</si>
  <si>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</si>
  <si>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</si>
  <si>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</si>
  <si>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</si>
  <si>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</si>
  <si>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</si>
  <si>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</si>
  <si>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</si>
  <si>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</si>
  <si>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</si>
  <si>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</si>
  <si>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</si>
  <si>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</si>
  <si>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</si>
  <si>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</si>
  <si>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</si>
  <si>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</si>
  <si>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</si>
  <si>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</si>
  <si>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</si>
  <si>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</si>
  <si>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</si>
  <si>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</si>
  <si>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</si>
  <si>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</si>
  <si>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</si>
  <si>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</si>
  <si>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</si>
  <si>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</si>
  <si>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</si>
  <si>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</si>
  <si>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</si>
  <si>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</si>
  <si>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</si>
  <si>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</si>
  <si>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</si>
  <si>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</si>
  <si>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</si>
  <si>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</si>
  <si>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</si>
  <si>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</si>
  <si>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</si>
  <si>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</si>
  <si>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</si>
  <si>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</si>
  <si>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</si>
  <si>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</si>
  <si>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</si>
  <si>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</si>
  <si>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</si>
  <si>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</si>
  <si>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</si>
  <si>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</si>
  <si>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</si>
  <si>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</si>
  <si>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</si>
  <si>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</si>
  <si>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</si>
  <si>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</si>
  <si>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</si>
  <si>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</si>
  <si>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</si>
  <si>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</si>
  <si>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</si>
  <si>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</si>
  <si>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</si>
  <si>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</si>
  <si>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</si>
  <si>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</si>
  <si>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</si>
  <si>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</si>
  <si>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</si>
  <si>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</si>
  <si>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</si>
  <si>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</si>
  <si>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</si>
  <si>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</si>
  <si>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</si>
  <si>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</si>
  <si>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</si>
  <si>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</si>
  <si>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</si>
  <si>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</si>
  <si>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</si>
  <si>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</si>
  <si>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</si>
  <si>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</si>
  <si>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</si>
  <si>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</si>
  <si>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</si>
  <si>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</si>
  <si>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</si>
  <si>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</si>
  <si>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</si>
  <si>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</si>
  <si>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</si>
  <si>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</si>
  <si>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</si>
  <si>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</si>
  <si>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</si>
  <si>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</si>
  <si>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</si>
  <si>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</si>
  <si>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</si>
  <si>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</si>
  <si>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</si>
  <si>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</si>
  <si>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</si>
  <si>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</si>
  <si>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</si>
  <si>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</si>
  <si>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</si>
  <si>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</si>
  <si>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</si>
  <si>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</si>
  <si>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</si>
  <si>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</si>
  <si>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</si>
  <si>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</si>
  <si>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</si>
  <si>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</si>
  <si>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</si>
  <si>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</si>
  <si>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</si>
  <si>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</si>
  <si>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</si>
  <si>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</si>
  <si>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</si>
  <si>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</si>
  <si>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</si>
  <si>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</si>
  <si>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</si>
  <si>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</si>
  <si>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</si>
  <si>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</si>
  <si>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</si>
  <si>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</si>
  <si>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</si>
  <si>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</si>
  <si>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</si>
  <si>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</si>
  <si>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</si>
  <si>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</si>
  <si>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</si>
  <si>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</si>
  <si>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</si>
  <si>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</si>
  <si>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</si>
  <si>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</si>
  <si>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</si>
  <si>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</si>
  <si>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</si>
  <si>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</si>
  <si>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</si>
  <si>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</si>
  <si>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</si>
  <si>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</si>
  <si>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</si>
  <si>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</si>
  <si>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</si>
  <si>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</si>
  <si>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</si>
  <si>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</si>
  <si>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</si>
  <si>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</si>
  <si>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</si>
  <si>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</si>
  <si>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</si>
  <si>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</si>
  <si>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</si>
  <si>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</si>
  <si>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</si>
  <si>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</si>
  <si>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</si>
  <si>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</si>
  <si>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</si>
  <si>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</si>
  <si>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</si>
  <si>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</si>
  <si>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</si>
  <si>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</si>
  <si>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</si>
  <si>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</si>
  <si>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</si>
  <si>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</si>
  <si>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</si>
  <si>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</si>
  <si>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원육</t>
    <phoneticPr fontId="5" type="noConversion"/>
  </si>
  <si>
    <t>원지</t>
    <phoneticPr fontId="5" type="noConversion"/>
  </si>
  <si>
    <t>인삼</t>
    <phoneticPr fontId="5" type="noConversion"/>
  </si>
  <si>
    <t>황기</t>
    <phoneticPr fontId="5" type="noConversion"/>
  </si>
  <si>
    <t>백출</t>
    <phoneticPr fontId="5" type="noConversion"/>
  </si>
  <si>
    <t>복령</t>
    <phoneticPr fontId="5" type="noConversion"/>
  </si>
  <si>
    <t>향부자</t>
    <phoneticPr fontId="5" type="noConversion"/>
  </si>
  <si>
    <t>반하</t>
    <phoneticPr fontId="5" type="noConversion"/>
  </si>
  <si>
    <t>백두구</t>
    <phoneticPr fontId="5" type="noConversion"/>
  </si>
  <si>
    <t>후박</t>
    <phoneticPr fontId="5" type="noConversion"/>
  </si>
  <si>
    <t>맥문동</t>
    <phoneticPr fontId="5" type="noConversion"/>
  </si>
  <si>
    <t>사인</t>
    <phoneticPr fontId="5" type="noConversion"/>
  </si>
  <si>
    <t>목향</t>
    <phoneticPr fontId="5" type="noConversion"/>
  </si>
  <si>
    <t>익지인</t>
    <phoneticPr fontId="5" type="noConversion"/>
  </si>
  <si>
    <t>감초</t>
    <phoneticPr fontId="5" type="noConversion"/>
  </si>
  <si>
    <t>생강</t>
    <phoneticPr fontId="5" type="noConversion"/>
  </si>
  <si>
    <t>대추</t>
    <phoneticPr fontId="5" type="noConversion"/>
  </si>
  <si>
    <t>당귀1</t>
    <phoneticPr fontId="5" type="noConversion"/>
  </si>
  <si>
    <t>진피1</t>
    <phoneticPr fontId="5" type="noConversion"/>
  </si>
  <si>
    <t>귀비군자탕</t>
    <phoneticPr fontId="5" type="noConversion"/>
  </si>
  <si>
    <t>이미정</t>
    <phoneticPr fontId="5" type="noConversion"/>
  </si>
  <si>
    <t>F</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</si>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</sst>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7FEB6B-624E-4A01-82FC-86EE2950ECFB}">
  <we:reference id="wa200009404" version="1.0.0.8" store="en-US" storeType="OMEX"/>
  <we:alternateReferences>
    <we:reference id="WA200009404" version="1.0.0.8" store="" storeType="OMEX"/>
  </we:alternateReferences>
  <we:properties>
    <we:property name="claude.fileId" value="&quot;611039cb-710f-4a24-b27f-7655db56e74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D23" sqref="D23"/>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409</v>
      </c>
      <c r="D2" s="4"/>
      <c r="E2" s="156">
        <v>4</v>
      </c>
      <c r="F2" s="163">
        <f>E2*$L$15</f>
        <v>80</v>
      </c>
      <c r="G2">
        <f>VLOOKUP($C2,[1]약재관리!$A:$J,10,FALSE)</f>
        <v>31.7</v>
      </c>
      <c r="H2" s="5">
        <f>G2*E2</f>
        <v>126.8</v>
      </c>
      <c r="I2" s="6">
        <f t="shared" ref="I2:I31" si="0">G2*F2</f>
        <v>2536</v>
      </c>
      <c r="J2" s="157">
        <f>F2/$L$14</f>
        <v>5.333333333333333</v>
      </c>
      <c r="K2" s="7" t="s">
        <v>6</v>
      </c>
      <c r="L2" s="173">
        <v>199</v>
      </c>
      <c r="M2" s="174"/>
    </row>
    <row r="3" spans="2:13">
      <c r="B3" s="3">
        <v>2</v>
      </c>
      <c r="C3" t="s">
        <v>392</v>
      </c>
      <c r="D3" s="4"/>
      <c r="E3" s="156">
        <v>6</v>
      </c>
      <c r="F3" s="159">
        <f t="shared" ref="F3:F31" si="1">E3*$L$15</f>
        <v>120</v>
      </c>
      <c r="G3">
        <f>VLOOKUP($C3,[1]약재관리!$A:$J,10,FALSE)</f>
        <v>20.5</v>
      </c>
      <c r="H3" s="5">
        <f t="shared" ref="H3:H31" si="2">G3*E3</f>
        <v>123</v>
      </c>
      <c r="I3" s="6">
        <f t="shared" si="0"/>
        <v>2460</v>
      </c>
      <c r="J3" s="157">
        <f t="shared" ref="J3:J21" si="3">F3/$L$14</f>
        <v>8</v>
      </c>
      <c r="K3" s="8" t="s">
        <v>7</v>
      </c>
      <c r="L3" s="168" t="s">
        <v>411</v>
      </c>
      <c r="M3" s="169"/>
    </row>
    <row r="4" spans="2:13">
      <c r="B4" s="3">
        <v>3</v>
      </c>
      <c r="C4" t="s">
        <v>393</v>
      </c>
      <c r="D4" s="4"/>
      <c r="E4" s="156">
        <v>2</v>
      </c>
      <c r="F4" s="159">
        <f t="shared" si="1"/>
        <v>40</v>
      </c>
      <c r="G4">
        <f>VLOOKUP($C4,[1]약재관리!$A:$J,10,FALSE)</f>
        <v>68</v>
      </c>
      <c r="H4" s="5">
        <f t="shared" si="2"/>
        <v>136</v>
      </c>
      <c r="I4" s="6">
        <f t="shared" si="0"/>
        <v>2720</v>
      </c>
      <c r="J4" s="157">
        <f t="shared" si="3"/>
        <v>2.6666666666666665</v>
      </c>
      <c r="K4" s="8" t="s">
        <v>8</v>
      </c>
      <c r="L4" s="175">
        <v>46150</v>
      </c>
      <c r="M4" s="169"/>
    </row>
    <row r="5" spans="2:13">
      <c r="B5" s="3">
        <v>4</v>
      </c>
      <c r="C5" t="s">
        <v>394</v>
      </c>
      <c r="D5" s="4"/>
      <c r="E5" s="156">
        <v>4</v>
      </c>
      <c r="F5" s="159">
        <f t="shared" si="1"/>
        <v>80</v>
      </c>
      <c r="G5">
        <f>VLOOKUP($C5,[1]약재관리!$A:$J,10,FALSE)</f>
        <v>120</v>
      </c>
      <c r="H5" s="5">
        <f t="shared" si="2"/>
        <v>480</v>
      </c>
      <c r="I5" s="6">
        <f t="shared" si="0"/>
        <v>9600</v>
      </c>
      <c r="J5" s="157">
        <f t="shared" si="3"/>
        <v>5.333333333333333</v>
      </c>
      <c r="K5" s="8" t="s">
        <v>9</v>
      </c>
      <c r="L5" s="168" t="s">
        <v>412</v>
      </c>
      <c r="M5" s="169"/>
    </row>
    <row r="6" spans="2:13">
      <c r="B6" s="3">
        <v>5</v>
      </c>
      <c r="C6" t="s">
        <v>395</v>
      </c>
      <c r="D6" s="4"/>
      <c r="E6" s="156">
        <v>4</v>
      </c>
      <c r="F6" s="159">
        <f t="shared" si="1"/>
        <v>80</v>
      </c>
      <c r="G6">
        <f>VLOOKUP($C6,[1]약재관리!$A:$J,10,FALSE)</f>
        <v>16.8</v>
      </c>
      <c r="H6" s="5">
        <f t="shared" si="2"/>
        <v>67.2</v>
      </c>
      <c r="I6" s="6">
        <f t="shared" si="0"/>
        <v>1344</v>
      </c>
      <c r="J6" s="157">
        <f t="shared" si="3"/>
        <v>5.333333333333333</v>
      </c>
      <c r="K6" s="8" t="s">
        <v>10</v>
      </c>
      <c r="L6" s="168">
        <v>36</v>
      </c>
      <c r="M6" s="169"/>
    </row>
    <row r="7" spans="2:13" ht="17.25" thickBot="1">
      <c r="B7" s="3">
        <v>6</v>
      </c>
      <c r="C7" t="s">
        <v>396</v>
      </c>
      <c r="D7" s="4"/>
      <c r="E7" s="156">
        <v>4</v>
      </c>
      <c r="F7" s="159">
        <f t="shared" si="1"/>
        <v>80</v>
      </c>
      <c r="G7">
        <f>VLOOKUP($C7,[1]약재관리!$A:$J,10,FALSE)</f>
        <v>13</v>
      </c>
      <c r="H7" s="5">
        <f t="shared" si="2"/>
        <v>52</v>
      </c>
      <c r="I7" s="6">
        <f t="shared" si="0"/>
        <v>1040</v>
      </c>
      <c r="J7" s="157">
        <f t="shared" si="3"/>
        <v>5.333333333333333</v>
      </c>
      <c r="K7" s="8" t="s">
        <v>11</v>
      </c>
      <c r="L7" s="176" t="s">
        <v>413</v>
      </c>
      <c r="M7" s="177"/>
    </row>
    <row r="8" spans="2:13" ht="17.25" thickBot="1">
      <c r="B8" s="3">
        <v>7</v>
      </c>
      <c r="C8" t="s">
        <v>397</v>
      </c>
      <c r="D8" s="4"/>
      <c r="E8" s="156">
        <v>6</v>
      </c>
      <c r="F8" s="159">
        <f t="shared" si="1"/>
        <v>120</v>
      </c>
      <c r="G8">
        <f>VLOOKUP($C8,[1]약재관리!$A:$J,10,FALSE)</f>
        <v>8.6999999999999993</v>
      </c>
      <c r="H8" s="5">
        <f t="shared" si="2"/>
        <v>52.199999999999996</v>
      </c>
      <c r="I8" s="6">
        <f t="shared" si="0"/>
        <v>1044</v>
      </c>
      <c r="J8" s="157">
        <f t="shared" si="3"/>
        <v>8</v>
      </c>
      <c r="K8" s="170" t="s">
        <v>12</v>
      </c>
      <c r="L8" s="171"/>
      <c r="M8" s="172"/>
    </row>
    <row r="9" spans="2:13">
      <c r="B9" s="3">
        <v>8</v>
      </c>
      <c r="C9" t="s">
        <v>398</v>
      </c>
      <c r="D9" s="4"/>
      <c r="E9" s="156">
        <v>6</v>
      </c>
      <c r="F9" s="159">
        <f t="shared" si="1"/>
        <v>120</v>
      </c>
      <c r="G9">
        <f>VLOOKUP($C9,[1]약재관리!$A:$J,10,FALSE)</f>
        <v>14.7</v>
      </c>
      <c r="H9" s="5">
        <f t="shared" si="2"/>
        <v>88.199999999999989</v>
      </c>
      <c r="I9" s="6">
        <f t="shared" si="0"/>
        <v>1764</v>
      </c>
      <c r="J9" s="157">
        <f t="shared" si="3"/>
        <v>8</v>
      </c>
      <c r="K9" s="178"/>
      <c r="L9" s="179"/>
      <c r="M9" s="180"/>
    </row>
    <row r="10" spans="2:13">
      <c r="B10" s="3">
        <v>9</v>
      </c>
      <c r="C10" t="s">
        <v>399</v>
      </c>
      <c r="D10" s="4"/>
      <c r="E10" s="156">
        <v>4</v>
      </c>
      <c r="F10" s="159">
        <f t="shared" si="1"/>
        <v>80</v>
      </c>
      <c r="G10">
        <f>VLOOKUP($C10,[1]약재관리!$A:$J,10,FALSE)</f>
        <v>41</v>
      </c>
      <c r="H10" s="5">
        <f t="shared" si="2"/>
        <v>164</v>
      </c>
      <c r="I10" s="6">
        <f t="shared" si="0"/>
        <v>3280</v>
      </c>
      <c r="J10" s="157">
        <f t="shared" si="3"/>
        <v>5.333333333333333</v>
      </c>
      <c r="K10" s="181"/>
      <c r="L10" s="182"/>
      <c r="M10" s="183"/>
    </row>
    <row r="11" spans="2:13">
      <c r="B11" s="3">
        <v>10</v>
      </c>
      <c r="C11" t="s">
        <v>410</v>
      </c>
      <c r="D11" s="4"/>
      <c r="E11" s="156">
        <v>4</v>
      </c>
      <c r="F11" s="159">
        <f t="shared" si="1"/>
        <v>80</v>
      </c>
      <c r="G11">
        <f>VLOOKUP($C11,[1]약재관리!$A:$J,10,FALSE)</f>
        <v>17.600000000000001</v>
      </c>
      <c r="H11" s="5">
        <f t="shared" si="2"/>
        <v>70.400000000000006</v>
      </c>
      <c r="I11" s="6">
        <f t="shared" si="0"/>
        <v>1408</v>
      </c>
      <c r="J11" s="157">
        <f t="shared" si="3"/>
        <v>5.333333333333333</v>
      </c>
      <c r="K11" s="181"/>
      <c r="L11" s="182"/>
      <c r="M11" s="183"/>
    </row>
    <row r="12" spans="2:13">
      <c r="B12" s="3">
        <v>11</v>
      </c>
      <c r="C12" t="s">
        <v>400</v>
      </c>
      <c r="D12" s="4"/>
      <c r="E12" s="156">
        <v>4</v>
      </c>
      <c r="F12" s="159">
        <f t="shared" si="1"/>
        <v>80</v>
      </c>
      <c r="G12">
        <f>VLOOKUP($C12,[1]약재관리!$A:$J,10,FALSE)</f>
        <v>21</v>
      </c>
      <c r="H12" s="5">
        <f t="shared" si="2"/>
        <v>84</v>
      </c>
      <c r="I12" s="6">
        <f t="shared" si="0"/>
        <v>1680</v>
      </c>
      <c r="J12" s="157">
        <f t="shared" si="3"/>
        <v>5.333333333333333</v>
      </c>
      <c r="K12" s="181"/>
      <c r="L12" s="182"/>
      <c r="M12" s="183"/>
    </row>
    <row r="13" spans="2:13" ht="17.25" thickBot="1">
      <c r="B13" s="3">
        <v>12</v>
      </c>
      <c r="C13" t="s">
        <v>401</v>
      </c>
      <c r="D13" s="4"/>
      <c r="E13" s="156">
        <v>4</v>
      </c>
      <c r="F13" s="159">
        <f t="shared" si="1"/>
        <v>80</v>
      </c>
      <c r="G13">
        <f>VLOOKUP($C13,[1]약재관리!$A:$J,10,FALSE)</f>
        <v>8.8000000000000007</v>
      </c>
      <c r="H13" s="5">
        <f t="shared" si="2"/>
        <v>35.200000000000003</v>
      </c>
      <c r="I13" s="6">
        <f t="shared" si="0"/>
        <v>704</v>
      </c>
      <c r="J13" s="157">
        <f t="shared" si="3"/>
        <v>5.333333333333333</v>
      </c>
      <c r="K13" s="184"/>
      <c r="L13" s="185"/>
      <c r="M13" s="186"/>
    </row>
    <row r="14" spans="2:13">
      <c r="B14" s="3">
        <v>13</v>
      </c>
      <c r="C14" t="s">
        <v>402</v>
      </c>
      <c r="D14" s="4"/>
      <c r="E14" s="156">
        <v>3</v>
      </c>
      <c r="F14" s="159">
        <f t="shared" si="1"/>
        <v>60</v>
      </c>
      <c r="G14">
        <f>VLOOKUP($C14,[1]약재관리!$A:$J,10,FALSE)</f>
        <v>39.200000000000003</v>
      </c>
      <c r="H14" s="5">
        <f>G14*E14</f>
        <v>117.60000000000001</v>
      </c>
      <c r="I14" s="6">
        <f>G14*F14</f>
        <v>2352</v>
      </c>
      <c r="J14" s="157">
        <f t="shared" si="3"/>
        <v>4</v>
      </c>
      <c r="K14" s="164" t="s">
        <v>13</v>
      </c>
      <c r="L14" s="9">
        <v>15</v>
      </c>
      <c r="M14" s="10" t="s">
        <v>14</v>
      </c>
    </row>
    <row r="15" spans="2:13">
      <c r="B15" s="3">
        <v>14</v>
      </c>
      <c r="C15" t="s">
        <v>403</v>
      </c>
      <c r="D15" s="4"/>
      <c r="E15" s="156">
        <v>2</v>
      </c>
      <c r="F15" s="159">
        <f t="shared" si="1"/>
        <v>40</v>
      </c>
      <c r="G15">
        <f>VLOOKUP($C15,[1]약재관리!$A:$J,10,FALSE)</f>
        <v>21.8</v>
      </c>
      <c r="H15" s="5">
        <f>G15*E15</f>
        <v>43.6</v>
      </c>
      <c r="I15" s="6">
        <f>G15*F15</f>
        <v>872</v>
      </c>
      <c r="J15" s="157">
        <f t="shared" si="3"/>
        <v>2.6666666666666665</v>
      </c>
      <c r="K15" s="165" t="s">
        <v>15</v>
      </c>
      <c r="L15">
        <v>20</v>
      </c>
      <c r="M15" s="4" t="s">
        <v>16</v>
      </c>
    </row>
    <row r="16" spans="2:13">
      <c r="B16" s="3">
        <v>15</v>
      </c>
      <c r="C16" t="s">
        <v>404</v>
      </c>
      <c r="D16" s="4"/>
      <c r="E16" s="156">
        <v>2</v>
      </c>
      <c r="F16" s="159">
        <f t="shared" si="1"/>
        <v>40</v>
      </c>
      <c r="G16">
        <f>VLOOKUP($C16,[1]약재관리!$A:$J,10,FALSE)</f>
        <v>12.2</v>
      </c>
      <c r="H16" s="5">
        <f t="shared" si="2"/>
        <v>24.4</v>
      </c>
      <c r="I16" s="6">
        <f t="shared" si="0"/>
        <v>488</v>
      </c>
      <c r="J16" s="157">
        <f t="shared" si="3"/>
        <v>2.6666666666666665</v>
      </c>
      <c r="K16" s="165" t="s">
        <v>17</v>
      </c>
      <c r="L16">
        <v>31</v>
      </c>
      <c r="M16" s="4" t="s">
        <v>18</v>
      </c>
    </row>
    <row r="17" spans="2:13" ht="17.25" thickBot="1">
      <c r="B17" s="3">
        <v>16</v>
      </c>
      <c r="C17" t="s">
        <v>405</v>
      </c>
      <c r="D17" s="4"/>
      <c r="E17" s="156">
        <v>2</v>
      </c>
      <c r="F17" s="159">
        <f t="shared" si="1"/>
        <v>40</v>
      </c>
      <c r="G17">
        <f>VLOOKUP($C17,[1]약재관리!$A:$J,10,FALSE)</f>
        <v>22.8</v>
      </c>
      <c r="H17" s="5">
        <f t="shared" si="2"/>
        <v>45.6</v>
      </c>
      <c r="I17" s="6">
        <f t="shared" si="0"/>
        <v>912</v>
      </c>
      <c r="J17" s="157">
        <f t="shared" si="3"/>
        <v>2.6666666666666665</v>
      </c>
      <c r="K17" s="14" t="s">
        <v>19</v>
      </c>
      <c r="L17" s="11">
        <v>110</v>
      </c>
      <c r="M17" s="12" t="s">
        <v>20</v>
      </c>
    </row>
    <row r="18" spans="2:13">
      <c r="B18" s="3">
        <v>17</v>
      </c>
      <c r="C18" t="s">
        <v>406</v>
      </c>
      <c r="D18" s="4"/>
      <c r="E18" s="156">
        <v>2</v>
      </c>
      <c r="F18" s="159">
        <f t="shared" si="1"/>
        <v>40</v>
      </c>
      <c r="G18">
        <f>VLOOKUP($C18,[1]약재관리!$A:$J,10,FALSE)</f>
        <v>30</v>
      </c>
      <c r="H18" s="5">
        <f t="shared" si="2"/>
        <v>60</v>
      </c>
      <c r="I18" s="6">
        <f t="shared" si="0"/>
        <v>1200</v>
      </c>
      <c r="J18" s="157">
        <f t="shared" si="3"/>
        <v>2.6666666666666665</v>
      </c>
      <c r="K18" s="164" t="s">
        <v>21</v>
      </c>
      <c r="L18" s="9">
        <f>SUM(E2:E31)</f>
        <v>73</v>
      </c>
      <c r="M18" s="10" t="s">
        <v>22</v>
      </c>
    </row>
    <row r="19" spans="2:13">
      <c r="B19" s="3">
        <v>18</v>
      </c>
      <c r="C19" t="s">
        <v>407</v>
      </c>
      <c r="D19" s="4"/>
      <c r="E19" s="156">
        <v>4</v>
      </c>
      <c r="F19" s="159">
        <f t="shared" si="1"/>
        <v>80</v>
      </c>
      <c r="G19">
        <f>VLOOKUP($C19,[1]약재관리!$A:$J,10,FALSE)</f>
        <v>20</v>
      </c>
      <c r="H19" s="5">
        <f t="shared" si="2"/>
        <v>80</v>
      </c>
      <c r="I19" s="6">
        <f t="shared" si="0"/>
        <v>1600</v>
      </c>
      <c r="J19" s="157">
        <f t="shared" si="3"/>
        <v>5.333333333333333</v>
      </c>
      <c r="K19" s="165" t="s">
        <v>23</v>
      </c>
      <c r="L19">
        <f>L15*L18</f>
        <v>1460</v>
      </c>
      <c r="M19" s="4" t="s">
        <v>22</v>
      </c>
    </row>
    <row r="20" spans="2:13" ht="17.25" thickBot="1">
      <c r="B20" s="3">
        <v>19</v>
      </c>
      <c r="C20" t="s">
        <v>408</v>
      </c>
      <c r="D20" s="4"/>
      <c r="E20" s="156">
        <v>4</v>
      </c>
      <c r="F20" s="159">
        <f t="shared" si="1"/>
        <v>80</v>
      </c>
      <c r="G20">
        <f>VLOOKUP($C20,[1]약재관리!$A:$J,10,FALSE)</f>
        <v>21.2</v>
      </c>
      <c r="H20" s="5">
        <f t="shared" si="2"/>
        <v>84.8</v>
      </c>
      <c r="I20" s="6">
        <f t="shared" si="0"/>
        <v>1696</v>
      </c>
      <c r="J20" s="157">
        <f t="shared" si="3"/>
        <v>5.333333333333333</v>
      </c>
      <c r="K20" s="14" t="s">
        <v>24</v>
      </c>
      <c r="L20" s="11">
        <f>L16*L17+L19*1.3+400</f>
        <v>5708</v>
      </c>
      <c r="M20" s="12" t="s">
        <v>20</v>
      </c>
    </row>
    <row r="21" spans="2:13" ht="17.25" thickBot="1">
      <c r="B21" s="3">
        <v>20</v>
      </c>
      <c r="C21" t="s">
        <v>414</v>
      </c>
      <c r="D21" s="4"/>
      <c r="E21" s="156">
        <v>2</v>
      </c>
      <c r="F21" s="159">
        <f t="shared" si="1"/>
        <v>40</v>
      </c>
      <c r="G21">
        <f>VLOOKUP($C21,[1]약재관리!$A:$J,10,FALSE)</f>
        <v>550</v>
      </c>
      <c r="H21" s="5">
        <f t="shared" si="2"/>
        <v>1100</v>
      </c>
      <c r="I21" s="6">
        <f t="shared" si="0"/>
        <v>22000</v>
      </c>
      <c r="J21" s="157">
        <f t="shared" si="3"/>
        <v>2.6666666666666665</v>
      </c>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1460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3035</v>
      </c>
      <c r="M30" s="4" t="s">
        <v>390</v>
      </c>
    </row>
    <row r="31" spans="2:13" ht="17.25" thickBot="1">
      <c r="B31" s="13">
        <v>30</v>
      </c>
      <c r="C31" s="14"/>
      <c r="D31" s="12"/>
      <c r="E31" s="158"/>
      <c r="F31" s="160">
        <f t="shared" si="1"/>
        <v>0</v>
      </c>
      <c r="H31" s="15">
        <f t="shared" si="2"/>
        <v>0</v>
      </c>
      <c r="I31" s="16">
        <f t="shared" si="0"/>
        <v>0</v>
      </c>
      <c r="K31" s="14" t="s">
        <v>391</v>
      </c>
      <c r="L31" s="15">
        <f>SUM(I2:I31)</f>
        <v>60700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2026-05-08T03:01:21Z</dcterms:modified>
</cp:coreProperties>
</file>