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512" documentId="8_{6EB8DC0A-AB56-415F-A9F3-EA1534264548}" xr6:coauthVersionLast="47" xr6:coauthVersionMax="47" xr10:uidLastSave="{1236BAFF-1F9E-4D35-A6E6-C9A3AFD9F644}"/>
  <bookViews>
    <workbookView xWindow="13560" yWindow="30" windowWidth="15240" windowHeight="15450" xr2:uid="{8B9F1886-173A-4475-B0CF-D9F36CE30773}"/>
  </bookViews>
  <sheets>
    <sheet name="처방전양식 (3)" sheetId="6" r:id="rId1"/>
    <sheet name="처방전양식" sheetId="4" r:id="rId2"/>
    <sheet name="처방전양식 (2)" sheetId="5" r:id="rId3"/>
    <sheet name="약재관리"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6" l="1"/>
  <c r="H12" i="6" s="1"/>
  <c r="G11" i="6"/>
  <c r="H11" i="6" s="1"/>
  <c r="H31" i="6"/>
  <c r="F31" i="6"/>
  <c r="I31" i="6" s="1"/>
  <c r="H30" i="6"/>
  <c r="F30" i="6"/>
  <c r="I30" i="6" s="1"/>
  <c r="H29" i="6"/>
  <c r="F29" i="6"/>
  <c r="I29" i="6" s="1"/>
  <c r="I28" i="6"/>
  <c r="H28" i="6"/>
  <c r="F28" i="6"/>
  <c r="H27" i="6"/>
  <c r="F27" i="6"/>
  <c r="I27" i="6" s="1"/>
  <c r="I26" i="6"/>
  <c r="H26" i="6"/>
  <c r="F26" i="6"/>
  <c r="H25" i="6"/>
  <c r="F25" i="6"/>
  <c r="I25" i="6" s="1"/>
  <c r="I24" i="6"/>
  <c r="H24" i="6"/>
  <c r="F24" i="6"/>
  <c r="H23" i="6"/>
  <c r="F23" i="6"/>
  <c r="I23" i="6" s="1"/>
  <c r="H22" i="6"/>
  <c r="F22" i="6"/>
  <c r="I22" i="6" s="1"/>
  <c r="H21" i="6"/>
  <c r="F21" i="6"/>
  <c r="I21" i="6" s="1"/>
  <c r="I20" i="6"/>
  <c r="H20" i="6"/>
  <c r="F20" i="6"/>
  <c r="I19" i="6"/>
  <c r="H19" i="6"/>
  <c r="F19" i="6"/>
  <c r="L18" i="6"/>
  <c r="L19" i="6" s="1"/>
  <c r="L20" i="6" s="1"/>
  <c r="H18" i="6"/>
  <c r="F18" i="6"/>
  <c r="I18" i="6" s="1"/>
  <c r="H17" i="6"/>
  <c r="F17" i="6"/>
  <c r="I17" i="6" s="1"/>
  <c r="H16" i="6"/>
  <c r="F16" i="6"/>
  <c r="I16" i="6" s="1"/>
  <c r="H15" i="6"/>
  <c r="F15" i="6"/>
  <c r="I15" i="6" s="1"/>
  <c r="H14" i="6"/>
  <c r="F14" i="6"/>
  <c r="I14" i="6" s="1"/>
  <c r="H13" i="6"/>
  <c r="F13" i="6"/>
  <c r="I13" i="6" s="1"/>
  <c r="F12" i="6"/>
  <c r="F11" i="6"/>
  <c r="G10" i="6"/>
  <c r="F10" i="6"/>
  <c r="G9" i="6"/>
  <c r="I9" i="6" s="1"/>
  <c r="F9" i="6"/>
  <c r="G8" i="6"/>
  <c r="I8" i="6" s="1"/>
  <c r="F8" i="6"/>
  <c r="G7" i="6"/>
  <c r="I7" i="6" s="1"/>
  <c r="F7" i="6"/>
  <c r="G6" i="6"/>
  <c r="I6" i="6" s="1"/>
  <c r="F6" i="6"/>
  <c r="G5" i="6"/>
  <c r="F5" i="6"/>
  <c r="G4" i="6"/>
  <c r="F4" i="6"/>
  <c r="G3" i="6"/>
  <c r="I3" i="6" s="1"/>
  <c r="F3" i="6"/>
  <c r="G2" i="6"/>
  <c r="F2" i="6"/>
  <c r="H31" i="5"/>
  <c r="F31" i="5"/>
  <c r="I31" i="5" s="1"/>
  <c r="H30" i="5"/>
  <c r="F30" i="5"/>
  <c r="I30" i="5" s="1"/>
  <c r="I29" i="5"/>
  <c r="H29" i="5"/>
  <c r="F29" i="5"/>
  <c r="I28" i="5"/>
  <c r="H28" i="5"/>
  <c r="F28" i="5"/>
  <c r="I27" i="5"/>
  <c r="H27" i="5"/>
  <c r="F27" i="5"/>
  <c r="H26" i="5"/>
  <c r="F26" i="5"/>
  <c r="I26" i="5" s="1"/>
  <c r="H25" i="5"/>
  <c r="F25" i="5"/>
  <c r="I25" i="5" s="1"/>
  <c r="I24" i="5"/>
  <c r="H24" i="5"/>
  <c r="F24" i="5"/>
  <c r="I23" i="5"/>
  <c r="H23" i="5"/>
  <c r="F23" i="5"/>
  <c r="H22" i="5"/>
  <c r="F22" i="5"/>
  <c r="I22" i="5" s="1"/>
  <c r="H21" i="5"/>
  <c r="F21" i="5"/>
  <c r="I21" i="5" s="1"/>
  <c r="H20" i="5"/>
  <c r="F20" i="5"/>
  <c r="I20" i="5" s="1"/>
  <c r="H19" i="5"/>
  <c r="F19" i="5"/>
  <c r="I19" i="5" s="1"/>
  <c r="L18" i="5"/>
  <c r="L19" i="5" s="1"/>
  <c r="L20" i="5" s="1"/>
  <c r="H18" i="5"/>
  <c r="F18" i="5"/>
  <c r="I18" i="5" s="1"/>
  <c r="H17" i="5"/>
  <c r="F17" i="5"/>
  <c r="I17" i="5" s="1"/>
  <c r="I16" i="5"/>
  <c r="H16" i="5"/>
  <c r="F16" i="5"/>
  <c r="H15" i="5"/>
  <c r="F15" i="5"/>
  <c r="I15" i="5" s="1"/>
  <c r="H14" i="5"/>
  <c r="F14" i="5"/>
  <c r="I14" i="5" s="1"/>
  <c r="H13" i="5"/>
  <c r="F13" i="5"/>
  <c r="I13" i="5" s="1"/>
  <c r="I12" i="5"/>
  <c r="H12" i="5"/>
  <c r="F12" i="5"/>
  <c r="H11" i="5"/>
  <c r="F11" i="5"/>
  <c r="I11" i="5" s="1"/>
  <c r="G10" i="5"/>
  <c r="F10" i="5"/>
  <c r="G9" i="5"/>
  <c r="H9" i="5" s="1"/>
  <c r="F9" i="5"/>
  <c r="G8" i="5"/>
  <c r="I8" i="5" s="1"/>
  <c r="F8" i="5"/>
  <c r="G7" i="5"/>
  <c r="I7" i="5" s="1"/>
  <c r="F7" i="5"/>
  <c r="G6" i="5"/>
  <c r="I6" i="5" s="1"/>
  <c r="F6" i="5"/>
  <c r="G5" i="5"/>
  <c r="I5" i="5" s="1"/>
  <c r="F5" i="5"/>
  <c r="G4" i="5"/>
  <c r="I4" i="5" s="1"/>
  <c r="F4" i="5"/>
  <c r="G3" i="5"/>
  <c r="H3" i="5" s="1"/>
  <c r="F3" i="5"/>
  <c r="G2" i="5"/>
  <c r="I2" i="5" s="1"/>
  <c r="F2" i="5"/>
  <c r="I12" i="6" l="1"/>
  <c r="I10" i="6"/>
  <c r="I5" i="6"/>
  <c r="L23" i="6"/>
  <c r="I4" i="6"/>
  <c r="I2" i="6"/>
  <c r="I11" i="6"/>
  <c r="H7" i="6"/>
  <c r="H10" i="6"/>
  <c r="H4" i="6"/>
  <c r="H2" i="6"/>
  <c r="H5" i="6"/>
  <c r="H8" i="6"/>
  <c r="H3" i="6"/>
  <c r="H6" i="6"/>
  <c r="H9" i="6"/>
  <c r="I10" i="5"/>
  <c r="L23" i="5"/>
  <c r="H4" i="5"/>
  <c r="H7" i="5"/>
  <c r="H10" i="5"/>
  <c r="H2" i="5"/>
  <c r="H5" i="5"/>
  <c r="H8" i="5"/>
  <c r="H6" i="5"/>
  <c r="I3" i="5"/>
  <c r="I9" i="5"/>
  <c r="G141" i="3"/>
  <c r="G196" i="3"/>
  <c r="I100" i="3"/>
  <c r="H100" i="3"/>
  <c r="I26" i="3"/>
  <c r="H26" i="3"/>
  <c r="G26" i="3"/>
  <c r="F26" i="3"/>
  <c r="G2" i="4"/>
  <c r="I174" i="3"/>
  <c r="G40" i="3"/>
  <c r="L31" i="6" l="1"/>
  <c r="L30" i="6"/>
  <c r="L31" i="5"/>
  <c r="L30" i="5"/>
  <c r="I63" i="3"/>
  <c r="G121" i="3"/>
  <c r="I121" i="3"/>
  <c r="H121" i="3"/>
  <c r="F121" i="3"/>
  <c r="F2" i="4"/>
  <c r="I52" i="3"/>
  <c r="H52" i="3"/>
  <c r="G52" i="3"/>
  <c r="F52" i="3"/>
  <c r="G3" i="4" l="1"/>
  <c r="G4" i="4"/>
  <c r="H4" i="4" s="1"/>
  <c r="G5" i="4"/>
  <c r="H5" i="4" s="1"/>
  <c r="G6" i="4"/>
  <c r="H6" i="4" s="1"/>
  <c r="G7" i="4"/>
  <c r="H7" i="4" s="1"/>
  <c r="G8" i="4"/>
  <c r="H8" i="4" s="1"/>
  <c r="G9" i="4"/>
  <c r="G10" i="4"/>
  <c r="H12" i="4"/>
  <c r="H13" i="4"/>
  <c r="H14" i="4"/>
  <c r="H15" i="4"/>
  <c r="H16" i="4"/>
  <c r="H20" i="4"/>
  <c r="H21" i="4"/>
  <c r="H22" i="4"/>
  <c r="H23"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6" i="4" l="1"/>
  <c r="I25" i="4"/>
  <c r="I18" i="4"/>
  <c r="I10"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<sst xmlns="http://schemas.openxmlformats.org/spreadsheetml/2006/main" count="702" uniqueCount="425">
  <si>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</si>
  <si>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</si>
  <si>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</si>
  <si>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</si>
  <si>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</si>
  <si>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</si>
  <si>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</si>
  <si>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</si>
  <si>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</si>
  <si>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</si>
  <si>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</si>
  <si>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</si>
  <si>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</si>
  <si>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</si>
  <si>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</si>
  <si>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</si>
  <si>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</si>
  <si>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</si>
  <si>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</si>
  <si>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</si>
  <si>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</si>
  <si>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</si>
  <si>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</si>
  <si>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</si>
  <si>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</si>
  <si>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</si>
  <si>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</si>
  <si>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</si>
  <si>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</si>
  <si>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</si>
  <si>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</si>
  <si>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</si>
  <si>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</si>
  <si>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</si>
  <si>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</si>
  <si>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</si>
  <si>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</si>
  <si>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</si>
  <si>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</si>
  <si>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</si>
  <si>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</si>
  <si>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</si>
  <si>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</si>
  <si>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</si>
  <si>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</si>
  <si>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</si>
  <si>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</si>
  <si>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</si>
  <si>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</si>
  <si>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</si>
  <si>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</si>
  <si>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</si>
  <si>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</si>
  <si>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</si>
  <si>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</si>
  <si>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</si>
  <si>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</si>
  <si>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</si>
  <si>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</si>
  <si>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</si>
  <si>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</si>
  <si>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</si>
  <si>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</si>
  <si>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</si>
  <si>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</si>
  <si>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</si>
  <si>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</si>
  <si>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</si>
  <si>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</si>
  <si>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</si>
  <si>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</si>
  <si>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</si>
  <si>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</si>
  <si>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</si>
  <si>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</si>
  <si>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</si>
  <si>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</si>
  <si>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</si>
  <si>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</si>
  <si>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</si>
  <si>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</si>
  <si>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</si>
  <si>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</si>
  <si>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</si>
  <si>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</si>
  <si>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</si>
  <si>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</si>
  <si>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</si>
  <si>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</si>
  <si>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</si>
  <si>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</si>
  <si>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</si>
  <si>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</si>
  <si>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</si>
  <si>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</si>
  <si>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</si>
  <si>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</si>
  <si>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</si>
  <si>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</si>
  <si>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</si>
  <si>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</si>
  <si>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</si>
  <si>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</si>
  <si>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</si>
  <si>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</si>
  <si>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</si>
  <si>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</si>
  <si>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</si>
  <si>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</si>
  <si>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</si>
  <si>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</si>
  <si>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</si>
  <si>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</si>
  <si>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</si>
  <si>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</si>
  <si>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</si>
  <si>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</si>
  <si>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</si>
  <si>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</si>
  <si>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</si>
  <si>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</si>
  <si>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</si>
  <si>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</si>
  <si>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</si>
  <si>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</si>
  <si>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</si>
  <si>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</si>
  <si>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</si>
  <si>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</si>
  <si>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</si>
  <si>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</si>
  <si>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</si>
  <si>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</si>
  <si>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</si>
  <si>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</si>
  <si>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</si>
  <si>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</si>
  <si>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</si>
  <si>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</si>
  <si>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</si>
  <si>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</si>
  <si>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</si>
  <si>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</si>
  <si>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</si>
  <si>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</si>
  <si>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</si>
  <si>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</si>
  <si>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</si>
  <si>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</si>
  <si>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</si>
  <si>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</si>
  <si>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</si>
  <si>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</si>
  <si>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</si>
  <si>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</si>
  <si>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</si>
  <si>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</si>
  <si>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</si>
  <si>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</si>
  <si>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</si>
  <si>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</si>
  <si>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</si>
  <si>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</si>
  <si>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</si>
  <si>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</si>
  <si>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</si>
  <si>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</si>
  <si>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</si>
  <si>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</si>
  <si>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</si>
  <si>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</si>
  <si>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</si>
  <si>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</si>
  <si>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</si>
  <si>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</si>
  <si>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</si>
  <si>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</si>
  <si>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</si>
  <si>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</si>
  <si>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</si>
  <si>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</si>
  <si>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</si>
  <si>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</si>
  <si>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</si>
  <si>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</si>
  <si>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</si>
  <si>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</si>
  <si>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</si>
  <si>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</si>
  <si>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</si>
  <si>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</si>
  <si>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</si>
  <si>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</si>
  <si>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</si>
  <si>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</si>
  <si>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</si>
  <si>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</si>
  <si>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</si>
  <si>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</si>
  <si>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</si>
  <si>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</si>
  <si>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</si>
  <si>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</si>
  <si>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</si>
  <si>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</si>
  <si>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</si>
  <si>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</si>
  <si>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</si>
  <si>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</si>
  <si>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</si>
  <si>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</si>
  <si>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</si>
  <si>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</si>
  <si>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</si>
  <si>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</si>
  <si>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</si>
  <si>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</si>
  <si>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</si>
  <si>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</si>
  <si>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</si>
  <si>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</si>
  <si>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</si>
  <si>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</si>
  <si>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</si>
  <si>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</si>
  <si>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</si>
  <si>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</si>
  <si>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</si>
  <si>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</si>
  <si>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</si>
  <si>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</si>
  <si>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</si>
  <si>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</si>
  <si>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</si>
  <si>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</si>
  <si>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</si>
  <si>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</si>
  <si>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</si>
  <si>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</si>
  <si>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</si>
  <si>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</si>
  <si>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</si>
  <si>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</si>
  <si>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</si>
  <si>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</si>
  <si>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</si>
  <si>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</si>
  <si>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</si>
  <si>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</si>
  <si>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</si>
  <si>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</si>
  <si>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</si>
  <si>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</si>
  <si>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</si>
  <si>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</si>
  <si>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</si>
  <si>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</si>
  <si>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</si>
  <si>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</si>
  <si>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</si>
  <si>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</si>
  <si>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</si>
  <si>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</si>
  <si>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</si>
  <si>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</si>
  <si>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</si>
  <si>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</si>
  <si>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</si>
  <si>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</si>
  <si>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</si>
  <si>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</si>
  <si>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</si>
  <si>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</si>
  <si>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</si>
  <si>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</si>
  <si>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</si>
  <si>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</si>
  <si>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</si>
  <si>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</si>
  <si>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</si>
  <si>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</si>
  <si>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</si>
  <si>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</si>
  <si>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</si>
  <si>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</si>
  <si>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</si>
  <si>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</si>
  <si>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</si>
  <si>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</si>
  <si>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</si>
  <si>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</si>
  <si>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</si>
  <si>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</si>
  <si>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</si>
  <si>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</si>
  <si>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</si>
  <si>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</si>
  <si>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</si>
  <si>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</si>
  <si>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</si>
  <si>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</si>
  <si>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</si>
  <si>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</si>
  <si>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</si>
  <si>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</si>
  <si>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</si>
  <si>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</si>
  <si>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</si>
  <si>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</si>
  <si>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</si>
  <si>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</si>
  <si>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</si>
  <si>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</si>
  <si>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</si>
  <si>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</si>
  <si>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</si>
  <si>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</si>
  <si>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</si>
  <si>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</si>
  <si>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</si>
  <si>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</si>
  <si>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</si>
  <si>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</si>
  <si>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</si>
  <si>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</si>
  <si>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</si>
  <si>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</si>
  <si>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</si>
  <si>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</si>
  <si>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</si>
  <si>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</si>
  <si>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</si>
  <si>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</si>
  <si>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</si>
  <si>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</si>
  <si>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</si>
  <si>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</si>
  <si>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</si>
  <si>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</si>
  <si>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</si>
  <si>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</si>
  <si>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</si>
  <si>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</si>
  <si>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</si>
  <si>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</si>
  <si>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</si>
  <si>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</si>
  <si>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</si>
  <si>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</si>
  <si>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</si>
  <si>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</si>
  <si>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</si>
  <si>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</si>
  <si>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</si>
  <si>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</si>
  <si>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</si>
  <si>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</si>
  <si>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</si>
  <si>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</si>
  <si>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</si>
  <si>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</si>
  <si>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</si>
  <si>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</si>
  <si>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</si>
  <si>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</si>
  <si>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</si>
  <si>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</si>
  <si>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</si>
  <si>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</si>
  <si>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</si>
  <si>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</si>
  <si>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</si>
  <si>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</si>
  <si>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</si>
  <si>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</si>
  <si>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</si>
  <si>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</si>
  <si>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</si>
  <si>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</si>
  <si>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</si>
  <si>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</si>
  <si>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</si>
  <si>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</si>
  <si>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</si>
  <si>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</si>
  <si>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</si>
  <si>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</si>
  <si>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</si>
  <si>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</si>
  <si>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</si>
  <si>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</si>
  <si>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</si>
  <si>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</si>
  <si>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</si>
  <si>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</si>
  <si>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</si>
  <si>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</si>
  <si>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</si>
  <si>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</si>
  <si>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</si>
  <si>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</si>
  <si>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</si>
  <si>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</si>
  <si>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</si>
  <si>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</si>
  <si>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</si>
  <si>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</si>
  <si>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추말</t>
    <phoneticPr fontId="5" type="noConversion"/>
  </si>
  <si>
    <t>독활지황탕</t>
    <phoneticPr fontId="5" type="noConversion"/>
  </si>
  <si>
    <t>유경희</t>
    <phoneticPr fontId="5" type="noConversion"/>
  </si>
  <si>
    <t>숙지황</t>
    <phoneticPr fontId="5" type="noConversion"/>
  </si>
  <si>
    <t>산수유</t>
    <phoneticPr fontId="5" type="noConversion"/>
  </si>
  <si>
    <t>복령</t>
    <phoneticPr fontId="5" type="noConversion"/>
  </si>
  <si>
    <t>목단피</t>
    <phoneticPr fontId="5" type="noConversion"/>
  </si>
  <si>
    <t>독활</t>
    <phoneticPr fontId="5" type="noConversion"/>
  </si>
  <si>
    <t>구기자</t>
    <phoneticPr fontId="5" type="noConversion"/>
  </si>
  <si>
    <t>황련</t>
    <phoneticPr fontId="5" type="noConversion"/>
  </si>
  <si>
    <t>택사1</t>
    <phoneticPr fontId="5" type="noConversion"/>
  </si>
  <si>
    <t>방풍1</t>
    <phoneticPr fontId="5" type="noConversion"/>
  </si>
  <si>
    <t>F</t>
    <phoneticPr fontId="5" type="noConversion"/>
  </si>
  <si>
    <t>지모</t>
    <phoneticPr fontId="5" type="noConversion"/>
  </si>
  <si>
    <t>형방지황탕</t>
    <phoneticPr fontId="5" type="noConversion"/>
  </si>
  <si>
    <t>형개</t>
    <phoneticPr fontId="5" type="noConversion"/>
  </si>
  <si>
    <t>강활1</t>
    <phoneticPr fontId="5" type="noConversion"/>
  </si>
  <si>
    <t xml:space="preserve">형방지황탕 - 차전자 + 지모, 황련, 목단피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</si>
</sst>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9D1F8-18D2-4788-A984-F043B1D14850}">
  <sheetPr>
    <pageSetUpPr fitToPage="1"/>
  </sheetPr>
  <dimension ref="B1:M31"/>
  <sheetViews>
    <sheetView tabSelected="1" workbookViewId="0">
      <selection activeCell="H21" sqref="H21"/>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410</v>
      </c>
      <c r="D2" s="4"/>
      <c r="E2" s="88">
        <v>8</v>
      </c>
      <c r="F2" s="101">
        <f>E2*$L$15</f>
        <v>80</v>
      </c>
      <c r="G2">
        <f>VLOOKUP($C2,약재관리!A:J,10,FALSE)</f>
        <v>20</v>
      </c>
      <c r="H2" s="5">
        <f>G2*E2</f>
        <v>160</v>
      </c>
      <c r="I2" s="90">
        <f>G2*F2</f>
        <v>1600</v>
      </c>
      <c r="K2" s="7" t="s">
        <v>9</v>
      </c>
      <c r="L2" s="161">
        <v>63</v>
      </c>
      <c r="M2" s="162"/>
    </row>
    <row r="3" spans="2:13">
      <c r="B3" s="3">
        <v>2</v>
      </c>
      <c r="C3" t="s">
        <v>411</v>
      </c>
      <c r="D3" s="4"/>
      <c r="E3" s="88">
        <v>8</v>
      </c>
      <c r="F3" s="101">
        <f t="shared" ref="F3:F31" si="0">E3*$L$15</f>
        <v>80</v>
      </c>
      <c r="G3">
        <f>VLOOKUP($C3,약재관리!A:J,10,FALSE)</f>
        <v>31.2</v>
      </c>
      <c r="H3" s="5">
        <f t="shared" ref="H3:H31" si="1">G3*E3</f>
        <v>249.6</v>
      </c>
      <c r="I3" s="6">
        <f t="shared" ref="I3:I31" si="2">G3*F3</f>
        <v>2496</v>
      </c>
      <c r="K3" s="8" t="s">
        <v>10</v>
      </c>
      <c r="L3" s="163" t="s">
        <v>421</v>
      </c>
      <c r="M3" s="164"/>
    </row>
    <row r="4" spans="2:13">
      <c r="B4" s="3">
        <v>3</v>
      </c>
      <c r="C4" t="s">
        <v>417</v>
      </c>
      <c r="D4" s="4"/>
      <c r="E4" s="88">
        <v>8</v>
      </c>
      <c r="F4" s="101">
        <f t="shared" si="0"/>
        <v>80</v>
      </c>
      <c r="G4">
        <f>VLOOKUP($C4,약재관리!A:J,10,FALSE)</f>
        <v>23.7</v>
      </c>
      <c r="H4" s="5">
        <f t="shared" si="1"/>
        <v>189.6</v>
      </c>
      <c r="I4" s="6">
        <f t="shared" si="2"/>
        <v>1896</v>
      </c>
      <c r="K4" s="8" t="s">
        <v>11</v>
      </c>
      <c r="L4" s="165">
        <v>45699</v>
      </c>
      <c r="M4" s="164"/>
    </row>
    <row r="5" spans="2:13">
      <c r="B5" s="3">
        <v>4</v>
      </c>
      <c r="C5" t="s">
        <v>412</v>
      </c>
      <c r="D5" s="4"/>
      <c r="E5" s="88">
        <v>8</v>
      </c>
      <c r="F5" s="101">
        <f t="shared" si="0"/>
        <v>80</v>
      </c>
      <c r="G5">
        <f>VLOOKUP($C5,약재관리!A:J,10,FALSE)</f>
        <v>11</v>
      </c>
      <c r="H5" s="5">
        <f t="shared" si="1"/>
        <v>88</v>
      </c>
      <c r="I5" s="6">
        <f t="shared" si="2"/>
        <v>880</v>
      </c>
      <c r="K5" s="8" t="s">
        <v>12</v>
      </c>
      <c r="L5" s="163" t="s">
        <v>409</v>
      </c>
      <c r="M5" s="164"/>
    </row>
    <row r="6" spans="2:13">
      <c r="B6" s="3">
        <v>5</v>
      </c>
      <c r="C6" t="s">
        <v>420</v>
      </c>
      <c r="D6" s="4"/>
      <c r="E6" s="88">
        <v>4</v>
      </c>
      <c r="F6" s="101">
        <f t="shared" si="0"/>
        <v>40</v>
      </c>
      <c r="G6">
        <f>VLOOKUP($C6,약재관리!A:J,10,FALSE)</f>
        <v>16.7</v>
      </c>
      <c r="H6" s="5">
        <f t="shared" si="1"/>
        <v>66.8</v>
      </c>
      <c r="I6" s="6">
        <f t="shared" si="2"/>
        <v>668</v>
      </c>
      <c r="K6" s="8" t="s">
        <v>13</v>
      </c>
      <c r="L6" s="163">
        <v>66</v>
      </c>
      <c r="M6" s="164"/>
    </row>
    <row r="7" spans="2:13" ht="17.25" thickBot="1">
      <c r="B7" s="3">
        <v>6</v>
      </c>
      <c r="C7" t="s">
        <v>414</v>
      </c>
      <c r="D7" s="4"/>
      <c r="E7" s="88">
        <v>4</v>
      </c>
      <c r="F7" s="101">
        <f t="shared" si="0"/>
        <v>40</v>
      </c>
      <c r="G7">
        <f>VLOOKUP($C7,약재관리!A:J,10,FALSE)</f>
        <v>31.2</v>
      </c>
      <c r="H7" s="5">
        <f t="shared" si="1"/>
        <v>124.8</v>
      </c>
      <c r="I7" s="6">
        <f t="shared" si="2"/>
        <v>1248</v>
      </c>
      <c r="K7" s="8" t="s">
        <v>14</v>
      </c>
      <c r="L7" s="147" t="s">
        <v>419</v>
      </c>
      <c r="M7" s="148"/>
    </row>
    <row r="8" spans="2:13" ht="17.25" thickBot="1">
      <c r="B8" s="3">
        <v>7</v>
      </c>
      <c r="C8" t="s">
        <v>418</v>
      </c>
      <c r="D8" s="4"/>
      <c r="E8" s="88">
        <v>4</v>
      </c>
      <c r="F8" s="101">
        <f t="shared" si="0"/>
        <v>40</v>
      </c>
      <c r="G8">
        <f>VLOOKUP($C8,약재관리!A:J,10,FALSE)</f>
        <v>15.7</v>
      </c>
      <c r="H8" s="5">
        <f t="shared" si="1"/>
        <v>62.8</v>
      </c>
      <c r="I8" s="6">
        <f t="shared" si="2"/>
        <v>628</v>
      </c>
      <c r="K8" s="149" t="s">
        <v>15</v>
      </c>
      <c r="L8" s="150"/>
      <c r="M8" s="151"/>
    </row>
    <row r="9" spans="2:13">
      <c r="B9" s="3">
        <v>8</v>
      </c>
      <c r="C9" t="s">
        <v>422</v>
      </c>
      <c r="D9" s="4"/>
      <c r="E9" s="88">
        <v>4</v>
      </c>
      <c r="F9" s="101">
        <f t="shared" si="0"/>
        <v>40</v>
      </c>
      <c r="G9">
        <f>VLOOKUP($C9,약재관리!A:J,10,FALSE)</f>
        <v>19.8</v>
      </c>
      <c r="H9" s="5">
        <f t="shared" si="1"/>
        <v>79.2</v>
      </c>
      <c r="I9" s="6">
        <f t="shared" si="2"/>
        <v>792</v>
      </c>
      <c r="K9" s="166" t="s">
        <v>424</v>
      </c>
      <c r="L9" s="153"/>
      <c r="M9" s="154"/>
    </row>
    <row r="10" spans="2:13">
      <c r="B10" s="3">
        <v>9</v>
      </c>
      <c r="C10" t="s">
        <v>423</v>
      </c>
      <c r="D10" s="4"/>
      <c r="E10" s="88">
        <v>4</v>
      </c>
      <c r="F10" s="101">
        <f t="shared" si="0"/>
        <v>40</v>
      </c>
      <c r="G10">
        <f>VLOOKUP($C10,약재관리!A:J,10,FALSE)</f>
        <v>40</v>
      </c>
      <c r="H10" s="5">
        <f t="shared" si="1"/>
        <v>160</v>
      </c>
      <c r="I10" s="6">
        <f t="shared" si="2"/>
        <v>1600</v>
      </c>
      <c r="K10" s="155"/>
      <c r="L10" s="156"/>
      <c r="M10" s="157"/>
    </row>
    <row r="11" spans="2:13">
      <c r="B11" s="3">
        <v>10</v>
      </c>
      <c r="C11" t="s">
        <v>416</v>
      </c>
      <c r="D11" s="4"/>
      <c r="E11" s="88">
        <v>2</v>
      </c>
      <c r="F11" s="101">
        <f t="shared" si="0"/>
        <v>20</v>
      </c>
      <c r="G11">
        <f>VLOOKUP($C11,약재관리!A:J,10,FALSE)</f>
        <v>136.69999999999999</v>
      </c>
      <c r="H11" s="5">
        <f t="shared" si="1"/>
        <v>273.39999999999998</v>
      </c>
      <c r="I11" s="6">
        <f t="shared" si="2"/>
        <v>2734</v>
      </c>
      <c r="K11" s="155"/>
      <c r="L11" s="156"/>
      <c r="M11" s="157"/>
    </row>
    <row r="12" spans="2:13">
      <c r="B12" s="3">
        <v>11</v>
      </c>
      <c r="C12" t="s">
        <v>413</v>
      </c>
      <c r="D12" s="4"/>
      <c r="E12" s="88">
        <v>4</v>
      </c>
      <c r="F12" s="101">
        <f t="shared" si="0"/>
        <v>40</v>
      </c>
      <c r="G12">
        <f>VLOOKUP($C12,약재관리!A:J,10,FALSE)</f>
        <v>31.5</v>
      </c>
      <c r="H12" s="5">
        <f t="shared" si="1"/>
        <v>126</v>
      </c>
      <c r="I12" s="6">
        <f t="shared" si="2"/>
        <v>1260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10</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58</v>
      </c>
      <c r="M18" s="10" t="s">
        <v>25</v>
      </c>
    </row>
    <row r="19" spans="2:13">
      <c r="B19" s="3">
        <v>18</v>
      </c>
      <c r="D19" s="4"/>
      <c r="F19" s="101">
        <f t="shared" si="0"/>
        <v>0</v>
      </c>
      <c r="H19" s="5">
        <f t="shared" si="1"/>
        <v>0</v>
      </c>
      <c r="I19" s="6">
        <f t="shared" si="2"/>
        <v>0</v>
      </c>
      <c r="K19" s="91" t="s">
        <v>26</v>
      </c>
      <c r="L19">
        <f>L15*L18</f>
        <v>580</v>
      </c>
      <c r="M19" s="4" t="s">
        <v>25</v>
      </c>
    </row>
    <row r="20" spans="2:13" ht="17.25" thickBot="1">
      <c r="B20" s="3">
        <v>19</v>
      </c>
      <c r="D20" s="4"/>
      <c r="F20" s="101">
        <f t="shared" si="0"/>
        <v>0</v>
      </c>
      <c r="H20" s="5">
        <f t="shared" si="1"/>
        <v>0</v>
      </c>
      <c r="I20" s="6">
        <f t="shared" si="2"/>
        <v>0</v>
      </c>
      <c r="K20" s="14" t="s">
        <v>27</v>
      </c>
      <c r="L20" s="11">
        <f>L16*L17+L19</f>
        <v>2580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580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1580.1999999999998</v>
      </c>
      <c r="M30" s="4" t="s">
        <v>386</v>
      </c>
    </row>
    <row r="31" spans="2:13" ht="17.25" thickBot="1">
      <c r="B31" s="13">
        <v>30</v>
      </c>
      <c r="C31" s="14"/>
      <c r="D31" s="12"/>
      <c r="E31" s="95"/>
      <c r="F31" s="102">
        <f t="shared" si="0"/>
        <v>0</v>
      </c>
      <c r="G31" s="14"/>
      <c r="H31" s="15">
        <f t="shared" si="1"/>
        <v>0</v>
      </c>
      <c r="I31" s="16">
        <f t="shared" si="2"/>
        <v>0</v>
      </c>
      <c r="K31" s="14" t="s">
        <v>385</v>
      </c>
      <c r="L31" s="15">
        <f>SUM(I2:I31)</f>
        <v>15802</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F14" sqref="F1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410</v>
      </c>
      <c r="D2" s="4"/>
      <c r="E2" s="88">
        <v>16</v>
      </c>
      <c r="F2" s="101">
        <f>E2*$L$15</f>
        <v>160</v>
      </c>
      <c r="G2">
        <f>VLOOKUP($C2,약재관리!A:J,10,FALSE)</f>
        <v>20</v>
      </c>
      <c r="H2" s="5">
        <f>G2*E2</f>
        <v>320</v>
      </c>
      <c r="I2" s="90">
        <f>G2*F2</f>
        <v>3200</v>
      </c>
      <c r="K2" s="7" t="s">
        <v>9</v>
      </c>
      <c r="L2" s="161">
        <v>63</v>
      </c>
      <c r="M2" s="162"/>
    </row>
    <row r="3" spans="2:13">
      <c r="B3" s="3">
        <v>2</v>
      </c>
      <c r="C3" t="s">
        <v>411</v>
      </c>
      <c r="D3" s="4"/>
      <c r="E3" s="88">
        <v>8</v>
      </c>
      <c r="F3" s="101">
        <f t="shared" ref="F3:F31" si="0">E3*$L$15</f>
        <v>80</v>
      </c>
      <c r="G3">
        <f>VLOOKUP($C3,약재관리!A:J,10,FALSE)</f>
        <v>31.2</v>
      </c>
      <c r="H3" s="5">
        <f t="shared" ref="H3:H31" si="1">G3*E3</f>
        <v>249.6</v>
      </c>
      <c r="I3" s="6">
        <f t="shared" ref="I3:I31" si="2">G3*F3</f>
        <v>2496</v>
      </c>
      <c r="K3" s="8" t="s">
        <v>10</v>
      </c>
      <c r="L3" s="163" t="s">
        <v>408</v>
      </c>
      <c r="M3" s="164"/>
    </row>
    <row r="4" spans="2:13">
      <c r="B4" s="3">
        <v>3</v>
      </c>
      <c r="C4" t="s">
        <v>417</v>
      </c>
      <c r="D4" s="4"/>
      <c r="E4" s="88">
        <v>6</v>
      </c>
      <c r="F4" s="101">
        <f t="shared" si="0"/>
        <v>60</v>
      </c>
      <c r="G4">
        <f>VLOOKUP($C4,약재관리!A:J,10,FALSE)</f>
        <v>23.7</v>
      </c>
      <c r="H4" s="5">
        <f t="shared" si="1"/>
        <v>142.19999999999999</v>
      </c>
      <c r="I4" s="6">
        <f t="shared" si="2"/>
        <v>1422</v>
      </c>
      <c r="K4" s="8" t="s">
        <v>11</v>
      </c>
      <c r="L4" s="165">
        <v>45665</v>
      </c>
      <c r="M4" s="164"/>
    </row>
    <row r="5" spans="2:13">
      <c r="B5" s="3">
        <v>4</v>
      </c>
      <c r="C5" t="s">
        <v>412</v>
      </c>
      <c r="D5" s="4"/>
      <c r="E5" s="88">
        <v>6</v>
      </c>
      <c r="F5" s="101">
        <f t="shared" si="0"/>
        <v>60</v>
      </c>
      <c r="G5">
        <f>VLOOKUP($C5,약재관리!A:J,10,FALSE)</f>
        <v>11</v>
      </c>
      <c r="H5" s="5">
        <f t="shared" si="1"/>
        <v>66</v>
      </c>
      <c r="I5" s="6">
        <f t="shared" si="2"/>
        <v>660</v>
      </c>
      <c r="K5" s="8" t="s">
        <v>12</v>
      </c>
      <c r="L5" s="163" t="s">
        <v>409</v>
      </c>
      <c r="M5" s="164"/>
    </row>
    <row r="6" spans="2:13">
      <c r="B6" s="3">
        <v>5</v>
      </c>
      <c r="C6" t="s">
        <v>413</v>
      </c>
      <c r="D6" s="4"/>
      <c r="E6" s="88">
        <v>4</v>
      </c>
      <c r="F6" s="101">
        <f t="shared" si="0"/>
        <v>40</v>
      </c>
      <c r="G6">
        <f>VLOOKUP($C6,약재관리!A:J,10,FALSE)</f>
        <v>31.5</v>
      </c>
      <c r="H6" s="5">
        <f t="shared" si="1"/>
        <v>126</v>
      </c>
      <c r="I6" s="6">
        <f t="shared" si="2"/>
        <v>1260</v>
      </c>
      <c r="K6" s="8" t="s">
        <v>13</v>
      </c>
      <c r="L6" s="163">
        <v>66</v>
      </c>
      <c r="M6" s="164"/>
    </row>
    <row r="7" spans="2:13" ht="17.25" thickBot="1">
      <c r="B7" s="3">
        <v>6</v>
      </c>
      <c r="C7" t="s">
        <v>414</v>
      </c>
      <c r="D7" s="4"/>
      <c r="E7" s="88">
        <v>4</v>
      </c>
      <c r="F7" s="101">
        <f t="shared" si="0"/>
        <v>40</v>
      </c>
      <c r="G7">
        <f>VLOOKUP($C7,약재관리!A:J,10,FALSE)</f>
        <v>31.2</v>
      </c>
      <c r="H7" s="5">
        <f t="shared" si="1"/>
        <v>124.8</v>
      </c>
      <c r="I7" s="6">
        <f t="shared" si="2"/>
        <v>1248</v>
      </c>
      <c r="K7" s="8" t="s">
        <v>14</v>
      </c>
      <c r="L7" s="147" t="s">
        <v>419</v>
      </c>
      <c r="M7" s="148"/>
    </row>
    <row r="8" spans="2:13" ht="17.25" thickBot="1">
      <c r="B8" s="3">
        <v>7</v>
      </c>
      <c r="C8" t="s">
        <v>418</v>
      </c>
      <c r="D8" s="4"/>
      <c r="E8" s="88">
        <v>4</v>
      </c>
      <c r="F8" s="101">
        <f t="shared" si="0"/>
        <v>40</v>
      </c>
      <c r="G8">
        <f>VLOOKUP($C8,약재관리!A:J,10,FALSE)</f>
        <v>15.7</v>
      </c>
      <c r="H8" s="5">
        <f t="shared" si="1"/>
        <v>62.8</v>
      </c>
      <c r="I8" s="6">
        <f t="shared" si="2"/>
        <v>628</v>
      </c>
      <c r="K8" s="149" t="s">
        <v>15</v>
      </c>
      <c r="L8" s="150"/>
      <c r="M8" s="151"/>
    </row>
    <row r="9" spans="2:13">
      <c r="B9" s="3">
        <v>8</v>
      </c>
      <c r="C9" t="s">
        <v>415</v>
      </c>
      <c r="D9" s="4"/>
      <c r="E9" s="88">
        <v>4</v>
      </c>
      <c r="F9" s="101">
        <f t="shared" si="0"/>
        <v>40</v>
      </c>
      <c r="G9">
        <f>VLOOKUP($C9,약재관리!A:J,10,FALSE)</f>
        <v>13.3</v>
      </c>
      <c r="H9" s="5">
        <f t="shared" si="1"/>
        <v>53.2</v>
      </c>
      <c r="I9" s="6">
        <f t="shared" si="2"/>
        <v>532</v>
      </c>
      <c r="K9" s="152"/>
      <c r="L9" s="153"/>
      <c r="M9" s="154"/>
    </row>
    <row r="10" spans="2:13">
      <c r="B10" s="3">
        <v>9</v>
      </c>
      <c r="C10" t="s">
        <v>416</v>
      </c>
      <c r="D10" s="4"/>
      <c r="E10" s="88">
        <v>3</v>
      </c>
      <c r="F10" s="101">
        <f t="shared" si="0"/>
        <v>30</v>
      </c>
      <c r="G10">
        <f>VLOOKUP($C10,약재관리!A:J,10,FALSE)</f>
        <v>136.69999999999999</v>
      </c>
      <c r="H10" s="5">
        <f t="shared" si="1"/>
        <v>410.09999999999997</v>
      </c>
      <c r="I10" s="6">
        <f t="shared" si="2"/>
        <v>4101</v>
      </c>
      <c r="K10" s="155"/>
      <c r="L10" s="156"/>
      <c r="M10" s="157"/>
    </row>
    <row r="11" spans="2:13">
      <c r="B11" s="3">
        <v>10</v>
      </c>
      <c r="D11" s="4"/>
      <c r="F11" s="101">
        <f t="shared" si="0"/>
        <v>0</v>
      </c>
      <c r="H11" s="5">
        <f t="shared" si="1"/>
        <v>0</v>
      </c>
      <c r="I11" s="6">
        <f t="shared" si="2"/>
        <v>0</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10</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55</v>
      </c>
      <c r="M18" s="10" t="s">
        <v>25</v>
      </c>
    </row>
    <row r="19" spans="2:13">
      <c r="B19" s="3">
        <v>18</v>
      </c>
      <c r="D19" s="4"/>
      <c r="F19" s="101">
        <f t="shared" si="0"/>
        <v>0</v>
      </c>
      <c r="H19" s="5">
        <f t="shared" si="1"/>
        <v>0</v>
      </c>
      <c r="I19" s="6">
        <f t="shared" si="2"/>
        <v>0</v>
      </c>
      <c r="K19" s="91" t="s">
        <v>26</v>
      </c>
      <c r="L19">
        <f>L15*L18</f>
        <v>550</v>
      </c>
      <c r="M19" s="4" t="s">
        <v>25</v>
      </c>
    </row>
    <row r="20" spans="2:13" ht="17.25" thickBot="1">
      <c r="B20" s="3">
        <v>19</v>
      </c>
      <c r="D20" s="4"/>
      <c r="F20" s="101">
        <f t="shared" si="0"/>
        <v>0</v>
      </c>
      <c r="H20" s="5">
        <f t="shared" si="1"/>
        <v>0</v>
      </c>
      <c r="I20" s="6">
        <f t="shared" si="2"/>
        <v>0</v>
      </c>
      <c r="K20" s="14" t="s">
        <v>27</v>
      </c>
      <c r="L20" s="11">
        <f>L16*L17+L19</f>
        <v>2550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550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1554.6999999999998</v>
      </c>
      <c r="M30" s="4" t="s">
        <v>386</v>
      </c>
    </row>
    <row r="31" spans="2:13" ht="17.25" thickBot="1">
      <c r="B31" s="13">
        <v>30</v>
      </c>
      <c r="C31" s="14"/>
      <c r="D31" s="12"/>
      <c r="E31" s="95"/>
      <c r="F31" s="102">
        <f t="shared" si="0"/>
        <v>0</v>
      </c>
      <c r="G31" s="14"/>
      <c r="H31" s="15">
        <f t="shared" si="1"/>
        <v>0</v>
      </c>
      <c r="I31" s="16">
        <f t="shared" si="2"/>
        <v>0</v>
      </c>
      <c r="K31" s="14" t="s">
        <v>385</v>
      </c>
      <c r="L31" s="15">
        <f>SUM(I2:I31)</f>
        <v>15547</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47E00-6582-4C2E-83DA-1AC268B4B62B}">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410</v>
      </c>
      <c r="D2" s="4"/>
      <c r="E2" s="88">
        <v>16</v>
      </c>
      <c r="F2" s="101">
        <f>E2*$L$15</f>
        <v>160</v>
      </c>
      <c r="G2">
        <f>VLOOKUP($C2,약재관리!A:J,10,FALSE)</f>
        <v>20</v>
      </c>
      <c r="H2" s="5">
        <f>G2*E2</f>
        <v>320</v>
      </c>
      <c r="I2" s="90">
        <f>G2*F2</f>
        <v>3200</v>
      </c>
      <c r="K2" s="7" t="s">
        <v>9</v>
      </c>
      <c r="L2" s="161">
        <v>63</v>
      </c>
      <c r="M2" s="162"/>
    </row>
    <row r="3" spans="2:13">
      <c r="B3" s="3">
        <v>2</v>
      </c>
      <c r="C3" t="s">
        <v>411</v>
      </c>
      <c r="D3" s="4"/>
      <c r="E3" s="88">
        <v>8</v>
      </c>
      <c r="F3" s="101">
        <f t="shared" ref="F3:F31" si="0">E3*$L$15</f>
        <v>80</v>
      </c>
      <c r="G3">
        <f>VLOOKUP($C3,약재관리!A:J,10,FALSE)</f>
        <v>31.2</v>
      </c>
      <c r="H3" s="5">
        <f t="shared" ref="H3:H31" si="1">G3*E3</f>
        <v>249.6</v>
      </c>
      <c r="I3" s="6">
        <f t="shared" ref="I3:I31" si="2">G3*F3</f>
        <v>2496</v>
      </c>
      <c r="K3" s="8" t="s">
        <v>10</v>
      </c>
      <c r="L3" s="163" t="s">
        <v>408</v>
      </c>
      <c r="M3" s="164"/>
    </row>
    <row r="4" spans="2:13">
      <c r="B4" s="3">
        <v>3</v>
      </c>
      <c r="C4" t="s">
        <v>417</v>
      </c>
      <c r="D4" s="4"/>
      <c r="E4" s="88">
        <v>6</v>
      </c>
      <c r="F4" s="101">
        <f t="shared" si="0"/>
        <v>60</v>
      </c>
      <c r="G4">
        <f>VLOOKUP($C4,약재관리!A:J,10,FALSE)</f>
        <v>23.7</v>
      </c>
      <c r="H4" s="5">
        <f t="shared" si="1"/>
        <v>142.19999999999999</v>
      </c>
      <c r="I4" s="6">
        <f t="shared" si="2"/>
        <v>1422</v>
      </c>
      <c r="K4" s="8" t="s">
        <v>11</v>
      </c>
      <c r="L4" s="165">
        <v>45541</v>
      </c>
      <c r="M4" s="164"/>
    </row>
    <row r="5" spans="2:13">
      <c r="B5" s="3">
        <v>4</v>
      </c>
      <c r="C5" t="s">
        <v>412</v>
      </c>
      <c r="D5" s="4"/>
      <c r="E5" s="88">
        <v>6</v>
      </c>
      <c r="F5" s="101">
        <f t="shared" si="0"/>
        <v>60</v>
      </c>
      <c r="G5">
        <f>VLOOKUP($C5,약재관리!A:J,10,FALSE)</f>
        <v>11</v>
      </c>
      <c r="H5" s="5">
        <f t="shared" si="1"/>
        <v>66</v>
      </c>
      <c r="I5" s="6">
        <f t="shared" si="2"/>
        <v>660</v>
      </c>
      <c r="K5" s="8" t="s">
        <v>12</v>
      </c>
      <c r="L5" s="163" t="s">
        <v>409</v>
      </c>
      <c r="M5" s="164"/>
    </row>
    <row r="6" spans="2:13">
      <c r="B6" s="3">
        <v>5</v>
      </c>
      <c r="C6" t="s">
        <v>413</v>
      </c>
      <c r="D6" s="4"/>
      <c r="E6" s="88">
        <v>4</v>
      </c>
      <c r="F6" s="101">
        <f t="shared" si="0"/>
        <v>40</v>
      </c>
      <c r="G6">
        <f>VLOOKUP($C6,약재관리!A:J,10,FALSE)</f>
        <v>31.5</v>
      </c>
      <c r="H6" s="5">
        <f t="shared" si="1"/>
        <v>126</v>
      </c>
      <c r="I6" s="6">
        <f t="shared" si="2"/>
        <v>1260</v>
      </c>
      <c r="K6" s="8" t="s">
        <v>13</v>
      </c>
      <c r="L6" s="163">
        <v>65</v>
      </c>
      <c r="M6" s="164"/>
    </row>
    <row r="7" spans="2:13" ht="17.25" thickBot="1">
      <c r="B7" s="3">
        <v>6</v>
      </c>
      <c r="C7" t="s">
        <v>414</v>
      </c>
      <c r="D7" s="4"/>
      <c r="E7" s="88">
        <v>4</v>
      </c>
      <c r="F7" s="101">
        <f t="shared" si="0"/>
        <v>40</v>
      </c>
      <c r="G7">
        <f>VLOOKUP($C7,약재관리!A:J,10,FALSE)</f>
        <v>31.2</v>
      </c>
      <c r="H7" s="5">
        <f t="shared" si="1"/>
        <v>124.8</v>
      </c>
      <c r="I7" s="6">
        <f t="shared" si="2"/>
        <v>1248</v>
      </c>
      <c r="K7" s="8" t="s">
        <v>14</v>
      </c>
      <c r="L7" s="147" t="s">
        <v>419</v>
      </c>
      <c r="M7" s="148"/>
    </row>
    <row r="8" spans="2:13" ht="17.25" thickBot="1">
      <c r="B8" s="3">
        <v>7</v>
      </c>
      <c r="C8" t="s">
        <v>418</v>
      </c>
      <c r="D8" s="4"/>
      <c r="E8" s="88">
        <v>4</v>
      </c>
      <c r="F8" s="101">
        <f t="shared" si="0"/>
        <v>40</v>
      </c>
      <c r="G8">
        <f>VLOOKUP($C8,약재관리!A:J,10,FALSE)</f>
        <v>15.7</v>
      </c>
      <c r="H8" s="5">
        <f t="shared" si="1"/>
        <v>62.8</v>
      </c>
      <c r="I8" s="6">
        <f t="shared" si="2"/>
        <v>628</v>
      </c>
      <c r="K8" s="149" t="s">
        <v>15</v>
      </c>
      <c r="L8" s="150"/>
      <c r="M8" s="151"/>
    </row>
    <row r="9" spans="2:13">
      <c r="B9" s="3">
        <v>8</v>
      </c>
      <c r="C9" t="s">
        <v>415</v>
      </c>
      <c r="D9" s="4"/>
      <c r="E9" s="88">
        <v>4</v>
      </c>
      <c r="F9" s="101">
        <f t="shared" si="0"/>
        <v>40</v>
      </c>
      <c r="G9">
        <f>VLOOKUP($C9,약재관리!A:J,10,FALSE)</f>
        <v>13.3</v>
      </c>
      <c r="H9" s="5">
        <f t="shared" si="1"/>
        <v>53.2</v>
      </c>
      <c r="I9" s="6">
        <f t="shared" si="2"/>
        <v>532</v>
      </c>
      <c r="K9" s="152"/>
      <c r="L9" s="153"/>
      <c r="M9" s="154"/>
    </row>
    <row r="10" spans="2:13">
      <c r="B10" s="3">
        <v>9</v>
      </c>
      <c r="C10" t="s">
        <v>416</v>
      </c>
      <c r="D10" s="4"/>
      <c r="E10" s="88">
        <v>2</v>
      </c>
      <c r="F10" s="101">
        <f t="shared" si="0"/>
        <v>20</v>
      </c>
      <c r="G10">
        <f>VLOOKUP($C10,약재관리!A:J,10,FALSE)</f>
        <v>136.69999999999999</v>
      </c>
      <c r="H10" s="5">
        <f t="shared" si="1"/>
        <v>273.39999999999998</v>
      </c>
      <c r="I10" s="6">
        <f t="shared" si="2"/>
        <v>2734</v>
      </c>
      <c r="K10" s="155"/>
      <c r="L10" s="156"/>
      <c r="M10" s="157"/>
    </row>
    <row r="11" spans="2:13">
      <c r="B11" s="3">
        <v>10</v>
      </c>
      <c r="D11" s="4"/>
      <c r="F11" s="101">
        <f t="shared" si="0"/>
        <v>0</v>
      </c>
      <c r="H11" s="5">
        <f t="shared" si="1"/>
        <v>0</v>
      </c>
      <c r="I11" s="6">
        <f t="shared" si="2"/>
        <v>0</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10</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54</v>
      </c>
      <c r="M18" s="10" t="s">
        <v>25</v>
      </c>
    </row>
    <row r="19" spans="2:13">
      <c r="B19" s="3">
        <v>18</v>
      </c>
      <c r="D19" s="4"/>
      <c r="F19" s="101">
        <f t="shared" si="0"/>
        <v>0</v>
      </c>
      <c r="H19" s="5">
        <f t="shared" si="1"/>
        <v>0</v>
      </c>
      <c r="I19" s="6">
        <f t="shared" si="2"/>
        <v>0</v>
      </c>
      <c r="K19" s="91" t="s">
        <v>26</v>
      </c>
      <c r="L19">
        <f>L15*L18</f>
        <v>540</v>
      </c>
      <c r="M19" s="4" t="s">
        <v>25</v>
      </c>
    </row>
    <row r="20" spans="2:13" ht="17.25" thickBot="1">
      <c r="B20" s="3">
        <v>19</v>
      </c>
      <c r="D20" s="4"/>
      <c r="F20" s="101">
        <f t="shared" si="0"/>
        <v>0</v>
      </c>
      <c r="H20" s="5">
        <f t="shared" si="1"/>
        <v>0</v>
      </c>
      <c r="I20" s="6">
        <f t="shared" si="2"/>
        <v>0</v>
      </c>
      <c r="K20" s="14" t="s">
        <v>27</v>
      </c>
      <c r="L20" s="11">
        <f>L16*L17+L19</f>
        <v>2540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540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1418</v>
      </c>
      <c r="M30" s="4" t="s">
        <v>386</v>
      </c>
    </row>
    <row r="31" spans="2:13" ht="17.25" thickBot="1">
      <c r="B31" s="13">
        <v>30</v>
      </c>
      <c r="C31" s="14"/>
      <c r="D31" s="12"/>
      <c r="E31" s="95"/>
      <c r="F31" s="102">
        <f t="shared" si="0"/>
        <v>0</v>
      </c>
      <c r="G31" s="14"/>
      <c r="H31" s="15">
        <f t="shared" si="1"/>
        <v>0</v>
      </c>
      <c r="I31" s="16">
        <f t="shared" si="2"/>
        <v>0</v>
      </c>
      <c r="K31" s="14" t="s">
        <v>385</v>
      </c>
      <c r="L31" s="15">
        <f>SUM(I2:I31)</f>
        <v>14180</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85"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48" zoomScaleNormal="100" workbookViewId="0">
      <selection activeCell="J103" sqref="J103"/>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45662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21500</v>
      </c>
      <c r="D31" s="36"/>
      <c r="E31" s="37">
        <v>30800</v>
      </c>
      <c r="F31" s="115">
        <f t="shared" si="3"/>
        <v>0</v>
      </c>
      <c r="G31" s="38">
        <f>C31/500</f>
        <v>43</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3"/>
        <v>23</v>
      </c>
      <c r="G32" s="51">
        <f>C32/500</f>
        <v>25.8</v>
      </c>
      <c r="H32" s="51">
        <f t="shared" si="1"/>
        <v>12.5</v>
      </c>
      <c r="I32" s="138">
        <f t="shared" si="2"/>
        <v>11.5</v>
      </c>
      <c r="J32" s="52">
        <v>11.5</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12700</v>
      </c>
      <c r="D38" s="36">
        <v>15000</v>
      </c>
      <c r="E38" s="37">
        <v>15000</v>
      </c>
      <c r="F38" s="115">
        <f t="shared" ref="F38:F69" si="8">B38/500</f>
        <v>29.8</v>
      </c>
      <c r="G38" s="38">
        <f>C38/500</f>
        <v>25.4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23000</v>
      </c>
      <c r="D54" s="36">
        <v>39000</v>
      </c>
      <c r="E54" s="37">
        <v>28000</v>
      </c>
      <c r="F54" s="115">
        <f t="shared" si="8"/>
        <v>0</v>
      </c>
      <c r="G54" s="38">
        <f>C54/500</f>
        <v>46</v>
      </c>
      <c r="H54" s="38">
        <f t="shared" si="10"/>
        <v>65</v>
      </c>
      <c r="I54" s="48">
        <f t="shared" si="10"/>
        <v>46.666666666666664</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16500</v>
      </c>
      <c r="E76" s="37">
        <v>16300</v>
      </c>
      <c r="F76" s="115">
        <f t="shared" si="15"/>
        <v>33.799999999999997</v>
      </c>
      <c r="G76" s="38">
        <f t="shared" si="12"/>
        <v>26.4</v>
      </c>
      <c r="H76" s="44">
        <f t="shared" si="13"/>
        <v>27.5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v>14000</v>
      </c>
      <c r="D78" s="36"/>
      <c r="E78" s="37">
        <v>22000</v>
      </c>
      <c r="F78" s="115">
        <f t="shared" si="15"/>
        <v>0</v>
      </c>
      <c r="G78" s="38">
        <f t="shared" si="12"/>
        <v>28</v>
      </c>
      <c r="H78" s="38">
        <f t="shared" si="13"/>
        <v>0</v>
      </c>
      <c r="I78" s="39">
        <f t="shared" si="14"/>
        <v>36.666666666666664</v>
      </c>
      <c r="J78" s="40">
        <v>28</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4400</v>
      </c>
      <c r="D82" s="36">
        <v>7000</v>
      </c>
      <c r="E82" s="37">
        <v>5900</v>
      </c>
      <c r="F82" s="115">
        <f t="shared" si="15"/>
        <v>19.8</v>
      </c>
      <c r="G82" s="38">
        <f t="shared" ref="G82:G99" si="16">C82/500</f>
        <v>8.8000000000000007</v>
      </c>
      <c r="H82" s="38">
        <f t="shared" si="13"/>
        <v>11.666666666666666</v>
      </c>
      <c r="I82" s="48">
        <f t="shared" si="14"/>
        <v>9.8333333333333339</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13200</v>
      </c>
      <c r="D89" s="36">
        <v>15000</v>
      </c>
      <c r="E89" s="37">
        <v>13100</v>
      </c>
      <c r="F89" s="115">
        <f t="shared" si="15"/>
        <v>0</v>
      </c>
      <c r="G89" s="38">
        <f t="shared" si="16"/>
        <v>26.4</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7000</v>
      </c>
      <c r="D98" s="36">
        <v>9000</v>
      </c>
      <c r="E98" s="37"/>
      <c r="F98" s="115">
        <f t="shared" si="15"/>
        <v>15</v>
      </c>
      <c r="G98" s="44">
        <f t="shared" si="16"/>
        <v>14</v>
      </c>
      <c r="H98" s="38">
        <f t="shared" si="13"/>
        <v>15</v>
      </c>
      <c r="I98" s="39">
        <f t="shared" si="14"/>
        <v>0</v>
      </c>
      <c r="J98" s="40">
        <v>15</v>
      </c>
      <c r="K98" s="67"/>
      <c r="L98" s="68" t="s">
        <v>152</v>
      </c>
      <c r="M98" s="47" t="s">
        <v>270</v>
      </c>
      <c r="N98" s="43"/>
    </row>
    <row r="99" spans="1:14" ht="15.75" customHeight="1">
      <c r="A99" s="119" t="s">
        <v>212</v>
      </c>
      <c r="B99" s="125">
        <v>10300</v>
      </c>
      <c r="C99" s="36">
        <v>7500</v>
      </c>
      <c r="D99" s="36">
        <v>9000</v>
      </c>
      <c r="E99" s="37"/>
      <c r="F99" s="115">
        <f t="shared" si="15"/>
        <v>20.6</v>
      </c>
      <c r="G99" s="44">
        <f t="shared" si="16"/>
        <v>15</v>
      </c>
      <c r="H99" s="38">
        <f t="shared" si="13"/>
        <v>15</v>
      </c>
      <c r="I99" s="39">
        <f t="shared" si="14"/>
        <v>0</v>
      </c>
      <c r="J99" s="40">
        <v>17.399999999999999</v>
      </c>
      <c r="K99" s="67"/>
      <c r="L99" s="57" t="s">
        <v>152</v>
      </c>
      <c r="M99" s="47"/>
      <c r="N99" s="43"/>
    </row>
    <row r="100" spans="1:14" ht="15.75" customHeight="1">
      <c r="A100" s="119" t="s">
        <v>213</v>
      </c>
      <c r="B100" s="125"/>
      <c r="C100" s="36">
        <v>5500</v>
      </c>
      <c r="D100" s="36">
        <v>5500</v>
      </c>
      <c r="E100" s="37">
        <v>2800</v>
      </c>
      <c r="F100" s="115">
        <f t="shared" si="15"/>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7">C101/500</f>
        <v>0</v>
      </c>
      <c r="H101" s="38">
        <f t="shared" ref="H101:H108" si="18">D101/600</f>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7"/>
        <v>27.6</v>
      </c>
      <c r="H102" s="38">
        <f t="shared" si="18"/>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7"/>
        <v>30</v>
      </c>
      <c r="H103" s="38">
        <f t="shared" si="18"/>
        <v>33.333333333333336</v>
      </c>
      <c r="I103" s="39">
        <f t="shared" si="19"/>
        <v>0</v>
      </c>
      <c r="J103" s="40">
        <v>33.299999999999997</v>
      </c>
      <c r="K103" s="41"/>
      <c r="L103" s="42"/>
      <c r="M103" s="42"/>
      <c r="N103" s="43"/>
    </row>
    <row r="104" spans="1:14" ht="15" customHeight="1">
      <c r="A104" s="119" t="s">
        <v>219</v>
      </c>
      <c r="B104" s="125"/>
      <c r="C104" s="36">
        <v>66000</v>
      </c>
      <c r="D104" s="36"/>
      <c r="E104" s="37">
        <v>87100</v>
      </c>
      <c r="F104" s="115">
        <f t="shared" si="20"/>
        <v>0</v>
      </c>
      <c r="G104" s="44">
        <f t="shared" si="17"/>
        <v>132</v>
      </c>
      <c r="H104" s="38">
        <f t="shared" si="18"/>
        <v>0</v>
      </c>
      <c r="I104" s="39">
        <f t="shared" si="19"/>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20"/>
        <v>0</v>
      </c>
      <c r="G105" s="38">
        <f t="shared" si="17"/>
        <v>6.2</v>
      </c>
      <c r="H105" s="38">
        <f t="shared" si="18"/>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7"/>
        <v>11.4</v>
      </c>
      <c r="H106" s="38">
        <f t="shared" si="18"/>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7"/>
        <v>11.6</v>
      </c>
      <c r="H107" s="38">
        <f t="shared" si="18"/>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7"/>
        <v>11.4</v>
      </c>
      <c r="H108" s="38">
        <f t="shared" si="18"/>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20"/>
        <v>59.8</v>
      </c>
      <c r="G112" s="38">
        <f>C112/500</f>
        <v>15.6</v>
      </c>
      <c r="H112" s="38">
        <f t="shared" si="21"/>
        <v>16.666666666666668</v>
      </c>
      <c r="I112" s="39">
        <f t="shared" si="21"/>
        <v>14.5</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23500</v>
      </c>
      <c r="F117" s="115">
        <f t="shared" si="20"/>
        <v>0</v>
      </c>
      <c r="G117" s="44">
        <f t="shared" si="23"/>
        <v>28</v>
      </c>
      <c r="H117" s="38">
        <f t="shared" si="22"/>
        <v>63.333333333333336</v>
      </c>
      <c r="I117" s="39">
        <f t="shared" si="24"/>
        <v>39.166666666666664</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12800</v>
      </c>
      <c r="D130" s="36">
        <v>11500</v>
      </c>
      <c r="E130" s="37">
        <v>11600</v>
      </c>
      <c r="F130" s="115">
        <f t="shared" si="20"/>
        <v>0</v>
      </c>
      <c r="G130" s="38">
        <f>C130/600</f>
        <v>21.333333333333332</v>
      </c>
      <c r="H130" s="38">
        <f t="shared" si="25"/>
        <v>19.166666666666668</v>
      </c>
      <c r="I130" s="39">
        <f t="shared" si="24"/>
        <v>19.333333333333332</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30000</v>
      </c>
      <c r="D141" s="36">
        <v>30000</v>
      </c>
      <c r="E141" s="37">
        <v>62500</v>
      </c>
      <c r="F141" s="115">
        <f t="shared" si="26"/>
        <v>0</v>
      </c>
      <c r="G141" s="44">
        <f>C141/300</f>
        <v>100</v>
      </c>
      <c r="H141" s="38">
        <f>D141/300</f>
        <v>100</v>
      </c>
      <c r="I141" s="39">
        <f t="shared" si="24"/>
        <v>104.16666666666667</v>
      </c>
      <c r="J141" s="40">
        <v>90</v>
      </c>
      <c r="K141" s="69"/>
      <c r="L141" s="57" t="s">
        <v>275</v>
      </c>
      <c r="M141" s="71" t="s">
        <v>276</v>
      </c>
      <c r="N141" s="70" t="s">
        <v>407</v>
      </c>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7000</v>
      </c>
      <c r="F162" s="115">
        <f t="shared" si="26"/>
        <v>17.600000000000001</v>
      </c>
      <c r="G162" s="38">
        <f t="shared" si="29"/>
        <v>10.199999999999999</v>
      </c>
      <c r="H162" s="38">
        <f t="shared" si="27"/>
        <v>9.6666666666666661</v>
      </c>
      <c r="I162" s="48">
        <f t="shared" si="28"/>
        <v>11.666666666666666</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11000</v>
      </c>
      <c r="D167" s="36"/>
      <c r="E167" s="37">
        <v>16300</v>
      </c>
      <c r="F167" s="115">
        <f t="shared" si="30"/>
        <v>0</v>
      </c>
      <c r="G167" s="72">
        <f t="shared" si="29"/>
        <v>22</v>
      </c>
      <c r="H167" s="38">
        <f t="shared" si="27"/>
        <v>0</v>
      </c>
      <c r="I167" s="146">
        <f t="shared" si="28"/>
        <v>27.166666666666668</v>
      </c>
      <c r="J167" s="40">
        <v>22</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15000</v>
      </c>
      <c r="E183" s="27">
        <v>14200</v>
      </c>
      <c r="F183" s="28">
        <f t="shared" si="30"/>
        <v>0</v>
      </c>
      <c r="G183" s="29">
        <f t="shared" si="31"/>
        <v>23.6</v>
      </c>
      <c r="H183" s="29">
        <f t="shared" si="27"/>
        <v>25</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19000</v>
      </c>
      <c r="D188" s="36">
        <v>19200</v>
      </c>
      <c r="E188" s="37">
        <v>19200</v>
      </c>
      <c r="F188" s="115">
        <f t="shared" si="33"/>
        <v>0</v>
      </c>
      <c r="G188" s="38">
        <f>C188/500</f>
        <v>38</v>
      </c>
      <c r="H188" s="38">
        <f t="shared" ref="H188:I193" si="35">D188/600</f>
        <v>32</v>
      </c>
      <c r="I188" s="39">
        <f t="shared" si="35"/>
        <v>32</v>
      </c>
      <c r="J188" s="40">
        <v>32</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8600</v>
      </c>
      <c r="F193" s="115">
        <f t="shared" si="33"/>
        <v>0</v>
      </c>
      <c r="G193" s="38">
        <f t="shared" si="36"/>
        <v>14.4</v>
      </c>
      <c r="H193" s="38">
        <f t="shared" si="35"/>
        <v>15.833333333333334</v>
      </c>
      <c r="I193" s="98">
        <f t="shared" si="35"/>
        <v>14.333333333333334</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v>15300</v>
      </c>
      <c r="F195" s="115">
        <f t="shared" si="33"/>
        <v>0</v>
      </c>
      <c r="G195" s="38">
        <f t="shared" si="36"/>
        <v>24</v>
      </c>
      <c r="H195" s="38">
        <f>D195/600</f>
        <v>10</v>
      </c>
      <c r="I195" s="39">
        <f t="shared" ref="I195:I205" si="37">E195/600</f>
        <v>25.5</v>
      </c>
      <c r="J195" s="40">
        <v>24</v>
      </c>
      <c r="K195" s="41"/>
      <c r="L195" s="42" t="s">
        <v>354</v>
      </c>
      <c r="M195" s="42" t="s">
        <v>253</v>
      </c>
      <c r="N195" s="43" t="s">
        <v>391</v>
      </c>
    </row>
    <row r="196" spans="1:14" ht="15" customHeight="1">
      <c r="A196" s="120" t="s">
        <v>355</v>
      </c>
      <c r="B196" s="125"/>
      <c r="C196" s="36">
        <v>28000</v>
      </c>
      <c r="D196" s="36">
        <v>28000</v>
      </c>
      <c r="E196" s="37">
        <v>34800</v>
      </c>
      <c r="F196" s="115">
        <f t="shared" si="33"/>
        <v>0</v>
      </c>
      <c r="G196" s="38">
        <f>C196/600</f>
        <v>46.666666666666664</v>
      </c>
      <c r="H196" s="38">
        <f>D196/600</f>
        <v>46.666666666666664</v>
      </c>
      <c r="I196" s="39">
        <f t="shared" si="37"/>
        <v>58</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19500</v>
      </c>
      <c r="D198" s="36">
        <v>30000</v>
      </c>
      <c r="E198" s="37">
        <v>26000</v>
      </c>
      <c r="F198" s="115">
        <f t="shared" si="33"/>
        <v>0</v>
      </c>
      <c r="G198" s="38">
        <f t="shared" si="36"/>
        <v>39</v>
      </c>
      <c r="H198" s="38">
        <f>D198/600</f>
        <v>50</v>
      </c>
      <c r="I198" s="39">
        <f t="shared" si="37"/>
        <v>43.333333333333336</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5400</v>
      </c>
      <c r="F205" s="73">
        <f t="shared" si="33"/>
        <v>0</v>
      </c>
      <c r="G205" s="51">
        <f t="shared" si="36"/>
        <v>9</v>
      </c>
      <c r="H205" s="51">
        <f t="shared" si="38"/>
        <v>7.5</v>
      </c>
      <c r="I205" s="74">
        <f t="shared" si="37"/>
        <v>9</v>
      </c>
      <c r="J205" s="52">
        <v>9</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처방전양식 (3)</vt:lpstr>
      <vt:lpstr>처방전양식</vt:lpstr>
      <vt:lpstr>처방전양식 (2)</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2025-02-11T05:19:03Z</cp:lastPrinted>
  <dcterms:created xsi:type="dcterms:W3CDTF">2024-09-12T16:35:01Z</dcterms:created>
  <dcterms:modified xsi:type="dcterms:W3CDTF">2025-02-11T06:04:20Z</dcterms:modified>
</cp:coreProperties>
</file>