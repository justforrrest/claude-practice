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33" documentId="8_{6EB8DC0A-AB56-415F-A9F3-EA1534264548}" xr6:coauthVersionLast="47" xr6:coauthVersionMax="47" xr10:uidLastSave="{E1F2007D-E8CE-40B0-9475-81B98344C2B7}"/>
  <bookViews>
    <workbookView xWindow="-120" yWindow="-120" windowWidth="29040" windowHeight="15720" xr2:uid="{8B9F1886-173A-4475-B0CF-D9F36CE30773}"/>
  </bookViews>
  <sheets>
    <sheet name="처방전양식 (3)" sheetId="7" r:id="rId1"/>
    <sheet name="처방전양식 (2)" sheetId="6" r:id="rId2"/>
    <sheet name="처방전양식" sheetId="4" r:id="rId3"/>
    <sheet name="약재관리"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7" l="1"/>
  <c r="F31" i="7"/>
  <c r="I31" i="7" s="1"/>
  <c r="H30" i="7"/>
  <c r="F30" i="7"/>
  <c r="I30" i="7" s="1"/>
  <c r="H29" i="7"/>
  <c r="F29" i="7"/>
  <c r="I29" i="7" s="1"/>
  <c r="H28" i="7"/>
  <c r="F28" i="7"/>
  <c r="I28" i="7" s="1"/>
  <c r="H27" i="7"/>
  <c r="F27" i="7"/>
  <c r="I27" i="7" s="1"/>
  <c r="I26" i="7"/>
  <c r="H26" i="7"/>
  <c r="F26" i="7"/>
  <c r="I25" i="7"/>
  <c r="H25" i="7"/>
  <c r="F25" i="7"/>
  <c r="H24" i="7"/>
  <c r="F24" i="7"/>
  <c r="I24" i="7" s="1"/>
  <c r="H23" i="7"/>
  <c r="F23" i="7"/>
  <c r="I23" i="7" s="1"/>
  <c r="H22" i="7"/>
  <c r="F22" i="7"/>
  <c r="I22" i="7" s="1"/>
  <c r="H21" i="7"/>
  <c r="F21" i="7"/>
  <c r="I21" i="7" s="1"/>
  <c r="I20" i="7"/>
  <c r="H20" i="7"/>
  <c r="F20" i="7"/>
  <c r="I19" i="7"/>
  <c r="H19" i="7"/>
  <c r="F19" i="7"/>
  <c r="L18" i="7"/>
  <c r="L19" i="7" s="1"/>
  <c r="L20" i="7" s="1"/>
  <c r="H18" i="7"/>
  <c r="F18" i="7"/>
  <c r="I18" i="7" s="1"/>
  <c r="I17" i="7"/>
  <c r="H17" i="7"/>
  <c r="F17" i="7"/>
  <c r="H16" i="7"/>
  <c r="F16" i="7"/>
  <c r="I16" i="7" s="1"/>
  <c r="H15" i="7"/>
  <c r="F15" i="7"/>
  <c r="I15" i="7" s="1"/>
  <c r="H14" i="7"/>
  <c r="F14" i="7"/>
  <c r="I14" i="7" s="1"/>
  <c r="I13" i="7"/>
  <c r="H13" i="7"/>
  <c r="F13" i="7"/>
  <c r="H12" i="7"/>
  <c r="F12" i="7"/>
  <c r="I12" i="7" s="1"/>
  <c r="H11" i="7"/>
  <c r="F11" i="7"/>
  <c r="I11" i="7" s="1"/>
  <c r="H10" i="7"/>
  <c r="F10" i="7"/>
  <c r="I10" i="7" s="1"/>
  <c r="I9" i="7"/>
  <c r="H9" i="7"/>
  <c r="F9" i="7"/>
  <c r="H8" i="7"/>
  <c r="F8" i="7"/>
  <c r="I8" i="7" s="1"/>
  <c r="H7" i="7"/>
  <c r="F7" i="7"/>
  <c r="I7" i="7" s="1"/>
  <c r="H6" i="7"/>
  <c r="F6" i="7"/>
  <c r="I6" i="7" s="1"/>
  <c r="G5" i="7"/>
  <c r="I5" i="7" s="1"/>
  <c r="F5" i="7"/>
  <c r="G4" i="7"/>
  <c r="I4" i="7" s="1"/>
  <c r="F4" i="7"/>
  <c r="G3" i="7"/>
  <c r="I3" i="7" s="1"/>
  <c r="F3" i="7"/>
  <c r="G2" i="7"/>
  <c r="I2" i="7" s="1"/>
  <c r="F2" i="7"/>
  <c r="L23" i="7" s="1"/>
  <c r="H31" i="6"/>
  <c r="F31" i="6"/>
  <c r="I31" i="6" s="1"/>
  <c r="H30" i="6"/>
  <c r="F30" i="6"/>
  <c r="I30" i="6" s="1"/>
  <c r="H29" i="6"/>
  <c r="F29" i="6"/>
  <c r="I29" i="6" s="1"/>
  <c r="H28" i="6"/>
  <c r="F28" i="6"/>
  <c r="I28" i="6" s="1"/>
  <c r="H27" i="6"/>
  <c r="F27" i="6"/>
  <c r="I27" i="6" s="1"/>
  <c r="I26" i="6"/>
  <c r="H26" i="6"/>
  <c r="F26" i="6"/>
  <c r="H25" i="6"/>
  <c r="F25" i="6"/>
  <c r="I25" i="6" s="1"/>
  <c r="H24" i="6"/>
  <c r="F24" i="6"/>
  <c r="I24" i="6" s="1"/>
  <c r="H23" i="6"/>
  <c r="F23" i="6"/>
  <c r="I23" i="6" s="1"/>
  <c r="H22" i="6"/>
  <c r="F22" i="6"/>
  <c r="I22" i="6" s="1"/>
  <c r="H21" i="6"/>
  <c r="F21" i="6"/>
  <c r="I21" i="6" s="1"/>
  <c r="H20" i="6"/>
  <c r="F20" i="6"/>
  <c r="I20" i="6" s="1"/>
  <c r="H19" i="6"/>
  <c r="F19" i="6"/>
  <c r="I19" i="6" s="1"/>
  <c r="L18" i="6"/>
  <c r="L19" i="6" s="1"/>
  <c r="L20" i="6" s="1"/>
  <c r="H18" i="6"/>
  <c r="F18" i="6"/>
  <c r="I18" i="6" s="1"/>
  <c r="I17" i="6"/>
  <c r="H17" i="6"/>
  <c r="F17" i="6"/>
  <c r="H16" i="6"/>
  <c r="F16" i="6"/>
  <c r="I16" i="6" s="1"/>
  <c r="H15" i="6"/>
  <c r="F15" i="6"/>
  <c r="I15" i="6" s="1"/>
  <c r="H14" i="6"/>
  <c r="F14" i="6"/>
  <c r="I14" i="6" s="1"/>
  <c r="H13" i="6"/>
  <c r="F13" i="6"/>
  <c r="I13" i="6" s="1"/>
  <c r="H12" i="6"/>
  <c r="F12" i="6"/>
  <c r="I12" i="6" s="1"/>
  <c r="H11" i="6"/>
  <c r="F11" i="6"/>
  <c r="I11" i="6" s="1"/>
  <c r="F10" i="6"/>
  <c r="I10" i="6" s="1"/>
  <c r="F9" i="6"/>
  <c r="I9" i="6" s="1"/>
  <c r="F8" i="6"/>
  <c r="I8" i="6" s="1"/>
  <c r="F7" i="6"/>
  <c r="I7" i="6" s="1"/>
  <c r="I6" i="6"/>
  <c r="F6" i="6"/>
  <c r="G5" i="6"/>
  <c r="F5" i="6"/>
  <c r="G4" i="6"/>
  <c r="F4" i="6"/>
  <c r="G3" i="6"/>
  <c r="F3" i="6"/>
  <c r="G2" i="6"/>
  <c r="F2" i="6"/>
  <c r="L23" i="6" s="1"/>
  <c r="H57" i="5"/>
  <c r="I86" i="5"/>
  <c r="I53" i="5"/>
  <c r="I54" i="5"/>
  <c r="I127" i="5"/>
  <c r="G142" i="5"/>
  <c r="I145" i="5"/>
  <c r="H145" i="5"/>
  <c r="G145" i="5"/>
  <c r="F145" i="5"/>
  <c r="G171" i="5"/>
  <c r="G3" i="4"/>
  <c r="G4" i="4"/>
  <c r="G5" i="4"/>
  <c r="G6" i="4"/>
  <c r="G7" i="4"/>
  <c r="G8" i="4"/>
  <c r="G9" i="4"/>
  <c r="G10" i="4"/>
  <c r="G2" i="4"/>
  <c r="G146"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G186" i="5"/>
  <c r="I185" i="5"/>
  <c r="H185" i="5"/>
  <c r="G185" i="5"/>
  <c r="F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L31" i="7" l="1"/>
  <c r="H3" i="7"/>
  <c r="H4" i="7"/>
  <c r="H2" i="7"/>
  <c r="H5" i="7"/>
  <c r="I5" i="6"/>
  <c r="I4" i="6"/>
  <c r="I3" i="6"/>
  <c r="L31" i="6" s="1"/>
  <c r="I2" i="6"/>
  <c r="H4" i="6"/>
  <c r="H7" i="6"/>
  <c r="H10" i="6"/>
  <c r="H2" i="6"/>
  <c r="H5" i="6"/>
  <c r="H8" i="6"/>
  <c r="H3" i="6"/>
  <c r="H6" i="6"/>
  <c r="H9" i="6"/>
  <c r="F2" i="4"/>
  <c r="L30" i="7" l="1"/>
  <c r="L30" i="6"/>
  <c r="H4" i="4"/>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5"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6"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4"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7"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<sst xmlns="http://schemas.openxmlformats.org/spreadsheetml/2006/main" count="697" uniqueCount="428">
  <si>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</si>
  <si>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</si>
  <si>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</si>
  <si>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</si>
  <si>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</si>
  <si>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</si>
  <si>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</si>
  <si>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</si>
  <si>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</si>
  <si>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</si>
  <si>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</si>
  <si>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</si>
  <si>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</si>
  <si>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</si>
  <si>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</si>
  <si>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</si>
  <si>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</si>
  <si>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</si>
  <si>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</si>
  <si>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</si>
  <si>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</si>
  <si>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</si>
  <si>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</si>
  <si>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</si>
  <si>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</si>
  <si>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</si>
  <si>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</si>
  <si>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</si>
  <si>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</si>
  <si>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</si>
  <si>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</si>
  <si>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</si>
  <si>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</si>
  <si>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</si>
  <si>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</si>
  <si>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</si>
  <si>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</si>
  <si>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</si>
  <si>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</si>
  <si>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</si>
  <si>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</si>
  <si>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</si>
  <si>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</si>
  <si>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</si>
  <si>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</si>
  <si>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</si>
  <si>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</si>
  <si>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</si>
  <si>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</si>
  <si>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</si>
  <si>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</si>
  <si>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</si>
  <si>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</si>
  <si>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</si>
  <si>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</si>
  <si>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</si>
  <si>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</si>
  <si>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</si>
  <si>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</si>
  <si>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</si>
  <si>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</si>
  <si>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</si>
  <si>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</si>
  <si>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</si>
  <si>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</si>
  <si>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</si>
  <si>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</si>
  <si>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</si>
  <si>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</si>
  <si>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</si>
  <si>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</si>
  <si>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</si>
  <si>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</si>
  <si>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</si>
  <si>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</si>
  <si>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</si>
  <si>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</si>
  <si>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</si>
  <si>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</si>
  <si>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</si>
  <si>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</si>
  <si>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</si>
  <si>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</si>
  <si>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</si>
  <si>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</si>
  <si>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</si>
  <si>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</si>
  <si>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</si>
  <si>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</si>
  <si>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</si>
  <si>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</si>
  <si>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</si>
  <si>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</si>
  <si>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</si>
  <si>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</si>
  <si>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</si>
  <si>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</si>
  <si>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</si>
  <si>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</si>
  <si>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</si>
  <si>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</si>
  <si>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</si>
  <si>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</si>
  <si>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</si>
  <si>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</si>
  <si>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</si>
  <si>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</si>
  <si>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</si>
  <si>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</si>
  <si>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</si>
  <si>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</si>
  <si>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</si>
  <si>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</si>
  <si>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</si>
  <si>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</si>
  <si>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</si>
  <si>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</si>
  <si>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</si>
  <si>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</si>
  <si>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</si>
  <si>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</si>
  <si>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</si>
  <si>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</si>
  <si>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</si>
  <si>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</si>
  <si>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</si>
  <si>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</si>
  <si>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</si>
  <si>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</si>
  <si>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</si>
  <si>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</si>
  <si>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</si>
  <si>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</si>
  <si>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</si>
  <si>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</si>
  <si>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</si>
  <si>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</si>
  <si>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</si>
  <si>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</si>
  <si>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</si>
  <si>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</si>
  <si>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</si>
  <si>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</si>
  <si>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</si>
  <si>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</si>
  <si>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</si>
  <si>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</si>
  <si>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</si>
  <si>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</si>
  <si>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</si>
  <si>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</si>
  <si>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</si>
  <si>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</si>
  <si>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</si>
  <si>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</si>
  <si>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</si>
  <si>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</si>
  <si>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</si>
  <si>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</si>
  <si>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</si>
  <si>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</si>
  <si>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</si>
  <si>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</si>
  <si>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</si>
  <si>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</si>
  <si>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</si>
  <si>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</si>
  <si>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</si>
  <si>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</si>
  <si>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</si>
  <si>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</si>
  <si>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</si>
  <si>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</si>
  <si>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</si>
  <si>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</si>
  <si>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</si>
  <si>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</si>
  <si>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</si>
  <si>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</si>
  <si>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</si>
  <si>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</si>
  <si>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</si>
  <si>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</si>
  <si>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</si>
  <si>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</si>
  <si>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</si>
  <si>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</si>
  <si>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</si>
  <si>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</si>
  <si>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</si>
  <si>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</si>
  <si>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</si>
  <si>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</si>
  <si>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</si>
  <si>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</si>
  <si>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</si>
  <si>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</si>
  <si>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</si>
  <si>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</si>
  <si>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</si>
  <si>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</si>
  <si>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</si>
  <si>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</si>
  <si>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</si>
  <si>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</si>
  <si>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</si>
  <si>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</si>
  <si>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</si>
  <si>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</si>
  <si>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</si>
  <si>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</si>
  <si>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</si>
  <si>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</si>
  <si>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</si>
  <si>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</si>
  <si>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</si>
  <si>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</si>
  <si>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</si>
  <si>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</si>
  <si>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</si>
  <si>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</si>
  <si>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</si>
  <si>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</si>
  <si>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</si>
  <si>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</si>
  <si>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</si>
  <si>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</si>
  <si>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</si>
  <si>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</si>
  <si>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</si>
  <si>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</si>
  <si>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</si>
  <si>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</si>
  <si>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</si>
  <si>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</si>
  <si>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</si>
  <si>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</si>
  <si>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</si>
  <si>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</si>
  <si>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</si>
  <si>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</si>
  <si>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</si>
  <si>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</si>
  <si>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</si>
  <si>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</si>
  <si>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</si>
  <si>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</si>
  <si>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</si>
  <si>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</si>
  <si>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</si>
  <si>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</si>
  <si>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</si>
  <si>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</si>
  <si>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</si>
  <si>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</si>
  <si>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</si>
  <si>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</si>
  <si>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</si>
  <si>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</si>
  <si>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</si>
  <si>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</si>
  <si>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</si>
  <si>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</si>
  <si>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</si>
  <si>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</si>
  <si>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</si>
  <si>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</si>
  <si>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</si>
  <si>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</si>
  <si>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</si>
  <si>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</si>
  <si>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</si>
  <si>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</si>
  <si>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</si>
  <si>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</si>
  <si>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</si>
  <si>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</si>
  <si>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</si>
  <si>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</si>
  <si>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</si>
  <si>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</si>
  <si>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</si>
  <si>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</si>
  <si>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</si>
  <si>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</si>
  <si>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</si>
  <si>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</si>
  <si>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</si>
  <si>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</si>
  <si>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</si>
  <si>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</si>
  <si>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</si>
  <si>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</si>
  <si>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</si>
  <si>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</si>
  <si>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</si>
  <si>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</si>
  <si>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</si>
  <si>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</si>
  <si>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</si>
  <si>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</si>
  <si>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</si>
  <si>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</si>
  <si>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</si>
  <si>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</si>
  <si>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</si>
  <si>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</si>
  <si>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</si>
  <si>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</si>
  <si>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</si>
  <si>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</si>
  <si>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</si>
  <si>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</si>
  <si>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</si>
  <si>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</si>
  <si>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</si>
  <si>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</si>
  <si>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</si>
  <si>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</si>
  <si>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</si>
  <si>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</si>
  <si>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</si>
  <si>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</si>
  <si>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</si>
  <si>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</si>
  <si>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</si>
  <si>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</si>
  <si>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</si>
  <si>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</si>
  <si>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</si>
  <si>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</si>
  <si>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</si>
  <si>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</si>
  <si>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</si>
  <si>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</si>
  <si>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</si>
  <si>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</si>
  <si>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</si>
  <si>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</si>
  <si>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</si>
  <si>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</si>
  <si>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</si>
  <si>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</si>
  <si>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</si>
  <si>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</si>
  <si>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</si>
  <si>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</si>
  <si>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</si>
  <si>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</si>
  <si>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</si>
  <si>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</si>
  <si>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</si>
  <si>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</si>
  <si>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</si>
  <si>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</si>
  <si>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</si>
  <si>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</si>
  <si>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</si>
  <si>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</si>
  <si>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</si>
  <si>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</si>
  <si>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</si>
  <si>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</si>
  <si>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</si>
  <si>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</si>
  <si>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</si>
  <si>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</si>
  <si>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</si>
  <si>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</si>
  <si>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</si>
  <si>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</si>
  <si>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</si>
  <si>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</si>
  <si>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</si>
  <si>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</si>
  <si>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</si>
  <si>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</si>
  <si>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</si>
  <si>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</si>
  <si>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</si>
  <si>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</si>
  <si>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</si>
  <si>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</si>
  <si>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</si>
  <si>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</si>
  <si>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</si>
  <si>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</si>
  <si>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</si>
  <si>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</si>
  <si>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</si>
  <si>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</si>
  <si>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</si>
  <si>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</si>
  <si>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</si>
  <si>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</si>
  <si>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</si>
  <si>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</si>
  <si>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</si>
  <si>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</si>
  <si>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</si>
  <si>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</si>
  <si>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</si>
  <si>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</si>
  <si>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</si>
  <si>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</si>
  <si>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</si>
  <si>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</si>
  <si>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</si>
  <si>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</si>
  <si>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</si>
  <si>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</si>
  <si>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</si>
  <si>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</si>
  <si>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반하</t>
    <phoneticPr fontId="5" type="noConversion"/>
  </si>
  <si>
    <t>마황</t>
    <phoneticPr fontId="5" type="noConversion"/>
  </si>
  <si>
    <t>세신</t>
    <phoneticPr fontId="5" type="noConversion"/>
  </si>
  <si>
    <t>건강</t>
    <phoneticPr fontId="5" type="noConversion"/>
  </si>
  <si>
    <t>오미자</t>
    <phoneticPr fontId="5" type="noConversion"/>
  </si>
  <si>
    <t>육계</t>
    <phoneticPr fontId="5" type="noConversion"/>
  </si>
  <si>
    <t>감초</t>
    <phoneticPr fontId="5" type="noConversion"/>
  </si>
  <si>
    <t>복령</t>
    <phoneticPr fontId="5" type="noConversion"/>
  </si>
  <si>
    <t>백작약</t>
    <phoneticPr fontId="5" type="noConversion"/>
  </si>
  <si>
    <t>소청룡탕가복령</t>
    <phoneticPr fontId="5" type="noConversion"/>
  </si>
  <si>
    <t>소청룡탕-마황감량+복령</t>
    <phoneticPr fontId="5" type="noConversion"/>
  </si>
  <si>
    <t>김채연</t>
    <phoneticPr fontId="5" type="noConversion"/>
  </si>
  <si>
    <t>F</t>
    <phoneticPr fontId="5" type="noConversion"/>
  </si>
  <si>
    <t>영계출감탕</t>
    <phoneticPr fontId="5" type="noConversion"/>
  </si>
  <si>
    <t>백출</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</si>
</sst>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5" dT="2024-09-12T16:22:05.38" personId="{0277103A-E300-412D-B5C0-A5092221214E}" id="{8D04224A-7F6C-408E-B039-112E7E368078}">
    <text>국산</text>
  </threadedComment>
  <threadedComment ref="A186" dT="2024-09-12T16:22:10.88" personId="{0277103A-E300-412D-B5C0-A5092221214E}" id="{367F797E-A57E-4734-B1F8-C93FEC661F8F}">
    <text>중국산</text>
  </threadedComment>
  <threadedComment ref="N204"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7"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C05A2-23BA-4608-95D0-03ABDEC78828}">
  <sheetPr>
    <pageSetUpPr fitToPage="1"/>
  </sheetPr>
  <dimension ref="B1:M31"/>
  <sheetViews>
    <sheetView tabSelected="1" workbookViewId="0">
      <selection activeCell="L5" sqref="L5:M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420</v>
      </c>
      <c r="D2" s="4"/>
      <c r="E2" s="88">
        <v>8</v>
      </c>
      <c r="F2" s="101">
        <f>E2*$L$15</f>
        <v>160</v>
      </c>
      <c r="G2">
        <f>VLOOKUP($C2,약재관리!A:J,10,FALSE)</f>
        <v>11</v>
      </c>
      <c r="H2" s="5">
        <f>G2*E2</f>
        <v>88</v>
      </c>
      <c r="I2" s="90">
        <f>G2*F2</f>
        <v>1760</v>
      </c>
      <c r="K2" s="7" t="s">
        <v>9</v>
      </c>
      <c r="L2" s="162">
        <v>101</v>
      </c>
      <c r="M2" s="163"/>
    </row>
    <row r="3" spans="2:13">
      <c r="B3" s="3">
        <v>2</v>
      </c>
      <c r="C3" t="s">
        <v>418</v>
      </c>
      <c r="D3" s="4"/>
      <c r="E3" s="88">
        <v>6</v>
      </c>
      <c r="F3" s="101">
        <f t="shared" ref="F3:F31" si="0">E3*$L$15</f>
        <v>120</v>
      </c>
      <c r="G3">
        <f>VLOOKUP($C3,약재관리!A:J,10,FALSE)</f>
        <v>14.8</v>
      </c>
      <c r="H3" s="5">
        <f t="shared" ref="H3:H31" si="1">G3*E3</f>
        <v>88.800000000000011</v>
      </c>
      <c r="I3" s="6">
        <f t="shared" ref="I3:I31" si="2">G3*F3</f>
        <v>1776</v>
      </c>
      <c r="K3" s="8" t="s">
        <v>10</v>
      </c>
      <c r="L3" s="164" t="s">
        <v>426</v>
      </c>
      <c r="M3" s="165"/>
    </row>
    <row r="4" spans="2:13">
      <c r="B4" s="3">
        <v>3</v>
      </c>
      <c r="C4" t="s">
        <v>427</v>
      </c>
      <c r="D4" s="4"/>
      <c r="E4" s="88">
        <v>6</v>
      </c>
      <c r="F4" s="101">
        <f t="shared" si="0"/>
        <v>120</v>
      </c>
      <c r="G4">
        <f>VLOOKUP($C4,약재관리!A:J,10,FALSE)</f>
        <v>30.3</v>
      </c>
      <c r="H4" s="5">
        <f t="shared" si="1"/>
        <v>181.8</v>
      </c>
      <c r="I4" s="6">
        <f t="shared" si="2"/>
        <v>3636</v>
      </c>
      <c r="K4" s="8" t="s">
        <v>11</v>
      </c>
      <c r="L4" s="166">
        <v>45833</v>
      </c>
      <c r="M4" s="165"/>
    </row>
    <row r="5" spans="2:13">
      <c r="B5" s="3">
        <v>4</v>
      </c>
      <c r="C5" t="s">
        <v>419</v>
      </c>
      <c r="D5" s="4"/>
      <c r="E5" s="88">
        <v>4</v>
      </c>
      <c r="F5" s="101">
        <f t="shared" si="0"/>
        <v>80</v>
      </c>
      <c r="G5">
        <f>VLOOKUP($C5,약재관리!A:J,10,FALSE)</f>
        <v>28.3</v>
      </c>
      <c r="H5" s="5">
        <f t="shared" si="1"/>
        <v>113.2</v>
      </c>
      <c r="I5" s="6">
        <f t="shared" si="2"/>
        <v>2264</v>
      </c>
      <c r="K5" s="8" t="s">
        <v>12</v>
      </c>
      <c r="L5" s="164" t="s">
        <v>424</v>
      </c>
      <c r="M5" s="165"/>
    </row>
    <row r="6" spans="2:13">
      <c r="B6" s="3">
        <v>5</v>
      </c>
      <c r="D6" s="4"/>
      <c r="F6" s="101">
        <f t="shared" si="0"/>
        <v>0</v>
      </c>
      <c r="H6" s="5">
        <f t="shared" si="1"/>
        <v>0</v>
      </c>
      <c r="I6" s="6">
        <f t="shared" si="2"/>
        <v>0</v>
      </c>
      <c r="K6" s="8" t="s">
        <v>13</v>
      </c>
      <c r="L6" s="164">
        <v>52</v>
      </c>
      <c r="M6" s="165"/>
    </row>
    <row r="7" spans="2:13" ht="17.25" thickBot="1">
      <c r="B7" s="3">
        <v>6</v>
      </c>
      <c r="D7" s="4"/>
      <c r="F7" s="101">
        <f t="shared" si="0"/>
        <v>0</v>
      </c>
      <c r="H7" s="5">
        <f t="shared" si="1"/>
        <v>0</v>
      </c>
      <c r="I7" s="6">
        <f t="shared" si="2"/>
        <v>0</v>
      </c>
      <c r="K7" s="8" t="s">
        <v>14</v>
      </c>
      <c r="L7" s="148" t="s">
        <v>425</v>
      </c>
      <c r="M7" s="149"/>
    </row>
    <row r="8" spans="2:13" ht="17.25" thickBot="1">
      <c r="B8" s="3">
        <v>7</v>
      </c>
      <c r="D8" s="4"/>
      <c r="F8" s="101">
        <f t="shared" si="0"/>
        <v>0</v>
      </c>
      <c r="H8" s="5">
        <f t="shared" si="1"/>
        <v>0</v>
      </c>
      <c r="I8" s="6">
        <f t="shared" si="2"/>
        <v>0</v>
      </c>
      <c r="K8" s="150" t="s">
        <v>15</v>
      </c>
      <c r="L8" s="151"/>
      <c r="M8" s="152"/>
    </row>
    <row r="9" spans="2:13">
      <c r="B9" s="3">
        <v>8</v>
      </c>
      <c r="D9" s="4"/>
      <c r="F9" s="101">
        <f t="shared" si="0"/>
        <v>0</v>
      </c>
      <c r="H9" s="5">
        <f t="shared" si="1"/>
        <v>0</v>
      </c>
      <c r="I9" s="6">
        <f t="shared" si="2"/>
        <v>0</v>
      </c>
      <c r="K9" s="153"/>
      <c r="L9" s="154"/>
      <c r="M9" s="155"/>
    </row>
    <row r="10" spans="2:13">
      <c r="B10" s="3">
        <v>9</v>
      </c>
      <c r="D10" s="4"/>
      <c r="F10" s="101">
        <f t="shared" si="0"/>
        <v>0</v>
      </c>
      <c r="H10" s="5">
        <f t="shared" si="1"/>
        <v>0</v>
      </c>
      <c r="I10" s="6">
        <f t="shared" si="2"/>
        <v>0</v>
      </c>
      <c r="K10" s="156"/>
      <c r="L10" s="157"/>
      <c r="M10" s="158"/>
    </row>
    <row r="11" spans="2:13">
      <c r="B11" s="3">
        <v>10</v>
      </c>
      <c r="D11" s="4"/>
      <c r="F11" s="101">
        <f t="shared" si="0"/>
        <v>0</v>
      </c>
      <c r="H11" s="5">
        <f t="shared" si="1"/>
        <v>0</v>
      </c>
      <c r="I11" s="6">
        <f t="shared" si="2"/>
        <v>0</v>
      </c>
      <c r="K11" s="156"/>
      <c r="L11" s="157"/>
      <c r="M11" s="158"/>
    </row>
    <row r="12" spans="2:13">
      <c r="B12" s="3">
        <v>11</v>
      </c>
      <c r="D12" s="4"/>
      <c r="F12" s="101">
        <f t="shared" si="0"/>
        <v>0</v>
      </c>
      <c r="H12" s="5">
        <f t="shared" si="1"/>
        <v>0</v>
      </c>
      <c r="I12" s="6">
        <f t="shared" si="2"/>
        <v>0</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24</v>
      </c>
      <c r="M18" s="10" t="s">
        <v>25</v>
      </c>
    </row>
    <row r="19" spans="2:13">
      <c r="B19" s="3">
        <v>18</v>
      </c>
      <c r="D19" s="4"/>
      <c r="F19" s="101">
        <f t="shared" si="0"/>
        <v>0</v>
      </c>
      <c r="H19" s="5">
        <f t="shared" si="1"/>
        <v>0</v>
      </c>
      <c r="I19" s="6">
        <f t="shared" si="2"/>
        <v>0</v>
      </c>
      <c r="K19" s="91" t="s">
        <v>26</v>
      </c>
      <c r="L19">
        <f>L15*L18</f>
        <v>480</v>
      </c>
      <c r="M19" s="4" t="s">
        <v>25</v>
      </c>
    </row>
    <row r="20" spans="2:13" ht="17.25" thickBot="1">
      <c r="B20" s="3">
        <v>19</v>
      </c>
      <c r="D20" s="4"/>
      <c r="F20" s="101">
        <f t="shared" si="0"/>
        <v>0</v>
      </c>
      <c r="H20" s="5">
        <f t="shared" si="1"/>
        <v>0</v>
      </c>
      <c r="I20" s="6">
        <f t="shared" si="2"/>
        <v>0</v>
      </c>
      <c r="K20" s="14" t="s">
        <v>27</v>
      </c>
      <c r="L20" s="11">
        <f>L16*L17+L19</f>
        <v>2680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480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471.8</v>
      </c>
      <c r="M30" s="4" t="s">
        <v>384</v>
      </c>
    </row>
    <row r="31" spans="2:13" ht="17.25" thickBot="1">
      <c r="B31" s="13">
        <v>30</v>
      </c>
      <c r="C31" s="14"/>
      <c r="D31" s="12"/>
      <c r="E31" s="95"/>
      <c r="F31" s="102">
        <f t="shared" si="0"/>
        <v>0</v>
      </c>
      <c r="G31" s="11"/>
      <c r="H31" s="15">
        <f t="shared" si="1"/>
        <v>0</v>
      </c>
      <c r="I31" s="16">
        <f t="shared" si="2"/>
        <v>0</v>
      </c>
      <c r="K31" s="14" t="s">
        <v>383</v>
      </c>
      <c r="L31" s="15">
        <f>SUM(I2:I31)</f>
        <v>9436</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4C80B-AA81-40AA-A8A0-ED147DD687B3}">
  <sheetPr>
    <pageSetUpPr fitToPage="1"/>
  </sheetPr>
  <dimension ref="B1:M31"/>
  <sheetViews>
    <sheetView workbookViewId="0">
      <selection activeCell="L15" sqref="L1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420</v>
      </c>
      <c r="D2" s="4"/>
      <c r="E2" s="88">
        <v>8</v>
      </c>
      <c r="F2" s="101">
        <f>E2*$L$15</f>
        <v>160</v>
      </c>
      <c r="G2">
        <f>VLOOKUP($C2,약재관리!A:J,10,FALSE)</f>
        <v>11</v>
      </c>
      <c r="H2" s="5">
        <f>G2*E2</f>
        <v>88</v>
      </c>
      <c r="I2" s="90">
        <f>G2*F2</f>
        <v>1760</v>
      </c>
      <c r="K2" s="7" t="s">
        <v>9</v>
      </c>
      <c r="L2" s="162">
        <v>101</v>
      </c>
      <c r="M2" s="163"/>
    </row>
    <row r="3" spans="2:13">
      <c r="B3" s="3">
        <v>2</v>
      </c>
      <c r="C3" t="s">
        <v>418</v>
      </c>
      <c r="D3" s="4"/>
      <c r="E3" s="88">
        <v>6</v>
      </c>
      <c r="F3" s="101">
        <f t="shared" ref="F3:F31" si="0">E3*$L$15</f>
        <v>120</v>
      </c>
      <c r="G3">
        <f>VLOOKUP($C3,약재관리!A:J,10,FALSE)</f>
        <v>14.8</v>
      </c>
      <c r="H3" s="5">
        <f t="shared" ref="H3:H31" si="1">G3*E3</f>
        <v>88.800000000000011</v>
      </c>
      <c r="I3" s="6">
        <f t="shared" ref="I3:I31" si="2">G3*F3</f>
        <v>1776</v>
      </c>
      <c r="K3" s="8" t="s">
        <v>10</v>
      </c>
      <c r="L3" s="164" t="s">
        <v>426</v>
      </c>
      <c r="M3" s="165"/>
    </row>
    <row r="4" spans="2:13">
      <c r="B4" s="3">
        <v>3</v>
      </c>
      <c r="C4" t="s">
        <v>427</v>
      </c>
      <c r="D4" s="4"/>
      <c r="E4" s="88">
        <v>6</v>
      </c>
      <c r="F4" s="101">
        <f t="shared" si="0"/>
        <v>120</v>
      </c>
      <c r="G4">
        <f>VLOOKUP($C4,약재관리!A:J,10,FALSE)</f>
        <v>30.3</v>
      </c>
      <c r="H4" s="5">
        <f t="shared" si="1"/>
        <v>181.8</v>
      </c>
      <c r="I4" s="6">
        <f t="shared" si="2"/>
        <v>3636</v>
      </c>
      <c r="K4" s="8" t="s">
        <v>11</v>
      </c>
      <c r="L4" s="166">
        <v>45817</v>
      </c>
      <c r="M4" s="165"/>
    </row>
    <row r="5" spans="2:13">
      <c r="B5" s="3">
        <v>4</v>
      </c>
      <c r="C5" t="s">
        <v>419</v>
      </c>
      <c r="D5" s="4"/>
      <c r="E5" s="88">
        <v>4</v>
      </c>
      <c r="F5" s="101">
        <f t="shared" si="0"/>
        <v>80</v>
      </c>
      <c r="G5">
        <f>VLOOKUP($C5,약재관리!A:J,10,FALSE)</f>
        <v>28.3</v>
      </c>
      <c r="H5" s="5">
        <f t="shared" si="1"/>
        <v>113.2</v>
      </c>
      <c r="I5" s="6">
        <f t="shared" si="2"/>
        <v>2264</v>
      </c>
      <c r="K5" s="8" t="s">
        <v>12</v>
      </c>
      <c r="L5" s="164" t="s">
        <v>424</v>
      </c>
      <c r="M5" s="165"/>
    </row>
    <row r="6" spans="2:13">
      <c r="B6" s="3">
        <v>5</v>
      </c>
      <c r="D6" s="4"/>
      <c r="F6" s="101">
        <f t="shared" si="0"/>
        <v>0</v>
      </c>
      <c r="H6" s="5">
        <f t="shared" si="1"/>
        <v>0</v>
      </c>
      <c r="I6" s="6">
        <f t="shared" si="2"/>
        <v>0</v>
      </c>
      <c r="K6" s="8" t="s">
        <v>13</v>
      </c>
      <c r="L6" s="164">
        <v>52</v>
      </c>
      <c r="M6" s="165"/>
    </row>
    <row r="7" spans="2:13" ht="17.25" thickBot="1">
      <c r="B7" s="3">
        <v>6</v>
      </c>
      <c r="D7" s="4"/>
      <c r="F7" s="101">
        <f t="shared" si="0"/>
        <v>0</v>
      </c>
      <c r="H7" s="5">
        <f t="shared" si="1"/>
        <v>0</v>
      </c>
      <c r="I7" s="6">
        <f t="shared" si="2"/>
        <v>0</v>
      </c>
      <c r="K7" s="8" t="s">
        <v>14</v>
      </c>
      <c r="L7" s="148" t="s">
        <v>425</v>
      </c>
      <c r="M7" s="149"/>
    </row>
    <row r="8" spans="2:13" ht="17.25" thickBot="1">
      <c r="B8" s="3">
        <v>7</v>
      </c>
      <c r="D8" s="4"/>
      <c r="F8" s="101">
        <f t="shared" si="0"/>
        <v>0</v>
      </c>
      <c r="H8" s="5">
        <f t="shared" si="1"/>
        <v>0</v>
      </c>
      <c r="I8" s="6">
        <f t="shared" si="2"/>
        <v>0</v>
      </c>
      <c r="K8" s="150" t="s">
        <v>15</v>
      </c>
      <c r="L8" s="151"/>
      <c r="M8" s="152"/>
    </row>
    <row r="9" spans="2:13">
      <c r="B9" s="3">
        <v>8</v>
      </c>
      <c r="D9" s="4"/>
      <c r="F9" s="101">
        <f t="shared" si="0"/>
        <v>0</v>
      </c>
      <c r="H9" s="5">
        <f t="shared" si="1"/>
        <v>0</v>
      </c>
      <c r="I9" s="6">
        <f t="shared" si="2"/>
        <v>0</v>
      </c>
      <c r="K9" s="153"/>
      <c r="L9" s="154"/>
      <c r="M9" s="155"/>
    </row>
    <row r="10" spans="2:13">
      <c r="B10" s="3">
        <v>9</v>
      </c>
      <c r="D10" s="4"/>
      <c r="F10" s="101">
        <f t="shared" si="0"/>
        <v>0</v>
      </c>
      <c r="H10" s="5">
        <f t="shared" si="1"/>
        <v>0</v>
      </c>
      <c r="I10" s="6">
        <f t="shared" si="2"/>
        <v>0</v>
      </c>
      <c r="K10" s="156"/>
      <c r="L10" s="157"/>
      <c r="M10" s="158"/>
    </row>
    <row r="11" spans="2:13">
      <c r="B11" s="3">
        <v>10</v>
      </c>
      <c r="D11" s="4"/>
      <c r="F11" s="101">
        <f t="shared" si="0"/>
        <v>0</v>
      </c>
      <c r="H11" s="5">
        <f t="shared" si="1"/>
        <v>0</v>
      </c>
      <c r="I11" s="6">
        <f t="shared" si="2"/>
        <v>0</v>
      </c>
      <c r="K11" s="156"/>
      <c r="L11" s="157"/>
      <c r="M11" s="158"/>
    </row>
    <row r="12" spans="2:13">
      <c r="B12" s="3">
        <v>11</v>
      </c>
      <c r="D12" s="4"/>
      <c r="F12" s="101">
        <f t="shared" si="0"/>
        <v>0</v>
      </c>
      <c r="H12" s="5">
        <f t="shared" si="1"/>
        <v>0</v>
      </c>
      <c r="I12" s="6">
        <f t="shared" si="2"/>
        <v>0</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24</v>
      </c>
      <c r="M18" s="10" t="s">
        <v>25</v>
      </c>
    </row>
    <row r="19" spans="2:13">
      <c r="B19" s="3">
        <v>18</v>
      </c>
      <c r="D19" s="4"/>
      <c r="F19" s="101">
        <f t="shared" si="0"/>
        <v>0</v>
      </c>
      <c r="H19" s="5">
        <f t="shared" si="1"/>
        <v>0</v>
      </c>
      <c r="I19" s="6">
        <f t="shared" si="2"/>
        <v>0</v>
      </c>
      <c r="K19" s="91" t="s">
        <v>26</v>
      </c>
      <c r="L19">
        <f>L15*L18</f>
        <v>480</v>
      </c>
      <c r="M19" s="4" t="s">
        <v>25</v>
      </c>
    </row>
    <row r="20" spans="2:13" ht="17.25" thickBot="1">
      <c r="B20" s="3">
        <v>19</v>
      </c>
      <c r="D20" s="4"/>
      <c r="F20" s="101">
        <f t="shared" si="0"/>
        <v>0</v>
      </c>
      <c r="H20" s="5">
        <f t="shared" si="1"/>
        <v>0</v>
      </c>
      <c r="I20" s="6">
        <f t="shared" si="2"/>
        <v>0</v>
      </c>
      <c r="K20" s="14" t="s">
        <v>27</v>
      </c>
      <c r="L20" s="11">
        <f>L16*L17+L19</f>
        <v>2680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480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471.8</v>
      </c>
      <c r="M30" s="4" t="s">
        <v>384</v>
      </c>
    </row>
    <row r="31" spans="2:13" ht="17.25" thickBot="1">
      <c r="B31" s="13">
        <v>30</v>
      </c>
      <c r="C31" s="14"/>
      <c r="D31" s="12"/>
      <c r="E31" s="95"/>
      <c r="F31" s="102">
        <f t="shared" si="0"/>
        <v>0</v>
      </c>
      <c r="G31" s="11"/>
      <c r="H31" s="15">
        <f t="shared" si="1"/>
        <v>0</v>
      </c>
      <c r="I31" s="16">
        <f t="shared" si="2"/>
        <v>0</v>
      </c>
      <c r="K31" s="14" t="s">
        <v>383</v>
      </c>
      <c r="L31" s="15">
        <f>SUM(I2:I31)</f>
        <v>9436</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C8" sqref="C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12</v>
      </c>
      <c r="F2" s="101">
        <f>E2*$L$15</f>
        <v>120</v>
      </c>
      <c r="G2">
        <f>VLOOKUP($C2,약재관리!A:J,10,FALSE)</f>
        <v>41</v>
      </c>
      <c r="H2" s="5">
        <f>G2*E2</f>
        <v>492</v>
      </c>
      <c r="I2" s="90">
        <f>G2*F2</f>
        <v>4920</v>
      </c>
      <c r="K2" s="7" t="s">
        <v>9</v>
      </c>
      <c r="L2" s="162">
        <v>101</v>
      </c>
      <c r="M2" s="163"/>
    </row>
    <row r="3" spans="2:13">
      <c r="B3" s="3">
        <v>2</v>
      </c>
      <c r="C3" t="s">
        <v>414</v>
      </c>
      <c r="D3" s="4"/>
      <c r="E3" s="88">
        <v>2</v>
      </c>
      <c r="F3" s="101">
        <f t="shared" ref="F3:F31" si="0">E3*$L$15</f>
        <v>20</v>
      </c>
      <c r="G3">
        <f>VLOOKUP($C3,약재관리!A:J,10,FALSE)</f>
        <v>8.5</v>
      </c>
      <c r="H3" s="5">
        <f t="shared" ref="H3:H31" si="1">G3*E3</f>
        <v>17</v>
      </c>
      <c r="I3" s="6">
        <f t="shared" ref="I3:I31" si="2">G3*F3</f>
        <v>170</v>
      </c>
      <c r="K3" s="8" t="s">
        <v>10</v>
      </c>
      <c r="L3" s="164" t="s">
        <v>422</v>
      </c>
      <c r="M3" s="165"/>
    </row>
    <row r="4" spans="2:13">
      <c r="B4" s="3">
        <v>3</v>
      </c>
      <c r="C4" t="s">
        <v>415</v>
      </c>
      <c r="D4" s="4"/>
      <c r="E4" s="88">
        <v>6</v>
      </c>
      <c r="F4" s="101">
        <f t="shared" si="0"/>
        <v>60</v>
      </c>
      <c r="G4">
        <f>VLOOKUP($C4,약재관리!A:J,10,FALSE)</f>
        <v>145.19999999999999</v>
      </c>
      <c r="H4" s="5">
        <f t="shared" si="1"/>
        <v>871.19999999999993</v>
      </c>
      <c r="I4" s="6">
        <f t="shared" si="2"/>
        <v>8712</v>
      </c>
      <c r="K4" s="8" t="s">
        <v>11</v>
      </c>
      <c r="L4" s="166">
        <v>45764</v>
      </c>
      <c r="M4" s="165"/>
    </row>
    <row r="5" spans="2:13">
      <c r="B5" s="3">
        <v>4</v>
      </c>
      <c r="C5" t="s">
        <v>416</v>
      </c>
      <c r="D5" s="4"/>
      <c r="E5" s="88">
        <v>6</v>
      </c>
      <c r="F5" s="101">
        <f t="shared" si="0"/>
        <v>60</v>
      </c>
      <c r="G5">
        <f>VLOOKUP($C5,약재관리!A:J,10,FALSE)</f>
        <v>9.5</v>
      </c>
      <c r="H5" s="5">
        <f t="shared" si="1"/>
        <v>57</v>
      </c>
      <c r="I5" s="6">
        <f t="shared" si="2"/>
        <v>570</v>
      </c>
      <c r="K5" s="8" t="s">
        <v>12</v>
      </c>
      <c r="L5" s="164" t="s">
        <v>424</v>
      </c>
      <c r="M5" s="165"/>
    </row>
    <row r="6" spans="2:13">
      <c r="B6" s="3">
        <v>5</v>
      </c>
      <c r="C6" t="s">
        <v>417</v>
      </c>
      <c r="D6" s="4"/>
      <c r="E6" s="88">
        <v>6</v>
      </c>
      <c r="F6" s="101">
        <f t="shared" si="0"/>
        <v>60</v>
      </c>
      <c r="G6">
        <f>VLOOKUP($C6,약재관리!A:J,10,FALSE)</f>
        <v>25.2</v>
      </c>
      <c r="H6" s="5">
        <f t="shared" si="1"/>
        <v>151.19999999999999</v>
      </c>
      <c r="I6" s="6">
        <f t="shared" si="2"/>
        <v>1512</v>
      </c>
      <c r="K6" s="8" t="s">
        <v>13</v>
      </c>
      <c r="L6" s="164">
        <v>52</v>
      </c>
      <c r="M6" s="165"/>
    </row>
    <row r="7" spans="2:13" ht="17.25" thickBot="1">
      <c r="B7" s="3">
        <v>6</v>
      </c>
      <c r="C7" t="s">
        <v>418</v>
      </c>
      <c r="D7" s="4"/>
      <c r="E7" s="88">
        <v>6</v>
      </c>
      <c r="F7" s="101">
        <f t="shared" si="0"/>
        <v>60</v>
      </c>
      <c r="G7">
        <f>VLOOKUP($C7,약재관리!A:J,10,FALSE)</f>
        <v>14.8</v>
      </c>
      <c r="H7" s="5">
        <f t="shared" si="1"/>
        <v>88.800000000000011</v>
      </c>
      <c r="I7" s="6">
        <f t="shared" si="2"/>
        <v>888</v>
      </c>
      <c r="K7" s="8" t="s">
        <v>14</v>
      </c>
      <c r="L7" s="148" t="s">
        <v>425</v>
      </c>
      <c r="M7" s="149"/>
    </row>
    <row r="8" spans="2:13" ht="17.25" thickBot="1">
      <c r="B8" s="3">
        <v>7</v>
      </c>
      <c r="C8" t="s">
        <v>421</v>
      </c>
      <c r="D8" s="4"/>
      <c r="E8" s="88">
        <v>6</v>
      </c>
      <c r="F8" s="101">
        <f t="shared" si="0"/>
        <v>60</v>
      </c>
      <c r="G8">
        <f>VLOOKUP($C8,약재관리!A:J,10,FALSE)</f>
        <v>19.600000000000001</v>
      </c>
      <c r="H8" s="5">
        <f t="shared" si="1"/>
        <v>117.60000000000001</v>
      </c>
      <c r="I8" s="6">
        <f t="shared" si="2"/>
        <v>1176</v>
      </c>
      <c r="K8" s="150" t="s">
        <v>15</v>
      </c>
      <c r="L8" s="151"/>
      <c r="M8" s="152"/>
    </row>
    <row r="9" spans="2:13">
      <c r="B9" s="3">
        <v>8</v>
      </c>
      <c r="C9" t="s">
        <v>419</v>
      </c>
      <c r="D9" s="4"/>
      <c r="E9" s="88">
        <v>6</v>
      </c>
      <c r="F9" s="101">
        <f t="shared" si="0"/>
        <v>60</v>
      </c>
      <c r="G9">
        <f>VLOOKUP($C9,약재관리!A:J,10,FALSE)</f>
        <v>28.3</v>
      </c>
      <c r="H9" s="5">
        <f t="shared" si="1"/>
        <v>169.8</v>
      </c>
      <c r="I9" s="6">
        <f t="shared" si="2"/>
        <v>1698</v>
      </c>
      <c r="K9" s="153" t="s">
        <v>423</v>
      </c>
      <c r="L9" s="154"/>
      <c r="M9" s="155"/>
    </row>
    <row r="10" spans="2:13">
      <c r="B10" s="3">
        <v>9</v>
      </c>
      <c r="C10" t="s">
        <v>420</v>
      </c>
      <c r="D10" s="4"/>
      <c r="E10" s="88">
        <v>8</v>
      </c>
      <c r="F10" s="101">
        <f t="shared" si="0"/>
        <v>80</v>
      </c>
      <c r="G10">
        <f>VLOOKUP($C10,약재관리!A:J,10,FALSE)</f>
        <v>11</v>
      </c>
      <c r="H10" s="5">
        <f t="shared" si="1"/>
        <v>88</v>
      </c>
      <c r="I10" s="6">
        <f t="shared" si="2"/>
        <v>880</v>
      </c>
      <c r="K10" s="156"/>
      <c r="L10" s="157"/>
      <c r="M10" s="158"/>
    </row>
    <row r="11" spans="2:13">
      <c r="B11" s="3">
        <v>10</v>
      </c>
      <c r="D11" s="4"/>
      <c r="F11" s="101">
        <f t="shared" si="0"/>
        <v>0</v>
      </c>
      <c r="H11" s="5">
        <f t="shared" si="1"/>
        <v>0</v>
      </c>
      <c r="I11" s="6">
        <f t="shared" si="2"/>
        <v>0</v>
      </c>
      <c r="K11" s="156"/>
      <c r="L11" s="157"/>
      <c r="M11" s="158"/>
    </row>
    <row r="12" spans="2:13">
      <c r="B12" s="3">
        <v>11</v>
      </c>
      <c r="D12" s="4"/>
      <c r="F12" s="101">
        <f t="shared" si="0"/>
        <v>0</v>
      </c>
      <c r="H12" s="5">
        <f t="shared" si="1"/>
        <v>0</v>
      </c>
      <c r="I12" s="6">
        <f t="shared" si="2"/>
        <v>0</v>
      </c>
      <c r="K12" s="156"/>
      <c r="L12" s="157"/>
      <c r="M12" s="158"/>
    </row>
    <row r="13" spans="2:13" ht="17.25" thickBot="1">
      <c r="B13" s="3">
        <v>12</v>
      </c>
      <c r="D13" s="4"/>
      <c r="F13" s="101">
        <f t="shared" si="0"/>
        <v>0</v>
      </c>
      <c r="H13" s="5">
        <f t="shared" si="1"/>
        <v>0</v>
      </c>
      <c r="I13" s="6">
        <f t="shared" si="2"/>
        <v>0</v>
      </c>
      <c r="K13" s="159"/>
      <c r="L13" s="160"/>
      <c r="M13" s="161"/>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10</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58</v>
      </c>
      <c r="M18" s="10" t="s">
        <v>25</v>
      </c>
    </row>
    <row r="19" spans="2:13">
      <c r="B19" s="3">
        <v>18</v>
      </c>
      <c r="D19" s="4"/>
      <c r="F19" s="101">
        <f t="shared" si="0"/>
        <v>0</v>
      </c>
      <c r="H19" s="5">
        <f t="shared" si="1"/>
        <v>0</v>
      </c>
      <c r="I19" s="6">
        <f t="shared" si="2"/>
        <v>0</v>
      </c>
      <c r="K19" s="91" t="s">
        <v>26</v>
      </c>
      <c r="L19">
        <f>L15*L18</f>
        <v>580</v>
      </c>
      <c r="M19" s="4" t="s">
        <v>25</v>
      </c>
    </row>
    <row r="20" spans="2:13" ht="17.25" thickBot="1">
      <c r="B20" s="3">
        <v>19</v>
      </c>
      <c r="D20" s="4"/>
      <c r="F20" s="101">
        <f t="shared" si="0"/>
        <v>0</v>
      </c>
      <c r="H20" s="5">
        <f t="shared" si="1"/>
        <v>0</v>
      </c>
      <c r="I20" s="6">
        <f t="shared" si="2"/>
        <v>0</v>
      </c>
      <c r="K20" s="14" t="s">
        <v>27</v>
      </c>
      <c r="L20" s="11">
        <f>L16*L17+L19</f>
        <v>2780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580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2052.5999999999995</v>
      </c>
      <c r="M30" s="4" t="s">
        <v>384</v>
      </c>
    </row>
    <row r="31" spans="2:13" ht="17.25" thickBot="1">
      <c r="B31" s="13">
        <v>30</v>
      </c>
      <c r="C31" s="14"/>
      <c r="D31" s="12"/>
      <c r="E31" s="95"/>
      <c r="F31" s="102">
        <f t="shared" si="0"/>
        <v>0</v>
      </c>
      <c r="G31" s="11"/>
      <c r="H31" s="15">
        <f t="shared" si="1"/>
        <v>0</v>
      </c>
      <c r="I31" s="16">
        <f t="shared" si="2"/>
        <v>0</v>
      </c>
      <c r="K31" s="14" t="s">
        <v>383</v>
      </c>
      <c r="L31" s="15">
        <f>SUM(I2:I31)</f>
        <v>20526</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2"/>
  <sheetViews>
    <sheetView zoomScaleNormal="100" workbookViewId="0">
      <selection activeCell="E204" sqref="E20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14000</v>
      </c>
      <c r="D58" s="36">
        <v>15000</v>
      </c>
      <c r="E58" s="37">
        <v>20200</v>
      </c>
      <c r="F58" s="115">
        <f t="shared" si="6"/>
        <v>37</v>
      </c>
      <c r="G58" s="38">
        <f>C58/500</f>
        <v>28</v>
      </c>
      <c r="H58" s="38">
        <f t="shared" si="7"/>
        <v>25</v>
      </c>
      <c r="I58" s="48">
        <f t="shared" si="7"/>
        <v>33.666666666666664</v>
      </c>
      <c r="J58" s="40">
        <v>28</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20500</v>
      </c>
      <c r="D63" s="36">
        <v>26500</v>
      </c>
      <c r="E63" s="37">
        <v>23500</v>
      </c>
      <c r="F63" s="115">
        <f t="shared" si="6"/>
        <v>0</v>
      </c>
      <c r="G63" s="72">
        <f t="shared" si="6"/>
        <v>41</v>
      </c>
      <c r="H63" s="72">
        <f>D63/500</f>
        <v>53</v>
      </c>
      <c r="I63" s="39">
        <f>E63/500</f>
        <v>47</v>
      </c>
      <c r="J63" s="40">
        <v>41</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24000</v>
      </c>
      <c r="E92" s="37">
        <v>16600</v>
      </c>
      <c r="F92" s="115">
        <f t="shared" si="9"/>
        <v>0</v>
      </c>
      <c r="G92" s="44">
        <f t="shared" si="9"/>
        <v>31.2</v>
      </c>
      <c r="H92" s="38">
        <f t="shared" si="8"/>
        <v>40</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5"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6"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328</v>
      </c>
      <c r="B183" s="125"/>
      <c r="C183" s="36"/>
      <c r="D183" s="36"/>
      <c r="E183" s="37"/>
      <c r="F183" s="115">
        <f t="shared" si="21"/>
        <v>0</v>
      </c>
      <c r="G183" s="38">
        <f t="shared" si="21"/>
        <v>0</v>
      </c>
      <c r="H183" s="38">
        <f t="shared" si="20"/>
        <v>0</v>
      </c>
      <c r="I183" s="39">
        <f t="shared" si="20"/>
        <v>0</v>
      </c>
      <c r="K183" s="41"/>
      <c r="L183" s="42"/>
      <c r="M183" s="42"/>
      <c r="N183" s="43"/>
    </row>
    <row r="184" spans="1:14" ht="15" customHeight="1" thickBot="1">
      <c r="A184" s="133" t="s">
        <v>329</v>
      </c>
      <c r="B184" s="126">
        <v>10800</v>
      </c>
      <c r="C184" s="49">
        <v>13300</v>
      </c>
      <c r="D184" s="49">
        <v>7500</v>
      </c>
      <c r="E184" s="50">
        <v>15600</v>
      </c>
      <c r="F184" s="73">
        <f t="shared" si="21"/>
        <v>21.6</v>
      </c>
      <c r="G184" s="51">
        <f t="shared" si="21"/>
        <v>26.6</v>
      </c>
      <c r="H184" s="51">
        <f t="shared" si="20"/>
        <v>12.5</v>
      </c>
      <c r="I184" s="60">
        <f t="shared" si="20"/>
        <v>26</v>
      </c>
      <c r="J184" s="52">
        <v>26</v>
      </c>
      <c r="K184" s="142"/>
      <c r="L184" s="53" t="s">
        <v>42</v>
      </c>
      <c r="M184" s="54"/>
      <c r="N184" s="62" t="s">
        <v>189</v>
      </c>
    </row>
    <row r="185" spans="1:14" ht="15" customHeight="1">
      <c r="A185" s="134" t="s">
        <v>330</v>
      </c>
      <c r="B185" s="128"/>
      <c r="C185" s="26">
        <v>11800</v>
      </c>
      <c r="D185" s="26">
        <v>15000</v>
      </c>
      <c r="E185" s="27">
        <v>14200</v>
      </c>
      <c r="F185" s="28">
        <f t="shared" si="21"/>
        <v>0</v>
      </c>
      <c r="G185" s="29">
        <f t="shared" si="21"/>
        <v>23.6</v>
      </c>
      <c r="H185" s="29">
        <f t="shared" si="20"/>
        <v>25</v>
      </c>
      <c r="I185" s="56">
        <f t="shared" si="20"/>
        <v>23.666666666666668</v>
      </c>
      <c r="J185" s="31">
        <v>23.7</v>
      </c>
      <c r="K185" s="32"/>
      <c r="L185" s="143" t="s">
        <v>42</v>
      </c>
      <c r="M185" s="34" t="s">
        <v>62</v>
      </c>
      <c r="N185" s="35" t="s">
        <v>44</v>
      </c>
    </row>
    <row r="186" spans="1:14" ht="15" customHeight="1">
      <c r="A186" s="144" t="s">
        <v>331</v>
      </c>
      <c r="B186" s="125"/>
      <c r="C186" s="36">
        <v>5500</v>
      </c>
      <c r="D186" s="36"/>
      <c r="E186" s="37"/>
      <c r="F186" s="115"/>
      <c r="G186" s="38">
        <f t="shared" si="21"/>
        <v>11</v>
      </c>
      <c r="H186" s="38"/>
      <c r="I186" s="39"/>
      <c r="J186" s="40">
        <v>11</v>
      </c>
      <c r="K186" s="139"/>
      <c r="L186" s="42" t="s">
        <v>332</v>
      </c>
      <c r="M186" s="135"/>
      <c r="N186" s="145"/>
    </row>
    <row r="187" spans="1:14" ht="15" customHeight="1" thickBot="1">
      <c r="A187" s="122" t="s">
        <v>333</v>
      </c>
      <c r="B187" s="126"/>
      <c r="C187" s="49">
        <v>10000</v>
      </c>
      <c r="D187" s="49">
        <v>10000</v>
      </c>
      <c r="E187" s="50">
        <v>10300</v>
      </c>
      <c r="F187" s="73">
        <f t="shared" ref="F187:G207" si="22">B187/500</f>
        <v>0</v>
      </c>
      <c r="G187" s="51">
        <f t="shared" ref="G187:I195" si="23">C187/600</f>
        <v>16.666666666666668</v>
      </c>
      <c r="H187" s="51">
        <f t="shared" si="23"/>
        <v>16.666666666666668</v>
      </c>
      <c r="I187" s="60">
        <f t="shared" si="23"/>
        <v>17.166666666666668</v>
      </c>
      <c r="J187" s="52"/>
      <c r="K187" s="61"/>
      <c r="L187" s="53" t="s">
        <v>105</v>
      </c>
      <c r="M187" s="54" t="s">
        <v>334</v>
      </c>
      <c r="N187" s="62" t="s">
        <v>405</v>
      </c>
    </row>
    <row r="188" spans="1:14" ht="15" customHeight="1">
      <c r="A188" s="132" t="s">
        <v>335</v>
      </c>
      <c r="B188" s="128"/>
      <c r="C188" s="26">
        <v>4700</v>
      </c>
      <c r="D188" s="26">
        <v>5500</v>
      </c>
      <c r="E188" s="27">
        <v>4700</v>
      </c>
      <c r="F188" s="28">
        <f t="shared" si="22"/>
        <v>0</v>
      </c>
      <c r="G188" s="29">
        <f t="shared" si="23"/>
        <v>7.833333333333333</v>
      </c>
      <c r="H188" s="29">
        <f t="shared" si="23"/>
        <v>9.1666666666666661</v>
      </c>
      <c r="I188" s="56">
        <f t="shared" si="23"/>
        <v>7.833333333333333</v>
      </c>
      <c r="J188" s="31">
        <v>9.1999999999999993</v>
      </c>
      <c r="K188" s="32"/>
      <c r="L188" s="33" t="s">
        <v>336</v>
      </c>
      <c r="M188" s="34" t="s">
        <v>337</v>
      </c>
      <c r="N188" s="35" t="s">
        <v>338</v>
      </c>
    </row>
    <row r="189" spans="1:14" ht="15" customHeight="1">
      <c r="A189" s="121" t="s">
        <v>339</v>
      </c>
      <c r="B189" s="125"/>
      <c r="C189" s="36">
        <v>21000</v>
      </c>
      <c r="D189" s="36">
        <v>25500</v>
      </c>
      <c r="E189" s="37">
        <v>25400</v>
      </c>
      <c r="F189" s="115">
        <f t="shared" si="22"/>
        <v>0</v>
      </c>
      <c r="G189" s="44">
        <f t="shared" si="23"/>
        <v>35</v>
      </c>
      <c r="H189" s="38">
        <f t="shared" si="23"/>
        <v>42.5</v>
      </c>
      <c r="I189" s="39">
        <f t="shared" si="23"/>
        <v>42.333333333333336</v>
      </c>
      <c r="J189" s="40">
        <v>35</v>
      </c>
      <c r="K189" s="41"/>
      <c r="L189" s="42" t="s">
        <v>340</v>
      </c>
      <c r="M189" s="42"/>
      <c r="N189" s="43" t="s">
        <v>84</v>
      </c>
    </row>
    <row r="190" spans="1:14" ht="15" customHeight="1">
      <c r="A190" s="121" t="s">
        <v>341</v>
      </c>
      <c r="B190" s="125"/>
      <c r="C190" s="36">
        <v>19000</v>
      </c>
      <c r="D190" s="36">
        <v>19200</v>
      </c>
      <c r="E190" s="37">
        <v>19200</v>
      </c>
      <c r="F190" s="115">
        <f t="shared" si="22"/>
        <v>0</v>
      </c>
      <c r="G190" s="38">
        <f>C190/500</f>
        <v>38</v>
      </c>
      <c r="H190" s="38">
        <f t="shared" si="23"/>
        <v>32</v>
      </c>
      <c r="I190" s="39">
        <f t="shared" si="23"/>
        <v>32</v>
      </c>
      <c r="J190" s="40">
        <v>32</v>
      </c>
      <c r="K190" s="41"/>
      <c r="L190" s="42"/>
      <c r="M190" s="42"/>
      <c r="N190" s="43"/>
    </row>
    <row r="191" spans="1:14" ht="15" customHeight="1">
      <c r="A191" s="121" t="s">
        <v>342</v>
      </c>
      <c r="B191" s="125"/>
      <c r="C191" s="36"/>
      <c r="D191" s="36"/>
      <c r="E191" s="37"/>
      <c r="F191" s="115">
        <f t="shared" si="22"/>
        <v>0</v>
      </c>
      <c r="G191" s="38">
        <f>C191/500</f>
        <v>0</v>
      </c>
      <c r="H191" s="38">
        <f t="shared" si="23"/>
        <v>0</v>
      </c>
      <c r="I191" s="39">
        <f t="shared" si="23"/>
        <v>0</v>
      </c>
      <c r="K191" s="41"/>
      <c r="L191" s="42"/>
      <c r="M191" s="42"/>
      <c r="N191" s="43"/>
    </row>
    <row r="192" spans="1:14" ht="15" customHeight="1" thickBot="1">
      <c r="A192" s="133" t="s">
        <v>343</v>
      </c>
      <c r="B192" s="126"/>
      <c r="C192" s="49">
        <v>5200</v>
      </c>
      <c r="D192" s="49"/>
      <c r="E192" s="50">
        <v>5600</v>
      </c>
      <c r="F192" s="73">
        <f t="shared" si="22"/>
        <v>0</v>
      </c>
      <c r="G192" s="59">
        <f>C192/600</f>
        <v>8.6666666666666661</v>
      </c>
      <c r="H192" s="51">
        <f t="shared" si="23"/>
        <v>0</v>
      </c>
      <c r="I192" s="60">
        <f t="shared" si="23"/>
        <v>9.3333333333333339</v>
      </c>
      <c r="J192" s="52">
        <v>8.6999999999999993</v>
      </c>
      <c r="K192" s="61"/>
      <c r="L192" s="53" t="s">
        <v>73</v>
      </c>
      <c r="M192" s="53"/>
      <c r="N192" s="62" t="s">
        <v>50</v>
      </c>
    </row>
    <row r="193" spans="1:14" ht="15" customHeight="1">
      <c r="A193" s="134" t="s">
        <v>344</v>
      </c>
      <c r="B193" s="128"/>
      <c r="C193" s="26">
        <v>4000</v>
      </c>
      <c r="D193" s="26">
        <v>5500</v>
      </c>
      <c r="E193" s="27">
        <v>5100</v>
      </c>
      <c r="F193" s="28">
        <f t="shared" si="22"/>
        <v>0</v>
      </c>
      <c r="G193" s="29">
        <f t="shared" si="22"/>
        <v>8</v>
      </c>
      <c r="H193" s="29">
        <f t="shared" si="23"/>
        <v>9.1666666666666661</v>
      </c>
      <c r="I193" s="56">
        <f t="shared" si="23"/>
        <v>8.5</v>
      </c>
      <c r="J193" s="31">
        <v>8</v>
      </c>
      <c r="K193" s="32"/>
      <c r="L193" s="33" t="s">
        <v>50</v>
      </c>
      <c r="M193" s="33"/>
      <c r="N193" s="35"/>
    </row>
    <row r="194" spans="1:14" ht="15" customHeight="1">
      <c r="A194" s="120" t="s">
        <v>345</v>
      </c>
      <c r="B194" s="125"/>
      <c r="C194" s="36">
        <v>5900</v>
      </c>
      <c r="D194" s="36">
        <v>6500</v>
      </c>
      <c r="E194" s="37">
        <v>6900</v>
      </c>
      <c r="F194" s="115">
        <f t="shared" si="22"/>
        <v>0</v>
      </c>
      <c r="G194" s="38">
        <f t="shared" si="22"/>
        <v>11.8</v>
      </c>
      <c r="H194" s="38">
        <f t="shared" si="23"/>
        <v>10.833333333333334</v>
      </c>
      <c r="I194" s="39">
        <f t="shared" si="23"/>
        <v>11.5</v>
      </c>
      <c r="J194" s="40">
        <v>12</v>
      </c>
      <c r="K194" s="41"/>
      <c r="L194" s="42"/>
      <c r="M194" s="47" t="s">
        <v>346</v>
      </c>
      <c r="N194" s="43" t="s">
        <v>397</v>
      </c>
    </row>
    <row r="195" spans="1:14" ht="15" customHeight="1">
      <c r="A195" s="120" t="s">
        <v>347</v>
      </c>
      <c r="B195" s="125"/>
      <c r="C195" s="36">
        <v>7200</v>
      </c>
      <c r="D195" s="36">
        <v>9500</v>
      </c>
      <c r="E195" s="37">
        <v>8600</v>
      </c>
      <c r="F195" s="115">
        <f t="shared" si="22"/>
        <v>0</v>
      </c>
      <c r="G195" s="38">
        <f t="shared" si="22"/>
        <v>14.4</v>
      </c>
      <c r="H195" s="38">
        <f t="shared" si="23"/>
        <v>15.833333333333334</v>
      </c>
      <c r="I195" s="98">
        <f t="shared" si="23"/>
        <v>14.333333333333334</v>
      </c>
      <c r="J195" s="40">
        <v>14.7</v>
      </c>
      <c r="K195" s="41"/>
      <c r="L195" s="113" t="s">
        <v>42</v>
      </c>
      <c r="M195" s="47" t="s">
        <v>348</v>
      </c>
      <c r="N195" s="43" t="s">
        <v>42</v>
      </c>
    </row>
    <row r="196" spans="1:14" ht="15" customHeight="1">
      <c r="A196" s="120" t="s">
        <v>349</v>
      </c>
      <c r="B196" s="125"/>
      <c r="C196" s="36"/>
      <c r="D196" s="36"/>
      <c r="E196" s="37">
        <v>39000</v>
      </c>
      <c r="F196" s="115">
        <f t="shared" si="22"/>
        <v>0</v>
      </c>
      <c r="G196" s="38">
        <f t="shared" si="22"/>
        <v>0</v>
      </c>
      <c r="H196" s="38">
        <f>D196/600</f>
        <v>0</v>
      </c>
      <c r="I196" s="39">
        <f>E196/1000</f>
        <v>39</v>
      </c>
      <c r="J196" s="40">
        <v>39</v>
      </c>
      <c r="K196" s="41"/>
      <c r="L196" s="42"/>
      <c r="M196" s="42"/>
      <c r="N196" s="43" t="s">
        <v>350</v>
      </c>
    </row>
    <row r="197" spans="1:14" ht="15" customHeight="1">
      <c r="A197" s="120" t="s">
        <v>351</v>
      </c>
      <c r="B197" s="125"/>
      <c r="C197" s="36">
        <v>12000</v>
      </c>
      <c r="D197" s="36">
        <v>6000</v>
      </c>
      <c r="E197" s="37">
        <v>15300</v>
      </c>
      <c r="F197" s="115">
        <f t="shared" si="22"/>
        <v>0</v>
      </c>
      <c r="G197" s="38">
        <f t="shared" si="22"/>
        <v>24</v>
      </c>
      <c r="H197" s="38">
        <f>D197/600</f>
        <v>10</v>
      </c>
      <c r="I197" s="39">
        <f t="shared" ref="I197:I207" si="24">E197/600</f>
        <v>25.5</v>
      </c>
      <c r="J197" s="40">
        <v>24</v>
      </c>
      <c r="K197" s="41"/>
      <c r="L197" s="42" t="s">
        <v>352</v>
      </c>
      <c r="M197" s="42" t="s">
        <v>253</v>
      </c>
      <c r="N197" s="43" t="s">
        <v>389</v>
      </c>
    </row>
    <row r="198" spans="1:14" ht="15" customHeight="1">
      <c r="A198" s="120" t="s">
        <v>353</v>
      </c>
      <c r="B198" s="125"/>
      <c r="C198" s="36">
        <v>28000</v>
      </c>
      <c r="D198" s="36">
        <v>37000</v>
      </c>
      <c r="E198" s="37">
        <v>34800</v>
      </c>
      <c r="F198" s="115">
        <f t="shared" si="22"/>
        <v>0</v>
      </c>
      <c r="G198" s="38">
        <f>C198/600</f>
        <v>46.666666666666664</v>
      </c>
      <c r="H198" s="38">
        <f>D198/600</f>
        <v>61.666666666666664</v>
      </c>
      <c r="I198" s="39">
        <f t="shared" si="24"/>
        <v>58</v>
      </c>
      <c r="J198" s="40">
        <v>61.7</v>
      </c>
      <c r="K198" s="41"/>
      <c r="L198" s="42"/>
      <c r="M198" s="47"/>
      <c r="N198" s="43"/>
    </row>
    <row r="199" spans="1:14" ht="15" customHeight="1">
      <c r="A199" s="120" t="s">
        <v>354</v>
      </c>
      <c r="B199" s="125"/>
      <c r="C199" s="36">
        <v>8800</v>
      </c>
      <c r="D199" s="36"/>
      <c r="E199" s="37">
        <v>10800</v>
      </c>
      <c r="F199" s="115">
        <f t="shared" si="22"/>
        <v>0</v>
      </c>
      <c r="G199" s="38">
        <f t="shared" si="22"/>
        <v>17.600000000000001</v>
      </c>
      <c r="H199" s="38">
        <f>D199/600</f>
        <v>0</v>
      </c>
      <c r="I199" s="39">
        <f t="shared" si="24"/>
        <v>18</v>
      </c>
      <c r="J199" s="40">
        <v>17.600000000000001</v>
      </c>
      <c r="K199" s="41"/>
      <c r="L199" s="42" t="s">
        <v>295</v>
      </c>
      <c r="M199" s="42"/>
      <c r="N199" s="43" t="s">
        <v>394</v>
      </c>
    </row>
    <row r="200" spans="1:14" ht="15" customHeight="1">
      <c r="A200" s="120" t="s">
        <v>355</v>
      </c>
      <c r="B200" s="125"/>
      <c r="C200" s="36">
        <v>19500</v>
      </c>
      <c r="D200" s="36">
        <v>30000</v>
      </c>
      <c r="E200" s="37">
        <v>26000</v>
      </c>
      <c r="F200" s="115">
        <f t="shared" si="22"/>
        <v>0</v>
      </c>
      <c r="G200" s="38">
        <f t="shared" si="22"/>
        <v>39</v>
      </c>
      <c r="H200" s="38">
        <f>D200/600</f>
        <v>50</v>
      </c>
      <c r="I200" s="39">
        <f t="shared" si="24"/>
        <v>43.333333333333336</v>
      </c>
      <c r="J200" s="40">
        <v>44.2</v>
      </c>
      <c r="K200" s="41"/>
      <c r="L200" s="42" t="s">
        <v>356</v>
      </c>
      <c r="M200" s="47" t="s">
        <v>357</v>
      </c>
      <c r="N200" s="43" t="s">
        <v>65</v>
      </c>
    </row>
    <row r="201" spans="1:14" ht="15" customHeight="1">
      <c r="A201" s="120" t="s">
        <v>358</v>
      </c>
      <c r="B201" s="125"/>
      <c r="C201" s="36"/>
      <c r="D201" s="36">
        <v>8500</v>
      </c>
      <c r="E201" s="37"/>
      <c r="F201" s="115">
        <f t="shared" si="22"/>
        <v>0</v>
      </c>
      <c r="G201" s="38">
        <f t="shared" si="22"/>
        <v>0</v>
      </c>
      <c r="H201" s="38">
        <f>D201/1000</f>
        <v>8.5</v>
      </c>
      <c r="I201" s="39">
        <f t="shared" si="24"/>
        <v>0</v>
      </c>
      <c r="K201" s="41"/>
      <c r="L201" s="42"/>
      <c r="M201" s="47" t="s">
        <v>359</v>
      </c>
      <c r="N201" s="43"/>
    </row>
    <row r="202" spans="1:14" ht="15" customHeight="1">
      <c r="A202" s="120" t="s">
        <v>360</v>
      </c>
      <c r="B202" s="125"/>
      <c r="C202" s="36">
        <v>9000</v>
      </c>
      <c r="D202" s="36">
        <v>9000</v>
      </c>
      <c r="E202" s="37">
        <v>13500</v>
      </c>
      <c r="F202" s="115">
        <f t="shared" si="22"/>
        <v>0</v>
      </c>
      <c r="G202" s="38">
        <f t="shared" si="22"/>
        <v>18</v>
      </c>
      <c r="H202" s="38">
        <f t="shared" ref="H202:H207" si="25">D202/600</f>
        <v>15</v>
      </c>
      <c r="I202" s="48">
        <f t="shared" si="24"/>
        <v>22.5</v>
      </c>
      <c r="J202" s="40">
        <v>22.5</v>
      </c>
      <c r="K202" s="41"/>
      <c r="L202" s="42"/>
      <c r="M202" s="47"/>
      <c r="N202" s="43" t="s">
        <v>361</v>
      </c>
    </row>
    <row r="203" spans="1:14" ht="15" customHeight="1">
      <c r="A203" s="120" t="s">
        <v>362</v>
      </c>
      <c r="B203" s="125"/>
      <c r="C203" s="36">
        <v>11000</v>
      </c>
      <c r="D203" s="36">
        <v>24000</v>
      </c>
      <c r="E203" s="37">
        <v>13400</v>
      </c>
      <c r="F203" s="115">
        <f t="shared" si="22"/>
        <v>0</v>
      </c>
      <c r="G203" s="44">
        <f t="shared" si="22"/>
        <v>22</v>
      </c>
      <c r="H203" s="38">
        <f t="shared" si="25"/>
        <v>40</v>
      </c>
      <c r="I203" s="48">
        <f t="shared" si="24"/>
        <v>22.333333333333332</v>
      </c>
      <c r="J203" s="40">
        <v>22</v>
      </c>
      <c r="K203" s="41"/>
      <c r="L203" s="113" t="s">
        <v>363</v>
      </c>
      <c r="M203" s="47" t="s">
        <v>364</v>
      </c>
      <c r="N203" s="43" t="s">
        <v>365</v>
      </c>
    </row>
    <row r="204" spans="1:14" ht="15" customHeight="1">
      <c r="A204" s="120" t="s">
        <v>366</v>
      </c>
      <c r="B204" s="125"/>
      <c r="C204" s="36">
        <v>68400</v>
      </c>
      <c r="D204" s="36">
        <v>85000</v>
      </c>
      <c r="E204" s="37">
        <v>84800</v>
      </c>
      <c r="F204" s="115">
        <f t="shared" si="22"/>
        <v>0</v>
      </c>
      <c r="G204" s="38">
        <f t="shared" si="22"/>
        <v>136.80000000000001</v>
      </c>
      <c r="H204" s="44">
        <f t="shared" si="25"/>
        <v>141.66666666666666</v>
      </c>
      <c r="I204" s="39">
        <f t="shared" si="24"/>
        <v>141.33333333333334</v>
      </c>
      <c r="J204" s="40">
        <v>136.80000000000001</v>
      </c>
      <c r="K204" s="41"/>
      <c r="L204" s="42" t="s">
        <v>367</v>
      </c>
      <c r="M204" s="58" t="s">
        <v>368</v>
      </c>
      <c r="N204" s="43" t="s">
        <v>369</v>
      </c>
    </row>
    <row r="205" spans="1:14" ht="15" customHeight="1">
      <c r="A205" s="120" t="s">
        <v>370</v>
      </c>
      <c r="B205" s="125"/>
      <c r="C205" s="36">
        <v>12800</v>
      </c>
      <c r="D205" s="36">
        <v>9500</v>
      </c>
      <c r="E205" s="37">
        <v>16600</v>
      </c>
      <c r="F205" s="115">
        <f t="shared" si="22"/>
        <v>0</v>
      </c>
      <c r="G205" s="38">
        <f t="shared" si="22"/>
        <v>25.6</v>
      </c>
      <c r="H205" s="38">
        <f t="shared" si="25"/>
        <v>15.833333333333334</v>
      </c>
      <c r="I205" s="39">
        <f t="shared" si="24"/>
        <v>27.666666666666668</v>
      </c>
      <c r="J205" s="40">
        <v>27.7</v>
      </c>
      <c r="K205" s="41"/>
      <c r="L205" s="42"/>
      <c r="M205" s="47" t="s">
        <v>371</v>
      </c>
      <c r="N205" s="43" t="s">
        <v>372</v>
      </c>
    </row>
    <row r="206" spans="1:14" ht="15" customHeight="1">
      <c r="A206" s="120" t="s">
        <v>373</v>
      </c>
      <c r="B206" s="125"/>
      <c r="C206" s="36"/>
      <c r="D206" s="36">
        <v>9500</v>
      </c>
      <c r="E206" s="37"/>
      <c r="F206" s="115">
        <f t="shared" si="22"/>
        <v>0</v>
      </c>
      <c r="G206" s="38">
        <f t="shared" si="22"/>
        <v>0</v>
      </c>
      <c r="H206" s="38">
        <f t="shared" si="25"/>
        <v>15.833333333333334</v>
      </c>
      <c r="I206" s="39">
        <f t="shared" si="24"/>
        <v>0</v>
      </c>
      <c r="K206" s="41"/>
      <c r="L206" s="42"/>
      <c r="M206" s="42"/>
      <c r="N206" s="43"/>
    </row>
    <row r="207" spans="1:14" ht="15" customHeight="1" thickBot="1">
      <c r="A207" s="122" t="s">
        <v>374</v>
      </c>
      <c r="B207" s="126"/>
      <c r="C207" s="49">
        <v>4500</v>
      </c>
      <c r="D207" s="49">
        <v>4500</v>
      </c>
      <c r="E207" s="50">
        <v>5400</v>
      </c>
      <c r="F207" s="73">
        <f t="shared" si="22"/>
        <v>0</v>
      </c>
      <c r="G207" s="51">
        <f t="shared" si="22"/>
        <v>9</v>
      </c>
      <c r="H207" s="51">
        <f t="shared" si="25"/>
        <v>7.5</v>
      </c>
      <c r="I207" s="74">
        <f t="shared" si="24"/>
        <v>9</v>
      </c>
      <c r="J207" s="52">
        <v>9</v>
      </c>
      <c r="K207" s="61"/>
      <c r="L207" s="53" t="s">
        <v>375</v>
      </c>
      <c r="M207" s="54" t="s">
        <v>376</v>
      </c>
      <c r="N207" s="62" t="s">
        <v>377</v>
      </c>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J2372"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처방전양식 (3)</vt:lpstr>
      <vt:lpstr>처방전양식 (2)</vt: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2025-06-25T00:27:48Z</cp:lastPrinted>
  <dcterms:created xsi:type="dcterms:W3CDTF">2024-09-12T16:35:01Z</dcterms:created>
  <dcterms:modified xsi:type="dcterms:W3CDTF">2025-06-25T00:27:53Z</dcterms:modified>
</cp:coreProperties>
</file>