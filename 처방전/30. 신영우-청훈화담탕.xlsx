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51" documentId="8_{6EB8DC0A-AB56-415F-A9F3-EA1534264548}" xr6:coauthVersionLast="47" xr6:coauthVersionMax="47" xr10:uidLastSave="{8A7D3496-C444-4D03-80D7-305EABF86C85}"/>
  <bookViews>
    <workbookView xWindow="-105" yWindow="0" windowWidth="14610" windowHeight="15585"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4" l="1"/>
  <c r="G15" i="4"/>
  <c r="G16" i="4"/>
  <c r="G17" i="4"/>
  <c r="G18" i="4"/>
  <c r="F2" i="4"/>
  <c r="F3" i="4" l="1"/>
  <c r="F4" i="4"/>
  <c r="I62" i="3"/>
  <c r="G120" i="3"/>
  <c r="I120" i="3"/>
  <c r="H120" i="3"/>
  <c r="F120" i="3"/>
  <c r="I51" i="3"/>
  <c r="H51" i="3"/>
  <c r="G51" i="3"/>
  <c r="F51" i="3"/>
  <c r="G3" i="4" l="1"/>
  <c r="G4" i="4"/>
  <c r="H4" i="4" s="1"/>
  <c r="G5" i="4"/>
  <c r="H5" i="4" s="1"/>
  <c r="G6" i="4"/>
  <c r="H6" i="4" s="1"/>
  <c r="G7" i="4"/>
  <c r="H7" i="4" s="1"/>
  <c r="G8" i="4"/>
  <c r="H8" i="4" s="1"/>
  <c r="G9" i="4"/>
  <c r="G10" i="4"/>
  <c r="G11" i="4"/>
  <c r="G12" i="4"/>
  <c r="H12" i="4" s="1"/>
  <c r="G13" i="4"/>
  <c r="H13" i="4" s="1"/>
  <c r="H14" i="4"/>
  <c r="H15" i="4"/>
  <c r="H16" i="4"/>
  <c r="H20" i="4"/>
  <c r="H21" i="4"/>
  <c r="H22" i="4"/>
  <c r="H23" i="4"/>
  <c r="H28" i="4"/>
  <c r="H29" i="4"/>
  <c r="H30" i="4"/>
  <c r="H31"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26" i="4"/>
  <c r="I25" i="4"/>
  <c r="I9" i="4"/>
  <c r="I18"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<sst xmlns="http://schemas.openxmlformats.org/spreadsheetml/2006/main" count="582" uniqueCount="424">
  <si>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</si>
  <si>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</si>
  <si>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</si>
  <si>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</si>
  <si>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</si>
  <si>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</si>
  <si>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</si>
  <si>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</si>
  <si>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</si>
  <si>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</si>
  <si>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</si>
  <si>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</si>
  <si>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</si>
  <si>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</si>
  <si>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</si>
  <si>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</si>
  <si>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</si>
  <si>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</si>
  <si>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</si>
  <si>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</si>
  <si>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</si>
  <si>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</si>
  <si>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</si>
  <si>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</si>
  <si>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</si>
  <si>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</si>
  <si>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</si>
  <si>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</si>
  <si>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</si>
  <si>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</si>
  <si>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</si>
  <si>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</si>
  <si>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</si>
  <si>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</si>
  <si>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</si>
  <si>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</si>
  <si>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</si>
  <si>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</si>
  <si>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</si>
  <si>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</si>
  <si>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</si>
  <si>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</si>
  <si>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</si>
  <si>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</si>
  <si>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</si>
  <si>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</si>
  <si>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</si>
  <si>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</si>
  <si>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</si>
  <si>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</si>
  <si>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</si>
  <si>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</si>
  <si>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</si>
  <si>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</si>
  <si>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</si>
  <si>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</si>
  <si>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</si>
  <si>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</si>
  <si>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</si>
  <si>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</si>
  <si>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</si>
  <si>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</si>
  <si>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</si>
  <si>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</si>
  <si>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</si>
  <si>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</si>
  <si>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</si>
  <si>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</si>
  <si>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</si>
  <si>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</si>
  <si>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</si>
  <si>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</si>
  <si>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</si>
  <si>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</si>
  <si>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</si>
  <si>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</si>
  <si>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</si>
  <si>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</si>
  <si>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</si>
  <si>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</si>
  <si>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</si>
  <si>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</si>
  <si>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</si>
  <si>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</si>
  <si>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</si>
  <si>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</si>
  <si>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</si>
  <si>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</si>
  <si>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</si>
  <si>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</si>
  <si>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</si>
  <si>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</si>
  <si>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</si>
  <si>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</si>
  <si>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</si>
  <si>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</si>
  <si>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</si>
  <si>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</si>
  <si>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</si>
  <si>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</si>
  <si>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</si>
  <si>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</si>
  <si>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</si>
  <si>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</si>
  <si>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</si>
  <si>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</si>
  <si>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</si>
  <si>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</si>
  <si>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</si>
  <si>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</si>
  <si>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</si>
  <si>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</si>
  <si>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</si>
  <si>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</si>
  <si>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</si>
  <si>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</si>
  <si>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</si>
  <si>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</si>
  <si>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</si>
  <si>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</si>
  <si>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</si>
  <si>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</si>
  <si>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</si>
  <si>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</si>
  <si>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</si>
  <si>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</si>
  <si>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</si>
  <si>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</si>
  <si>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</si>
  <si>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</si>
  <si>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</si>
  <si>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</si>
  <si>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</si>
  <si>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</si>
  <si>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</si>
  <si>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</si>
  <si>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</si>
  <si>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</si>
  <si>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</si>
  <si>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</si>
  <si>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</si>
  <si>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</si>
  <si>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</si>
  <si>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</si>
  <si>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</si>
  <si>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</si>
  <si>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</si>
  <si>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</si>
  <si>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</si>
  <si>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</si>
  <si>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</si>
  <si>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</si>
  <si>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</si>
  <si>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</si>
  <si>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</si>
  <si>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</si>
  <si>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</si>
  <si>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</si>
  <si>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</si>
  <si>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</si>
  <si>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</si>
  <si>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</si>
  <si>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</si>
  <si>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</si>
  <si>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</si>
  <si>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</si>
  <si>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</si>
  <si>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</si>
  <si>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</si>
  <si>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</si>
  <si>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</si>
  <si>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</si>
  <si>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</si>
  <si>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</si>
  <si>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</si>
  <si>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</si>
  <si>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</si>
  <si>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</si>
  <si>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</si>
  <si>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</si>
  <si>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</si>
  <si>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</si>
  <si>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</si>
  <si>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</si>
  <si>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</si>
  <si>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</si>
  <si>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</si>
  <si>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</si>
  <si>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</si>
  <si>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</si>
  <si>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</si>
  <si>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</si>
  <si>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</si>
  <si>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</si>
  <si>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</si>
  <si>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</si>
  <si>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</si>
  <si>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</si>
  <si>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</si>
  <si>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</si>
  <si>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</si>
  <si>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</si>
  <si>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</si>
  <si>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</si>
  <si>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</si>
  <si>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</si>
  <si>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</si>
  <si>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</si>
  <si>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</si>
  <si>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</si>
  <si>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</si>
  <si>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</si>
  <si>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</si>
  <si>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</si>
  <si>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</si>
  <si>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</si>
  <si>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</si>
  <si>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</si>
  <si>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</si>
  <si>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</si>
  <si>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</si>
  <si>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</si>
  <si>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</si>
  <si>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</si>
  <si>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</si>
  <si>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</si>
  <si>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</si>
  <si>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</si>
  <si>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</si>
  <si>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</si>
  <si>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</si>
  <si>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</si>
  <si>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</si>
  <si>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</si>
  <si>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</si>
  <si>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</si>
  <si>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</si>
  <si>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</si>
  <si>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</si>
  <si>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</si>
  <si>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</si>
  <si>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</si>
  <si>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</si>
  <si>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</si>
  <si>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</si>
  <si>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</si>
  <si>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</si>
  <si>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</si>
  <si>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</si>
  <si>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</si>
  <si>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</si>
  <si>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</si>
  <si>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</si>
  <si>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</si>
  <si>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</si>
  <si>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</si>
  <si>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</si>
  <si>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</si>
  <si>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</si>
  <si>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</si>
  <si>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</si>
  <si>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</si>
  <si>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</si>
  <si>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</si>
  <si>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</si>
  <si>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</si>
  <si>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</si>
  <si>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</si>
  <si>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</si>
  <si>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</si>
  <si>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</si>
  <si>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</si>
  <si>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</si>
  <si>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</si>
  <si>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</si>
  <si>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</si>
  <si>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</si>
  <si>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</si>
  <si>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</si>
  <si>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</si>
  <si>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</si>
  <si>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</si>
  <si>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</si>
  <si>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</si>
  <si>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</si>
  <si>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</si>
  <si>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</si>
  <si>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</si>
  <si>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</si>
  <si>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</si>
  <si>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</si>
  <si>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</si>
  <si>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</si>
  <si>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</si>
  <si>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</si>
  <si>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</si>
  <si>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</si>
  <si>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</si>
  <si>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</si>
  <si>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</si>
  <si>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</si>
  <si>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</si>
  <si>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</si>
  <si>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</si>
  <si>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</si>
  <si>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</si>
  <si>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</si>
  <si>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</si>
  <si>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</si>
  <si>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</si>
  <si>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</si>
  <si>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</si>
  <si>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</si>
  <si>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</si>
  <si>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</si>
  <si>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</si>
  <si>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</si>
  <si>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</si>
  <si>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</si>
  <si>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</si>
  <si>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</si>
  <si>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</si>
  <si>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</si>
  <si>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</si>
  <si>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</si>
  <si>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</si>
  <si>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</si>
  <si>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</si>
  <si>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</si>
  <si>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</si>
  <si>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</si>
  <si>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</si>
  <si>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</si>
  <si>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</si>
  <si>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</si>
  <si>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</si>
  <si>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</si>
  <si>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</si>
  <si>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</si>
  <si>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</si>
  <si>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</si>
  <si>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</si>
  <si>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</si>
  <si>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</si>
  <si>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</si>
  <si>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</si>
  <si>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</si>
  <si>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</si>
  <si>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</si>
  <si>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</si>
  <si>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</si>
  <si>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</si>
  <si>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</si>
  <si>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</si>
  <si>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</si>
  <si>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</si>
  <si>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</si>
  <si>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</si>
  <si>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</si>
  <si>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</si>
  <si>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</si>
  <si>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</si>
  <si>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</si>
  <si>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</si>
  <si>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</si>
  <si>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</si>
  <si>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</si>
  <si>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</si>
  <si>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</si>
  <si>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</si>
  <si>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</si>
  <si>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</si>
  <si>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</si>
  <si>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</si>
  <si>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</si>
  <si>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</si>
  <si>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</si>
  <si>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</si>
  <si>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</si>
  <si>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</si>
  <si>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</si>
  <si>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</si>
  <si>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</si>
  <si>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</si>
  <si>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</si>
  <si>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</si>
  <si>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</si>
  <si>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</si>
  <si>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</si>
  <si>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</si>
  <si>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</si>
  <si>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</si>
  <si>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</si>
  <si>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</si>
  <si>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</si>
  <si>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</si>
  <si>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</si>
  <si>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</si>
  <si>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</si>
  <si>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</si>
  <si>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</si>
  <si>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</si>
  <si>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</si>
  <si>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감초</t>
    <phoneticPr fontId="5" type="noConversion"/>
  </si>
  <si>
    <t>복령</t>
    <phoneticPr fontId="5" type="noConversion"/>
  </si>
  <si>
    <t>황금</t>
    <phoneticPr fontId="5" type="noConversion"/>
  </si>
  <si>
    <t>반하</t>
    <phoneticPr fontId="5" type="noConversion"/>
  </si>
  <si>
    <t>생강</t>
    <phoneticPr fontId="5" type="noConversion"/>
  </si>
  <si>
    <t>황련</t>
    <phoneticPr fontId="5" type="noConversion"/>
  </si>
  <si>
    <t>청훈화담탕</t>
    <phoneticPr fontId="5" type="noConversion"/>
  </si>
  <si>
    <t>신영우</t>
    <phoneticPr fontId="5" type="noConversion"/>
  </si>
  <si>
    <t>M</t>
    <phoneticPr fontId="5" type="noConversion"/>
  </si>
  <si>
    <t>#저녁식후혼곤, 어지러움, 두통, 
항배강</t>
    <phoneticPr fontId="5" type="noConversion"/>
  </si>
  <si>
    <t>진피1</t>
    <phoneticPr fontId="5" type="noConversion"/>
  </si>
  <si>
    <t>지실</t>
    <phoneticPr fontId="5" type="noConversion"/>
  </si>
  <si>
    <t>당삼</t>
    <phoneticPr fontId="5" type="noConversion"/>
  </si>
  <si>
    <t>백지</t>
    <phoneticPr fontId="5" type="noConversion"/>
  </si>
  <si>
    <t>세신</t>
    <phoneticPr fontId="5" type="noConversion"/>
  </si>
  <si>
    <t>창출1</t>
    <phoneticPr fontId="5" type="noConversion"/>
  </si>
  <si>
    <t>강활1</t>
    <phoneticPr fontId="5" type="noConversion"/>
  </si>
  <si>
    <t>남성</t>
    <phoneticPr fontId="5" type="noConversion"/>
  </si>
  <si>
    <t>방풍1</t>
    <phoneticPr fontId="5" type="noConversion"/>
  </si>
  <si>
    <t>천궁1</t>
    <phoneticPr fontId="5" type="noConversion"/>
  </si>
  <si>
    <t>과루인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</si>
</sst>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C20" sqref="C20"/>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413</v>
      </c>
      <c r="D2" s="4"/>
      <c r="E2" s="95">
        <v>6</v>
      </c>
      <c r="F2" s="108">
        <f t="shared" ref="F2:F31" si="0">E2*$L$15</f>
        <v>120</v>
      </c>
      <c r="G2">
        <f>VLOOKUP($C2,약재관리!A:J,10,FALSE)</f>
        <v>17.600000000000001</v>
      </c>
      <c r="H2" s="5">
        <f>G2*E2</f>
        <v>105.60000000000001</v>
      </c>
      <c r="I2" s="97">
        <f>G2*F2</f>
        <v>2112</v>
      </c>
      <c r="K2" s="7" t="s">
        <v>9</v>
      </c>
      <c r="L2" s="151">
        <v>30</v>
      </c>
      <c r="M2" s="152"/>
    </row>
    <row r="3" spans="2:13">
      <c r="B3" s="3">
        <v>2</v>
      </c>
      <c r="C3" t="s">
        <v>404</v>
      </c>
      <c r="D3" s="4"/>
      <c r="E3" s="95">
        <v>4</v>
      </c>
      <c r="F3" s="108">
        <f t="shared" si="0"/>
        <v>80</v>
      </c>
      <c r="G3">
        <f>VLOOKUP($C3,약재관리!A:J,10,FALSE)</f>
        <v>11</v>
      </c>
      <c r="H3" s="5">
        <f t="shared" ref="H3:H31" si="1">G3*E3</f>
        <v>44</v>
      </c>
      <c r="I3" s="6">
        <f t="shared" ref="I3:I31" si="2">G3*F3</f>
        <v>880</v>
      </c>
      <c r="K3" s="8" t="s">
        <v>10</v>
      </c>
      <c r="L3" s="146" t="s">
        <v>409</v>
      </c>
      <c r="M3" s="147"/>
    </row>
    <row r="4" spans="2:13">
      <c r="B4" s="3">
        <v>3</v>
      </c>
      <c r="C4" t="s">
        <v>406</v>
      </c>
      <c r="D4" s="4"/>
      <c r="E4" s="95">
        <v>9</v>
      </c>
      <c r="F4" s="108">
        <f t="shared" si="0"/>
        <v>180</v>
      </c>
      <c r="G4">
        <f>VLOOKUP($C4,약재관리!A:J,10,FALSE)</f>
        <v>47</v>
      </c>
      <c r="H4" s="5">
        <f t="shared" si="1"/>
        <v>423</v>
      </c>
      <c r="I4" s="6">
        <f t="shared" si="2"/>
        <v>8460</v>
      </c>
      <c r="K4" s="8" t="s">
        <v>11</v>
      </c>
      <c r="L4" s="153">
        <v>45581</v>
      </c>
      <c r="M4" s="147"/>
    </row>
    <row r="5" spans="2:13">
      <c r="B5" s="3">
        <v>4</v>
      </c>
      <c r="C5" t="s">
        <v>407</v>
      </c>
      <c r="D5" s="4"/>
      <c r="E5" s="95">
        <v>4</v>
      </c>
      <c r="F5" s="108">
        <f t="shared" si="0"/>
        <v>80</v>
      </c>
      <c r="G5">
        <f>VLOOKUP($C5,약재관리!A:J,10,FALSE)</f>
        <v>15</v>
      </c>
      <c r="H5" s="5">
        <f t="shared" si="1"/>
        <v>60</v>
      </c>
      <c r="I5" s="6">
        <f t="shared" si="2"/>
        <v>1200</v>
      </c>
      <c r="K5" s="8" t="s">
        <v>12</v>
      </c>
      <c r="L5" s="146" t="s">
        <v>410</v>
      </c>
      <c r="M5" s="147"/>
    </row>
    <row r="6" spans="2:13">
      <c r="B6" s="3">
        <v>5</v>
      </c>
      <c r="C6" t="s">
        <v>414</v>
      </c>
      <c r="D6" s="4"/>
      <c r="E6" s="95">
        <v>4</v>
      </c>
      <c r="F6" s="108">
        <f t="shared" si="0"/>
        <v>80</v>
      </c>
      <c r="G6">
        <f>VLOOKUP($C6,약재관리!A:J,10,FALSE)</f>
        <v>16.7</v>
      </c>
      <c r="H6" s="5">
        <f t="shared" si="1"/>
        <v>66.8</v>
      </c>
      <c r="I6" s="6">
        <f t="shared" si="2"/>
        <v>1336</v>
      </c>
      <c r="K6" s="8" t="s">
        <v>13</v>
      </c>
      <c r="L6" s="146">
        <v>67</v>
      </c>
      <c r="M6" s="147"/>
    </row>
    <row r="7" spans="2:13" ht="17.25" thickBot="1">
      <c r="B7" s="3">
        <v>6</v>
      </c>
      <c r="C7" t="s">
        <v>418</v>
      </c>
      <c r="D7" s="4"/>
      <c r="E7" s="95">
        <v>4</v>
      </c>
      <c r="F7" s="108">
        <f t="shared" si="0"/>
        <v>80</v>
      </c>
      <c r="G7">
        <f>VLOOKUP($C7,약재관리!A:J,10,FALSE)</f>
        <v>24</v>
      </c>
      <c r="H7" s="5">
        <f t="shared" si="1"/>
        <v>96</v>
      </c>
      <c r="I7" s="6">
        <f t="shared" si="2"/>
        <v>1920</v>
      </c>
      <c r="K7" s="8" t="s">
        <v>14</v>
      </c>
      <c r="L7" s="154" t="s">
        <v>411</v>
      </c>
      <c r="M7" s="155"/>
    </row>
    <row r="8" spans="2:13" ht="17.25" thickBot="1">
      <c r="B8" s="3">
        <v>7</v>
      </c>
      <c r="C8" t="s">
        <v>419</v>
      </c>
      <c r="D8" s="4"/>
      <c r="E8" s="95">
        <v>4</v>
      </c>
      <c r="F8" s="108">
        <f t="shared" si="0"/>
        <v>80</v>
      </c>
      <c r="G8">
        <f>VLOOKUP($C8,약재관리!A:J,10,FALSE)</f>
        <v>40</v>
      </c>
      <c r="H8" s="5">
        <f t="shared" si="1"/>
        <v>160</v>
      </c>
      <c r="I8" s="6">
        <f t="shared" si="2"/>
        <v>3200</v>
      </c>
      <c r="K8" s="148" t="s">
        <v>15</v>
      </c>
      <c r="L8" s="149"/>
      <c r="M8" s="150"/>
    </row>
    <row r="9" spans="2:13">
      <c r="B9" s="3">
        <v>8</v>
      </c>
      <c r="C9" t="s">
        <v>420</v>
      </c>
      <c r="D9" s="4"/>
      <c r="E9" s="95">
        <v>3</v>
      </c>
      <c r="F9" s="108">
        <f t="shared" si="0"/>
        <v>60</v>
      </c>
      <c r="G9">
        <f>VLOOKUP($C9,약재관리!A:J,10,FALSE)</f>
        <v>26</v>
      </c>
      <c r="H9" s="5">
        <f t="shared" si="1"/>
        <v>78</v>
      </c>
      <c r="I9" s="6">
        <f t="shared" si="2"/>
        <v>1560</v>
      </c>
      <c r="K9" s="164" t="s">
        <v>412</v>
      </c>
      <c r="L9" s="156"/>
      <c r="M9" s="157"/>
    </row>
    <row r="10" spans="2:13">
      <c r="B10" s="3">
        <v>9</v>
      </c>
      <c r="C10" t="s">
        <v>421</v>
      </c>
      <c r="D10" s="4"/>
      <c r="E10" s="95">
        <v>4</v>
      </c>
      <c r="F10" s="108">
        <f t="shared" si="0"/>
        <v>80</v>
      </c>
      <c r="G10">
        <f>VLOOKUP($C10,약재관리!A:J,10,FALSE)</f>
        <v>15.7</v>
      </c>
      <c r="H10" s="5">
        <f t="shared" si="1"/>
        <v>62.8</v>
      </c>
      <c r="I10" s="6">
        <f t="shared" si="2"/>
        <v>1256</v>
      </c>
      <c r="K10" s="158"/>
      <c r="L10" s="159"/>
      <c r="M10" s="160"/>
    </row>
    <row r="11" spans="2:13">
      <c r="B11" s="3">
        <v>10</v>
      </c>
      <c r="C11" t="s">
        <v>422</v>
      </c>
      <c r="D11" s="4"/>
      <c r="E11" s="95">
        <v>4</v>
      </c>
      <c r="F11" s="108">
        <f t="shared" si="0"/>
        <v>80</v>
      </c>
      <c r="G11">
        <f>VLOOKUP($C11,약재관리!A:J,10,FALSE)</f>
        <v>10.8</v>
      </c>
      <c r="H11" s="5">
        <f t="shared" si="1"/>
        <v>43.2</v>
      </c>
      <c r="I11" s="6">
        <f t="shared" si="2"/>
        <v>864</v>
      </c>
      <c r="K11" s="158"/>
      <c r="L11" s="159"/>
      <c r="M11" s="160"/>
    </row>
    <row r="12" spans="2:13">
      <c r="B12" s="3">
        <v>11</v>
      </c>
      <c r="C12" t="s">
        <v>415</v>
      </c>
      <c r="D12" s="4"/>
      <c r="E12" s="95">
        <v>4</v>
      </c>
      <c r="F12" s="108">
        <f t="shared" si="0"/>
        <v>80</v>
      </c>
      <c r="G12">
        <f>VLOOKUP($C12,약재관리!A:J,10,FALSE)</f>
        <v>53.3</v>
      </c>
      <c r="H12" s="5">
        <f t="shared" si="1"/>
        <v>213.2</v>
      </c>
      <c r="I12" s="6">
        <f t="shared" si="2"/>
        <v>4264</v>
      </c>
      <c r="K12" s="158"/>
      <c r="L12" s="159"/>
      <c r="M12" s="160"/>
    </row>
    <row r="13" spans="2:13" ht="17.25" thickBot="1">
      <c r="B13" s="3">
        <v>12</v>
      </c>
      <c r="C13" t="s">
        <v>416</v>
      </c>
      <c r="D13" s="4"/>
      <c r="E13" s="95">
        <v>4</v>
      </c>
      <c r="F13" s="108">
        <f t="shared" si="0"/>
        <v>80</v>
      </c>
      <c r="G13">
        <f>VLOOKUP($C13,약재관리!A:J,10,FALSE)</f>
        <v>26.4</v>
      </c>
      <c r="H13" s="5">
        <f t="shared" si="1"/>
        <v>105.6</v>
      </c>
      <c r="I13" s="6">
        <f t="shared" si="2"/>
        <v>2112</v>
      </c>
      <c r="K13" s="161"/>
      <c r="L13" s="162"/>
      <c r="M13" s="163"/>
    </row>
    <row r="14" spans="2:13">
      <c r="B14" s="3">
        <v>13</v>
      </c>
      <c r="C14" t="s">
        <v>405</v>
      </c>
      <c r="D14" s="4"/>
      <c r="E14" s="95">
        <v>4</v>
      </c>
      <c r="F14" s="108">
        <f t="shared" si="0"/>
        <v>80</v>
      </c>
      <c r="G14">
        <f>VLOOKUP($C14,약재관리!A:J,10,FALSE)</f>
        <v>22.5</v>
      </c>
      <c r="H14" s="5">
        <f t="shared" si="1"/>
        <v>90</v>
      </c>
      <c r="I14" s="6">
        <f t="shared" si="2"/>
        <v>1800</v>
      </c>
      <c r="K14" s="99" t="s">
        <v>16</v>
      </c>
      <c r="L14" s="9">
        <v>15</v>
      </c>
      <c r="M14" s="10" t="s">
        <v>17</v>
      </c>
    </row>
    <row r="15" spans="2:13">
      <c r="B15" s="3">
        <v>14</v>
      </c>
      <c r="C15" t="s">
        <v>408</v>
      </c>
      <c r="D15" s="4"/>
      <c r="E15" s="95">
        <v>6</v>
      </c>
      <c r="F15" s="108">
        <f t="shared" si="0"/>
        <v>120</v>
      </c>
      <c r="G15">
        <f>VLOOKUP($C15,약재관리!A:J,10,FALSE)</f>
        <v>134.30000000000001</v>
      </c>
      <c r="H15" s="5">
        <f t="shared" si="1"/>
        <v>805.80000000000007</v>
      </c>
      <c r="I15" s="6">
        <f t="shared" si="2"/>
        <v>16116.000000000002</v>
      </c>
      <c r="K15" s="98" t="s">
        <v>18</v>
      </c>
      <c r="L15">
        <v>20</v>
      </c>
      <c r="M15" s="4" t="s">
        <v>19</v>
      </c>
    </row>
    <row r="16" spans="2:13">
      <c r="B16" s="3">
        <v>15</v>
      </c>
      <c r="C16" t="s">
        <v>423</v>
      </c>
      <c r="D16" s="4"/>
      <c r="E16" s="95">
        <v>3</v>
      </c>
      <c r="F16" s="108">
        <f t="shared" si="0"/>
        <v>60</v>
      </c>
      <c r="G16">
        <f>VLOOKUP($C16,약재관리!A:J,10,FALSE)</f>
        <v>10.8</v>
      </c>
      <c r="H16" s="5">
        <f t="shared" si="1"/>
        <v>32.400000000000006</v>
      </c>
      <c r="I16" s="6">
        <f t="shared" si="2"/>
        <v>648</v>
      </c>
      <c r="K16" s="98" t="s">
        <v>20</v>
      </c>
      <c r="L16">
        <v>45</v>
      </c>
      <c r="M16" s="4" t="s">
        <v>21</v>
      </c>
    </row>
    <row r="17" spans="2:13" ht="17.25" thickBot="1">
      <c r="B17" s="3">
        <v>16</v>
      </c>
      <c r="C17" t="s">
        <v>403</v>
      </c>
      <c r="D17" s="4"/>
      <c r="E17" s="95">
        <v>2.8</v>
      </c>
      <c r="F17" s="108">
        <f t="shared" si="0"/>
        <v>56</v>
      </c>
      <c r="G17">
        <f>VLOOKUP($C17,약재관리!A:J,10,FALSE)</f>
        <v>28.3</v>
      </c>
      <c r="H17" s="5">
        <f t="shared" si="1"/>
        <v>79.239999999999995</v>
      </c>
      <c r="I17" s="6">
        <f t="shared" si="2"/>
        <v>1584.8</v>
      </c>
      <c r="K17" s="14" t="s">
        <v>22</v>
      </c>
      <c r="L17" s="11">
        <v>90</v>
      </c>
      <c r="M17" s="12" t="s">
        <v>23</v>
      </c>
    </row>
    <row r="18" spans="2:13">
      <c r="B18" s="3">
        <v>17</v>
      </c>
      <c r="C18" t="s">
        <v>417</v>
      </c>
      <c r="D18" s="4"/>
      <c r="E18" s="95">
        <v>2.8</v>
      </c>
      <c r="F18" s="108">
        <f t="shared" si="0"/>
        <v>56</v>
      </c>
      <c r="G18">
        <f>VLOOKUP($C18,약재관리!A:J,10,FALSE)</f>
        <v>117</v>
      </c>
      <c r="H18" s="5">
        <f t="shared" si="1"/>
        <v>327.59999999999997</v>
      </c>
      <c r="I18" s="6">
        <f t="shared" si="2"/>
        <v>6552</v>
      </c>
      <c r="K18" s="99" t="s">
        <v>24</v>
      </c>
      <c r="L18" s="9">
        <f>SUM(E2:E31)</f>
        <v>72.599999999999994</v>
      </c>
      <c r="M18" s="10" t="s">
        <v>25</v>
      </c>
    </row>
    <row r="19" spans="2:13">
      <c r="B19" s="3">
        <v>18</v>
      </c>
      <c r="D19" s="4"/>
      <c r="F19" s="108">
        <f t="shared" si="0"/>
        <v>0</v>
      </c>
      <c r="H19" s="5">
        <f t="shared" si="1"/>
        <v>0</v>
      </c>
      <c r="I19" s="6">
        <f t="shared" si="2"/>
        <v>0</v>
      </c>
      <c r="K19" s="98" t="s">
        <v>26</v>
      </c>
      <c r="L19">
        <f>L15*L18</f>
        <v>1452</v>
      </c>
      <c r="M19" s="4" t="s">
        <v>25</v>
      </c>
    </row>
    <row r="20" spans="2:13" ht="17.25" thickBot="1">
      <c r="B20" s="3">
        <v>19</v>
      </c>
      <c r="D20" s="4"/>
      <c r="F20" s="108">
        <f t="shared" si="0"/>
        <v>0</v>
      </c>
      <c r="H20" s="5">
        <f t="shared" si="1"/>
        <v>0</v>
      </c>
      <c r="I20" s="6">
        <f t="shared" si="2"/>
        <v>0</v>
      </c>
      <c r="K20" s="14" t="s">
        <v>27</v>
      </c>
      <c r="L20" s="11">
        <f>L16*L17+L19</f>
        <v>5502</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389</v>
      </c>
      <c r="L22" s="149"/>
      <c r="M22" s="150"/>
    </row>
    <row r="23" spans="2:13">
      <c r="B23" s="3">
        <v>22</v>
      </c>
      <c r="D23" s="4"/>
      <c r="F23" s="108">
        <f t="shared" si="0"/>
        <v>0</v>
      </c>
      <c r="H23" s="5">
        <f t="shared" si="1"/>
        <v>0</v>
      </c>
      <c r="I23" s="6">
        <f t="shared" si="2"/>
        <v>0</v>
      </c>
      <c r="K23" s="98" t="s">
        <v>383</v>
      </c>
      <c r="L23">
        <f>SUM(F2:F31)</f>
        <v>1452</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388</v>
      </c>
      <c r="L29" s="149"/>
      <c r="M29" s="150"/>
    </row>
    <row r="30" spans="2:13">
      <c r="B30" s="3">
        <v>29</v>
      </c>
      <c r="D30" s="4"/>
      <c r="F30" s="108">
        <f t="shared" si="0"/>
        <v>0</v>
      </c>
      <c r="H30" s="5">
        <f t="shared" si="1"/>
        <v>0</v>
      </c>
      <c r="I30" s="6">
        <f t="shared" si="2"/>
        <v>0</v>
      </c>
      <c r="K30" s="98" t="s">
        <v>28</v>
      </c>
      <c r="L30" s="5">
        <f>SUM(H2:H31)</f>
        <v>2793.24</v>
      </c>
      <c r="M30" s="4" t="s">
        <v>387</v>
      </c>
    </row>
    <row r="31" spans="2:13" ht="17.25" thickBot="1">
      <c r="B31" s="13">
        <v>30</v>
      </c>
      <c r="C31" s="14"/>
      <c r="D31" s="12"/>
      <c r="E31" s="102"/>
      <c r="F31" s="109">
        <f t="shared" si="0"/>
        <v>0</v>
      </c>
      <c r="G31" s="14"/>
      <c r="H31" s="15">
        <f t="shared" si="1"/>
        <v>0</v>
      </c>
      <c r="I31" s="16">
        <f t="shared" si="2"/>
        <v>0</v>
      </c>
      <c r="K31" s="14" t="s">
        <v>386</v>
      </c>
      <c r="L31" s="15">
        <f>SUM(I2:I31)</f>
        <v>55864.800000000003</v>
      </c>
      <c r="M31" s="12" t="s">
        <v>387</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15" zoomScaleNormal="100" workbookViewId="0">
      <selection activeCell="J121" sqref="J121"/>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45577</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J8" s="40">
        <v>40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c r="F11" s="122">
        <f t="shared" si="3"/>
        <v>0</v>
      </c>
      <c r="G11" s="38">
        <f t="shared" si="4"/>
        <v>9</v>
      </c>
      <c r="H11" s="38">
        <f t="shared" si="1"/>
        <v>13.333333333333334</v>
      </c>
      <c r="I11" s="39">
        <f t="shared" si="2"/>
        <v>0</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392</v>
      </c>
      <c r="M22" s="42"/>
      <c r="N22" s="43" t="s">
        <v>393</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394</v>
      </c>
      <c r="L23" s="42" t="s">
        <v>391</v>
      </c>
      <c r="M23" s="42"/>
      <c r="N23" s="43" t="s">
        <v>395</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26500</v>
      </c>
      <c r="D39" s="36">
        <v>32000</v>
      </c>
      <c r="E39" s="37"/>
      <c r="F39" s="122">
        <f t="shared" si="9"/>
        <v>0</v>
      </c>
      <c r="G39" s="38">
        <f t="shared" si="7"/>
        <v>53</v>
      </c>
      <c r="H39" s="38">
        <f t="shared" si="8"/>
        <v>53.333333333333336</v>
      </c>
      <c r="I39" s="39">
        <f t="shared" si="6"/>
        <v>0</v>
      </c>
      <c r="J39" s="40">
        <v>53.3</v>
      </c>
      <c r="K39" s="41"/>
      <c r="L39" s="42"/>
      <c r="M39" s="47"/>
      <c r="N39" s="43"/>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398</v>
      </c>
      <c r="M51" s="42"/>
      <c r="N51" s="43" t="s">
        <v>399</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44">
        <f t="shared" si="12"/>
        <v>53</v>
      </c>
      <c r="H62" s="44">
        <f>D62/500</f>
        <v>53</v>
      </c>
      <c r="I62" s="39">
        <f>E62/500</f>
        <v>47</v>
      </c>
      <c r="J62" s="40">
        <v>47</v>
      </c>
      <c r="K62" s="41"/>
      <c r="L62" s="120" t="s">
        <v>154</v>
      </c>
      <c r="M62" s="120" t="s">
        <v>155</v>
      </c>
      <c r="N62" s="43" t="s">
        <v>402</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396</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392</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381</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382</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9000</v>
      </c>
      <c r="E97" s="37"/>
      <c r="F97" s="122">
        <f t="shared" si="15"/>
        <v>15</v>
      </c>
      <c r="G97" s="44">
        <f t="shared" si="16"/>
        <v>18</v>
      </c>
      <c r="H97" s="38">
        <f t="shared" si="13"/>
        <v>15</v>
      </c>
      <c r="I97" s="39">
        <f t="shared" si="14"/>
        <v>0</v>
      </c>
      <c r="J97" s="40">
        <v>15</v>
      </c>
      <c r="K97" s="70"/>
      <c r="L97" s="71" t="s">
        <v>152</v>
      </c>
      <c r="M97" s="47" t="s">
        <v>270</v>
      </c>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372</v>
      </c>
      <c r="M118" s="42"/>
      <c r="N118" s="43" t="s">
        <v>397</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v>7000</v>
      </c>
      <c r="E120" s="37">
        <v>6400</v>
      </c>
      <c r="F120" s="122">
        <f t="shared" si="20"/>
        <v>0</v>
      </c>
      <c r="G120" s="38">
        <f t="shared" si="23"/>
        <v>14.4</v>
      </c>
      <c r="H120" s="38">
        <f t="shared" si="22"/>
        <v>11.666666666666666</v>
      </c>
      <c r="I120" s="48">
        <f t="shared" si="24"/>
        <v>10.666666666666666</v>
      </c>
      <c r="J120" s="40">
        <v>11.7</v>
      </c>
      <c r="K120" s="41"/>
      <c r="L120" s="42" t="s">
        <v>372</v>
      </c>
      <c r="M120" s="47"/>
      <c r="N120" s="43" t="s">
        <v>401</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399</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10800</v>
      </c>
      <c r="D172" s="36"/>
      <c r="E172" s="37">
        <v>16500</v>
      </c>
      <c r="F172" s="122">
        <f t="shared" si="30"/>
        <v>0</v>
      </c>
      <c r="G172" s="38">
        <f t="shared" si="31"/>
        <v>21.6</v>
      </c>
      <c r="H172" s="38">
        <f t="shared" si="27"/>
        <v>0</v>
      </c>
      <c r="I172" s="39">
        <f t="shared" si="28"/>
        <v>27.5</v>
      </c>
      <c r="J172" s="40">
        <v>21.6</v>
      </c>
      <c r="K172" s="41"/>
      <c r="L172" s="42" t="s">
        <v>246</v>
      </c>
      <c r="M172" s="42"/>
      <c r="N172" s="43" t="s">
        <v>322</v>
      </c>
    </row>
    <row r="173" spans="1:14" ht="15" customHeight="1">
      <c r="A173" s="128" t="s">
        <v>323</v>
      </c>
      <c r="B173" s="133"/>
      <c r="C173" s="36"/>
      <c r="D173" s="36"/>
      <c r="E173" s="37"/>
      <c r="F173" s="122">
        <f t="shared" si="30"/>
        <v>0</v>
      </c>
      <c r="G173" s="38">
        <f t="shared" si="31"/>
        <v>0</v>
      </c>
      <c r="H173" s="38">
        <f t="shared" si="27"/>
        <v>0</v>
      </c>
      <c r="I173" s="39">
        <f t="shared" si="28"/>
        <v>0</v>
      </c>
      <c r="K173" s="41"/>
      <c r="L173" s="42"/>
      <c r="M173" s="42"/>
      <c r="N173" s="43"/>
    </row>
    <row r="174" spans="1:14" ht="15" customHeight="1">
      <c r="A174" s="128" t="s">
        <v>324</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325</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326</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327</v>
      </c>
      <c r="N176" s="43" t="s">
        <v>84</v>
      </c>
    </row>
    <row r="177" spans="1:14" ht="15" customHeight="1">
      <c r="A177" s="128" t="s">
        <v>328</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329</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330</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331</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332</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333</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334</v>
      </c>
      <c r="B183" s="133"/>
      <c r="C183" s="36">
        <v>5500</v>
      </c>
      <c r="D183" s="36"/>
      <c r="E183" s="37"/>
      <c r="F183" s="122"/>
      <c r="G183" s="38">
        <f t="shared" si="31"/>
        <v>11</v>
      </c>
      <c r="H183" s="38"/>
      <c r="I183" s="39"/>
      <c r="J183" s="40">
        <v>11</v>
      </c>
      <c r="K183" s="77"/>
      <c r="L183" s="42" t="s">
        <v>335</v>
      </c>
      <c r="M183" s="78"/>
      <c r="N183" s="79"/>
    </row>
    <row r="184" spans="1:14" ht="15" customHeight="1" thickBot="1">
      <c r="A184" s="130" t="s">
        <v>336</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337</v>
      </c>
      <c r="N184" s="65"/>
    </row>
    <row r="185" spans="1:14" ht="15" customHeight="1">
      <c r="A185" s="142" t="s">
        <v>338</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339</v>
      </c>
      <c r="M185" s="34" t="s">
        <v>340</v>
      </c>
      <c r="N185" s="35" t="s">
        <v>341</v>
      </c>
    </row>
    <row r="186" spans="1:14" ht="15" customHeight="1">
      <c r="A186" s="128" t="s">
        <v>342</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343</v>
      </c>
      <c r="M186" s="42"/>
      <c r="N186" s="43" t="s">
        <v>84</v>
      </c>
    </row>
    <row r="187" spans="1:14" ht="15" customHeight="1">
      <c r="A187" s="128" t="s">
        <v>344</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345</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346</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347</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348</v>
      </c>
      <c r="B191" s="133"/>
      <c r="C191" s="36">
        <v>5900</v>
      </c>
      <c r="D191" s="36">
        <v>6500</v>
      </c>
      <c r="E191" s="37">
        <v>7200</v>
      </c>
      <c r="F191" s="122">
        <f t="shared" si="32"/>
        <v>0</v>
      </c>
      <c r="G191" s="38">
        <f t="shared" si="35"/>
        <v>11.8</v>
      </c>
      <c r="H191" s="38">
        <f t="shared" si="34"/>
        <v>10.833333333333334</v>
      </c>
      <c r="I191" s="39">
        <f t="shared" si="34"/>
        <v>12</v>
      </c>
      <c r="J191" s="40">
        <v>12</v>
      </c>
      <c r="K191" s="41"/>
      <c r="L191" s="42"/>
      <c r="M191" s="47" t="s">
        <v>349</v>
      </c>
      <c r="N191" s="43" t="s">
        <v>400</v>
      </c>
    </row>
    <row r="192" spans="1:14" ht="15" customHeight="1">
      <c r="A192" s="127" t="s">
        <v>350</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351</v>
      </c>
      <c r="N192" s="43" t="s">
        <v>42</v>
      </c>
    </row>
    <row r="193" spans="1:14" ht="15" customHeight="1">
      <c r="A193" s="127" t="s">
        <v>352</v>
      </c>
      <c r="B193" s="133"/>
      <c r="C193" s="36"/>
      <c r="D193" s="36"/>
      <c r="E193" s="37">
        <v>39000</v>
      </c>
      <c r="F193" s="122">
        <f t="shared" si="32"/>
        <v>0</v>
      </c>
      <c r="G193" s="38">
        <f t="shared" si="35"/>
        <v>0</v>
      </c>
      <c r="H193" s="38">
        <f>D193/600</f>
        <v>0</v>
      </c>
      <c r="I193" s="39">
        <f>E193/1000</f>
        <v>39</v>
      </c>
      <c r="J193" s="40">
        <v>39</v>
      </c>
      <c r="K193" s="41"/>
      <c r="L193" s="42"/>
      <c r="M193" s="42"/>
      <c r="N193" s="43" t="s">
        <v>353</v>
      </c>
    </row>
    <row r="194" spans="1:14" ht="15" customHeight="1">
      <c r="A194" s="127" t="s">
        <v>354</v>
      </c>
      <c r="B194" s="133"/>
      <c r="C194" s="36">
        <v>12000</v>
      </c>
      <c r="D194" s="36">
        <v>6000</v>
      </c>
      <c r="E194" s="37"/>
      <c r="F194" s="122">
        <f t="shared" si="32"/>
        <v>0</v>
      </c>
      <c r="G194" s="38">
        <f t="shared" si="35"/>
        <v>24</v>
      </c>
      <c r="H194" s="38">
        <f>D194/600</f>
        <v>10</v>
      </c>
      <c r="I194" s="39">
        <f t="shared" ref="I194:I204" si="36">E194/600</f>
        <v>0</v>
      </c>
      <c r="J194" s="40">
        <v>24</v>
      </c>
      <c r="K194" s="41"/>
      <c r="L194" s="42" t="s">
        <v>355</v>
      </c>
      <c r="M194" s="42" t="s">
        <v>253</v>
      </c>
      <c r="N194" s="43"/>
    </row>
    <row r="195" spans="1:14" ht="15" customHeight="1">
      <c r="A195" s="127" t="s">
        <v>356</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357</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397</v>
      </c>
    </row>
    <row r="197" spans="1:14" ht="15" customHeight="1">
      <c r="A197" s="127" t="s">
        <v>358</v>
      </c>
      <c r="B197" s="133"/>
      <c r="C197" s="36">
        <v>20500</v>
      </c>
      <c r="D197" s="36">
        <v>30000</v>
      </c>
      <c r="E197" s="37">
        <v>26500</v>
      </c>
      <c r="F197" s="122">
        <f t="shared" si="32"/>
        <v>0</v>
      </c>
      <c r="G197" s="38">
        <f t="shared" si="35"/>
        <v>41</v>
      </c>
      <c r="H197" s="38">
        <f>D197/600</f>
        <v>50</v>
      </c>
      <c r="I197" s="39">
        <f t="shared" si="36"/>
        <v>44.166666666666664</v>
      </c>
      <c r="J197" s="40">
        <v>44.2</v>
      </c>
      <c r="K197" s="41"/>
      <c r="L197" s="42" t="s">
        <v>359</v>
      </c>
      <c r="M197" s="47" t="s">
        <v>360</v>
      </c>
      <c r="N197" s="43" t="s">
        <v>65</v>
      </c>
    </row>
    <row r="198" spans="1:14" ht="15" customHeight="1">
      <c r="A198" s="127" t="s">
        <v>361</v>
      </c>
      <c r="B198" s="133"/>
      <c r="C198" s="36"/>
      <c r="D198" s="36">
        <v>8500</v>
      </c>
      <c r="E198" s="37"/>
      <c r="F198" s="122">
        <f t="shared" si="32"/>
        <v>0</v>
      </c>
      <c r="G198" s="38">
        <f t="shared" si="35"/>
        <v>0</v>
      </c>
      <c r="H198" s="38">
        <f>D198/1000</f>
        <v>8.5</v>
      </c>
      <c r="I198" s="39">
        <f t="shared" si="36"/>
        <v>0</v>
      </c>
      <c r="K198" s="41"/>
      <c r="L198" s="42"/>
      <c r="M198" s="47" t="s">
        <v>362</v>
      </c>
      <c r="N198" s="43"/>
    </row>
    <row r="199" spans="1:14" ht="15" customHeight="1">
      <c r="A199" s="127" t="s">
        <v>363</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364</v>
      </c>
    </row>
    <row r="200" spans="1:14" ht="15" customHeight="1">
      <c r="A200" s="127" t="s">
        <v>365</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366</v>
      </c>
      <c r="M200" s="47" t="s">
        <v>367</v>
      </c>
      <c r="N200" s="43" t="s">
        <v>368</v>
      </c>
    </row>
    <row r="201" spans="1:14" ht="15" customHeight="1">
      <c r="A201" s="127" t="s">
        <v>369</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370</v>
      </c>
      <c r="M201" s="61" t="s">
        <v>371</v>
      </c>
      <c r="N201" s="43" t="s">
        <v>372</v>
      </c>
    </row>
    <row r="202" spans="1:14" ht="15" customHeight="1">
      <c r="A202" s="127" t="s">
        <v>373</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374</v>
      </c>
      <c r="N202" s="43" t="s">
        <v>375</v>
      </c>
    </row>
    <row r="203" spans="1:14" ht="15" customHeight="1">
      <c r="A203" s="127" t="s">
        <v>376</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377</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378</v>
      </c>
      <c r="M204" s="55" t="s">
        <v>379</v>
      </c>
      <c r="N204" s="65" t="s">
        <v>380</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2024-10-15T04:36:01Z</cp:lastPrinted>
  <dcterms:created xsi:type="dcterms:W3CDTF">2024-09-12T16:35:01Z</dcterms:created>
  <dcterms:modified xsi:type="dcterms:W3CDTF">2024-10-16T02:07:25Z</dcterms:modified>
</cp:coreProperties>
</file>