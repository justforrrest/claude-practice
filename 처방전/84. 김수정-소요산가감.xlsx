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67" documentId="8_{6EB8DC0A-AB56-415F-A9F3-EA1534264548}" xr6:coauthVersionLast="47" xr6:coauthVersionMax="47" xr10:uidLastSave="{E4009808-529E-4CB2-B460-0A0968BEFDC6}"/>
  <bookViews>
    <workbookView xWindow="-120" yWindow="-120" windowWidth="29040" windowHeight="15720" xr2:uid="{8B9F1886-173A-4475-B0CF-D9F36CE30773}"/>
  </bookViews>
  <sheets>
    <sheet name="처방전양식 (6)" sheetId="12" r:id="rId1"/>
    <sheet name="처방전양식 (5)" sheetId="11" r:id="rId2"/>
    <sheet name="처방전양식 (4)" sheetId="10" r:id="rId3"/>
    <sheet name="처방전양식 (3)" sheetId="9" r:id="rId4"/>
    <sheet name="처방전양식 (2)" sheetId="6" r:id="rId5"/>
    <sheet name="처방전양식" sheetId="4" r:id="rId6"/>
    <sheet name="약재관리" sheetId="5"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12" l="1"/>
  <c r="F31" i="12"/>
  <c r="I31" i="12" s="1"/>
  <c r="H30" i="12"/>
  <c r="F30" i="12"/>
  <c r="I30" i="12" s="1"/>
  <c r="H29" i="12"/>
  <c r="F29" i="12"/>
  <c r="I29" i="12" s="1"/>
  <c r="H28" i="12"/>
  <c r="F28" i="12"/>
  <c r="I28" i="12" s="1"/>
  <c r="H27" i="12"/>
  <c r="F27" i="12"/>
  <c r="I27" i="12" s="1"/>
  <c r="F26" i="12"/>
  <c r="I26" i="12" s="1"/>
  <c r="H25" i="12"/>
  <c r="F25" i="12"/>
  <c r="I25" i="12" s="1"/>
  <c r="I24" i="12"/>
  <c r="H24" i="12"/>
  <c r="F24" i="12"/>
  <c r="I23" i="12"/>
  <c r="H23" i="12"/>
  <c r="F23" i="12"/>
  <c r="H22" i="12"/>
  <c r="F22" i="12"/>
  <c r="I22" i="12" s="1"/>
  <c r="H21" i="12"/>
  <c r="F21" i="12"/>
  <c r="I21" i="12" s="1"/>
  <c r="H20" i="12"/>
  <c r="F20" i="12"/>
  <c r="I20" i="12" s="1"/>
  <c r="L19" i="12"/>
  <c r="L20" i="12" s="1"/>
  <c r="I19" i="12"/>
  <c r="H19" i="12"/>
  <c r="F19" i="12"/>
  <c r="L18" i="12"/>
  <c r="G18" i="12"/>
  <c r="I18" i="12" s="1"/>
  <c r="F18" i="12"/>
  <c r="J18" i="12" s="1"/>
  <c r="G17" i="12"/>
  <c r="F17" i="12"/>
  <c r="J17" i="12" s="1"/>
  <c r="G16" i="12"/>
  <c r="F16" i="12"/>
  <c r="J16" i="12" s="1"/>
  <c r="J15" i="12"/>
  <c r="G15" i="12"/>
  <c r="I15" i="12" s="1"/>
  <c r="F15" i="12"/>
  <c r="G14" i="12"/>
  <c r="F14" i="12"/>
  <c r="J14" i="12" s="1"/>
  <c r="G13" i="12"/>
  <c r="H13" i="12" s="1"/>
  <c r="F13" i="12"/>
  <c r="J13" i="12" s="1"/>
  <c r="G12" i="12"/>
  <c r="H12" i="12" s="1"/>
  <c r="F12" i="12"/>
  <c r="J12" i="12" s="1"/>
  <c r="J11" i="12"/>
  <c r="H11" i="12"/>
  <c r="G11" i="12"/>
  <c r="F11" i="12"/>
  <c r="G10" i="12"/>
  <c r="F10" i="12"/>
  <c r="J10" i="12" s="1"/>
  <c r="G9" i="12"/>
  <c r="F9" i="12"/>
  <c r="J9" i="12" s="1"/>
  <c r="H8" i="12"/>
  <c r="G8" i="12"/>
  <c r="F8" i="12"/>
  <c r="J8" i="12" s="1"/>
  <c r="G7" i="12"/>
  <c r="H7" i="12" s="1"/>
  <c r="F7" i="12"/>
  <c r="J7" i="12" s="1"/>
  <c r="G6" i="12"/>
  <c r="H6" i="12" s="1"/>
  <c r="F6" i="12"/>
  <c r="J6" i="12" s="1"/>
  <c r="G5" i="12"/>
  <c r="H5" i="12" s="1"/>
  <c r="F5" i="12"/>
  <c r="J5" i="12" s="1"/>
  <c r="G4" i="12"/>
  <c r="H4" i="12" s="1"/>
  <c r="F4" i="12"/>
  <c r="J4" i="12" s="1"/>
  <c r="G3" i="12"/>
  <c r="F3" i="12"/>
  <c r="J3" i="12" s="1"/>
  <c r="G2" i="12"/>
  <c r="H2" i="12" s="1"/>
  <c r="F2" i="12"/>
  <c r="L20" i="11"/>
  <c r="H31" i="11"/>
  <c r="F31" i="11"/>
  <c r="I31" i="11" s="1"/>
  <c r="H30" i="11"/>
  <c r="F30" i="11"/>
  <c r="I30" i="11" s="1"/>
  <c r="H29" i="11"/>
  <c r="F29" i="11"/>
  <c r="I29" i="11" s="1"/>
  <c r="H28" i="11"/>
  <c r="F28" i="11"/>
  <c r="I28" i="11" s="1"/>
  <c r="H27" i="11"/>
  <c r="F27" i="11"/>
  <c r="I27" i="11" s="1"/>
  <c r="I26" i="11"/>
  <c r="H26" i="11"/>
  <c r="F26" i="11"/>
  <c r="I25" i="11"/>
  <c r="H25" i="11"/>
  <c r="F25" i="11"/>
  <c r="I24" i="11"/>
  <c r="H24" i="11"/>
  <c r="F24" i="11"/>
  <c r="H23" i="11"/>
  <c r="F23" i="11"/>
  <c r="I23" i="11" s="1"/>
  <c r="H22" i="11"/>
  <c r="F22" i="11"/>
  <c r="I22" i="11" s="1"/>
  <c r="H21" i="11"/>
  <c r="F21" i="11"/>
  <c r="I21" i="11" s="1"/>
  <c r="H20" i="11"/>
  <c r="F20" i="11"/>
  <c r="I20" i="11" s="1"/>
  <c r="I19" i="11"/>
  <c r="H19" i="11"/>
  <c r="F19" i="11"/>
  <c r="L18" i="11"/>
  <c r="L19" i="11" s="1"/>
  <c r="J18" i="11"/>
  <c r="G18" i="11"/>
  <c r="I18" i="11" s="1"/>
  <c r="F18" i="11"/>
  <c r="J17" i="11"/>
  <c r="G17" i="11"/>
  <c r="I17" i="11" s="1"/>
  <c r="F17" i="11"/>
  <c r="G16" i="11"/>
  <c r="I16" i="11" s="1"/>
  <c r="F16" i="11"/>
  <c r="J16" i="11" s="1"/>
  <c r="J15" i="11"/>
  <c r="G15" i="11"/>
  <c r="I15" i="11" s="1"/>
  <c r="F15" i="11"/>
  <c r="G14" i="11"/>
  <c r="F14" i="11"/>
  <c r="J14" i="11" s="1"/>
  <c r="J13" i="11"/>
  <c r="G13" i="11"/>
  <c r="H13" i="11" s="1"/>
  <c r="F13" i="11"/>
  <c r="J12" i="11"/>
  <c r="G12" i="11"/>
  <c r="H12" i="11" s="1"/>
  <c r="F12" i="11"/>
  <c r="G11" i="11"/>
  <c r="I11" i="11" s="1"/>
  <c r="F11" i="11"/>
  <c r="J11" i="11" s="1"/>
  <c r="J10" i="11"/>
  <c r="G10" i="11"/>
  <c r="I10" i="11" s="1"/>
  <c r="F10" i="11"/>
  <c r="J9" i="11"/>
  <c r="G9" i="11"/>
  <c r="I9" i="11" s="1"/>
  <c r="F9" i="11"/>
  <c r="J8" i="11"/>
  <c r="G8" i="11"/>
  <c r="I8" i="11" s="1"/>
  <c r="F8" i="11"/>
  <c r="J7" i="11"/>
  <c r="G7" i="11"/>
  <c r="I7" i="11" s="1"/>
  <c r="F7" i="11"/>
  <c r="G6" i="11"/>
  <c r="I6" i="11" s="1"/>
  <c r="F6" i="11"/>
  <c r="J6" i="11" s="1"/>
  <c r="G5" i="11"/>
  <c r="I5" i="11" s="1"/>
  <c r="F5" i="11"/>
  <c r="J5" i="11" s="1"/>
  <c r="G4" i="11"/>
  <c r="I4" i="11" s="1"/>
  <c r="F4" i="11"/>
  <c r="J4" i="11" s="1"/>
  <c r="J3" i="11"/>
  <c r="G3" i="11"/>
  <c r="H3" i="11" s="1"/>
  <c r="F3" i="11"/>
  <c r="J2" i="11"/>
  <c r="G2" i="11"/>
  <c r="H2" i="11" s="1"/>
  <c r="F2" i="11"/>
  <c r="L23" i="11" s="1"/>
  <c r="G15" i="10"/>
  <c r="G16" i="10"/>
  <c r="G17" i="10"/>
  <c r="G18" i="10"/>
  <c r="I3" i="12" l="1"/>
  <c r="I17" i="12"/>
  <c r="I8" i="12"/>
  <c r="I6" i="12"/>
  <c r="I10" i="12"/>
  <c r="I14" i="12"/>
  <c r="I16" i="12"/>
  <c r="L23" i="12"/>
  <c r="I9" i="12"/>
  <c r="I11" i="12"/>
  <c r="I4" i="12"/>
  <c r="H9" i="12"/>
  <c r="I2" i="12"/>
  <c r="J2" i="12"/>
  <c r="I13" i="12"/>
  <c r="H18" i="12"/>
  <c r="H16" i="12"/>
  <c r="H14" i="12"/>
  <c r="I12" i="12"/>
  <c r="H17" i="12"/>
  <c r="I5" i="12"/>
  <c r="H10" i="12"/>
  <c r="H3" i="12"/>
  <c r="H15" i="12"/>
  <c r="I7" i="12"/>
  <c r="H7" i="11"/>
  <c r="I2" i="11"/>
  <c r="I3" i="11"/>
  <c r="H11" i="11"/>
  <c r="H8" i="11"/>
  <c r="I14" i="11"/>
  <c r="H6" i="11"/>
  <c r="I13" i="11"/>
  <c r="H18" i="11"/>
  <c r="H4" i="11"/>
  <c r="H16" i="11"/>
  <c r="H9" i="11"/>
  <c r="H14" i="11"/>
  <c r="I12" i="11"/>
  <c r="H17" i="11"/>
  <c r="H5" i="11"/>
  <c r="H10" i="11"/>
  <c r="H15" i="11"/>
  <c r="H19" i="10"/>
  <c r="H31" i="10"/>
  <c r="F31" i="10"/>
  <c r="I31" i="10" s="1"/>
  <c r="H30" i="10"/>
  <c r="F30" i="10"/>
  <c r="I30" i="10" s="1"/>
  <c r="H29" i="10"/>
  <c r="F29" i="10"/>
  <c r="I29" i="10" s="1"/>
  <c r="H28" i="10"/>
  <c r="F28" i="10"/>
  <c r="I28" i="10" s="1"/>
  <c r="H27" i="10"/>
  <c r="F27" i="10"/>
  <c r="I27" i="10" s="1"/>
  <c r="H26" i="10"/>
  <c r="F26" i="10"/>
  <c r="I26" i="10" s="1"/>
  <c r="H25" i="10"/>
  <c r="F25" i="10"/>
  <c r="I25" i="10" s="1"/>
  <c r="H24" i="10"/>
  <c r="F24" i="10"/>
  <c r="I24" i="10" s="1"/>
  <c r="H23" i="10"/>
  <c r="F23" i="10"/>
  <c r="I23" i="10" s="1"/>
  <c r="H22" i="10"/>
  <c r="F22" i="10"/>
  <c r="I22" i="10" s="1"/>
  <c r="H21" i="10"/>
  <c r="F21" i="10"/>
  <c r="I21" i="10" s="1"/>
  <c r="H20" i="10"/>
  <c r="F20" i="10"/>
  <c r="I20" i="10" s="1"/>
  <c r="F19" i="10"/>
  <c r="L18" i="10"/>
  <c r="L19" i="10" s="1"/>
  <c r="L20" i="10" s="1"/>
  <c r="F18" i="10"/>
  <c r="J18" i="10" s="1"/>
  <c r="F17" i="10"/>
  <c r="J17" i="10" s="1"/>
  <c r="F16" i="10"/>
  <c r="J16" i="10" s="1"/>
  <c r="F15" i="10"/>
  <c r="J15" i="10" s="1"/>
  <c r="G14" i="10"/>
  <c r="F14" i="10"/>
  <c r="J14" i="10" s="1"/>
  <c r="G13" i="10"/>
  <c r="F13" i="10"/>
  <c r="J13" i="10" s="1"/>
  <c r="G12" i="10"/>
  <c r="F12" i="10"/>
  <c r="J12" i="10" s="1"/>
  <c r="G11" i="10"/>
  <c r="F11" i="10"/>
  <c r="J11" i="10" s="1"/>
  <c r="G10" i="10"/>
  <c r="F10" i="10"/>
  <c r="J10" i="10" s="1"/>
  <c r="G9" i="10"/>
  <c r="F9" i="10"/>
  <c r="J9" i="10" s="1"/>
  <c r="G8" i="10"/>
  <c r="F8" i="10"/>
  <c r="J8" i="10" s="1"/>
  <c r="G7" i="10"/>
  <c r="F7" i="10"/>
  <c r="J7" i="10" s="1"/>
  <c r="G6" i="10"/>
  <c r="F6" i="10"/>
  <c r="J6" i="10" s="1"/>
  <c r="G5" i="10"/>
  <c r="F5" i="10"/>
  <c r="J5" i="10" s="1"/>
  <c r="G4" i="10"/>
  <c r="F4" i="10"/>
  <c r="J4" i="10" s="1"/>
  <c r="G3" i="10"/>
  <c r="F3" i="10"/>
  <c r="J3" i="10" s="1"/>
  <c r="G2" i="10"/>
  <c r="F2" i="10"/>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F22" i="9"/>
  <c r="F21" i="9"/>
  <c r="F20" i="9"/>
  <c r="F19" i="9"/>
  <c r="L18" i="9"/>
  <c r="L19" i="9" s="1"/>
  <c r="L20" i="9" s="1"/>
  <c r="G18" i="9"/>
  <c r="F18" i="9"/>
  <c r="J18" i="9" s="1"/>
  <c r="G17" i="9"/>
  <c r="F17" i="9"/>
  <c r="J17" i="9" s="1"/>
  <c r="G16" i="9"/>
  <c r="F16" i="9"/>
  <c r="J16" i="9" s="1"/>
  <c r="G15" i="9"/>
  <c r="F15" i="9"/>
  <c r="J15" i="9" s="1"/>
  <c r="G14" i="9"/>
  <c r="F14" i="9"/>
  <c r="J14" i="9" s="1"/>
  <c r="G13" i="9"/>
  <c r="F13" i="9"/>
  <c r="J13" i="9" s="1"/>
  <c r="G12" i="9"/>
  <c r="F12" i="9"/>
  <c r="J12" i="9" s="1"/>
  <c r="G11" i="9"/>
  <c r="F11" i="9"/>
  <c r="J11" i="9" s="1"/>
  <c r="G10" i="9"/>
  <c r="F10" i="9"/>
  <c r="J10" i="9" s="1"/>
  <c r="G9" i="9"/>
  <c r="F9" i="9"/>
  <c r="J9" i="9" s="1"/>
  <c r="G8" i="9"/>
  <c r="F8" i="9"/>
  <c r="J8" i="9" s="1"/>
  <c r="G7" i="9"/>
  <c r="F7" i="9"/>
  <c r="J7" i="9" s="1"/>
  <c r="G6" i="9"/>
  <c r="F6" i="9"/>
  <c r="J6" i="9" s="1"/>
  <c r="G5" i="9"/>
  <c r="F5" i="9"/>
  <c r="J5" i="9" s="1"/>
  <c r="G4" i="9"/>
  <c r="F4" i="9"/>
  <c r="J4" i="9" s="1"/>
  <c r="G3" i="9"/>
  <c r="F3" i="9"/>
  <c r="J3" i="9" s="1"/>
  <c r="G2" i="9"/>
  <c r="F2" i="9"/>
  <c r="G17" i="6"/>
  <c r="H17" i="6" s="1"/>
  <c r="G16" i="6"/>
  <c r="H16" i="6" s="1"/>
  <c r="H31" i="6"/>
  <c r="F31" i="6"/>
  <c r="I31" i="6" s="1"/>
  <c r="I30" i="6"/>
  <c r="H30" i="6"/>
  <c r="F30" i="6"/>
  <c r="I29" i="6"/>
  <c r="H29" i="6"/>
  <c r="F29" i="6"/>
  <c r="I28" i="6"/>
  <c r="H28" i="6"/>
  <c r="F28" i="6"/>
  <c r="H27" i="6"/>
  <c r="F27" i="6"/>
  <c r="I27" i="6" s="1"/>
  <c r="I26" i="6"/>
  <c r="H26" i="6"/>
  <c r="F26" i="6"/>
  <c r="I25" i="6"/>
  <c r="H25" i="6"/>
  <c r="F25" i="6"/>
  <c r="I24" i="6"/>
  <c r="H24" i="6"/>
  <c r="F24" i="6"/>
  <c r="H23" i="6"/>
  <c r="F23" i="6"/>
  <c r="I23" i="6" s="1"/>
  <c r="I22" i="6"/>
  <c r="H22" i="6"/>
  <c r="F22" i="6"/>
  <c r="I21" i="6"/>
  <c r="H21" i="6"/>
  <c r="F21" i="6"/>
  <c r="H20" i="6"/>
  <c r="F20" i="6"/>
  <c r="I20" i="6" s="1"/>
  <c r="I19" i="6"/>
  <c r="H19" i="6"/>
  <c r="F19" i="6"/>
  <c r="L18" i="6"/>
  <c r="L19" i="6" s="1"/>
  <c r="L20" i="6" s="1"/>
  <c r="I18" i="6"/>
  <c r="H18" i="6"/>
  <c r="F18" i="6"/>
  <c r="F17" i="6"/>
  <c r="F16" i="6"/>
  <c r="G15" i="6"/>
  <c r="F15" i="6"/>
  <c r="G14" i="6"/>
  <c r="F14" i="6"/>
  <c r="G13" i="6"/>
  <c r="F13" i="6"/>
  <c r="G12" i="6"/>
  <c r="F12" i="6"/>
  <c r="G11" i="6"/>
  <c r="F11" i="6"/>
  <c r="G10" i="6"/>
  <c r="F10" i="6"/>
  <c r="G9" i="6"/>
  <c r="H9" i="6" s="1"/>
  <c r="F9" i="6"/>
  <c r="G8" i="6"/>
  <c r="F8" i="6"/>
  <c r="G7" i="6"/>
  <c r="F7" i="6"/>
  <c r="G6" i="6"/>
  <c r="F6" i="6"/>
  <c r="G5" i="6"/>
  <c r="F5" i="6"/>
  <c r="G4" i="6"/>
  <c r="F4" i="6"/>
  <c r="G3" i="6"/>
  <c r="F3" i="6"/>
  <c r="G2" i="6"/>
  <c r="F2" i="6"/>
  <c r="G15" i="4"/>
  <c r="I126" i="5"/>
  <c r="G141" i="5"/>
  <c r="I144" i="5"/>
  <c r="H144" i="5"/>
  <c r="G144" i="5"/>
  <c r="F144" i="5"/>
  <c r="G170" i="5"/>
  <c r="G3" i="4"/>
  <c r="G4" i="4"/>
  <c r="G5" i="4"/>
  <c r="G6" i="4"/>
  <c r="G7" i="4"/>
  <c r="G8" i="4"/>
  <c r="G9" i="4"/>
  <c r="G10" i="4"/>
  <c r="G11" i="4"/>
  <c r="G12" i="4"/>
  <c r="G13" i="4"/>
  <c r="G14"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0" i="12" l="1"/>
  <c r="L31" i="12"/>
  <c r="L31" i="11"/>
  <c r="L30" i="11"/>
  <c r="I19" i="10"/>
  <c r="H18" i="10"/>
  <c r="I18" i="10"/>
  <c r="I17" i="10"/>
  <c r="H17" i="10"/>
  <c r="I16" i="10"/>
  <c r="H16" i="10"/>
  <c r="H15" i="10"/>
  <c r="I15" i="10"/>
  <c r="H14" i="10"/>
  <c r="I14" i="10"/>
  <c r="H13" i="10"/>
  <c r="I13" i="10"/>
  <c r="H12" i="10"/>
  <c r="I12" i="10"/>
  <c r="H11" i="10"/>
  <c r="I11" i="10"/>
  <c r="I10" i="10"/>
  <c r="H10" i="10"/>
  <c r="H9" i="10"/>
  <c r="I9" i="10"/>
  <c r="I8" i="10"/>
  <c r="H8" i="10"/>
  <c r="H7" i="10"/>
  <c r="I7" i="10"/>
  <c r="I6" i="10"/>
  <c r="H6" i="10"/>
  <c r="I5" i="10"/>
  <c r="H5" i="10"/>
  <c r="I4" i="10"/>
  <c r="H4" i="10"/>
  <c r="I3" i="10"/>
  <c r="H3" i="10"/>
  <c r="H2" i="10"/>
  <c r="I2" i="10"/>
  <c r="L23" i="10"/>
  <c r="J2" i="10"/>
  <c r="H22" i="9"/>
  <c r="I22" i="9"/>
  <c r="I21" i="9"/>
  <c r="H21" i="9"/>
  <c r="I20" i="9"/>
  <c r="H20" i="9"/>
  <c r="I19" i="9"/>
  <c r="H19" i="9"/>
  <c r="I18" i="9"/>
  <c r="H18" i="9"/>
  <c r="H17" i="9"/>
  <c r="I17" i="9"/>
  <c r="H16" i="9"/>
  <c r="I16" i="9"/>
  <c r="H15" i="9"/>
  <c r="I15" i="9"/>
  <c r="H14" i="9"/>
  <c r="I14" i="9"/>
  <c r="H13" i="9"/>
  <c r="I13" i="9"/>
  <c r="I12" i="9"/>
  <c r="H12" i="9"/>
  <c r="H11" i="9"/>
  <c r="I11" i="9"/>
  <c r="H10" i="9"/>
  <c r="I10" i="9"/>
  <c r="H9" i="9"/>
  <c r="I9" i="9"/>
  <c r="I8" i="9"/>
  <c r="H8" i="9"/>
  <c r="I7" i="9"/>
  <c r="H7" i="9"/>
  <c r="H6" i="9"/>
  <c r="I6" i="9"/>
  <c r="H5" i="9"/>
  <c r="I5" i="9"/>
  <c r="H4" i="9"/>
  <c r="I4" i="9"/>
  <c r="H3" i="9"/>
  <c r="I3" i="9"/>
  <c r="H2" i="9"/>
  <c r="I2" i="9"/>
  <c r="J2" i="9"/>
  <c r="L23" i="9"/>
  <c r="I17" i="6"/>
  <c r="I16" i="6"/>
  <c r="I15" i="6"/>
  <c r="I13" i="6"/>
  <c r="I12" i="6"/>
  <c r="I11" i="6"/>
  <c r="I10" i="6"/>
  <c r="L23" i="6"/>
  <c r="I7" i="6"/>
  <c r="I6" i="6"/>
  <c r="I5" i="6"/>
  <c r="I4" i="6"/>
  <c r="I3" i="6"/>
  <c r="I2" i="6"/>
  <c r="I14" i="6"/>
  <c r="I8" i="6"/>
  <c r="H2" i="6"/>
  <c r="H5" i="6"/>
  <c r="H8" i="6"/>
  <c r="H11" i="6"/>
  <c r="H14" i="6"/>
  <c r="I9" i="6"/>
  <c r="H3" i="6"/>
  <c r="H6" i="6"/>
  <c r="H12" i="6"/>
  <c r="H15" i="6"/>
  <c r="H4" i="6"/>
  <c r="H7" i="6"/>
  <c r="H10" i="6"/>
  <c r="H13" i="6"/>
  <c r="F2" i="4"/>
  <c r="L30" i="10" l="1"/>
  <c r="L31" i="10"/>
  <c r="L31" i="9"/>
  <c r="L30" i="9"/>
  <c r="L31" i="6"/>
  <c r="L30"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<sst xmlns="http://schemas.openxmlformats.org/spreadsheetml/2006/main" count="927" uniqueCount="452">
  <si>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</si>
  <si>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</si>
  <si>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</si>
  <si>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</si>
  <si>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</si>
  <si>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</si>
  <si>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</si>
  <si>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</si>
  <si>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</si>
  <si>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</si>
  <si>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</si>
  <si>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</si>
  <si>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</si>
  <si>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</si>
  <si>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</si>
  <si>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</si>
  <si>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</si>
  <si>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</si>
  <si>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</si>
  <si>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</si>
  <si>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</si>
  <si>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</si>
  <si>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</si>
  <si>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</si>
  <si>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</si>
  <si>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</si>
  <si>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</si>
  <si>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</si>
  <si>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</si>
  <si>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</si>
  <si>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</si>
  <si>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</si>
  <si>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</si>
  <si>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</si>
  <si>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</si>
  <si>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</si>
  <si>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</si>
  <si>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</si>
  <si>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</si>
  <si>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</si>
  <si>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</si>
  <si>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</si>
  <si>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</si>
  <si>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</si>
  <si>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</si>
  <si>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</si>
  <si>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</si>
  <si>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</si>
  <si>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</si>
  <si>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</si>
  <si>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</si>
  <si>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</si>
  <si>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</si>
  <si>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</si>
  <si>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</si>
  <si>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</si>
  <si>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</si>
  <si>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</si>
  <si>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</si>
  <si>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</si>
  <si>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</si>
  <si>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</si>
  <si>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</si>
  <si>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</si>
  <si>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</si>
  <si>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</si>
  <si>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</si>
  <si>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</si>
  <si>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</si>
  <si>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</si>
  <si>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</si>
  <si>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</si>
  <si>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</si>
  <si>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</si>
  <si>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</si>
  <si>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</si>
  <si>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</si>
  <si>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</si>
  <si>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</si>
  <si>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</si>
  <si>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</si>
  <si>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</si>
  <si>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</si>
  <si>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</si>
  <si>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</si>
  <si>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</si>
  <si>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</si>
  <si>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</si>
  <si>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</si>
  <si>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</si>
  <si>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</si>
  <si>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</si>
  <si>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</si>
  <si>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</si>
  <si>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</si>
  <si>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</si>
  <si>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</si>
  <si>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</si>
  <si>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</si>
  <si>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</si>
  <si>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</si>
  <si>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</si>
  <si>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</si>
  <si>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</si>
  <si>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</si>
  <si>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</si>
  <si>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</si>
  <si>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</si>
  <si>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</si>
  <si>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</si>
  <si>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</si>
  <si>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</si>
  <si>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</si>
  <si>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</si>
  <si>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</si>
  <si>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</si>
  <si>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</si>
  <si>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</si>
  <si>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</si>
  <si>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</si>
  <si>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</si>
  <si>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</si>
  <si>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</si>
  <si>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</si>
  <si>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</si>
  <si>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</si>
  <si>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</si>
  <si>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</si>
  <si>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</si>
  <si>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</si>
  <si>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</si>
  <si>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</si>
  <si>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</si>
  <si>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</si>
  <si>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</si>
  <si>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</si>
  <si>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</si>
  <si>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</si>
  <si>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</si>
  <si>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</si>
  <si>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</si>
  <si>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</si>
  <si>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</si>
  <si>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</si>
  <si>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</si>
  <si>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</si>
  <si>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</si>
  <si>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</si>
  <si>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</si>
  <si>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</si>
  <si>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</si>
  <si>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</si>
  <si>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</si>
  <si>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</si>
  <si>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</si>
  <si>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</si>
  <si>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</si>
  <si>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</si>
  <si>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</si>
  <si>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</si>
  <si>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</si>
  <si>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</si>
  <si>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</si>
  <si>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</si>
  <si>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</si>
  <si>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</si>
  <si>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</si>
  <si>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</si>
  <si>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</si>
  <si>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</si>
  <si>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</si>
  <si>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</si>
  <si>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</si>
  <si>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</si>
  <si>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</si>
  <si>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</si>
  <si>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</si>
  <si>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</si>
  <si>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</si>
  <si>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</si>
  <si>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</si>
  <si>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</si>
  <si>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</si>
  <si>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</si>
  <si>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</si>
  <si>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</si>
  <si>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</si>
  <si>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</si>
  <si>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</si>
  <si>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</si>
  <si>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</si>
  <si>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</si>
  <si>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</si>
  <si>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</si>
  <si>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</si>
  <si>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</si>
  <si>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</si>
  <si>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</si>
  <si>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</si>
  <si>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</si>
  <si>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</si>
  <si>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</si>
  <si>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</si>
  <si>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</si>
  <si>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</si>
  <si>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</si>
  <si>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</si>
  <si>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</si>
  <si>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</si>
  <si>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</si>
  <si>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</si>
  <si>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</si>
  <si>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</si>
  <si>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</si>
  <si>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</si>
  <si>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</si>
  <si>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</si>
  <si>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</si>
  <si>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</si>
  <si>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</si>
  <si>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</si>
  <si>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</si>
  <si>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</si>
  <si>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</si>
  <si>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</si>
  <si>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</si>
  <si>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</si>
  <si>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</si>
  <si>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</si>
  <si>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</si>
  <si>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</si>
  <si>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</si>
  <si>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</si>
  <si>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</si>
  <si>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</si>
  <si>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</si>
  <si>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</si>
  <si>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</si>
  <si>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</si>
  <si>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</si>
  <si>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</si>
  <si>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</si>
  <si>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</si>
  <si>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</si>
  <si>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</si>
  <si>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</si>
  <si>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</si>
  <si>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</si>
  <si>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</si>
  <si>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</si>
  <si>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</si>
  <si>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</si>
  <si>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</si>
  <si>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</si>
  <si>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</si>
  <si>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</si>
  <si>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</si>
  <si>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</si>
  <si>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</si>
  <si>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</si>
  <si>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</si>
  <si>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</si>
  <si>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</si>
  <si>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</si>
  <si>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</si>
  <si>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</si>
  <si>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</si>
  <si>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</si>
  <si>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</si>
  <si>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</si>
  <si>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</si>
  <si>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</si>
  <si>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</si>
  <si>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</si>
  <si>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</si>
  <si>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</si>
  <si>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</si>
  <si>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</si>
  <si>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</si>
  <si>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</si>
  <si>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</si>
  <si>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</si>
  <si>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</si>
  <si>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</si>
  <si>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</si>
  <si>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</si>
  <si>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</si>
  <si>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</si>
  <si>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</si>
  <si>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</si>
  <si>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</si>
  <si>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</si>
  <si>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</si>
  <si>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</si>
  <si>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</si>
  <si>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</si>
  <si>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</si>
  <si>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</si>
  <si>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</si>
  <si>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</si>
  <si>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</si>
  <si>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</si>
  <si>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</si>
  <si>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</si>
  <si>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</si>
  <si>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</si>
  <si>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</si>
  <si>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</si>
  <si>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</si>
  <si>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</si>
  <si>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</si>
  <si>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</si>
  <si>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</si>
  <si>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</si>
  <si>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</si>
  <si>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</si>
  <si>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</si>
  <si>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</si>
  <si>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</si>
  <si>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</si>
  <si>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</si>
  <si>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</si>
  <si>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</si>
  <si>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</si>
  <si>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</si>
  <si>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</si>
  <si>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</si>
  <si>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</si>
  <si>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</si>
  <si>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</si>
  <si>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</si>
  <si>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</si>
  <si>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</si>
  <si>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</si>
  <si>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</si>
  <si>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</si>
  <si>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</si>
  <si>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</si>
  <si>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</si>
  <si>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</si>
  <si>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</si>
  <si>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</si>
  <si>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</si>
  <si>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</si>
  <si>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</si>
  <si>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</si>
  <si>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</si>
  <si>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</si>
  <si>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</si>
  <si>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</si>
  <si>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</si>
  <si>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</si>
  <si>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</si>
  <si>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</si>
  <si>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</si>
  <si>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</si>
  <si>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</si>
  <si>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</si>
  <si>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</si>
  <si>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</si>
  <si>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</si>
  <si>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</si>
  <si>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</si>
  <si>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</si>
  <si>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</si>
  <si>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</si>
  <si>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</si>
  <si>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</si>
  <si>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</si>
  <si>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</si>
  <si>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</si>
  <si>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</si>
  <si>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</si>
  <si>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</si>
  <si>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</si>
  <si>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</si>
  <si>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</si>
  <si>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</si>
  <si>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</si>
  <si>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</si>
  <si>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</si>
  <si>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</si>
  <si>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</si>
  <si>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</si>
  <si>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</si>
  <si>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</si>
  <si>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</si>
  <si>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</si>
  <si>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</si>
  <si>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</si>
  <si>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</si>
  <si>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</si>
  <si>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</si>
  <si>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</si>
  <si>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</si>
  <si>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</si>
  <si>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</si>
  <si>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</si>
  <si>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</si>
  <si>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</si>
  <si>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</si>
  <si>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</si>
  <si>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</si>
  <si>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</si>
  <si>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</si>
  <si>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</si>
  <si>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</si>
  <si>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</si>
  <si>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</si>
  <si>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</si>
  <si>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</si>
  <si>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인삼</t>
    <phoneticPr fontId="5" type="noConversion"/>
  </si>
  <si>
    <t>백출</t>
    <phoneticPr fontId="5" type="noConversion"/>
  </si>
  <si>
    <t>감초</t>
    <phoneticPr fontId="5" type="noConversion"/>
  </si>
  <si>
    <t>황기</t>
    <phoneticPr fontId="5" type="noConversion"/>
  </si>
  <si>
    <t>홍화</t>
    <phoneticPr fontId="5" type="noConversion"/>
  </si>
  <si>
    <t>승마</t>
    <phoneticPr fontId="5" type="noConversion"/>
  </si>
  <si>
    <t>황백</t>
    <phoneticPr fontId="5" type="noConversion"/>
  </si>
  <si>
    <t>진피1</t>
    <phoneticPr fontId="5" type="noConversion"/>
  </si>
  <si>
    <t>당귀1</t>
    <phoneticPr fontId="5" type="noConversion"/>
  </si>
  <si>
    <t>천궁1</t>
    <phoneticPr fontId="5" type="noConversion"/>
  </si>
  <si>
    <t>시호2</t>
    <phoneticPr fontId="5" type="noConversion"/>
  </si>
  <si>
    <t>보중익기탕가감</t>
    <phoneticPr fontId="5" type="noConversion"/>
  </si>
  <si>
    <t>향부자</t>
    <phoneticPr fontId="5" type="noConversion"/>
  </si>
  <si>
    <t>원육</t>
    <phoneticPr fontId="5" type="noConversion"/>
  </si>
  <si>
    <t>김수정</t>
    <phoneticPr fontId="5" type="noConversion"/>
  </si>
  <si>
    <t>F</t>
    <phoneticPr fontId="5" type="noConversion"/>
  </si>
  <si>
    <t>목향</t>
    <phoneticPr fontId="5" type="noConversion"/>
  </si>
  <si>
    <t xml:space="preserve">보중익기탕+천궁, 홍화, 황백, 원육, 향부자, 목향
</t>
    <phoneticPr fontId="5" type="noConversion"/>
  </si>
  <si>
    <t>소요산가감</t>
    <phoneticPr fontId="5" type="noConversion"/>
  </si>
  <si>
    <t xml:space="preserve">
</t>
    <phoneticPr fontId="5" type="noConversion"/>
  </si>
  <si>
    <t>백작약</t>
    <phoneticPr fontId="5" type="noConversion"/>
  </si>
  <si>
    <t>복령</t>
    <phoneticPr fontId="5" type="noConversion"/>
  </si>
  <si>
    <t>맥문동</t>
    <phoneticPr fontId="5" type="noConversion"/>
  </si>
  <si>
    <t>생강</t>
    <phoneticPr fontId="5" type="noConversion"/>
  </si>
  <si>
    <t>생지황</t>
    <phoneticPr fontId="5" type="noConversion"/>
  </si>
  <si>
    <t>사인</t>
    <phoneticPr fontId="5" type="noConversion"/>
  </si>
  <si>
    <t>별갑</t>
    <phoneticPr fontId="5" type="noConversion"/>
  </si>
  <si>
    <t>현호색</t>
    <phoneticPr fontId="5" type="noConversion"/>
  </si>
  <si>
    <t>목단피</t>
    <phoneticPr fontId="5" type="noConversion"/>
  </si>
  <si>
    <t>치자</t>
    <phoneticPr fontId="5" type="noConversion"/>
  </si>
  <si>
    <t>1일당</t>
    <phoneticPr fontId="5" type="noConversion"/>
  </si>
  <si>
    <t>지각</t>
    <phoneticPr fontId="5" type="noConversion"/>
  </si>
  <si>
    <t>석창포</t>
    <phoneticPr fontId="5" type="noConversion"/>
  </si>
  <si>
    <t>황련</t>
    <phoneticPr fontId="5" type="noConversion"/>
  </si>
  <si>
    <t>건지황</t>
    <phoneticPr fontId="5" type="noConversion"/>
  </si>
  <si>
    <t>주초</t>
    <phoneticPr fontId="5" type="noConversion"/>
  </si>
  <si>
    <t>황금</t>
    <phoneticPr fontId="5" type="noConversion"/>
  </si>
  <si>
    <t>소요산가미 + 석창포 황금 황련 향부자 원육 인삼 건지황</t>
    <phoneticPr fontId="5" type="noConversion"/>
  </si>
  <si>
    <t>울금</t>
    <phoneticPr fontId="5" type="noConversion"/>
  </si>
  <si>
    <t>소요산가미 + 석창포 울금 황련 향부자 원육 인삼 건지황</t>
    <phoneticPr fontId="5" type="noConversion"/>
  </si>
  <si>
    <t xml:space="preserve">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</si>
</sst>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6310-E5E6-4A9C-BE1F-E599114399C3}">
  <sheetPr>
    <pageSetUpPr fitToPage="1"/>
  </sheetPr>
  <dimension ref="B1:M31"/>
  <sheetViews>
    <sheetView tabSelected="1" topLeftCell="B1" workbookViewId="0">
      <selection activeCell="E4" sqref="E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7" t="s">
        <v>441</v>
      </c>
      <c r="K1" s="151" t="s">
        <v>8</v>
      </c>
      <c r="L1" s="152"/>
      <c r="M1" s="153"/>
    </row>
    <row r="2" spans="2:13">
      <c r="B2" s="3">
        <v>1</v>
      </c>
      <c r="C2" t="s">
        <v>412</v>
      </c>
      <c r="D2" s="4"/>
      <c r="E2" s="88">
        <v>6</v>
      </c>
      <c r="F2" s="148">
        <f>E2*$L$15</f>
        <v>120</v>
      </c>
      <c r="G2">
        <f>VLOOKUP($C2,[1]약재관리!$A:$J,10,FALSE)</f>
        <v>13</v>
      </c>
      <c r="H2" s="5">
        <f>G2*E2</f>
        <v>78</v>
      </c>
      <c r="I2" s="6">
        <f t="shared" ref="I2:I31" si="0">G2*F2</f>
        <v>1560</v>
      </c>
      <c r="J2" s="103">
        <f>F2/$L$14</f>
        <v>12</v>
      </c>
      <c r="K2" s="7" t="s">
        <v>9</v>
      </c>
      <c r="L2" s="163">
        <v>84</v>
      </c>
      <c r="M2" s="164"/>
    </row>
    <row r="3" spans="2:13">
      <c r="B3" s="3">
        <v>2</v>
      </c>
      <c r="C3" t="s">
        <v>431</v>
      </c>
      <c r="D3" s="4"/>
      <c r="E3" s="88">
        <v>6</v>
      </c>
      <c r="F3" s="101">
        <f t="shared" ref="F3:F31" si="1">E3*$L$15</f>
        <v>120</v>
      </c>
      <c r="G3">
        <f>VLOOKUP($C3,[1]약재관리!$A:$J,10,FALSE)</f>
        <v>19.600000000000001</v>
      </c>
      <c r="H3" s="5">
        <f t="shared" ref="H3:H31" si="2">G3*E3</f>
        <v>117.60000000000001</v>
      </c>
      <c r="I3" s="6">
        <f t="shared" si="0"/>
        <v>2352</v>
      </c>
      <c r="J3" s="103">
        <f t="shared" ref="J3:J18" si="3">F3/$L$14</f>
        <v>12</v>
      </c>
      <c r="K3" s="8" t="s">
        <v>10</v>
      </c>
      <c r="L3" s="165" t="s">
        <v>429</v>
      </c>
      <c r="M3" s="166"/>
    </row>
    <row r="4" spans="2:13">
      <c r="B4" s="3">
        <v>3</v>
      </c>
      <c r="C4" t="s">
        <v>432</v>
      </c>
      <c r="D4" s="4"/>
      <c r="E4" s="88">
        <v>6</v>
      </c>
      <c r="F4" s="101">
        <f t="shared" si="1"/>
        <v>120</v>
      </c>
      <c r="G4">
        <f>VLOOKUP($C4,[1]약재관리!$A:$J,10,FALSE)</f>
        <v>8.6999999999999993</v>
      </c>
      <c r="H4" s="5">
        <f t="shared" si="2"/>
        <v>52.199999999999996</v>
      </c>
      <c r="I4" s="6">
        <f t="shared" si="0"/>
        <v>1044</v>
      </c>
      <c r="J4" s="103">
        <f t="shared" si="3"/>
        <v>12</v>
      </c>
      <c r="K4" s="8" t="s">
        <v>11</v>
      </c>
      <c r="L4" s="167">
        <v>46120</v>
      </c>
      <c r="M4" s="166"/>
    </row>
    <row r="5" spans="2:13">
      <c r="B5" s="3">
        <v>4</v>
      </c>
      <c r="C5" t="s">
        <v>421</v>
      </c>
      <c r="D5" s="4"/>
      <c r="E5" s="88">
        <v>4</v>
      </c>
      <c r="F5" s="101">
        <f t="shared" si="1"/>
        <v>80</v>
      </c>
      <c r="G5">
        <f>VLOOKUP($C5,[1]약재관리!$A:$J,10,FALSE)</f>
        <v>15.3</v>
      </c>
      <c r="H5" s="5">
        <f t="shared" si="2"/>
        <v>61.2</v>
      </c>
      <c r="I5" s="6">
        <f t="shared" si="0"/>
        <v>1224</v>
      </c>
      <c r="J5" s="103">
        <f t="shared" si="3"/>
        <v>8</v>
      </c>
      <c r="K5" s="8" t="s">
        <v>12</v>
      </c>
      <c r="L5" s="165" t="s">
        <v>425</v>
      </c>
      <c r="M5" s="166"/>
    </row>
    <row r="6" spans="2:13">
      <c r="B6" s="3">
        <v>5</v>
      </c>
      <c r="C6" t="s">
        <v>419</v>
      </c>
      <c r="D6" s="4"/>
      <c r="E6" s="88">
        <v>4</v>
      </c>
      <c r="F6" s="101">
        <f t="shared" si="1"/>
        <v>80</v>
      </c>
      <c r="G6">
        <f>VLOOKUP($C6,[1]약재관리!$A:$J,10,FALSE)</f>
        <v>31.7</v>
      </c>
      <c r="H6" s="5">
        <f t="shared" si="2"/>
        <v>126.8</v>
      </c>
      <c r="I6" s="6">
        <f t="shared" si="0"/>
        <v>2536</v>
      </c>
      <c r="J6" s="103">
        <f t="shared" si="3"/>
        <v>8</v>
      </c>
      <c r="K6" s="8" t="s">
        <v>13</v>
      </c>
      <c r="L6" s="165">
        <v>21</v>
      </c>
      <c r="M6" s="166"/>
    </row>
    <row r="7" spans="2:13" ht="17.25" thickBot="1">
      <c r="B7" s="3">
        <v>6</v>
      </c>
      <c r="C7" t="s">
        <v>439</v>
      </c>
      <c r="D7" s="4"/>
      <c r="E7" s="88">
        <v>4</v>
      </c>
      <c r="F7" s="101">
        <f t="shared" si="1"/>
        <v>80</v>
      </c>
      <c r="G7">
        <f>VLOOKUP($C7,[1]약재관리!$A:$J,10,FALSE)</f>
        <v>33.700000000000003</v>
      </c>
      <c r="H7" s="5">
        <f t="shared" si="2"/>
        <v>134.80000000000001</v>
      </c>
      <c r="I7" s="6">
        <f t="shared" si="0"/>
        <v>2696</v>
      </c>
      <c r="J7" s="103">
        <f t="shared" si="3"/>
        <v>8</v>
      </c>
      <c r="K7" s="8" t="s">
        <v>14</v>
      </c>
      <c r="L7" s="149" t="s">
        <v>426</v>
      </c>
      <c r="M7" s="150"/>
    </row>
    <row r="8" spans="2:13" ht="17.25" thickBot="1">
      <c r="B8" s="3">
        <v>7</v>
      </c>
      <c r="C8" t="s">
        <v>413</v>
      </c>
      <c r="D8" s="4"/>
      <c r="E8" s="88">
        <v>2</v>
      </c>
      <c r="F8" s="101">
        <f t="shared" si="1"/>
        <v>40</v>
      </c>
      <c r="G8">
        <f>VLOOKUP($C8,[1]약재관리!$A:$J,10,FALSE)</f>
        <v>30</v>
      </c>
      <c r="H8" s="5">
        <f t="shared" si="2"/>
        <v>60</v>
      </c>
      <c r="I8" s="6">
        <f t="shared" si="0"/>
        <v>1200</v>
      </c>
      <c r="J8" s="103">
        <f t="shared" si="3"/>
        <v>4</v>
      </c>
      <c r="K8" s="151" t="s">
        <v>15</v>
      </c>
      <c r="L8" s="152"/>
      <c r="M8" s="153"/>
    </row>
    <row r="9" spans="2:13">
      <c r="B9" s="3">
        <v>8</v>
      </c>
      <c r="C9" t="s">
        <v>434</v>
      </c>
      <c r="D9" s="4"/>
      <c r="E9" s="88">
        <v>4</v>
      </c>
      <c r="F9" s="101">
        <f t="shared" si="1"/>
        <v>80</v>
      </c>
      <c r="G9">
        <f>VLOOKUP($C9,[1]약재관리!$A:$J,10,FALSE)</f>
        <v>20</v>
      </c>
      <c r="H9" s="5">
        <f t="shared" si="2"/>
        <v>80</v>
      </c>
      <c r="I9" s="6">
        <f t="shared" si="0"/>
        <v>1600</v>
      </c>
      <c r="J9" s="103">
        <f t="shared" si="3"/>
        <v>8</v>
      </c>
      <c r="K9" s="154" t="s">
        <v>450</v>
      </c>
      <c r="L9" s="155"/>
      <c r="M9" s="156"/>
    </row>
    <row r="10" spans="2:13">
      <c r="B10" s="3">
        <v>9</v>
      </c>
      <c r="C10" t="s">
        <v>442</v>
      </c>
      <c r="D10" s="4"/>
      <c r="E10" s="88">
        <v>4</v>
      </c>
      <c r="F10" s="101">
        <f t="shared" si="1"/>
        <v>80</v>
      </c>
      <c r="G10">
        <f>VLOOKUP($C10,[1]약재관리!$A:$J,10,FALSE)</f>
        <v>10</v>
      </c>
      <c r="H10" s="5">
        <f t="shared" si="2"/>
        <v>40</v>
      </c>
      <c r="I10" s="6">
        <f t="shared" si="0"/>
        <v>800</v>
      </c>
      <c r="J10" s="103">
        <f t="shared" si="3"/>
        <v>8</v>
      </c>
      <c r="K10" s="157"/>
      <c r="L10" s="158"/>
      <c r="M10" s="159"/>
    </row>
    <row r="11" spans="2:13">
      <c r="B11" s="3">
        <v>10</v>
      </c>
      <c r="C11" t="s">
        <v>443</v>
      </c>
      <c r="D11" s="4"/>
      <c r="E11" s="88">
        <v>4</v>
      </c>
      <c r="F11" s="101">
        <f t="shared" si="1"/>
        <v>80</v>
      </c>
      <c r="G11">
        <f>VLOOKUP($C11,[1]약재관리!$A:$J,10,FALSE)</f>
        <v>31.3</v>
      </c>
      <c r="H11" s="5">
        <f t="shared" si="2"/>
        <v>125.2</v>
      </c>
      <c r="I11" s="6">
        <f t="shared" si="0"/>
        <v>2504</v>
      </c>
      <c r="J11" s="103">
        <f t="shared" si="3"/>
        <v>8</v>
      </c>
      <c r="K11" s="157"/>
      <c r="L11" s="158"/>
      <c r="M11" s="159"/>
    </row>
    <row r="12" spans="2:13">
      <c r="B12" s="3">
        <v>11</v>
      </c>
      <c r="C12" t="s">
        <v>449</v>
      </c>
      <c r="D12" s="4"/>
      <c r="E12" s="88">
        <v>4</v>
      </c>
      <c r="F12" s="101">
        <f t="shared" si="1"/>
        <v>80</v>
      </c>
      <c r="G12">
        <f>VLOOKUP($C12,[1]약재관리!$A:$J,10,FALSE)</f>
        <v>11.2</v>
      </c>
      <c r="H12" s="5">
        <f t="shared" si="2"/>
        <v>44.8</v>
      </c>
      <c r="I12" s="6">
        <f t="shared" si="0"/>
        <v>896</v>
      </c>
      <c r="J12" s="103">
        <f t="shared" si="3"/>
        <v>8</v>
      </c>
      <c r="K12" s="157"/>
      <c r="L12" s="158"/>
      <c r="M12" s="159"/>
    </row>
    <row r="13" spans="2:13" ht="17.25" thickBot="1">
      <c r="B13" s="3">
        <v>12</v>
      </c>
      <c r="C13" t="s">
        <v>423</v>
      </c>
      <c r="D13" s="4"/>
      <c r="E13" s="88">
        <v>8</v>
      </c>
      <c r="F13" s="101">
        <f t="shared" si="1"/>
        <v>160</v>
      </c>
      <c r="G13">
        <f>VLOOKUP($C13,[1]약재관리!$A:$J,10,FALSE)</f>
        <v>14.7</v>
      </c>
      <c r="H13" s="5">
        <f t="shared" si="2"/>
        <v>117.6</v>
      </c>
      <c r="I13" s="6">
        <f t="shared" si="0"/>
        <v>2352</v>
      </c>
      <c r="J13" s="103">
        <f t="shared" si="3"/>
        <v>16</v>
      </c>
      <c r="K13" s="160"/>
      <c r="L13" s="161"/>
      <c r="M13" s="162"/>
    </row>
    <row r="14" spans="2:13">
      <c r="B14" s="3">
        <v>13</v>
      </c>
      <c r="C14" t="s">
        <v>440</v>
      </c>
      <c r="D14" s="4"/>
      <c r="E14" s="88">
        <v>3</v>
      </c>
      <c r="F14" s="101">
        <f t="shared" si="1"/>
        <v>60</v>
      </c>
      <c r="G14">
        <f>VLOOKUP($C14,[1]약재관리!$A:$J,10,FALSE)</f>
        <v>26</v>
      </c>
      <c r="H14" s="5">
        <f>G14*E14</f>
        <v>78</v>
      </c>
      <c r="I14" s="6">
        <f>G14*F14</f>
        <v>1560</v>
      </c>
      <c r="J14" s="103">
        <f t="shared" si="3"/>
        <v>6</v>
      </c>
      <c r="K14" s="92" t="s">
        <v>16</v>
      </c>
      <c r="L14" s="9">
        <v>10</v>
      </c>
      <c r="M14" s="10" t="s">
        <v>17</v>
      </c>
    </row>
    <row r="15" spans="2:13">
      <c r="B15" s="3">
        <v>14</v>
      </c>
      <c r="C15" t="s">
        <v>444</v>
      </c>
      <c r="D15" s="4" t="s">
        <v>446</v>
      </c>
      <c r="E15" s="88">
        <v>2</v>
      </c>
      <c r="F15" s="101">
        <f t="shared" si="1"/>
        <v>40</v>
      </c>
      <c r="G15">
        <f>VLOOKUP($C15,[1]약재관리!$A:$J,10,FALSE)</f>
        <v>136.80000000000001</v>
      </c>
      <c r="H15" s="5">
        <f>G15*E15</f>
        <v>273.60000000000002</v>
      </c>
      <c r="I15" s="6">
        <f>G15*F15</f>
        <v>5472</v>
      </c>
      <c r="J15" s="103">
        <f t="shared" si="3"/>
        <v>4</v>
      </c>
      <c r="K15" s="91" t="s">
        <v>18</v>
      </c>
      <c r="L15">
        <v>20</v>
      </c>
      <c r="M15" s="4" t="s">
        <v>19</v>
      </c>
    </row>
    <row r="16" spans="2:13">
      <c r="B16" s="3">
        <v>15</v>
      </c>
      <c r="C16" t="s">
        <v>424</v>
      </c>
      <c r="D16" s="4"/>
      <c r="E16" s="88">
        <v>6</v>
      </c>
      <c r="F16" s="101">
        <f t="shared" si="1"/>
        <v>120</v>
      </c>
      <c r="G16">
        <f>VLOOKUP($C16,[1]약재관리!$A:$J,10,FALSE)</f>
        <v>20.5</v>
      </c>
      <c r="H16" s="5">
        <f t="shared" si="2"/>
        <v>123</v>
      </c>
      <c r="I16" s="6">
        <f t="shared" si="0"/>
        <v>2460</v>
      </c>
      <c r="J16" s="103">
        <f t="shared" si="3"/>
        <v>12</v>
      </c>
      <c r="K16" s="91" t="s">
        <v>20</v>
      </c>
      <c r="L16">
        <v>41</v>
      </c>
      <c r="M16" s="4" t="s">
        <v>21</v>
      </c>
    </row>
    <row r="17" spans="2:13" ht="17.25" thickBot="1">
      <c r="B17" s="3">
        <v>16</v>
      </c>
      <c r="C17" t="s">
        <v>411</v>
      </c>
      <c r="D17" s="4"/>
      <c r="E17" s="88">
        <v>4</v>
      </c>
      <c r="F17" s="101">
        <f t="shared" si="1"/>
        <v>80</v>
      </c>
      <c r="G17">
        <f>VLOOKUP($C17,[1]약재관리!$A:$J,10,FALSE)</f>
        <v>120</v>
      </c>
      <c r="H17" s="5">
        <f t="shared" si="2"/>
        <v>480</v>
      </c>
      <c r="I17" s="6">
        <f t="shared" si="0"/>
        <v>9600</v>
      </c>
      <c r="J17" s="103">
        <f t="shared" si="3"/>
        <v>8</v>
      </c>
      <c r="K17" s="14" t="s">
        <v>22</v>
      </c>
      <c r="L17" s="11">
        <v>110</v>
      </c>
      <c r="M17" s="12" t="s">
        <v>23</v>
      </c>
    </row>
    <row r="18" spans="2:13">
      <c r="B18" s="3">
        <v>17</v>
      </c>
      <c r="C18" t="s">
        <v>445</v>
      </c>
      <c r="D18" s="4"/>
      <c r="E18" s="88">
        <v>4</v>
      </c>
      <c r="F18" s="101">
        <f t="shared" si="1"/>
        <v>80</v>
      </c>
      <c r="G18">
        <f>VLOOKUP($C18,[1]약재관리!$A:$J,10,FALSE)</f>
        <v>18.3</v>
      </c>
      <c r="H18" s="5">
        <f t="shared" si="2"/>
        <v>73.2</v>
      </c>
      <c r="I18" s="6">
        <f t="shared" si="0"/>
        <v>1464</v>
      </c>
      <c r="J18" s="103">
        <f t="shared" si="3"/>
        <v>8</v>
      </c>
      <c r="K18" s="92" t="s">
        <v>24</v>
      </c>
      <c r="L18" s="9">
        <f>SUM(E2:E31)</f>
        <v>75</v>
      </c>
      <c r="M18" s="10" t="s">
        <v>25</v>
      </c>
    </row>
    <row r="19" spans="2:13">
      <c r="B19" s="3">
        <v>18</v>
      </c>
      <c r="D19" s="4"/>
      <c r="F19" s="101">
        <f t="shared" si="1"/>
        <v>0</v>
      </c>
      <c r="H19" s="5">
        <f t="shared" si="2"/>
        <v>0</v>
      </c>
      <c r="I19" s="6">
        <f t="shared" si="0"/>
        <v>0</v>
      </c>
      <c r="K19" s="91" t="s">
        <v>26</v>
      </c>
      <c r="L19">
        <f>L15*L18</f>
        <v>1500</v>
      </c>
      <c r="M19" s="4" t="s">
        <v>25</v>
      </c>
    </row>
    <row r="20" spans="2:13" ht="17.25" thickBot="1">
      <c r="B20" s="3">
        <v>19</v>
      </c>
      <c r="D20" s="4"/>
      <c r="F20" s="101">
        <f t="shared" si="1"/>
        <v>0</v>
      </c>
      <c r="H20" s="5">
        <f t="shared" si="2"/>
        <v>0</v>
      </c>
      <c r="I20" s="6">
        <f t="shared" si="0"/>
        <v>0</v>
      </c>
      <c r="K20" s="14" t="s">
        <v>27</v>
      </c>
      <c r="L20" s="11">
        <f>L16*L17+L19*1.3+400</f>
        <v>6860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1" t="s">
        <v>386</v>
      </c>
      <c r="L22" s="152"/>
      <c r="M22" s="153"/>
    </row>
    <row r="23" spans="2:13">
      <c r="B23" s="3">
        <v>22</v>
      </c>
      <c r="D23" s="4"/>
      <c r="F23" s="101">
        <f t="shared" si="1"/>
        <v>0</v>
      </c>
      <c r="H23" s="5">
        <f t="shared" si="2"/>
        <v>0</v>
      </c>
      <c r="I23" s="6">
        <f t="shared" si="0"/>
        <v>0</v>
      </c>
      <c r="K23" s="91" t="s">
        <v>380</v>
      </c>
      <c r="L23">
        <f>SUM(F2:F31)</f>
        <v>1500</v>
      </c>
      <c r="M23" s="4" t="s">
        <v>25</v>
      </c>
    </row>
    <row r="24" spans="2:13">
      <c r="B24" s="3">
        <v>23</v>
      </c>
      <c r="D24" s="4"/>
      <c r="F24" s="101">
        <f t="shared" si="1"/>
        <v>0</v>
      </c>
      <c r="H24" s="5">
        <f t="shared" si="2"/>
        <v>0</v>
      </c>
      <c r="I24" s="6">
        <f t="shared" si="0"/>
        <v>0</v>
      </c>
      <c r="K24" s="91" t="s">
        <v>387</v>
      </c>
      <c r="L24">
        <v>5000</v>
      </c>
      <c r="M24" s="4" t="s">
        <v>23</v>
      </c>
    </row>
    <row r="25" spans="2:13">
      <c r="B25" s="3">
        <v>24</v>
      </c>
      <c r="D25" s="4"/>
      <c r="F25" s="101">
        <f t="shared" si="1"/>
        <v>0</v>
      </c>
      <c r="H25" s="5">
        <f t="shared" si="2"/>
        <v>0</v>
      </c>
      <c r="I25" s="6">
        <f t="shared" si="0"/>
        <v>0</v>
      </c>
      <c r="K25" s="91" t="s">
        <v>28</v>
      </c>
      <c r="L25" s="93" t="s">
        <v>382</v>
      </c>
      <c r="M25" s="4" t="s">
        <v>25</v>
      </c>
    </row>
    <row r="26" spans="2:13">
      <c r="B26" s="3">
        <v>25</v>
      </c>
      <c r="D26" s="4"/>
      <c r="F26" s="101">
        <f t="shared" si="1"/>
        <v>0</v>
      </c>
      <c r="H26" s="5" t="s">
        <v>451</v>
      </c>
      <c r="I26" s="6">
        <f t="shared" si="0"/>
        <v>0</v>
      </c>
      <c r="K26" s="91" t="s">
        <v>29</v>
      </c>
      <c r="L26" s="93">
        <v>1600</v>
      </c>
      <c r="M26" s="4" t="s">
        <v>25</v>
      </c>
    </row>
    <row r="27" spans="2:13" ht="17.25" thickBot="1">
      <c r="B27" s="3">
        <v>26</v>
      </c>
      <c r="D27" s="4"/>
      <c r="F27" s="101">
        <f t="shared" si="1"/>
        <v>0</v>
      </c>
      <c r="H27" s="5">
        <f t="shared" si="2"/>
        <v>0</v>
      </c>
      <c r="I27" s="6">
        <f t="shared" si="0"/>
        <v>0</v>
      </c>
      <c r="K27" s="14" t="s">
        <v>381</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1" t="s">
        <v>385</v>
      </c>
      <c r="L29" s="152"/>
      <c r="M29" s="153"/>
    </row>
    <row r="30" spans="2:13">
      <c r="B30" s="3">
        <v>29</v>
      </c>
      <c r="D30" s="4"/>
      <c r="F30" s="101">
        <f t="shared" si="1"/>
        <v>0</v>
      </c>
      <c r="H30" s="5">
        <f t="shared" si="2"/>
        <v>0</v>
      </c>
      <c r="I30" s="6">
        <f t="shared" si="0"/>
        <v>0</v>
      </c>
      <c r="K30" s="91" t="s">
        <v>28</v>
      </c>
      <c r="L30" s="5">
        <f>SUM(H2:H31)</f>
        <v>2066</v>
      </c>
      <c r="M30" s="4" t="s">
        <v>384</v>
      </c>
    </row>
    <row r="31" spans="2:13" ht="17.25" thickBot="1">
      <c r="B31" s="13">
        <v>30</v>
      </c>
      <c r="C31" s="14"/>
      <c r="D31" s="12"/>
      <c r="E31" s="95"/>
      <c r="F31" s="102">
        <f t="shared" si="1"/>
        <v>0</v>
      </c>
      <c r="G31" s="11"/>
      <c r="H31" s="15">
        <f t="shared" si="2"/>
        <v>0</v>
      </c>
      <c r="I31" s="16">
        <f t="shared" si="0"/>
        <v>0</v>
      </c>
      <c r="K31" s="14" t="s">
        <v>383</v>
      </c>
      <c r="L31" s="15">
        <f>SUM(I2:I31)</f>
        <v>41320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6D13-FF95-4263-A68B-471989723793}">
  <sheetPr>
    <pageSetUpPr fitToPage="1"/>
  </sheetPr>
  <dimension ref="B1:M31"/>
  <sheetViews>
    <sheetView topLeftCell="B1" workbookViewId="0">
      <selection activeCell="S17" sqref="S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7" t="s">
        <v>441</v>
      </c>
      <c r="K1" s="151" t="s">
        <v>8</v>
      </c>
      <c r="L1" s="152"/>
      <c r="M1" s="153"/>
    </row>
    <row r="2" spans="2:13">
      <c r="B2" s="3">
        <v>1</v>
      </c>
      <c r="C2" t="s">
        <v>412</v>
      </c>
      <c r="D2" s="4"/>
      <c r="E2" s="88">
        <v>6</v>
      </c>
      <c r="F2" s="148">
        <f>E2*$L$15</f>
        <v>60</v>
      </c>
      <c r="G2">
        <f>VLOOKUP($C2,[1]약재관리!$A:$J,10,FALSE)</f>
        <v>13</v>
      </c>
      <c r="H2" s="5">
        <f>G2*E2</f>
        <v>78</v>
      </c>
      <c r="I2" s="6">
        <f t="shared" ref="I2:I31" si="0">G2*F2</f>
        <v>780</v>
      </c>
      <c r="J2" s="103">
        <f>F2/$L$14</f>
        <v>6</v>
      </c>
      <c r="K2" s="7" t="s">
        <v>9</v>
      </c>
      <c r="L2" s="163">
        <v>84</v>
      </c>
      <c r="M2" s="164"/>
    </row>
    <row r="3" spans="2:13">
      <c r="B3" s="3">
        <v>2</v>
      </c>
      <c r="C3" t="s">
        <v>431</v>
      </c>
      <c r="D3" s="4"/>
      <c r="E3" s="88">
        <v>6</v>
      </c>
      <c r="F3" s="101">
        <f t="shared" ref="F3:F31" si="1">E3*$L$15</f>
        <v>60</v>
      </c>
      <c r="G3">
        <f>VLOOKUP($C3,[1]약재관리!$A:$J,10,FALSE)</f>
        <v>19.600000000000001</v>
      </c>
      <c r="H3" s="5">
        <f t="shared" ref="H3:H31" si="2">G3*E3</f>
        <v>117.60000000000001</v>
      </c>
      <c r="I3" s="6">
        <f t="shared" si="0"/>
        <v>1176</v>
      </c>
      <c r="J3" s="103">
        <f t="shared" ref="J3:J18" si="3">F3/$L$14</f>
        <v>6</v>
      </c>
      <c r="K3" s="8" t="s">
        <v>10</v>
      </c>
      <c r="L3" s="165" t="s">
        <v>429</v>
      </c>
      <c r="M3" s="166"/>
    </row>
    <row r="4" spans="2:13">
      <c r="B4" s="3">
        <v>3</v>
      </c>
      <c r="C4" t="s">
        <v>432</v>
      </c>
      <c r="D4" s="4"/>
      <c r="E4" s="88">
        <v>6</v>
      </c>
      <c r="F4" s="101">
        <f t="shared" si="1"/>
        <v>60</v>
      </c>
      <c r="G4">
        <f>VLOOKUP($C4,[1]약재관리!$A:$J,10,FALSE)</f>
        <v>8.6999999999999993</v>
      </c>
      <c r="H4" s="5">
        <f t="shared" si="2"/>
        <v>52.199999999999996</v>
      </c>
      <c r="I4" s="6">
        <f t="shared" si="0"/>
        <v>522</v>
      </c>
      <c r="J4" s="103">
        <f t="shared" si="3"/>
        <v>6</v>
      </c>
      <c r="K4" s="8" t="s">
        <v>11</v>
      </c>
      <c r="L4" s="167">
        <v>46097</v>
      </c>
      <c r="M4" s="166"/>
    </row>
    <row r="5" spans="2:13">
      <c r="B5" s="3">
        <v>4</v>
      </c>
      <c r="C5" t="s">
        <v>421</v>
      </c>
      <c r="D5" s="4"/>
      <c r="E5" s="88">
        <v>4</v>
      </c>
      <c r="F5" s="101">
        <f t="shared" si="1"/>
        <v>40</v>
      </c>
      <c r="G5">
        <f>VLOOKUP($C5,[1]약재관리!$A:$J,10,FALSE)</f>
        <v>15.3</v>
      </c>
      <c r="H5" s="5">
        <f t="shared" si="2"/>
        <v>61.2</v>
      </c>
      <c r="I5" s="6">
        <f t="shared" si="0"/>
        <v>612</v>
      </c>
      <c r="J5" s="103">
        <f t="shared" si="3"/>
        <v>4</v>
      </c>
      <c r="K5" s="8" t="s">
        <v>12</v>
      </c>
      <c r="L5" s="165" t="s">
        <v>425</v>
      </c>
      <c r="M5" s="166"/>
    </row>
    <row r="6" spans="2:13">
      <c r="B6" s="3">
        <v>5</v>
      </c>
      <c r="C6" t="s">
        <v>419</v>
      </c>
      <c r="D6" s="4"/>
      <c r="E6" s="88">
        <v>4</v>
      </c>
      <c r="F6" s="101">
        <f t="shared" si="1"/>
        <v>40</v>
      </c>
      <c r="G6">
        <f>VLOOKUP($C6,[1]약재관리!$A:$J,10,FALSE)</f>
        <v>31.7</v>
      </c>
      <c r="H6" s="5">
        <f t="shared" si="2"/>
        <v>126.8</v>
      </c>
      <c r="I6" s="6">
        <f t="shared" si="0"/>
        <v>1268</v>
      </c>
      <c r="J6" s="103">
        <f t="shared" si="3"/>
        <v>4</v>
      </c>
      <c r="K6" s="8" t="s">
        <v>13</v>
      </c>
      <c r="L6" s="165">
        <v>21</v>
      </c>
      <c r="M6" s="166"/>
    </row>
    <row r="7" spans="2:13" ht="17.25" thickBot="1">
      <c r="B7" s="3">
        <v>6</v>
      </c>
      <c r="C7" t="s">
        <v>439</v>
      </c>
      <c r="D7" s="4"/>
      <c r="E7" s="88">
        <v>4</v>
      </c>
      <c r="F7" s="101">
        <f t="shared" si="1"/>
        <v>40</v>
      </c>
      <c r="G7">
        <f>VLOOKUP($C7,[1]약재관리!$A:$J,10,FALSE)</f>
        <v>33.700000000000003</v>
      </c>
      <c r="H7" s="5">
        <f t="shared" si="2"/>
        <v>134.80000000000001</v>
      </c>
      <c r="I7" s="6">
        <f t="shared" si="0"/>
        <v>1348</v>
      </c>
      <c r="J7" s="103">
        <f t="shared" si="3"/>
        <v>4</v>
      </c>
      <c r="K7" s="8" t="s">
        <v>14</v>
      </c>
      <c r="L7" s="149" t="s">
        <v>426</v>
      </c>
      <c r="M7" s="150"/>
    </row>
    <row r="8" spans="2:13" ht="17.25" thickBot="1">
      <c r="B8" s="3">
        <v>7</v>
      </c>
      <c r="C8" t="s">
        <v>413</v>
      </c>
      <c r="D8" s="4"/>
      <c r="E8" s="88">
        <v>2</v>
      </c>
      <c r="F8" s="101">
        <f t="shared" si="1"/>
        <v>20</v>
      </c>
      <c r="G8">
        <f>VLOOKUP($C8,[1]약재관리!$A:$J,10,FALSE)</f>
        <v>30</v>
      </c>
      <c r="H8" s="5">
        <f t="shared" si="2"/>
        <v>60</v>
      </c>
      <c r="I8" s="6">
        <f t="shared" si="0"/>
        <v>600</v>
      </c>
      <c r="J8" s="103">
        <f t="shared" si="3"/>
        <v>2</v>
      </c>
      <c r="K8" s="151" t="s">
        <v>15</v>
      </c>
      <c r="L8" s="152"/>
      <c r="M8" s="153"/>
    </row>
    <row r="9" spans="2:13">
      <c r="B9" s="3">
        <v>8</v>
      </c>
      <c r="C9" t="s">
        <v>434</v>
      </c>
      <c r="D9" s="4"/>
      <c r="E9" s="88">
        <v>4</v>
      </c>
      <c r="F9" s="101">
        <f t="shared" si="1"/>
        <v>40</v>
      </c>
      <c r="G9">
        <f>VLOOKUP($C9,[1]약재관리!$A:$J,10,FALSE)</f>
        <v>20</v>
      </c>
      <c r="H9" s="5">
        <f t="shared" si="2"/>
        <v>80</v>
      </c>
      <c r="I9" s="6">
        <f t="shared" si="0"/>
        <v>800</v>
      </c>
      <c r="J9" s="103">
        <f t="shared" si="3"/>
        <v>4</v>
      </c>
      <c r="K9" s="154" t="s">
        <v>450</v>
      </c>
      <c r="L9" s="155"/>
      <c r="M9" s="156"/>
    </row>
    <row r="10" spans="2:13">
      <c r="B10" s="3">
        <v>9</v>
      </c>
      <c r="C10" t="s">
        <v>442</v>
      </c>
      <c r="D10" s="4"/>
      <c r="E10" s="88">
        <v>4</v>
      </c>
      <c r="F10" s="101">
        <f t="shared" si="1"/>
        <v>40</v>
      </c>
      <c r="G10">
        <f>VLOOKUP($C10,[1]약재관리!$A:$J,10,FALSE)</f>
        <v>10</v>
      </c>
      <c r="H10" s="5">
        <f t="shared" si="2"/>
        <v>40</v>
      </c>
      <c r="I10" s="6">
        <f t="shared" si="0"/>
        <v>400</v>
      </c>
      <c r="J10" s="103">
        <f t="shared" si="3"/>
        <v>4</v>
      </c>
      <c r="K10" s="157"/>
      <c r="L10" s="158"/>
      <c r="M10" s="159"/>
    </row>
    <row r="11" spans="2:13">
      <c r="B11" s="3">
        <v>10</v>
      </c>
      <c r="C11" t="s">
        <v>443</v>
      </c>
      <c r="D11" s="4"/>
      <c r="E11" s="88">
        <v>4</v>
      </c>
      <c r="F11" s="101">
        <f t="shared" si="1"/>
        <v>40</v>
      </c>
      <c r="G11">
        <f>VLOOKUP($C11,[1]약재관리!$A:$J,10,FALSE)</f>
        <v>31.3</v>
      </c>
      <c r="H11" s="5">
        <f t="shared" si="2"/>
        <v>125.2</v>
      </c>
      <c r="I11" s="6">
        <f t="shared" si="0"/>
        <v>1252</v>
      </c>
      <c r="J11" s="103">
        <f t="shared" si="3"/>
        <v>4</v>
      </c>
      <c r="K11" s="157"/>
      <c r="L11" s="158"/>
      <c r="M11" s="159"/>
    </row>
    <row r="12" spans="2:13">
      <c r="B12" s="3">
        <v>11</v>
      </c>
      <c r="C12" t="s">
        <v>449</v>
      </c>
      <c r="D12" s="4"/>
      <c r="E12" s="88">
        <v>4</v>
      </c>
      <c r="F12" s="101">
        <f t="shared" si="1"/>
        <v>40</v>
      </c>
      <c r="G12">
        <f>VLOOKUP($C12,[1]약재관리!$A:$J,10,FALSE)</f>
        <v>11.2</v>
      </c>
      <c r="H12" s="5">
        <f t="shared" si="2"/>
        <v>44.8</v>
      </c>
      <c r="I12" s="6">
        <f t="shared" si="0"/>
        <v>448</v>
      </c>
      <c r="J12" s="103">
        <f t="shared" si="3"/>
        <v>4</v>
      </c>
      <c r="K12" s="157"/>
      <c r="L12" s="158"/>
      <c r="M12" s="159"/>
    </row>
    <row r="13" spans="2:13" ht="17.25" thickBot="1">
      <c r="B13" s="3">
        <v>12</v>
      </c>
      <c r="C13" t="s">
        <v>423</v>
      </c>
      <c r="D13" s="4"/>
      <c r="E13" s="88">
        <v>8</v>
      </c>
      <c r="F13" s="101">
        <f t="shared" si="1"/>
        <v>80</v>
      </c>
      <c r="G13">
        <f>VLOOKUP($C13,[1]약재관리!$A:$J,10,FALSE)</f>
        <v>14.7</v>
      </c>
      <c r="H13" s="5">
        <f t="shared" si="2"/>
        <v>117.6</v>
      </c>
      <c r="I13" s="6">
        <f t="shared" si="0"/>
        <v>1176</v>
      </c>
      <c r="J13" s="103">
        <f t="shared" si="3"/>
        <v>8</v>
      </c>
      <c r="K13" s="160"/>
      <c r="L13" s="161"/>
      <c r="M13" s="162"/>
    </row>
    <row r="14" spans="2:13">
      <c r="B14" s="3">
        <v>13</v>
      </c>
      <c r="C14" t="s">
        <v>440</v>
      </c>
      <c r="D14" s="4"/>
      <c r="E14" s="88">
        <v>3</v>
      </c>
      <c r="F14" s="101">
        <f t="shared" si="1"/>
        <v>30</v>
      </c>
      <c r="G14">
        <f>VLOOKUP($C14,[1]약재관리!$A:$J,10,FALSE)</f>
        <v>26</v>
      </c>
      <c r="H14" s="5">
        <f>G14*E14</f>
        <v>78</v>
      </c>
      <c r="I14" s="6">
        <f>G14*F14</f>
        <v>780</v>
      </c>
      <c r="J14" s="103">
        <f t="shared" si="3"/>
        <v>3</v>
      </c>
      <c r="K14" s="92" t="s">
        <v>16</v>
      </c>
      <c r="L14" s="9">
        <v>10</v>
      </c>
      <c r="M14" s="10" t="s">
        <v>17</v>
      </c>
    </row>
    <row r="15" spans="2:13">
      <c r="B15" s="3">
        <v>14</v>
      </c>
      <c r="C15" t="s">
        <v>444</v>
      </c>
      <c r="D15" s="4" t="s">
        <v>446</v>
      </c>
      <c r="E15" s="88">
        <v>2</v>
      </c>
      <c r="F15" s="101">
        <f t="shared" si="1"/>
        <v>20</v>
      </c>
      <c r="G15">
        <f>VLOOKUP($C15,[1]약재관리!$A:$J,10,FALSE)</f>
        <v>136.80000000000001</v>
      </c>
      <c r="H15" s="5">
        <f>G15*E15</f>
        <v>273.60000000000002</v>
      </c>
      <c r="I15" s="6">
        <f>G15*F15</f>
        <v>2736</v>
      </c>
      <c r="J15" s="103">
        <f t="shared" si="3"/>
        <v>2</v>
      </c>
      <c r="K15" s="91" t="s">
        <v>18</v>
      </c>
      <c r="L15">
        <v>10</v>
      </c>
      <c r="M15" s="4" t="s">
        <v>19</v>
      </c>
    </row>
    <row r="16" spans="2:13">
      <c r="B16" s="3">
        <v>15</v>
      </c>
      <c r="C16" t="s">
        <v>424</v>
      </c>
      <c r="D16" s="4"/>
      <c r="E16" s="88">
        <v>6</v>
      </c>
      <c r="F16" s="101">
        <f t="shared" si="1"/>
        <v>60</v>
      </c>
      <c r="G16">
        <f>VLOOKUP($C16,[1]약재관리!$A:$J,10,FALSE)</f>
        <v>20.5</v>
      </c>
      <c r="H16" s="5">
        <f t="shared" si="2"/>
        <v>123</v>
      </c>
      <c r="I16" s="6">
        <f t="shared" si="0"/>
        <v>1230</v>
      </c>
      <c r="J16" s="103">
        <f t="shared" si="3"/>
        <v>6</v>
      </c>
      <c r="K16" s="91" t="s">
        <v>20</v>
      </c>
      <c r="L16">
        <v>22</v>
      </c>
      <c r="M16" s="4" t="s">
        <v>21</v>
      </c>
    </row>
    <row r="17" spans="2:13" ht="17.25" thickBot="1">
      <c r="B17" s="3">
        <v>16</v>
      </c>
      <c r="C17" t="s">
        <v>411</v>
      </c>
      <c r="D17" s="4"/>
      <c r="E17" s="88">
        <v>4</v>
      </c>
      <c r="F17" s="101">
        <f t="shared" si="1"/>
        <v>40</v>
      </c>
      <c r="G17">
        <f>VLOOKUP($C17,[1]약재관리!$A:$J,10,FALSE)</f>
        <v>120</v>
      </c>
      <c r="H17" s="5">
        <f t="shared" si="2"/>
        <v>480</v>
      </c>
      <c r="I17" s="6">
        <f t="shared" si="0"/>
        <v>4800</v>
      </c>
      <c r="J17" s="103">
        <f t="shared" si="3"/>
        <v>4</v>
      </c>
      <c r="K17" s="14" t="s">
        <v>22</v>
      </c>
      <c r="L17" s="11">
        <v>110</v>
      </c>
      <c r="M17" s="12" t="s">
        <v>23</v>
      </c>
    </row>
    <row r="18" spans="2:13">
      <c r="B18" s="3">
        <v>17</v>
      </c>
      <c r="C18" t="s">
        <v>445</v>
      </c>
      <c r="D18" s="4"/>
      <c r="E18" s="88">
        <v>4</v>
      </c>
      <c r="F18" s="101">
        <f t="shared" si="1"/>
        <v>40</v>
      </c>
      <c r="G18">
        <f>VLOOKUP($C18,[1]약재관리!$A:$J,10,FALSE)</f>
        <v>18.3</v>
      </c>
      <c r="H18" s="5">
        <f t="shared" si="2"/>
        <v>73.2</v>
      </c>
      <c r="I18" s="6">
        <f t="shared" si="0"/>
        <v>732</v>
      </c>
      <c r="J18" s="103">
        <f t="shared" si="3"/>
        <v>4</v>
      </c>
      <c r="K18" s="92" t="s">
        <v>24</v>
      </c>
      <c r="L18" s="9">
        <f>SUM(E2:E31)</f>
        <v>75</v>
      </c>
      <c r="M18" s="10" t="s">
        <v>25</v>
      </c>
    </row>
    <row r="19" spans="2:13">
      <c r="B19" s="3">
        <v>18</v>
      </c>
      <c r="D19" s="4"/>
      <c r="F19" s="101">
        <f t="shared" si="1"/>
        <v>0</v>
      </c>
      <c r="H19" s="5">
        <f t="shared" si="2"/>
        <v>0</v>
      </c>
      <c r="I19" s="6">
        <f t="shared" si="0"/>
        <v>0</v>
      </c>
      <c r="K19" s="91" t="s">
        <v>26</v>
      </c>
      <c r="L19">
        <f>L15*L18</f>
        <v>750</v>
      </c>
      <c r="M19" s="4" t="s">
        <v>25</v>
      </c>
    </row>
    <row r="20" spans="2:13" ht="17.25" thickBot="1">
      <c r="B20" s="3">
        <v>19</v>
      </c>
      <c r="D20" s="4"/>
      <c r="F20" s="101">
        <f t="shared" si="1"/>
        <v>0</v>
      </c>
      <c r="H20" s="5">
        <f t="shared" si="2"/>
        <v>0</v>
      </c>
      <c r="I20" s="6">
        <f t="shared" si="0"/>
        <v>0</v>
      </c>
      <c r="K20" s="14" t="s">
        <v>27</v>
      </c>
      <c r="L20" s="11">
        <f>L16*L17+L19*1.3+400</f>
        <v>3795</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1" t="s">
        <v>386</v>
      </c>
      <c r="L22" s="152"/>
      <c r="M22" s="153"/>
    </row>
    <row r="23" spans="2:13">
      <c r="B23" s="3">
        <v>22</v>
      </c>
      <c r="D23" s="4"/>
      <c r="F23" s="101">
        <f t="shared" si="1"/>
        <v>0</v>
      </c>
      <c r="H23" s="5">
        <f t="shared" si="2"/>
        <v>0</v>
      </c>
      <c r="I23" s="6">
        <f t="shared" si="0"/>
        <v>0</v>
      </c>
      <c r="K23" s="91" t="s">
        <v>380</v>
      </c>
      <c r="L23">
        <f>SUM(F2:F31)</f>
        <v>750</v>
      </c>
      <c r="M23" s="4" t="s">
        <v>25</v>
      </c>
    </row>
    <row r="24" spans="2:13">
      <c r="B24" s="3">
        <v>23</v>
      </c>
      <c r="D24" s="4"/>
      <c r="F24" s="101">
        <f t="shared" si="1"/>
        <v>0</v>
      </c>
      <c r="H24" s="5">
        <f t="shared" si="2"/>
        <v>0</v>
      </c>
      <c r="I24" s="6">
        <f t="shared" si="0"/>
        <v>0</v>
      </c>
      <c r="K24" s="91" t="s">
        <v>387</v>
      </c>
      <c r="L24">
        <v>5000</v>
      </c>
      <c r="M24" s="4" t="s">
        <v>23</v>
      </c>
    </row>
    <row r="25" spans="2:13">
      <c r="B25" s="3">
        <v>24</v>
      </c>
      <c r="D25" s="4"/>
      <c r="F25" s="101">
        <f t="shared" si="1"/>
        <v>0</v>
      </c>
      <c r="H25" s="5">
        <f t="shared" si="2"/>
        <v>0</v>
      </c>
      <c r="I25" s="6">
        <f t="shared" si="0"/>
        <v>0</v>
      </c>
      <c r="K25" s="91" t="s">
        <v>28</v>
      </c>
      <c r="L25" s="93" t="s">
        <v>382</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381</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1" t="s">
        <v>385</v>
      </c>
      <c r="L29" s="152"/>
      <c r="M29" s="153"/>
    </row>
    <row r="30" spans="2:13">
      <c r="B30" s="3">
        <v>29</v>
      </c>
      <c r="D30" s="4"/>
      <c r="F30" s="101">
        <f t="shared" si="1"/>
        <v>0</v>
      </c>
      <c r="H30" s="5">
        <f t="shared" si="2"/>
        <v>0</v>
      </c>
      <c r="I30" s="6">
        <f t="shared" si="0"/>
        <v>0</v>
      </c>
      <c r="K30" s="91" t="s">
        <v>28</v>
      </c>
      <c r="L30" s="5">
        <f>SUM(H2:H31)</f>
        <v>2066</v>
      </c>
      <c r="M30" s="4" t="s">
        <v>384</v>
      </c>
    </row>
    <row r="31" spans="2:13" ht="17.25" thickBot="1">
      <c r="B31" s="13">
        <v>30</v>
      </c>
      <c r="C31" s="14"/>
      <c r="D31" s="12"/>
      <c r="E31" s="95"/>
      <c r="F31" s="102">
        <f t="shared" si="1"/>
        <v>0</v>
      </c>
      <c r="G31" s="11"/>
      <c r="H31" s="15">
        <f t="shared" si="2"/>
        <v>0</v>
      </c>
      <c r="I31" s="16">
        <f t="shared" si="0"/>
        <v>0</v>
      </c>
      <c r="K31" s="14" t="s">
        <v>383</v>
      </c>
      <c r="L31" s="15">
        <f>SUM(I2:I31)</f>
        <v>20660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91DB6-54C0-4E83-A1EB-06490197CC69}">
  <sheetPr>
    <pageSetUpPr fitToPage="1"/>
  </sheetPr>
  <dimension ref="B1:M31"/>
  <sheetViews>
    <sheetView topLeftCell="B1" workbookViewId="0">
      <selection activeCell="O19" sqref="O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7" t="s">
        <v>441</v>
      </c>
      <c r="K1" s="151" t="s">
        <v>8</v>
      </c>
      <c r="L1" s="152"/>
      <c r="M1" s="153"/>
    </row>
    <row r="2" spans="2:13">
      <c r="B2" s="3">
        <v>1</v>
      </c>
      <c r="C2" t="s">
        <v>412</v>
      </c>
      <c r="D2" s="4"/>
      <c r="E2" s="88">
        <v>6</v>
      </c>
      <c r="F2" s="148">
        <f>E2*$L$15</f>
        <v>60</v>
      </c>
      <c r="G2">
        <f>VLOOKUP($C2,[1]약재관리!$A:$J,10,FALSE)</f>
        <v>13</v>
      </c>
      <c r="H2" s="5">
        <f>G2*E2</f>
        <v>78</v>
      </c>
      <c r="I2" s="6">
        <f t="shared" ref="I2:I31" si="0">G2*F2</f>
        <v>780</v>
      </c>
      <c r="J2" s="103">
        <f>F2/$L$14</f>
        <v>6</v>
      </c>
      <c r="K2" s="7" t="s">
        <v>9</v>
      </c>
      <c r="L2" s="163">
        <v>84</v>
      </c>
      <c r="M2" s="164"/>
    </row>
    <row r="3" spans="2:13">
      <c r="B3" s="3">
        <v>2</v>
      </c>
      <c r="C3" t="s">
        <v>431</v>
      </c>
      <c r="D3" s="4"/>
      <c r="E3" s="88">
        <v>6</v>
      </c>
      <c r="F3" s="101">
        <f t="shared" ref="F3:F31" si="1">E3*$L$15</f>
        <v>60</v>
      </c>
      <c r="G3">
        <f>VLOOKUP($C3,[1]약재관리!$A:$J,10,FALSE)</f>
        <v>19.600000000000001</v>
      </c>
      <c r="H3" s="5">
        <f t="shared" ref="H3:H31" si="2">G3*E3</f>
        <v>117.60000000000001</v>
      </c>
      <c r="I3" s="6">
        <f t="shared" si="0"/>
        <v>1176</v>
      </c>
      <c r="J3" s="103">
        <f t="shared" ref="J3:J18" si="3">F3/$L$14</f>
        <v>6</v>
      </c>
      <c r="K3" s="8" t="s">
        <v>10</v>
      </c>
      <c r="L3" s="165" t="s">
        <v>429</v>
      </c>
      <c r="M3" s="166"/>
    </row>
    <row r="4" spans="2:13">
      <c r="B4" s="3">
        <v>3</v>
      </c>
      <c r="C4" t="s">
        <v>432</v>
      </c>
      <c r="D4" s="4"/>
      <c r="E4" s="88">
        <v>6</v>
      </c>
      <c r="F4" s="101">
        <f t="shared" si="1"/>
        <v>60</v>
      </c>
      <c r="G4">
        <f>VLOOKUP($C4,[1]약재관리!$A:$J,10,FALSE)</f>
        <v>8.6999999999999993</v>
      </c>
      <c r="H4" s="5">
        <f t="shared" si="2"/>
        <v>52.199999999999996</v>
      </c>
      <c r="I4" s="6">
        <f t="shared" si="0"/>
        <v>522</v>
      </c>
      <c r="J4" s="103">
        <f t="shared" si="3"/>
        <v>6</v>
      </c>
      <c r="K4" s="8" t="s">
        <v>11</v>
      </c>
      <c r="L4" s="167">
        <v>46065</v>
      </c>
      <c r="M4" s="166"/>
    </row>
    <row r="5" spans="2:13">
      <c r="B5" s="3">
        <v>4</v>
      </c>
      <c r="C5" t="s">
        <v>421</v>
      </c>
      <c r="D5" s="4"/>
      <c r="E5" s="88">
        <v>4</v>
      </c>
      <c r="F5" s="101">
        <f t="shared" si="1"/>
        <v>40</v>
      </c>
      <c r="G5">
        <f>VLOOKUP($C5,[1]약재관리!$A:$J,10,FALSE)</f>
        <v>15.3</v>
      </c>
      <c r="H5" s="5">
        <f t="shared" si="2"/>
        <v>61.2</v>
      </c>
      <c r="I5" s="6">
        <f t="shared" si="0"/>
        <v>612</v>
      </c>
      <c r="J5" s="103">
        <f t="shared" si="3"/>
        <v>4</v>
      </c>
      <c r="K5" s="8" t="s">
        <v>12</v>
      </c>
      <c r="L5" s="165" t="s">
        <v>425</v>
      </c>
      <c r="M5" s="166"/>
    </row>
    <row r="6" spans="2:13">
      <c r="B6" s="3">
        <v>5</v>
      </c>
      <c r="C6" t="s">
        <v>419</v>
      </c>
      <c r="D6" s="4"/>
      <c r="E6" s="88">
        <v>4</v>
      </c>
      <c r="F6" s="101">
        <f t="shared" si="1"/>
        <v>40</v>
      </c>
      <c r="G6">
        <f>VLOOKUP($C6,[1]약재관리!$A:$J,10,FALSE)</f>
        <v>31.7</v>
      </c>
      <c r="H6" s="5">
        <f t="shared" si="2"/>
        <v>126.8</v>
      </c>
      <c r="I6" s="6">
        <f t="shared" si="0"/>
        <v>1268</v>
      </c>
      <c r="J6" s="103">
        <f t="shared" si="3"/>
        <v>4</v>
      </c>
      <c r="K6" s="8" t="s">
        <v>13</v>
      </c>
      <c r="L6" s="165">
        <v>21</v>
      </c>
      <c r="M6" s="166"/>
    </row>
    <row r="7" spans="2:13" ht="17.25" thickBot="1">
      <c r="B7" s="3">
        <v>6</v>
      </c>
      <c r="C7" t="s">
        <v>439</v>
      </c>
      <c r="D7" s="4"/>
      <c r="E7" s="88">
        <v>4</v>
      </c>
      <c r="F7" s="101">
        <f t="shared" si="1"/>
        <v>40</v>
      </c>
      <c r="G7">
        <f>VLOOKUP($C7,[1]약재관리!$A:$J,10,FALSE)</f>
        <v>33.700000000000003</v>
      </c>
      <c r="H7" s="5">
        <f t="shared" si="2"/>
        <v>134.80000000000001</v>
      </c>
      <c r="I7" s="6">
        <f t="shared" si="0"/>
        <v>1348</v>
      </c>
      <c r="J7" s="103">
        <f t="shared" si="3"/>
        <v>4</v>
      </c>
      <c r="K7" s="8" t="s">
        <v>14</v>
      </c>
      <c r="L7" s="149" t="s">
        <v>426</v>
      </c>
      <c r="M7" s="150"/>
    </row>
    <row r="8" spans="2:13" ht="17.25" thickBot="1">
      <c r="B8" s="3">
        <v>7</v>
      </c>
      <c r="C8" t="s">
        <v>413</v>
      </c>
      <c r="D8" s="4"/>
      <c r="E8" s="88">
        <v>2</v>
      </c>
      <c r="F8" s="101">
        <f t="shared" si="1"/>
        <v>20</v>
      </c>
      <c r="G8">
        <f>VLOOKUP($C8,[1]약재관리!$A:$J,10,FALSE)</f>
        <v>30</v>
      </c>
      <c r="H8" s="5">
        <f t="shared" si="2"/>
        <v>60</v>
      </c>
      <c r="I8" s="6">
        <f t="shared" si="0"/>
        <v>600</v>
      </c>
      <c r="J8" s="103">
        <f t="shared" si="3"/>
        <v>2</v>
      </c>
      <c r="K8" s="151" t="s">
        <v>15</v>
      </c>
      <c r="L8" s="152"/>
      <c r="M8" s="153"/>
    </row>
    <row r="9" spans="2:13">
      <c r="B9" s="3">
        <v>8</v>
      </c>
      <c r="C9" t="s">
        <v>434</v>
      </c>
      <c r="D9" s="4"/>
      <c r="E9" s="88">
        <v>4</v>
      </c>
      <c r="F9" s="101">
        <f t="shared" si="1"/>
        <v>40</v>
      </c>
      <c r="G9">
        <f>VLOOKUP($C9,[1]약재관리!$A:$J,10,FALSE)</f>
        <v>20</v>
      </c>
      <c r="H9" s="5">
        <f t="shared" si="2"/>
        <v>80</v>
      </c>
      <c r="I9" s="6">
        <f t="shared" si="0"/>
        <v>800</v>
      </c>
      <c r="J9" s="103">
        <f t="shared" si="3"/>
        <v>4</v>
      </c>
      <c r="K9" s="154" t="s">
        <v>448</v>
      </c>
      <c r="L9" s="155"/>
      <c r="M9" s="156"/>
    </row>
    <row r="10" spans="2:13">
      <c r="B10" s="3">
        <v>9</v>
      </c>
      <c r="C10" t="s">
        <v>442</v>
      </c>
      <c r="D10" s="4"/>
      <c r="E10" s="88">
        <v>4</v>
      </c>
      <c r="F10" s="101">
        <f t="shared" si="1"/>
        <v>40</v>
      </c>
      <c r="G10">
        <f>VLOOKUP($C10,[1]약재관리!$A:$J,10,FALSE)</f>
        <v>10</v>
      </c>
      <c r="H10" s="5">
        <f t="shared" si="2"/>
        <v>40</v>
      </c>
      <c r="I10" s="6">
        <f t="shared" si="0"/>
        <v>400</v>
      </c>
      <c r="J10" s="103">
        <f t="shared" si="3"/>
        <v>4</v>
      </c>
      <c r="K10" s="157"/>
      <c r="L10" s="158"/>
      <c r="M10" s="159"/>
    </row>
    <row r="11" spans="2:13">
      <c r="B11" s="3">
        <v>10</v>
      </c>
      <c r="C11" t="s">
        <v>443</v>
      </c>
      <c r="D11" s="4"/>
      <c r="E11" s="88">
        <v>4</v>
      </c>
      <c r="F11" s="101">
        <f t="shared" si="1"/>
        <v>40</v>
      </c>
      <c r="G11">
        <f>VLOOKUP($C11,[1]약재관리!$A:$J,10,FALSE)</f>
        <v>31.3</v>
      </c>
      <c r="H11" s="5">
        <f t="shared" si="2"/>
        <v>125.2</v>
      </c>
      <c r="I11" s="6">
        <f t="shared" si="0"/>
        <v>1252</v>
      </c>
      <c r="J11" s="103">
        <f t="shared" si="3"/>
        <v>4</v>
      </c>
      <c r="K11" s="157"/>
      <c r="L11" s="158"/>
      <c r="M11" s="159"/>
    </row>
    <row r="12" spans="2:13">
      <c r="B12" s="3">
        <v>11</v>
      </c>
      <c r="C12" t="s">
        <v>447</v>
      </c>
      <c r="D12" s="4" t="s">
        <v>446</v>
      </c>
      <c r="E12" s="88">
        <v>2</v>
      </c>
      <c r="F12" s="101">
        <f t="shared" si="1"/>
        <v>20</v>
      </c>
      <c r="G12">
        <f>VLOOKUP($C12,[1]약재관리!$A:$J,10,FALSE)</f>
        <v>22.5</v>
      </c>
      <c r="H12" s="5">
        <f t="shared" si="2"/>
        <v>45</v>
      </c>
      <c r="I12" s="6">
        <f t="shared" si="0"/>
        <v>450</v>
      </c>
      <c r="J12" s="103">
        <f t="shared" si="3"/>
        <v>2</v>
      </c>
      <c r="K12" s="157"/>
      <c r="L12" s="158"/>
      <c r="M12" s="159"/>
    </row>
    <row r="13" spans="2:13" ht="17.25" thickBot="1">
      <c r="B13" s="3">
        <v>12</v>
      </c>
      <c r="C13" t="s">
        <v>423</v>
      </c>
      <c r="D13" s="4"/>
      <c r="E13" s="88">
        <v>8</v>
      </c>
      <c r="F13" s="101">
        <f t="shared" si="1"/>
        <v>80</v>
      </c>
      <c r="G13">
        <f>VLOOKUP($C13,[1]약재관리!$A:$J,10,FALSE)</f>
        <v>14.7</v>
      </c>
      <c r="H13" s="5">
        <f t="shared" si="2"/>
        <v>117.6</v>
      </c>
      <c r="I13" s="6">
        <f t="shared" si="0"/>
        <v>1176</v>
      </c>
      <c r="J13" s="103">
        <f t="shared" si="3"/>
        <v>8</v>
      </c>
      <c r="K13" s="160"/>
      <c r="L13" s="161"/>
      <c r="M13" s="162"/>
    </row>
    <row r="14" spans="2:13">
      <c r="B14" s="3">
        <v>13</v>
      </c>
      <c r="C14" t="s">
        <v>440</v>
      </c>
      <c r="D14" s="4"/>
      <c r="E14" s="88">
        <v>3</v>
      </c>
      <c r="F14" s="101">
        <f t="shared" si="1"/>
        <v>30</v>
      </c>
      <c r="G14">
        <f>VLOOKUP($C14,[1]약재관리!$A:$J,10,FALSE)</f>
        <v>26</v>
      </c>
      <c r="H14" s="5">
        <f>G14*E14</f>
        <v>78</v>
      </c>
      <c r="I14" s="6">
        <f>G14*F14</f>
        <v>780</v>
      </c>
      <c r="J14" s="103">
        <f t="shared" si="3"/>
        <v>3</v>
      </c>
      <c r="K14" s="92" t="s">
        <v>16</v>
      </c>
      <c r="L14" s="9">
        <v>10</v>
      </c>
      <c r="M14" s="10" t="s">
        <v>17</v>
      </c>
    </row>
    <row r="15" spans="2:13">
      <c r="B15" s="3">
        <v>14</v>
      </c>
      <c r="C15" t="s">
        <v>444</v>
      </c>
      <c r="D15" s="4" t="s">
        <v>446</v>
      </c>
      <c r="E15" s="88">
        <v>2</v>
      </c>
      <c r="F15" s="101">
        <f t="shared" si="1"/>
        <v>20</v>
      </c>
      <c r="G15">
        <f>VLOOKUP($C15,[1]약재관리!$A:$J,10,FALSE)</f>
        <v>136.80000000000001</v>
      </c>
      <c r="H15" s="5">
        <f>G15*E15</f>
        <v>273.60000000000002</v>
      </c>
      <c r="I15" s="6">
        <f>G15*F15</f>
        <v>2736</v>
      </c>
      <c r="J15" s="103">
        <f t="shared" si="3"/>
        <v>2</v>
      </c>
      <c r="K15" s="91" t="s">
        <v>18</v>
      </c>
      <c r="L15">
        <v>10</v>
      </c>
      <c r="M15" s="4" t="s">
        <v>19</v>
      </c>
    </row>
    <row r="16" spans="2:13">
      <c r="B16" s="3">
        <v>15</v>
      </c>
      <c r="C16" t="s">
        <v>424</v>
      </c>
      <c r="D16" s="4"/>
      <c r="E16" s="88">
        <v>6</v>
      </c>
      <c r="F16" s="101">
        <f t="shared" si="1"/>
        <v>60</v>
      </c>
      <c r="G16">
        <f>VLOOKUP($C16,[1]약재관리!$A:$J,10,FALSE)</f>
        <v>20.5</v>
      </c>
      <c r="H16" s="5">
        <f t="shared" si="2"/>
        <v>123</v>
      </c>
      <c r="I16" s="6">
        <f t="shared" si="0"/>
        <v>1230</v>
      </c>
      <c r="J16" s="103">
        <f t="shared" si="3"/>
        <v>6</v>
      </c>
      <c r="K16" s="91" t="s">
        <v>20</v>
      </c>
      <c r="L16">
        <v>20</v>
      </c>
      <c r="M16" s="4" t="s">
        <v>21</v>
      </c>
    </row>
    <row r="17" spans="2:13" ht="17.25" thickBot="1">
      <c r="B17" s="3">
        <v>16</v>
      </c>
      <c r="C17" t="s">
        <v>411</v>
      </c>
      <c r="D17" s="4"/>
      <c r="E17" s="88">
        <v>4</v>
      </c>
      <c r="F17" s="101">
        <f t="shared" si="1"/>
        <v>40</v>
      </c>
      <c r="G17">
        <f>VLOOKUP($C17,[1]약재관리!$A:$J,10,FALSE)</f>
        <v>120</v>
      </c>
      <c r="H17" s="5">
        <f t="shared" si="2"/>
        <v>480</v>
      </c>
      <c r="I17" s="6">
        <f t="shared" si="0"/>
        <v>4800</v>
      </c>
      <c r="J17" s="103">
        <f t="shared" si="3"/>
        <v>4</v>
      </c>
      <c r="K17" s="14" t="s">
        <v>22</v>
      </c>
      <c r="L17" s="11">
        <v>70</v>
      </c>
      <c r="M17" s="12" t="s">
        <v>23</v>
      </c>
    </row>
    <row r="18" spans="2:13">
      <c r="B18" s="3">
        <v>17</v>
      </c>
      <c r="C18" t="s">
        <v>445</v>
      </c>
      <c r="D18" s="4"/>
      <c r="E18" s="88">
        <v>4</v>
      </c>
      <c r="F18" s="101">
        <f t="shared" si="1"/>
        <v>40</v>
      </c>
      <c r="G18">
        <f>VLOOKUP($C18,[1]약재관리!$A:$J,10,FALSE)</f>
        <v>18.3</v>
      </c>
      <c r="H18" s="5">
        <f t="shared" si="2"/>
        <v>73.2</v>
      </c>
      <c r="I18" s="6">
        <f t="shared" si="0"/>
        <v>732</v>
      </c>
      <c r="J18" s="103">
        <f t="shared" si="3"/>
        <v>4</v>
      </c>
      <c r="K18" s="92" t="s">
        <v>24</v>
      </c>
      <c r="L18" s="9">
        <f>SUM(E2:E31)</f>
        <v>73</v>
      </c>
      <c r="M18" s="10" t="s">
        <v>25</v>
      </c>
    </row>
    <row r="19" spans="2:13">
      <c r="B19" s="3">
        <v>18</v>
      </c>
      <c r="D19" s="4"/>
      <c r="F19" s="101">
        <f t="shared" si="1"/>
        <v>0</v>
      </c>
      <c r="H19" s="5">
        <f t="shared" si="2"/>
        <v>0</v>
      </c>
      <c r="I19" s="6">
        <f t="shared" si="0"/>
        <v>0</v>
      </c>
      <c r="K19" s="91" t="s">
        <v>26</v>
      </c>
      <c r="L19">
        <f>L15*L18</f>
        <v>730</v>
      </c>
      <c r="M19" s="4" t="s">
        <v>25</v>
      </c>
    </row>
    <row r="20" spans="2:13" ht="17.25" thickBot="1">
      <c r="B20" s="3">
        <v>19</v>
      </c>
      <c r="D20" s="4"/>
      <c r="F20" s="101">
        <f t="shared" si="1"/>
        <v>0</v>
      </c>
      <c r="H20" s="5">
        <f t="shared" si="2"/>
        <v>0</v>
      </c>
      <c r="I20" s="6">
        <f t="shared" si="0"/>
        <v>0</v>
      </c>
      <c r="K20" s="14" t="s">
        <v>27</v>
      </c>
      <c r="L20" s="11">
        <f>L16*L17+L19</f>
        <v>2130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1" t="s">
        <v>386</v>
      </c>
      <c r="L22" s="152"/>
      <c r="M22" s="153"/>
    </row>
    <row r="23" spans="2:13">
      <c r="B23" s="3">
        <v>22</v>
      </c>
      <c r="D23" s="4"/>
      <c r="F23" s="101">
        <f t="shared" si="1"/>
        <v>0</v>
      </c>
      <c r="H23" s="5">
        <f t="shared" si="2"/>
        <v>0</v>
      </c>
      <c r="I23" s="6">
        <f t="shared" si="0"/>
        <v>0</v>
      </c>
      <c r="K23" s="91" t="s">
        <v>380</v>
      </c>
      <c r="L23">
        <f>SUM(F2:F31)</f>
        <v>730</v>
      </c>
      <c r="M23" s="4" t="s">
        <v>25</v>
      </c>
    </row>
    <row r="24" spans="2:13">
      <c r="B24" s="3">
        <v>23</v>
      </c>
      <c r="D24" s="4"/>
      <c r="F24" s="101">
        <f t="shared" si="1"/>
        <v>0</v>
      </c>
      <c r="H24" s="5">
        <f t="shared" si="2"/>
        <v>0</v>
      </c>
      <c r="I24" s="6">
        <f t="shared" si="0"/>
        <v>0</v>
      </c>
      <c r="K24" s="91" t="s">
        <v>387</v>
      </c>
      <c r="L24">
        <v>5000</v>
      </c>
      <c r="M24" s="4" t="s">
        <v>23</v>
      </c>
    </row>
    <row r="25" spans="2:13">
      <c r="B25" s="3">
        <v>24</v>
      </c>
      <c r="D25" s="4"/>
      <c r="F25" s="101">
        <f t="shared" si="1"/>
        <v>0</v>
      </c>
      <c r="H25" s="5">
        <f t="shared" si="2"/>
        <v>0</v>
      </c>
      <c r="I25" s="6">
        <f t="shared" si="0"/>
        <v>0</v>
      </c>
      <c r="K25" s="91" t="s">
        <v>28</v>
      </c>
      <c r="L25" s="93" t="s">
        <v>382</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381</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1" t="s">
        <v>385</v>
      </c>
      <c r="L29" s="152"/>
      <c r="M29" s="153"/>
    </row>
    <row r="30" spans="2:13">
      <c r="B30" s="3">
        <v>29</v>
      </c>
      <c r="D30" s="4"/>
      <c r="F30" s="101">
        <f t="shared" si="1"/>
        <v>0</v>
      </c>
      <c r="H30" s="5">
        <f t="shared" si="2"/>
        <v>0</v>
      </c>
      <c r="I30" s="6">
        <f t="shared" si="0"/>
        <v>0</v>
      </c>
      <c r="K30" s="91" t="s">
        <v>28</v>
      </c>
      <c r="L30" s="5">
        <f>SUM(H2:H31)</f>
        <v>2066.1999999999998</v>
      </c>
      <c r="M30" s="4" t="s">
        <v>384</v>
      </c>
    </row>
    <row r="31" spans="2:13" ht="17.25" thickBot="1">
      <c r="B31" s="13">
        <v>30</v>
      </c>
      <c r="C31" s="14"/>
      <c r="D31" s="12"/>
      <c r="E31" s="95"/>
      <c r="F31" s="102">
        <f t="shared" si="1"/>
        <v>0</v>
      </c>
      <c r="G31" s="11"/>
      <c r="H31" s="15">
        <f t="shared" si="2"/>
        <v>0</v>
      </c>
      <c r="I31" s="16">
        <f t="shared" si="0"/>
        <v>0</v>
      </c>
      <c r="K31" s="14" t="s">
        <v>383</v>
      </c>
      <c r="L31" s="15">
        <f>SUM(I2:I31)</f>
        <v>20662</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8F21-FEDA-4A13-BC66-198630385AAF}">
  <sheetPr>
    <pageSetUpPr fitToPage="1"/>
  </sheetPr>
  <dimension ref="B1:M31"/>
  <sheetViews>
    <sheetView topLeftCell="B1" workbookViewId="0">
      <selection activeCell="L16" sqref="L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4</v>
      </c>
      <c r="G1" s="96" t="s">
        <v>5</v>
      </c>
      <c r="H1" s="97" t="s">
        <v>6</v>
      </c>
      <c r="I1" s="2" t="s">
        <v>7</v>
      </c>
      <c r="J1" s="147" t="s">
        <v>441</v>
      </c>
      <c r="K1" s="151" t="s">
        <v>8</v>
      </c>
      <c r="L1" s="152"/>
      <c r="M1" s="153"/>
    </row>
    <row r="2" spans="2:13">
      <c r="B2" s="3">
        <v>1</v>
      </c>
      <c r="C2" t="s">
        <v>412</v>
      </c>
      <c r="D2" s="4"/>
      <c r="E2" s="88">
        <v>6</v>
      </c>
      <c r="F2" s="148">
        <f>E2*$L$15</f>
        <v>120</v>
      </c>
      <c r="G2">
        <f>VLOOKUP($C2,[1]약재관리!$A:$J,10,FALSE)</f>
        <v>13</v>
      </c>
      <c r="H2" s="5">
        <f>G2*E2</f>
        <v>78</v>
      </c>
      <c r="I2" s="6">
        <f t="shared" ref="I2:I31" si="0">G2*F2</f>
        <v>1560</v>
      </c>
      <c r="J2" s="103">
        <f>F2/$L$14</f>
        <v>6</v>
      </c>
      <c r="K2" s="7" t="s">
        <v>9</v>
      </c>
      <c r="L2" s="163">
        <v>84</v>
      </c>
      <c r="M2" s="164"/>
    </row>
    <row r="3" spans="2:13">
      <c r="B3" s="3">
        <v>2</v>
      </c>
      <c r="C3" t="s">
        <v>431</v>
      </c>
      <c r="D3" s="4"/>
      <c r="E3" s="88">
        <v>4</v>
      </c>
      <c r="F3" s="101">
        <f t="shared" ref="F3:F31" si="1">E3*$L$15</f>
        <v>80</v>
      </c>
      <c r="G3">
        <f>VLOOKUP($C3,[1]약재관리!$A:$J,10,FALSE)</f>
        <v>19.600000000000001</v>
      </c>
      <c r="H3" s="5">
        <f t="shared" ref="H3:H31" si="2">G3*E3</f>
        <v>78.400000000000006</v>
      </c>
      <c r="I3" s="6">
        <f t="shared" si="0"/>
        <v>1568</v>
      </c>
      <c r="J3" s="103">
        <f t="shared" ref="J3:J18" si="3">F3/$L$14</f>
        <v>4</v>
      </c>
      <c r="K3" s="8" t="s">
        <v>10</v>
      </c>
      <c r="L3" s="165" t="s">
        <v>429</v>
      </c>
      <c r="M3" s="166"/>
    </row>
    <row r="4" spans="2:13">
      <c r="B4" s="3">
        <v>3</v>
      </c>
      <c r="C4" t="s">
        <v>432</v>
      </c>
      <c r="D4" s="4"/>
      <c r="E4" s="88">
        <v>4</v>
      </c>
      <c r="F4" s="101">
        <f t="shared" si="1"/>
        <v>80</v>
      </c>
      <c r="G4">
        <f>VLOOKUP($C4,[1]약재관리!$A:$J,10,FALSE)</f>
        <v>8.6999999999999993</v>
      </c>
      <c r="H4" s="5">
        <f t="shared" si="2"/>
        <v>34.799999999999997</v>
      </c>
      <c r="I4" s="6">
        <f t="shared" si="0"/>
        <v>696</v>
      </c>
      <c r="J4" s="103">
        <f t="shared" si="3"/>
        <v>4</v>
      </c>
      <c r="K4" s="8" t="s">
        <v>11</v>
      </c>
      <c r="L4" s="167">
        <v>45789</v>
      </c>
      <c r="M4" s="166"/>
    </row>
    <row r="5" spans="2:13">
      <c r="B5" s="3">
        <v>4</v>
      </c>
      <c r="C5" t="s">
        <v>421</v>
      </c>
      <c r="D5" s="4"/>
      <c r="E5" s="88">
        <v>4</v>
      </c>
      <c r="F5" s="101">
        <f t="shared" si="1"/>
        <v>80</v>
      </c>
      <c r="G5">
        <f>VLOOKUP($C5,[1]약재관리!$A:$J,10,FALSE)</f>
        <v>15.3</v>
      </c>
      <c r="H5" s="5">
        <f t="shared" si="2"/>
        <v>61.2</v>
      </c>
      <c r="I5" s="6">
        <f t="shared" si="0"/>
        <v>1224</v>
      </c>
      <c r="J5" s="103">
        <f t="shared" si="3"/>
        <v>4</v>
      </c>
      <c r="K5" s="8" t="s">
        <v>12</v>
      </c>
      <c r="L5" s="165" t="s">
        <v>425</v>
      </c>
      <c r="M5" s="166"/>
    </row>
    <row r="6" spans="2:13">
      <c r="B6" s="3">
        <v>5</v>
      </c>
      <c r="C6" t="s">
        <v>419</v>
      </c>
      <c r="D6" s="4"/>
      <c r="E6" s="88">
        <v>4</v>
      </c>
      <c r="F6" s="101">
        <f t="shared" si="1"/>
        <v>80</v>
      </c>
      <c r="G6">
        <f>VLOOKUP($C6,[1]약재관리!$A:$J,10,FALSE)</f>
        <v>31.7</v>
      </c>
      <c r="H6" s="5">
        <f t="shared" si="2"/>
        <v>126.8</v>
      </c>
      <c r="I6" s="6">
        <f t="shared" si="0"/>
        <v>2536</v>
      </c>
      <c r="J6" s="103">
        <f t="shared" si="3"/>
        <v>4</v>
      </c>
      <c r="K6" s="8" t="s">
        <v>13</v>
      </c>
      <c r="L6" s="165">
        <v>21</v>
      </c>
      <c r="M6" s="166"/>
    </row>
    <row r="7" spans="2:13" ht="17.25" thickBot="1">
      <c r="B7" s="3">
        <v>6</v>
      </c>
      <c r="C7" t="s">
        <v>433</v>
      </c>
      <c r="D7" s="4"/>
      <c r="E7" s="88">
        <v>4</v>
      </c>
      <c r="F7" s="101">
        <f t="shared" si="1"/>
        <v>80</v>
      </c>
      <c r="G7">
        <f>VLOOKUP($C7,[1]약재관리!$A:$J,10,FALSE)</f>
        <v>39.200000000000003</v>
      </c>
      <c r="H7" s="5">
        <f t="shared" si="2"/>
        <v>156.80000000000001</v>
      </c>
      <c r="I7" s="6">
        <f t="shared" si="0"/>
        <v>3136</v>
      </c>
      <c r="J7" s="103">
        <f t="shared" si="3"/>
        <v>4</v>
      </c>
      <c r="K7" s="8" t="s">
        <v>14</v>
      </c>
      <c r="L7" s="149" t="s">
        <v>426</v>
      </c>
      <c r="M7" s="150"/>
    </row>
    <row r="8" spans="2:13" ht="17.25" thickBot="1">
      <c r="B8" s="3">
        <v>7</v>
      </c>
      <c r="C8" t="s">
        <v>413</v>
      </c>
      <c r="D8" s="4"/>
      <c r="E8" s="88">
        <v>2</v>
      </c>
      <c r="F8" s="101">
        <f t="shared" si="1"/>
        <v>40</v>
      </c>
      <c r="G8">
        <f>VLOOKUP($C8,[1]약재관리!$A:$J,10,FALSE)</f>
        <v>30</v>
      </c>
      <c r="H8" s="5">
        <f t="shared" si="2"/>
        <v>60</v>
      </c>
      <c r="I8" s="6">
        <f t="shared" si="0"/>
        <v>1200</v>
      </c>
      <c r="J8" s="103">
        <f t="shared" si="3"/>
        <v>2</v>
      </c>
      <c r="K8" s="151" t="s">
        <v>15</v>
      </c>
      <c r="L8" s="152"/>
      <c r="M8" s="153"/>
    </row>
    <row r="9" spans="2:13">
      <c r="B9" s="3">
        <v>8</v>
      </c>
      <c r="C9" t="s">
        <v>434</v>
      </c>
      <c r="D9" s="4"/>
      <c r="E9" s="88">
        <v>4</v>
      </c>
      <c r="F9" s="101">
        <f t="shared" si="1"/>
        <v>80</v>
      </c>
      <c r="G9">
        <f>VLOOKUP($C9,[1]약재관리!$A:$J,10,FALSE)</f>
        <v>20</v>
      </c>
      <c r="H9" s="5">
        <f t="shared" si="2"/>
        <v>80</v>
      </c>
      <c r="I9" s="6">
        <f t="shared" si="0"/>
        <v>1600</v>
      </c>
      <c r="J9" s="103">
        <f t="shared" si="3"/>
        <v>4</v>
      </c>
      <c r="K9" s="154"/>
      <c r="L9" s="155"/>
      <c r="M9" s="156"/>
    </row>
    <row r="10" spans="2:13">
      <c r="B10" s="3">
        <v>9</v>
      </c>
      <c r="C10" t="s">
        <v>420</v>
      </c>
      <c r="D10" s="4"/>
      <c r="E10" s="88">
        <v>4</v>
      </c>
      <c r="F10" s="101">
        <f t="shared" si="1"/>
        <v>80</v>
      </c>
      <c r="G10">
        <f>VLOOKUP($C10,[1]약재관리!$A:$J,10,FALSE)</f>
        <v>10.8</v>
      </c>
      <c r="H10" s="5">
        <f t="shared" si="2"/>
        <v>43.2</v>
      </c>
      <c r="I10" s="6">
        <f t="shared" si="0"/>
        <v>864</v>
      </c>
      <c r="J10" s="103">
        <f t="shared" si="3"/>
        <v>4</v>
      </c>
      <c r="K10" s="157"/>
      <c r="L10" s="158"/>
      <c r="M10" s="159"/>
    </row>
    <row r="11" spans="2:13">
      <c r="B11" s="3">
        <v>10</v>
      </c>
      <c r="C11" t="s">
        <v>435</v>
      </c>
      <c r="D11" s="4"/>
      <c r="E11" s="88">
        <v>4</v>
      </c>
      <c r="F11" s="101">
        <f t="shared" si="1"/>
        <v>80</v>
      </c>
      <c r="G11">
        <f>VLOOKUP($C11,[1]약재관리!$A:$J,10,FALSE)</f>
        <v>19</v>
      </c>
      <c r="H11" s="5">
        <f t="shared" si="2"/>
        <v>76</v>
      </c>
      <c r="I11" s="6">
        <f t="shared" si="0"/>
        <v>1520</v>
      </c>
      <c r="J11" s="103">
        <f t="shared" si="3"/>
        <v>4</v>
      </c>
      <c r="K11" s="157"/>
      <c r="L11" s="158"/>
      <c r="M11" s="159"/>
    </row>
    <row r="12" spans="2:13">
      <c r="B12" s="3">
        <v>11</v>
      </c>
      <c r="C12" t="s">
        <v>436</v>
      </c>
      <c r="D12" s="4"/>
      <c r="E12" s="88">
        <v>3</v>
      </c>
      <c r="F12" s="101">
        <f t="shared" si="1"/>
        <v>60</v>
      </c>
      <c r="G12">
        <f>VLOOKUP($C12,[1]약재관리!$A:$J,10,FALSE)</f>
        <v>21.8</v>
      </c>
      <c r="H12" s="5">
        <f t="shared" si="2"/>
        <v>65.400000000000006</v>
      </c>
      <c r="I12" s="6">
        <f t="shared" si="0"/>
        <v>1308</v>
      </c>
      <c r="J12" s="103">
        <f t="shared" si="3"/>
        <v>3</v>
      </c>
      <c r="K12" s="157"/>
      <c r="L12" s="158"/>
      <c r="M12" s="159"/>
    </row>
    <row r="13" spans="2:13" ht="17.25" thickBot="1">
      <c r="B13" s="3">
        <v>12</v>
      </c>
      <c r="C13" t="s">
        <v>417</v>
      </c>
      <c r="D13" s="4"/>
      <c r="E13" s="88">
        <v>2</v>
      </c>
      <c r="F13" s="101">
        <f t="shared" si="1"/>
        <v>40</v>
      </c>
      <c r="G13">
        <f>VLOOKUP($C13,[1]약재관리!$A:$J,10,FALSE)</f>
        <v>30.8</v>
      </c>
      <c r="H13" s="5">
        <f t="shared" si="2"/>
        <v>61.6</v>
      </c>
      <c r="I13" s="6">
        <f t="shared" si="0"/>
        <v>1232</v>
      </c>
      <c r="J13" s="103">
        <f t="shared" si="3"/>
        <v>2</v>
      </c>
      <c r="K13" s="160"/>
      <c r="L13" s="161"/>
      <c r="M13" s="162"/>
    </row>
    <row r="14" spans="2:13">
      <c r="B14" s="3">
        <v>13</v>
      </c>
      <c r="C14" t="s">
        <v>413</v>
      </c>
      <c r="D14" s="4"/>
      <c r="E14" s="88">
        <v>2</v>
      </c>
      <c r="F14" s="101">
        <f t="shared" si="1"/>
        <v>40</v>
      </c>
      <c r="G14">
        <f>VLOOKUP($C14,[1]약재관리!$A:$J,10,FALSE)</f>
        <v>30</v>
      </c>
      <c r="H14" s="5">
        <f>G14*E14</f>
        <v>60</v>
      </c>
      <c r="I14" s="6">
        <f>G14*F14</f>
        <v>1200</v>
      </c>
      <c r="J14" s="103">
        <f t="shared" si="3"/>
        <v>2</v>
      </c>
      <c r="K14" s="92" t="s">
        <v>16</v>
      </c>
      <c r="L14" s="9">
        <v>20</v>
      </c>
      <c r="M14" s="10" t="s">
        <v>17</v>
      </c>
    </row>
    <row r="15" spans="2:13">
      <c r="B15" s="3">
        <v>14</v>
      </c>
      <c r="C15" t="s">
        <v>437</v>
      </c>
      <c r="D15" s="4"/>
      <c r="E15" s="88">
        <v>4</v>
      </c>
      <c r="F15" s="101">
        <f t="shared" si="1"/>
        <v>80</v>
      </c>
      <c r="G15">
        <f>VLOOKUP($C15,[1]약재관리!$A:$J,10,FALSE)</f>
        <v>0</v>
      </c>
      <c r="H15" s="5">
        <f>G15*E15</f>
        <v>0</v>
      </c>
      <c r="I15" s="6">
        <f>G15*F15</f>
        <v>0</v>
      </c>
      <c r="J15" s="103">
        <f t="shared" si="3"/>
        <v>4</v>
      </c>
      <c r="K15" s="91" t="s">
        <v>18</v>
      </c>
      <c r="L15">
        <v>20</v>
      </c>
      <c r="M15" s="4" t="s">
        <v>19</v>
      </c>
    </row>
    <row r="16" spans="2:13">
      <c r="B16" s="3">
        <v>15</v>
      </c>
      <c r="C16" t="s">
        <v>438</v>
      </c>
      <c r="D16" s="4"/>
      <c r="E16" s="88">
        <v>4</v>
      </c>
      <c r="F16" s="101">
        <f t="shared" si="1"/>
        <v>80</v>
      </c>
      <c r="G16">
        <f>VLOOKUP($C16,[1]약재관리!$A:$J,10,FALSE)</f>
        <v>59.7</v>
      </c>
      <c r="H16" s="5">
        <f t="shared" si="2"/>
        <v>238.8</v>
      </c>
      <c r="I16" s="6">
        <f t="shared" si="0"/>
        <v>4776</v>
      </c>
      <c r="J16" s="103">
        <f t="shared" si="3"/>
        <v>4</v>
      </c>
      <c r="K16" s="91" t="s">
        <v>20</v>
      </c>
      <c r="L16">
        <v>45</v>
      </c>
      <c r="M16" s="4" t="s">
        <v>21</v>
      </c>
    </row>
    <row r="17" spans="2:13" ht="17.25" thickBot="1">
      <c r="B17" s="3">
        <v>16</v>
      </c>
      <c r="C17" t="s">
        <v>439</v>
      </c>
      <c r="D17" s="4"/>
      <c r="E17" s="88">
        <v>4</v>
      </c>
      <c r="F17" s="101">
        <f t="shared" si="1"/>
        <v>80</v>
      </c>
      <c r="G17">
        <f>VLOOKUP($C17,[1]약재관리!$A:$J,10,FALSE)</f>
        <v>33.700000000000003</v>
      </c>
      <c r="H17" s="5">
        <f t="shared" si="2"/>
        <v>134.80000000000001</v>
      </c>
      <c r="I17" s="6">
        <f t="shared" si="0"/>
        <v>2696</v>
      </c>
      <c r="J17" s="103">
        <f t="shared" si="3"/>
        <v>4</v>
      </c>
      <c r="K17" s="14" t="s">
        <v>22</v>
      </c>
      <c r="L17" s="11">
        <v>70</v>
      </c>
      <c r="M17" s="12" t="s">
        <v>23</v>
      </c>
    </row>
    <row r="18" spans="2:13">
      <c r="B18" s="3">
        <v>17</v>
      </c>
      <c r="C18" t="s">
        <v>440</v>
      </c>
      <c r="D18" s="4"/>
      <c r="E18" s="88">
        <v>2</v>
      </c>
      <c r="F18" s="101">
        <f t="shared" si="1"/>
        <v>40</v>
      </c>
      <c r="G18">
        <f>VLOOKUP($C18,[1]약재관리!$A:$J,10,FALSE)</f>
        <v>26</v>
      </c>
      <c r="H18" s="5">
        <f t="shared" si="2"/>
        <v>52</v>
      </c>
      <c r="I18" s="6">
        <f t="shared" si="0"/>
        <v>1040</v>
      </c>
      <c r="J18" s="103">
        <f t="shared" si="3"/>
        <v>2</v>
      </c>
      <c r="K18" s="92" t="s">
        <v>24</v>
      </c>
      <c r="L18" s="9">
        <f>SUM(E2:E31)</f>
        <v>61</v>
      </c>
      <c r="M18" s="10" t="s">
        <v>25</v>
      </c>
    </row>
    <row r="19" spans="2:13">
      <c r="B19" s="3">
        <v>18</v>
      </c>
      <c r="D19" s="4"/>
      <c r="F19" s="101">
        <f t="shared" si="1"/>
        <v>0</v>
      </c>
      <c r="H19" s="5">
        <f t="shared" si="2"/>
        <v>0</v>
      </c>
      <c r="I19" s="6">
        <f t="shared" si="0"/>
        <v>0</v>
      </c>
      <c r="K19" s="91" t="s">
        <v>26</v>
      </c>
      <c r="L19">
        <f>L15*L18</f>
        <v>1220</v>
      </c>
      <c r="M19" s="4" t="s">
        <v>25</v>
      </c>
    </row>
    <row r="20" spans="2:13" ht="17.25" thickBot="1">
      <c r="B20" s="3">
        <v>19</v>
      </c>
      <c r="D20" s="4"/>
      <c r="F20" s="101">
        <f t="shared" si="1"/>
        <v>0</v>
      </c>
      <c r="H20" s="5">
        <f t="shared" si="2"/>
        <v>0</v>
      </c>
      <c r="I20" s="6">
        <f t="shared" si="0"/>
        <v>0</v>
      </c>
      <c r="K20" s="14" t="s">
        <v>27</v>
      </c>
      <c r="L20" s="11">
        <f>L16*L17+L19</f>
        <v>4370</v>
      </c>
      <c r="M20" s="12" t="s">
        <v>23</v>
      </c>
    </row>
    <row r="21" spans="2:13" ht="17.25" thickBot="1">
      <c r="B21" s="3">
        <v>20</v>
      </c>
      <c r="D21" s="4"/>
      <c r="F21" s="101">
        <f t="shared" si="1"/>
        <v>0</v>
      </c>
      <c r="H21" s="5">
        <f t="shared" si="2"/>
        <v>0</v>
      </c>
      <c r="I21" s="6">
        <f t="shared" si="0"/>
        <v>0</v>
      </c>
      <c r="J21" s="91"/>
      <c r="M21" s="94"/>
    </row>
    <row r="22" spans="2:13" ht="17.25" thickBot="1">
      <c r="B22" s="3">
        <v>21</v>
      </c>
      <c r="D22" s="4"/>
      <c r="F22" s="101">
        <f t="shared" si="1"/>
        <v>0</v>
      </c>
      <c r="H22" s="5">
        <f t="shared" si="2"/>
        <v>0</v>
      </c>
      <c r="I22" s="6">
        <f t="shared" si="0"/>
        <v>0</v>
      </c>
      <c r="K22" s="151" t="s">
        <v>386</v>
      </c>
      <c r="L22" s="152"/>
      <c r="M22" s="153"/>
    </row>
    <row r="23" spans="2:13">
      <c r="B23" s="3">
        <v>22</v>
      </c>
      <c r="D23" s="4"/>
      <c r="F23" s="101">
        <f t="shared" si="1"/>
        <v>0</v>
      </c>
      <c r="H23" s="5">
        <f t="shared" si="2"/>
        <v>0</v>
      </c>
      <c r="I23" s="6">
        <f t="shared" si="0"/>
        <v>0</v>
      </c>
      <c r="K23" s="91" t="s">
        <v>380</v>
      </c>
      <c r="L23">
        <f>SUM(F2:F31)</f>
        <v>1220</v>
      </c>
      <c r="M23" s="4" t="s">
        <v>25</v>
      </c>
    </row>
    <row r="24" spans="2:13">
      <c r="B24" s="3">
        <v>23</v>
      </c>
      <c r="D24" s="4"/>
      <c r="F24" s="101">
        <f t="shared" si="1"/>
        <v>0</v>
      </c>
      <c r="H24" s="5">
        <f t="shared" si="2"/>
        <v>0</v>
      </c>
      <c r="I24" s="6">
        <f t="shared" si="0"/>
        <v>0</v>
      </c>
      <c r="K24" s="91" t="s">
        <v>387</v>
      </c>
      <c r="L24">
        <v>5000</v>
      </c>
      <c r="M24" s="4" t="s">
        <v>23</v>
      </c>
    </row>
    <row r="25" spans="2:13">
      <c r="B25" s="3">
        <v>24</v>
      </c>
      <c r="D25" s="4"/>
      <c r="F25" s="101">
        <f t="shared" si="1"/>
        <v>0</v>
      </c>
      <c r="H25" s="5">
        <f t="shared" si="2"/>
        <v>0</v>
      </c>
      <c r="I25" s="6">
        <f t="shared" si="0"/>
        <v>0</v>
      </c>
      <c r="K25" s="91" t="s">
        <v>28</v>
      </c>
      <c r="L25" s="93" t="s">
        <v>382</v>
      </c>
      <c r="M25" s="4" t="s">
        <v>25</v>
      </c>
    </row>
    <row r="26" spans="2:13">
      <c r="B26" s="3">
        <v>25</v>
      </c>
      <c r="D26" s="4"/>
      <c r="F26" s="101">
        <f t="shared" si="1"/>
        <v>0</v>
      </c>
      <c r="H26" s="5">
        <f t="shared" si="2"/>
        <v>0</v>
      </c>
      <c r="I26" s="6">
        <f t="shared" si="0"/>
        <v>0</v>
      </c>
      <c r="K26" s="91" t="s">
        <v>29</v>
      </c>
      <c r="L26" s="93">
        <v>1600</v>
      </c>
      <c r="M26" s="4" t="s">
        <v>25</v>
      </c>
    </row>
    <row r="27" spans="2:13" ht="17.25" thickBot="1">
      <c r="B27" s="3">
        <v>26</v>
      </c>
      <c r="D27" s="4"/>
      <c r="F27" s="101">
        <f t="shared" si="1"/>
        <v>0</v>
      </c>
      <c r="H27" s="5">
        <f t="shared" si="2"/>
        <v>0</v>
      </c>
      <c r="I27" s="6">
        <f t="shared" si="0"/>
        <v>0</v>
      </c>
      <c r="K27" s="14" t="s">
        <v>381</v>
      </c>
      <c r="L27" s="11">
        <v>4</v>
      </c>
      <c r="M27" s="12" t="s">
        <v>25</v>
      </c>
    </row>
    <row r="28" spans="2:13" ht="17.25" thickBot="1">
      <c r="B28" s="3">
        <v>27</v>
      </c>
      <c r="D28" s="4"/>
      <c r="F28" s="101">
        <f t="shared" si="1"/>
        <v>0</v>
      </c>
      <c r="H28" s="5">
        <f t="shared" si="2"/>
        <v>0</v>
      </c>
      <c r="I28" s="6">
        <f t="shared" si="0"/>
        <v>0</v>
      </c>
      <c r="J28" s="91"/>
      <c r="K28" s="11"/>
      <c r="L28" s="11"/>
      <c r="M28" s="94"/>
    </row>
    <row r="29" spans="2:13" ht="17.25" thickBot="1">
      <c r="B29" s="3">
        <v>28</v>
      </c>
      <c r="D29" s="4"/>
      <c r="F29" s="101">
        <f t="shared" si="1"/>
        <v>0</v>
      </c>
      <c r="H29" s="5">
        <f t="shared" si="2"/>
        <v>0</v>
      </c>
      <c r="I29" s="6">
        <f t="shared" si="0"/>
        <v>0</v>
      </c>
      <c r="K29" s="151" t="s">
        <v>385</v>
      </c>
      <c r="L29" s="152"/>
      <c r="M29" s="153"/>
    </row>
    <row r="30" spans="2:13">
      <c r="B30" s="3">
        <v>29</v>
      </c>
      <c r="D30" s="4"/>
      <c r="F30" s="101">
        <f t="shared" si="1"/>
        <v>0</v>
      </c>
      <c r="H30" s="5">
        <f t="shared" si="2"/>
        <v>0</v>
      </c>
      <c r="I30" s="6">
        <f t="shared" si="0"/>
        <v>0</v>
      </c>
      <c r="K30" s="91" t="s">
        <v>28</v>
      </c>
      <c r="L30" s="5">
        <f>SUM(H2:H31)</f>
        <v>1407.8</v>
      </c>
      <c r="M30" s="4" t="s">
        <v>384</v>
      </c>
    </row>
    <row r="31" spans="2:13" ht="17.25" thickBot="1">
      <c r="B31" s="13">
        <v>30</v>
      </c>
      <c r="C31" s="14"/>
      <c r="D31" s="12"/>
      <c r="E31" s="95"/>
      <c r="F31" s="102">
        <f t="shared" si="1"/>
        <v>0</v>
      </c>
      <c r="G31" s="11"/>
      <c r="H31" s="15">
        <f t="shared" si="2"/>
        <v>0</v>
      </c>
      <c r="I31" s="16">
        <f t="shared" si="0"/>
        <v>0</v>
      </c>
      <c r="K31" s="14" t="s">
        <v>383</v>
      </c>
      <c r="L31" s="15">
        <f>SUM(I2:I31)</f>
        <v>28156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5DCA-1AAD-4F17-BF57-FB7F62D7B42B}">
  <sheetPr>
    <pageSetUpPr fitToPage="1"/>
  </sheetPr>
  <dimension ref="B1:M31"/>
  <sheetViews>
    <sheetView workbookViewId="0">
      <selection activeCell="E22" sqref="E2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1" t="s">
        <v>8</v>
      </c>
      <c r="L1" s="152"/>
      <c r="M1" s="153"/>
    </row>
    <row r="2" spans="2:13">
      <c r="B2" s="3">
        <v>1</v>
      </c>
      <c r="C2" t="s">
        <v>412</v>
      </c>
      <c r="D2" s="4"/>
      <c r="E2" s="88">
        <v>4</v>
      </c>
      <c r="F2" s="101">
        <f>E2*$L$15</f>
        <v>40</v>
      </c>
      <c r="G2">
        <f>VLOOKUP($C2,약재관리!A:J,10,FALSE)</f>
        <v>30.3</v>
      </c>
      <c r="H2" s="5">
        <f>G2*E2</f>
        <v>121.2</v>
      </c>
      <c r="I2" s="90">
        <f>G2*F2</f>
        <v>1212</v>
      </c>
      <c r="K2" s="7" t="s">
        <v>9</v>
      </c>
      <c r="L2" s="163">
        <v>84</v>
      </c>
      <c r="M2" s="164"/>
    </row>
    <row r="3" spans="2:13">
      <c r="B3" s="3">
        <v>2</v>
      </c>
      <c r="C3" t="s">
        <v>431</v>
      </c>
      <c r="D3" s="4"/>
      <c r="E3" s="88">
        <v>4</v>
      </c>
      <c r="F3" s="101">
        <f t="shared" ref="F3:F31" si="0">E3*$L$15</f>
        <v>40</v>
      </c>
      <c r="G3">
        <f>VLOOKUP($C3,약재관리!A:J,10,FALSE)</f>
        <v>19.600000000000001</v>
      </c>
      <c r="H3" s="5">
        <f t="shared" ref="H3:H31" si="1">G3*E3</f>
        <v>78.400000000000006</v>
      </c>
      <c r="I3" s="6">
        <f t="shared" ref="I3:I31" si="2">G3*F3</f>
        <v>784</v>
      </c>
      <c r="K3" s="8" t="s">
        <v>10</v>
      </c>
      <c r="L3" s="165" t="s">
        <v>429</v>
      </c>
      <c r="M3" s="166"/>
    </row>
    <row r="4" spans="2:13">
      <c r="B4" s="3">
        <v>3</v>
      </c>
      <c r="C4" t="s">
        <v>432</v>
      </c>
      <c r="D4" s="4"/>
      <c r="E4" s="88">
        <v>6</v>
      </c>
      <c r="F4" s="101">
        <f t="shared" si="0"/>
        <v>60</v>
      </c>
      <c r="G4">
        <f>VLOOKUP($C4,약재관리!A:J,10,FALSE)</f>
        <v>11</v>
      </c>
      <c r="H4" s="5">
        <f t="shared" si="1"/>
        <v>66</v>
      </c>
      <c r="I4" s="6">
        <f t="shared" si="2"/>
        <v>660</v>
      </c>
      <c r="K4" s="8" t="s">
        <v>11</v>
      </c>
      <c r="L4" s="167">
        <v>45757</v>
      </c>
      <c r="M4" s="166"/>
    </row>
    <row r="5" spans="2:13">
      <c r="B5" s="3">
        <v>4</v>
      </c>
      <c r="C5" t="s">
        <v>421</v>
      </c>
      <c r="D5" s="4"/>
      <c r="E5" s="88">
        <v>4</v>
      </c>
      <c r="F5" s="101">
        <f t="shared" si="0"/>
        <v>40</v>
      </c>
      <c r="G5">
        <f>VLOOKUP($C5,약재관리!A:J,10,FALSE)</f>
        <v>15.3</v>
      </c>
      <c r="H5" s="5">
        <f t="shared" si="1"/>
        <v>61.2</v>
      </c>
      <c r="I5" s="6">
        <f t="shared" si="2"/>
        <v>612</v>
      </c>
      <c r="K5" s="8" t="s">
        <v>12</v>
      </c>
      <c r="L5" s="165" t="s">
        <v>425</v>
      </c>
      <c r="M5" s="166"/>
    </row>
    <row r="6" spans="2:13">
      <c r="B6" s="3">
        <v>5</v>
      </c>
      <c r="C6" t="s">
        <v>419</v>
      </c>
      <c r="D6" s="4"/>
      <c r="E6" s="88">
        <v>4</v>
      </c>
      <c r="F6" s="101">
        <f t="shared" si="0"/>
        <v>40</v>
      </c>
      <c r="G6">
        <f>VLOOKUP($C6,약재관리!A:J,10,FALSE)</f>
        <v>25.3</v>
      </c>
      <c r="H6" s="5">
        <f t="shared" si="1"/>
        <v>101.2</v>
      </c>
      <c r="I6" s="6">
        <f t="shared" si="2"/>
        <v>1012</v>
      </c>
      <c r="K6" s="8" t="s">
        <v>13</v>
      </c>
      <c r="L6" s="165">
        <v>21</v>
      </c>
      <c r="M6" s="166"/>
    </row>
    <row r="7" spans="2:13" ht="17.25" thickBot="1">
      <c r="B7" s="3">
        <v>6</v>
      </c>
      <c r="C7" t="s">
        <v>433</v>
      </c>
      <c r="D7" s="4"/>
      <c r="E7" s="88">
        <v>4</v>
      </c>
      <c r="F7" s="101">
        <f t="shared" si="0"/>
        <v>40</v>
      </c>
      <c r="G7">
        <f>VLOOKUP($C7,약재관리!A:J,10,FALSE)</f>
        <v>44.3</v>
      </c>
      <c r="H7" s="5">
        <f t="shared" si="1"/>
        <v>177.2</v>
      </c>
      <c r="I7" s="6">
        <f t="shared" si="2"/>
        <v>1772</v>
      </c>
      <c r="K7" s="8" t="s">
        <v>14</v>
      </c>
      <c r="L7" s="149" t="s">
        <v>426</v>
      </c>
      <c r="M7" s="150"/>
    </row>
    <row r="8" spans="2:13" ht="17.25" thickBot="1">
      <c r="B8" s="3">
        <v>7</v>
      </c>
      <c r="C8" t="s">
        <v>413</v>
      </c>
      <c r="D8" s="4"/>
      <c r="E8" s="88">
        <v>2</v>
      </c>
      <c r="F8" s="101">
        <f t="shared" si="0"/>
        <v>20</v>
      </c>
      <c r="G8">
        <f>VLOOKUP($C8,약재관리!A:J,10,FALSE)</f>
        <v>28.3</v>
      </c>
      <c r="H8" s="5">
        <f t="shared" si="1"/>
        <v>56.6</v>
      </c>
      <c r="I8" s="6">
        <f t="shared" si="2"/>
        <v>566</v>
      </c>
      <c r="K8" s="151" t="s">
        <v>15</v>
      </c>
      <c r="L8" s="152"/>
      <c r="M8" s="153"/>
    </row>
    <row r="9" spans="2:13">
      <c r="B9" s="3">
        <v>8</v>
      </c>
      <c r="C9" t="s">
        <v>434</v>
      </c>
      <c r="D9" s="4"/>
      <c r="E9" s="88">
        <v>4</v>
      </c>
      <c r="F9" s="101">
        <f t="shared" si="0"/>
        <v>40</v>
      </c>
      <c r="G9">
        <f>VLOOKUP($C9,약재관리!A:J,10,FALSE)</f>
        <v>15</v>
      </c>
      <c r="H9" s="5">
        <f t="shared" si="1"/>
        <v>60</v>
      </c>
      <c r="I9" s="6">
        <f t="shared" si="2"/>
        <v>600</v>
      </c>
      <c r="K9" s="154" t="s">
        <v>430</v>
      </c>
      <c r="L9" s="155"/>
      <c r="M9" s="156"/>
    </row>
    <row r="10" spans="2:13">
      <c r="B10" s="3">
        <v>9</v>
      </c>
      <c r="C10" t="s">
        <v>420</v>
      </c>
      <c r="D10" s="4"/>
      <c r="E10" s="88">
        <v>4</v>
      </c>
      <c r="F10" s="101">
        <f t="shared" si="0"/>
        <v>40</v>
      </c>
      <c r="G10">
        <f>VLOOKUP($C10,약재관리!A:J,10,FALSE)</f>
        <v>10.8</v>
      </c>
      <c r="H10" s="5">
        <f t="shared" si="1"/>
        <v>43.2</v>
      </c>
      <c r="I10" s="6">
        <f t="shared" si="2"/>
        <v>432</v>
      </c>
      <c r="K10" s="157"/>
      <c r="L10" s="158"/>
      <c r="M10" s="159"/>
    </row>
    <row r="11" spans="2:13">
      <c r="B11" s="3">
        <v>10</v>
      </c>
      <c r="C11" t="s">
        <v>435</v>
      </c>
      <c r="D11" s="4"/>
      <c r="E11" s="88">
        <v>4</v>
      </c>
      <c r="F11" s="101">
        <f t="shared" si="0"/>
        <v>40</v>
      </c>
      <c r="G11">
        <f>VLOOKUP($C11,약재관리!A:J,10,FALSE)</f>
        <v>17.399999999999999</v>
      </c>
      <c r="H11" s="5">
        <f t="shared" si="1"/>
        <v>69.599999999999994</v>
      </c>
      <c r="I11" s="6">
        <f t="shared" si="2"/>
        <v>696</v>
      </c>
      <c r="K11" s="157"/>
      <c r="L11" s="158"/>
      <c r="M11" s="159"/>
    </row>
    <row r="12" spans="2:13">
      <c r="B12" s="3">
        <v>11</v>
      </c>
      <c r="C12" t="s">
        <v>436</v>
      </c>
      <c r="D12" s="4"/>
      <c r="E12" s="88">
        <v>3</v>
      </c>
      <c r="F12" s="101">
        <f t="shared" si="0"/>
        <v>30</v>
      </c>
      <c r="G12">
        <f>VLOOKUP($C12,약재관리!A:J,10,FALSE)</f>
        <v>21.8</v>
      </c>
      <c r="H12" s="5">
        <f t="shared" si="1"/>
        <v>65.400000000000006</v>
      </c>
      <c r="I12" s="6">
        <f t="shared" si="2"/>
        <v>654</v>
      </c>
      <c r="K12" s="157"/>
      <c r="L12" s="158"/>
      <c r="M12" s="159"/>
    </row>
    <row r="13" spans="2:13" ht="17.25" thickBot="1">
      <c r="B13" s="3">
        <v>12</v>
      </c>
      <c r="C13" t="s">
        <v>417</v>
      </c>
      <c r="D13" s="4"/>
      <c r="E13" s="88">
        <v>2</v>
      </c>
      <c r="F13" s="101">
        <f t="shared" si="0"/>
        <v>20</v>
      </c>
      <c r="G13">
        <f>VLOOKUP($C13,약재관리!A:J,10,FALSE)</f>
        <v>27.7</v>
      </c>
      <c r="H13" s="5">
        <f t="shared" si="1"/>
        <v>55.4</v>
      </c>
      <c r="I13" s="6">
        <f t="shared" si="2"/>
        <v>554</v>
      </c>
      <c r="K13" s="160"/>
      <c r="L13" s="161"/>
      <c r="M13" s="162"/>
    </row>
    <row r="14" spans="2:13">
      <c r="B14" s="3">
        <v>13</v>
      </c>
      <c r="C14" t="s">
        <v>413</v>
      </c>
      <c r="D14" s="4"/>
      <c r="E14" s="88">
        <v>2</v>
      </c>
      <c r="F14" s="101">
        <f t="shared" si="0"/>
        <v>20</v>
      </c>
      <c r="G14">
        <f>VLOOKUP($C14,약재관리!A:J,10,FALSE)</f>
        <v>28.3</v>
      </c>
      <c r="H14" s="5">
        <f t="shared" si="1"/>
        <v>56.6</v>
      </c>
      <c r="I14" s="6">
        <f t="shared" si="2"/>
        <v>566</v>
      </c>
      <c r="K14" s="92" t="s">
        <v>16</v>
      </c>
      <c r="L14" s="9">
        <v>10</v>
      </c>
      <c r="M14" s="10" t="s">
        <v>17</v>
      </c>
    </row>
    <row r="15" spans="2:13">
      <c r="B15" s="3">
        <v>14</v>
      </c>
      <c r="C15" t="s">
        <v>437</v>
      </c>
      <c r="D15" s="4"/>
      <c r="E15" s="88">
        <v>4</v>
      </c>
      <c r="F15" s="101">
        <f t="shared" si="0"/>
        <v>40</v>
      </c>
      <c r="G15">
        <f>VLOOKUP($C15,약재관리!A:J,10,FALSE)</f>
        <v>29.7</v>
      </c>
      <c r="H15" s="5">
        <f t="shared" si="1"/>
        <v>118.8</v>
      </c>
      <c r="I15" s="6">
        <f t="shared" si="2"/>
        <v>1188</v>
      </c>
      <c r="K15" s="91" t="s">
        <v>18</v>
      </c>
      <c r="L15">
        <v>10</v>
      </c>
      <c r="M15" s="4" t="s">
        <v>19</v>
      </c>
    </row>
    <row r="16" spans="2:13">
      <c r="B16" s="3">
        <v>15</v>
      </c>
      <c r="C16" t="s">
        <v>438</v>
      </c>
      <c r="D16" s="4"/>
      <c r="E16" s="88">
        <v>4</v>
      </c>
      <c r="F16" s="101">
        <f t="shared" si="0"/>
        <v>40</v>
      </c>
      <c r="G16">
        <f>VLOOKUP($C16,약재관리!A:J,10,FALSE)</f>
        <v>61.7</v>
      </c>
      <c r="H16" s="5">
        <f t="shared" si="1"/>
        <v>246.8</v>
      </c>
      <c r="I16" s="6">
        <f t="shared" si="2"/>
        <v>2468</v>
      </c>
      <c r="K16" s="91" t="s">
        <v>20</v>
      </c>
      <c r="L16">
        <v>20</v>
      </c>
      <c r="M16" s="4" t="s">
        <v>21</v>
      </c>
    </row>
    <row r="17" spans="2:13" ht="17.25" thickBot="1">
      <c r="B17" s="3">
        <v>16</v>
      </c>
      <c r="C17" t="s">
        <v>439</v>
      </c>
      <c r="D17" s="4"/>
      <c r="E17" s="88">
        <v>4</v>
      </c>
      <c r="F17" s="101">
        <f t="shared" si="0"/>
        <v>40</v>
      </c>
      <c r="G17">
        <f>VLOOKUP($C17,약재관리!A:J,10,FALSE)</f>
        <v>31.5</v>
      </c>
      <c r="H17" s="5">
        <f t="shared" si="1"/>
        <v>126</v>
      </c>
      <c r="I17" s="6">
        <f t="shared" si="2"/>
        <v>1260</v>
      </c>
      <c r="K17" s="14" t="s">
        <v>22</v>
      </c>
      <c r="L17" s="11">
        <v>100</v>
      </c>
      <c r="M17" s="12" t="s">
        <v>23</v>
      </c>
    </row>
    <row r="18" spans="2:13">
      <c r="B18" s="3">
        <v>17</v>
      </c>
      <c r="D18" s="4"/>
      <c r="F18" s="101">
        <f t="shared" si="0"/>
        <v>0</v>
      </c>
      <c r="H18" s="5">
        <f t="shared" si="1"/>
        <v>0</v>
      </c>
      <c r="I18" s="6">
        <f t="shared" si="2"/>
        <v>0</v>
      </c>
      <c r="K18" s="92" t="s">
        <v>24</v>
      </c>
      <c r="L18" s="9">
        <f>SUM(E2:E31)</f>
        <v>59</v>
      </c>
      <c r="M18" s="10" t="s">
        <v>25</v>
      </c>
    </row>
    <row r="19" spans="2:13">
      <c r="B19" s="3">
        <v>18</v>
      </c>
      <c r="D19" s="4"/>
      <c r="F19" s="101">
        <f t="shared" si="0"/>
        <v>0</v>
      </c>
      <c r="H19" s="5">
        <f t="shared" si="1"/>
        <v>0</v>
      </c>
      <c r="I19" s="6">
        <f t="shared" si="2"/>
        <v>0</v>
      </c>
      <c r="K19" s="91" t="s">
        <v>26</v>
      </c>
      <c r="L19">
        <f>L15*L18</f>
        <v>590</v>
      </c>
      <c r="M19" s="4" t="s">
        <v>25</v>
      </c>
    </row>
    <row r="20" spans="2:13" ht="17.25" thickBot="1">
      <c r="B20" s="3">
        <v>19</v>
      </c>
      <c r="D20" s="4"/>
      <c r="F20" s="101">
        <f t="shared" si="0"/>
        <v>0</v>
      </c>
      <c r="H20" s="5">
        <f t="shared" si="1"/>
        <v>0</v>
      </c>
      <c r="I20" s="6">
        <f t="shared" si="2"/>
        <v>0</v>
      </c>
      <c r="K20" s="14" t="s">
        <v>27</v>
      </c>
      <c r="L20" s="11">
        <f>L16*L17+L19</f>
        <v>2590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1" t="s">
        <v>386</v>
      </c>
      <c r="L22" s="152"/>
      <c r="M22" s="153"/>
    </row>
    <row r="23" spans="2:13">
      <c r="B23" s="3">
        <v>22</v>
      </c>
      <c r="D23" s="4"/>
      <c r="F23" s="101">
        <f t="shared" si="0"/>
        <v>0</v>
      </c>
      <c r="H23" s="5">
        <f t="shared" si="1"/>
        <v>0</v>
      </c>
      <c r="I23" s="6">
        <f t="shared" si="2"/>
        <v>0</v>
      </c>
      <c r="K23" s="91" t="s">
        <v>380</v>
      </c>
      <c r="L23">
        <f>SUM(F2:F31)</f>
        <v>590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1" t="s">
        <v>385</v>
      </c>
      <c r="L29" s="152"/>
      <c r="M29" s="153"/>
    </row>
    <row r="30" spans="2:13">
      <c r="B30" s="3">
        <v>29</v>
      </c>
      <c r="D30" s="4"/>
      <c r="F30" s="101">
        <f t="shared" si="0"/>
        <v>0</v>
      </c>
      <c r="H30" s="5">
        <f t="shared" si="1"/>
        <v>0</v>
      </c>
      <c r="I30" s="6">
        <f t="shared" si="2"/>
        <v>0</v>
      </c>
      <c r="K30" s="91" t="s">
        <v>28</v>
      </c>
      <c r="L30" s="5">
        <f>SUM(H2:H31)</f>
        <v>1503.6000000000001</v>
      </c>
      <c r="M30" s="4" t="s">
        <v>384</v>
      </c>
    </row>
    <row r="31" spans="2:13" ht="17.25" thickBot="1">
      <c r="B31" s="13">
        <v>30</v>
      </c>
      <c r="C31" s="14"/>
      <c r="D31" s="12"/>
      <c r="E31" s="95"/>
      <c r="F31" s="102">
        <f t="shared" si="0"/>
        <v>0</v>
      </c>
      <c r="H31" s="15">
        <f t="shared" si="1"/>
        <v>0</v>
      </c>
      <c r="I31" s="16">
        <f t="shared" si="2"/>
        <v>0</v>
      </c>
      <c r="K31" s="14" t="s">
        <v>383</v>
      </c>
      <c r="L31" s="15">
        <f>SUM(I2:I31)</f>
        <v>15036</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1" t="s">
        <v>8</v>
      </c>
      <c r="L1" s="152"/>
      <c r="M1" s="153"/>
    </row>
    <row r="2" spans="2:13">
      <c r="B2" s="3">
        <v>1</v>
      </c>
      <c r="C2" t="s">
        <v>411</v>
      </c>
      <c r="D2" s="4"/>
      <c r="E2" s="88">
        <v>4</v>
      </c>
      <c r="F2" s="101">
        <f>E2*$L$15</f>
        <v>40</v>
      </c>
      <c r="G2">
        <f>VLOOKUP($C2,약재관리!A:J,10,FALSE)</f>
        <v>106.7</v>
      </c>
      <c r="H2" s="5">
        <f>G2*E2</f>
        <v>426.8</v>
      </c>
      <c r="I2" s="90">
        <f>G2*F2</f>
        <v>4268</v>
      </c>
      <c r="K2" s="7" t="s">
        <v>9</v>
      </c>
      <c r="L2" s="163">
        <v>84</v>
      </c>
      <c r="M2" s="164"/>
    </row>
    <row r="3" spans="2:13">
      <c r="B3" s="3">
        <v>2</v>
      </c>
      <c r="C3" t="s">
        <v>412</v>
      </c>
      <c r="D3" s="4"/>
      <c r="E3" s="88">
        <v>6</v>
      </c>
      <c r="F3" s="101">
        <f t="shared" ref="F3:F31" si="0">E3*$L$15</f>
        <v>60</v>
      </c>
      <c r="G3">
        <f>VLOOKUP($C3,약재관리!A:J,10,FALSE)</f>
        <v>30.3</v>
      </c>
      <c r="H3" s="5">
        <f t="shared" ref="H3:H31" si="1">G3*E3</f>
        <v>181.8</v>
      </c>
      <c r="I3" s="6">
        <f t="shared" ref="I3:I31" si="2">G3*F3</f>
        <v>1818</v>
      </c>
      <c r="K3" s="8" t="s">
        <v>10</v>
      </c>
      <c r="L3" s="165" t="s">
        <v>422</v>
      </c>
      <c r="M3" s="166"/>
    </row>
    <row r="4" spans="2:13">
      <c r="B4" s="3">
        <v>3</v>
      </c>
      <c r="C4" t="s">
        <v>418</v>
      </c>
      <c r="D4" s="4"/>
      <c r="E4" s="88">
        <v>4</v>
      </c>
      <c r="F4" s="101">
        <f t="shared" si="0"/>
        <v>40</v>
      </c>
      <c r="G4">
        <f>VLOOKUP($C4,약재관리!A:J,10,FALSE)</f>
        <v>17.600000000000001</v>
      </c>
      <c r="H4" s="5">
        <f t="shared" si="1"/>
        <v>70.400000000000006</v>
      </c>
      <c r="I4" s="6">
        <f t="shared" si="2"/>
        <v>704</v>
      </c>
      <c r="K4" s="8" t="s">
        <v>11</v>
      </c>
      <c r="L4" s="167">
        <v>45716</v>
      </c>
      <c r="M4" s="166"/>
    </row>
    <row r="5" spans="2:13">
      <c r="B5" s="3">
        <v>4</v>
      </c>
      <c r="C5" t="s">
        <v>413</v>
      </c>
      <c r="D5" s="4"/>
      <c r="E5" s="88">
        <v>4</v>
      </c>
      <c r="F5" s="101">
        <f t="shared" si="0"/>
        <v>40</v>
      </c>
      <c r="G5">
        <f>VLOOKUP($C5,약재관리!A:J,10,FALSE)</f>
        <v>28.3</v>
      </c>
      <c r="H5" s="5">
        <f t="shared" si="1"/>
        <v>113.2</v>
      </c>
      <c r="I5" s="6">
        <f t="shared" si="2"/>
        <v>1132</v>
      </c>
      <c r="K5" s="8" t="s">
        <v>12</v>
      </c>
      <c r="L5" s="165" t="s">
        <v>425</v>
      </c>
      <c r="M5" s="166"/>
    </row>
    <row r="6" spans="2:13">
      <c r="B6" s="3">
        <v>5</v>
      </c>
      <c r="C6" t="s">
        <v>414</v>
      </c>
      <c r="D6" s="4"/>
      <c r="E6" s="88">
        <v>6</v>
      </c>
      <c r="F6" s="101">
        <f t="shared" si="0"/>
        <v>60</v>
      </c>
      <c r="G6">
        <f>VLOOKUP($C6,약재관리!A:J,10,FALSE)</f>
        <v>22</v>
      </c>
      <c r="H6" s="5">
        <f t="shared" si="1"/>
        <v>132</v>
      </c>
      <c r="I6" s="6">
        <f t="shared" si="2"/>
        <v>1320</v>
      </c>
      <c r="K6" s="8" t="s">
        <v>13</v>
      </c>
      <c r="L6" s="165">
        <v>21</v>
      </c>
      <c r="M6" s="166"/>
    </row>
    <row r="7" spans="2:13" ht="17.25" thickBot="1">
      <c r="B7" s="3">
        <v>6</v>
      </c>
      <c r="C7" t="s">
        <v>419</v>
      </c>
      <c r="D7" s="4"/>
      <c r="E7" s="88">
        <v>4</v>
      </c>
      <c r="F7" s="101">
        <f t="shared" si="0"/>
        <v>40</v>
      </c>
      <c r="G7">
        <f>VLOOKUP($C7,약재관리!A:J,10,FALSE)</f>
        <v>25.3</v>
      </c>
      <c r="H7" s="5">
        <f t="shared" si="1"/>
        <v>101.2</v>
      </c>
      <c r="I7" s="6">
        <f t="shared" si="2"/>
        <v>1012</v>
      </c>
      <c r="K7" s="8" t="s">
        <v>14</v>
      </c>
      <c r="L7" s="149" t="s">
        <v>426</v>
      </c>
      <c r="M7" s="150"/>
    </row>
    <row r="8" spans="2:13" ht="17.25" thickBot="1">
      <c r="B8" s="3">
        <v>7</v>
      </c>
      <c r="C8" t="s">
        <v>420</v>
      </c>
      <c r="D8" s="4"/>
      <c r="E8" s="88">
        <v>3</v>
      </c>
      <c r="F8" s="101">
        <f t="shared" si="0"/>
        <v>30</v>
      </c>
      <c r="G8">
        <f>VLOOKUP($C8,약재관리!A:J,10,FALSE)</f>
        <v>10.8</v>
      </c>
      <c r="H8" s="5">
        <f t="shared" si="1"/>
        <v>32.400000000000006</v>
      </c>
      <c r="I8" s="6">
        <f t="shared" si="2"/>
        <v>324</v>
      </c>
      <c r="K8" s="151" t="s">
        <v>15</v>
      </c>
      <c r="L8" s="152"/>
      <c r="M8" s="153"/>
    </row>
    <row r="9" spans="2:13">
      <c r="B9" s="3">
        <v>8</v>
      </c>
      <c r="C9" t="s">
        <v>415</v>
      </c>
      <c r="D9" s="4"/>
      <c r="E9" s="88">
        <v>2</v>
      </c>
      <c r="F9" s="101">
        <f t="shared" si="0"/>
        <v>20</v>
      </c>
      <c r="G9">
        <f>VLOOKUP($C9,약재관리!A:J,10,FALSE)</f>
        <v>44.2</v>
      </c>
      <c r="H9" s="5">
        <f t="shared" si="1"/>
        <v>88.4</v>
      </c>
      <c r="I9" s="6">
        <f t="shared" si="2"/>
        <v>884</v>
      </c>
      <c r="K9" s="154" t="s">
        <v>428</v>
      </c>
      <c r="L9" s="155"/>
      <c r="M9" s="156"/>
    </row>
    <row r="10" spans="2:13">
      <c r="B10" s="3">
        <v>9</v>
      </c>
      <c r="C10" t="s">
        <v>421</v>
      </c>
      <c r="D10" s="4"/>
      <c r="E10" s="88">
        <v>2</v>
      </c>
      <c r="F10" s="101">
        <f t="shared" si="0"/>
        <v>20</v>
      </c>
      <c r="G10">
        <f>VLOOKUP($C10,약재관리!A:J,10,FALSE)</f>
        <v>15.3</v>
      </c>
      <c r="H10" s="5">
        <f t="shared" si="1"/>
        <v>30.6</v>
      </c>
      <c r="I10" s="6">
        <f t="shared" si="2"/>
        <v>306</v>
      </c>
      <c r="K10" s="157"/>
      <c r="L10" s="158"/>
      <c r="M10" s="159"/>
    </row>
    <row r="11" spans="2:13">
      <c r="B11" s="3">
        <v>10</v>
      </c>
      <c r="C11" t="s">
        <v>416</v>
      </c>
      <c r="D11" s="4"/>
      <c r="E11" s="88">
        <v>2</v>
      </c>
      <c r="F11" s="101">
        <f t="shared" si="0"/>
        <v>20</v>
      </c>
      <c r="G11">
        <f>VLOOKUP($C11,약재관리!A:J,10,FALSE)</f>
        <v>34.700000000000003</v>
      </c>
      <c r="H11" s="5">
        <f t="shared" si="1"/>
        <v>69.400000000000006</v>
      </c>
      <c r="I11" s="6">
        <f t="shared" si="2"/>
        <v>694</v>
      </c>
      <c r="K11" s="157"/>
      <c r="L11" s="158"/>
      <c r="M11" s="159"/>
    </row>
    <row r="12" spans="2:13">
      <c r="B12" s="3">
        <v>11</v>
      </c>
      <c r="C12" t="s">
        <v>417</v>
      </c>
      <c r="D12" s="4"/>
      <c r="E12" s="88">
        <v>2</v>
      </c>
      <c r="F12" s="101">
        <f t="shared" si="0"/>
        <v>20</v>
      </c>
      <c r="G12">
        <f>VLOOKUP($C12,약재관리!A:J,10,FALSE)</f>
        <v>27.7</v>
      </c>
      <c r="H12" s="5">
        <f t="shared" si="1"/>
        <v>55.4</v>
      </c>
      <c r="I12" s="6">
        <f t="shared" si="2"/>
        <v>554</v>
      </c>
      <c r="K12" s="157"/>
      <c r="L12" s="158"/>
      <c r="M12" s="159"/>
    </row>
    <row r="13" spans="2:13" ht="17.25" thickBot="1">
      <c r="B13" s="3">
        <v>12</v>
      </c>
      <c r="C13" t="s">
        <v>424</v>
      </c>
      <c r="D13" s="4"/>
      <c r="E13" s="88">
        <v>6</v>
      </c>
      <c r="F13" s="101">
        <f t="shared" si="0"/>
        <v>60</v>
      </c>
      <c r="G13">
        <f>VLOOKUP($C13,약재관리!A:J,10,FALSE)</f>
        <v>19.2</v>
      </c>
      <c r="H13" s="5">
        <f t="shared" si="1"/>
        <v>115.19999999999999</v>
      </c>
      <c r="I13" s="6">
        <f t="shared" si="2"/>
        <v>1152</v>
      </c>
      <c r="K13" s="160"/>
      <c r="L13" s="161"/>
      <c r="M13" s="162"/>
    </row>
    <row r="14" spans="2:13">
      <c r="B14" s="3">
        <v>13</v>
      </c>
      <c r="C14" t="s">
        <v>423</v>
      </c>
      <c r="D14" s="4"/>
      <c r="E14" s="88">
        <v>4</v>
      </c>
      <c r="F14" s="101">
        <f t="shared" si="0"/>
        <v>40</v>
      </c>
      <c r="G14">
        <f>VLOOKUP($C14,약재관리!A:J,10,FALSE)</f>
        <v>14.7</v>
      </c>
      <c r="H14" s="5">
        <f t="shared" si="1"/>
        <v>58.8</v>
      </c>
      <c r="I14" s="6">
        <f t="shared" si="2"/>
        <v>588</v>
      </c>
      <c r="K14" s="92" t="s">
        <v>16</v>
      </c>
      <c r="L14" s="9">
        <v>10</v>
      </c>
      <c r="M14" s="10" t="s">
        <v>17</v>
      </c>
    </row>
    <row r="15" spans="2:13">
      <c r="B15" s="3">
        <v>14</v>
      </c>
      <c r="C15" t="s">
        <v>427</v>
      </c>
      <c r="D15" s="4"/>
      <c r="E15" s="88">
        <v>2</v>
      </c>
      <c r="F15" s="101">
        <f t="shared" si="0"/>
        <v>20</v>
      </c>
      <c r="G15">
        <f>VLOOKUP($C15,약재관리!A:J,10,FALSE)</f>
        <v>12.2</v>
      </c>
      <c r="H15" s="5">
        <f t="shared" si="1"/>
        <v>24.4</v>
      </c>
      <c r="I15" s="6">
        <f t="shared" si="2"/>
        <v>244</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51</v>
      </c>
      <c r="M18" s="10" t="s">
        <v>25</v>
      </c>
    </row>
    <row r="19" spans="2:13">
      <c r="B19" s="3">
        <v>18</v>
      </c>
      <c r="D19" s="4"/>
      <c r="F19" s="101">
        <f t="shared" si="0"/>
        <v>0</v>
      </c>
      <c r="H19" s="5">
        <f t="shared" si="1"/>
        <v>0</v>
      </c>
      <c r="I19" s="6">
        <f t="shared" si="2"/>
        <v>0</v>
      </c>
      <c r="K19" s="91" t="s">
        <v>26</v>
      </c>
      <c r="L19">
        <f>L15*L18</f>
        <v>510</v>
      </c>
      <c r="M19" s="4" t="s">
        <v>25</v>
      </c>
    </row>
    <row r="20" spans="2:13" ht="17.25" thickBot="1">
      <c r="B20" s="3">
        <v>19</v>
      </c>
      <c r="D20" s="4"/>
      <c r="F20" s="101">
        <f t="shared" si="0"/>
        <v>0</v>
      </c>
      <c r="H20" s="5">
        <f t="shared" si="1"/>
        <v>0</v>
      </c>
      <c r="I20" s="6">
        <f t="shared" si="2"/>
        <v>0</v>
      </c>
      <c r="K20" s="14" t="s">
        <v>27</v>
      </c>
      <c r="L20" s="11">
        <f>L16*L17+L19</f>
        <v>2510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1" t="s">
        <v>386</v>
      </c>
      <c r="L22" s="152"/>
      <c r="M22" s="153"/>
    </row>
    <row r="23" spans="2:13">
      <c r="B23" s="3">
        <v>22</v>
      </c>
      <c r="D23" s="4"/>
      <c r="F23" s="101">
        <f t="shared" si="0"/>
        <v>0</v>
      </c>
      <c r="H23" s="5">
        <f t="shared" si="1"/>
        <v>0</v>
      </c>
      <c r="I23" s="6">
        <f t="shared" si="2"/>
        <v>0</v>
      </c>
      <c r="K23" s="91" t="s">
        <v>380</v>
      </c>
      <c r="L23">
        <f>SUM(F2:F31)</f>
        <v>510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1" t="s">
        <v>385</v>
      </c>
      <c r="L29" s="152"/>
      <c r="M29" s="153"/>
    </row>
    <row r="30" spans="2:13">
      <c r="B30" s="3">
        <v>29</v>
      </c>
      <c r="D30" s="4"/>
      <c r="F30" s="101">
        <f t="shared" si="0"/>
        <v>0</v>
      </c>
      <c r="H30" s="5">
        <f t="shared" si="1"/>
        <v>0</v>
      </c>
      <c r="I30" s="6">
        <f t="shared" si="2"/>
        <v>0</v>
      </c>
      <c r="K30" s="91" t="s">
        <v>28</v>
      </c>
      <c r="L30" s="5">
        <f>SUM(H2:H31)</f>
        <v>1500.0000000000005</v>
      </c>
      <c r="M30" s="4" t="s">
        <v>384</v>
      </c>
    </row>
    <row r="31" spans="2:13" ht="17.25" thickBot="1">
      <c r="B31" s="13">
        <v>30</v>
      </c>
      <c r="C31" s="14"/>
      <c r="D31" s="12"/>
      <c r="E31" s="95"/>
      <c r="F31" s="102">
        <f t="shared" si="0"/>
        <v>0</v>
      </c>
      <c r="H31" s="15">
        <f t="shared" si="1"/>
        <v>0</v>
      </c>
      <c r="I31" s="16">
        <f t="shared" si="2"/>
        <v>0</v>
      </c>
      <c r="K31" s="14" t="s">
        <v>383</v>
      </c>
      <c r="L31" s="15">
        <f>SUM(I2:I31)</f>
        <v>15000</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63" zoomScaleNormal="100" workbookViewId="0">
      <selection activeCell="J82" sqref="J8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15200</v>
      </c>
      <c r="F38" s="115">
        <f t="shared" si="2"/>
        <v>29.8</v>
      </c>
      <c r="G38" s="38">
        <f>C38/500</f>
        <v>25.4</v>
      </c>
      <c r="H38" s="38">
        <f t="shared" si="4"/>
        <v>25</v>
      </c>
      <c r="I38" s="48">
        <f t="shared" si="3"/>
        <v>25.333333333333332</v>
      </c>
      <c r="J38" s="40">
        <v>25.3</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17800</v>
      </c>
      <c r="F81" s="115">
        <f t="shared" si="6"/>
        <v>0</v>
      </c>
      <c r="G81" s="38">
        <f>C81/600</f>
        <v>34.166666666666664</v>
      </c>
      <c r="H81" s="38">
        <f t="shared" si="8"/>
        <v>0</v>
      </c>
      <c r="I81" s="39">
        <f t="shared" si="8"/>
        <v>29.666666666666668</v>
      </c>
      <c r="J81" s="40">
        <v>29.7</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5000</v>
      </c>
      <c r="F90" s="115">
        <f t="shared" si="9"/>
        <v>0</v>
      </c>
      <c r="G90" s="44">
        <f t="shared" si="9"/>
        <v>7</v>
      </c>
      <c r="H90" s="38">
        <f t="shared" si="8"/>
        <v>7.5</v>
      </c>
      <c r="I90" s="39">
        <f t="shared" si="8"/>
        <v>8.3333333333333339</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15500</v>
      </c>
      <c r="D110" s="36"/>
      <c r="E110" s="37">
        <v>19200</v>
      </c>
      <c r="F110" s="115">
        <f t="shared" si="9"/>
        <v>0</v>
      </c>
      <c r="G110" s="38">
        <f>C110/500</f>
        <v>31</v>
      </c>
      <c r="H110" s="38">
        <f t="shared" ref="H110:I112" si="11">D110/600</f>
        <v>0</v>
      </c>
      <c r="I110" s="39">
        <f t="shared" si="11"/>
        <v>32</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18000</v>
      </c>
      <c r="D114" s="49">
        <v>15000</v>
      </c>
      <c r="E114" s="50">
        <v>24100</v>
      </c>
      <c r="F114" s="73">
        <f t="shared" si="9"/>
        <v>0</v>
      </c>
      <c r="G114" s="51">
        <f>C114/500</f>
        <v>36</v>
      </c>
      <c r="H114" s="51">
        <f>D114/600</f>
        <v>25</v>
      </c>
      <c r="I114" s="60">
        <f>E114/600</f>
        <v>40.166666666666664</v>
      </c>
      <c r="J114" s="52">
        <v>36</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11600</v>
      </c>
      <c r="D140" s="36">
        <v>10500</v>
      </c>
      <c r="E140" s="37">
        <v>13000</v>
      </c>
      <c r="F140" s="115">
        <f t="shared" si="12"/>
        <v>0</v>
      </c>
      <c r="G140" s="38">
        <f>C140/500</f>
        <v>23.2</v>
      </c>
      <c r="H140" s="38">
        <f t="shared" si="14"/>
        <v>17.5</v>
      </c>
      <c r="I140" s="39">
        <f t="shared" si="14"/>
        <v>21.666666666666668</v>
      </c>
      <c r="J140" s="40">
        <v>21.7</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14200</v>
      </c>
      <c r="F157" s="115">
        <f t="shared" si="19"/>
        <v>0</v>
      </c>
      <c r="G157" s="38">
        <f t="shared" si="19"/>
        <v>21.2</v>
      </c>
      <c r="H157" s="38">
        <f t="shared" si="20"/>
        <v>23.333333333333332</v>
      </c>
      <c r="I157" s="48">
        <f t="shared" si="16"/>
        <v>23.666666666666668</v>
      </c>
      <c r="J157" s="40">
        <v>21.7</v>
      </c>
      <c r="K157" s="41"/>
      <c r="L157" s="42"/>
      <c r="M157" s="42" t="s">
        <v>253</v>
      </c>
      <c r="N157" s="43" t="s">
        <v>84</v>
      </c>
    </row>
    <row r="158" spans="1:14" ht="15" customHeight="1">
      <c r="A158" s="120" t="s">
        <v>294</v>
      </c>
      <c r="B158" s="125"/>
      <c r="C158" s="36">
        <v>7800</v>
      </c>
      <c r="D158" s="36">
        <v>11000</v>
      </c>
      <c r="E158" s="37">
        <v>9600</v>
      </c>
      <c r="F158" s="115">
        <f t="shared" si="19"/>
        <v>0</v>
      </c>
      <c r="G158" s="38">
        <f t="shared" si="19"/>
        <v>15.6</v>
      </c>
      <c r="H158" s="38">
        <f t="shared" si="20"/>
        <v>18.333333333333332</v>
      </c>
      <c r="I158" s="39">
        <f t="shared" si="16"/>
        <v>16</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17600</v>
      </c>
      <c r="F174" s="115">
        <f t="shared" si="19"/>
        <v>0</v>
      </c>
      <c r="G174" s="38">
        <f t="shared" si="19"/>
        <v>27.6</v>
      </c>
      <c r="H174" s="38">
        <f t="shared" si="20"/>
        <v>0</v>
      </c>
      <c r="I174" s="39">
        <f t="shared" si="16"/>
        <v>29.333333333333332</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13300</v>
      </c>
      <c r="D183" s="49">
        <v>7500</v>
      </c>
      <c r="E183" s="50">
        <v>15600</v>
      </c>
      <c r="F183" s="73">
        <f t="shared" si="21"/>
        <v>21.6</v>
      </c>
      <c r="G183" s="51">
        <f t="shared" si="21"/>
        <v>26.6</v>
      </c>
      <c r="H183" s="51">
        <f t="shared" si="20"/>
        <v>12.5</v>
      </c>
      <c r="I183" s="60">
        <f t="shared" si="20"/>
        <v>26</v>
      </c>
      <c r="J183" s="52">
        <v>26</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처방전양식 (6)</vt:lpstr>
      <vt:lpstr>처방전양식 (5)</vt: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2026-02-12T02:01:26Z</cp:lastPrinted>
  <dcterms:created xsi:type="dcterms:W3CDTF">2024-09-12T16:35:01Z</dcterms:created>
  <dcterms:modified xsi:type="dcterms:W3CDTF">2026-04-17T00:36:32Z</dcterms:modified>
</cp:coreProperties>
</file>