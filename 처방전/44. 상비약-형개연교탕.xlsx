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61" documentId="8_{6EB8DC0A-AB56-415F-A9F3-EA1534264548}" xr6:coauthVersionLast="47" xr6:coauthVersionMax="47" xr10:uidLastSave="{E72305E4-6174-4B8F-8266-87A4BCBC4B30}"/>
  <bookViews>
    <workbookView xWindow="-120" yWindow="-120" windowWidth="29040" windowHeight="15720" xr2:uid="{8B9F1886-173A-4475-B0CF-D9F36CE30773}"/>
  </bookViews>
  <sheets>
    <sheet name="처방전양식" sheetId="7" r:id="rId1"/>
    <sheet name="형개연교탕" sheetId="6" r:id="rId2"/>
    <sheet name="형개연교B (청연산)" sheetId="4" r:id="rId3"/>
    <sheet name="약재관리" sheetId="3"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7" l="1"/>
  <c r="H10" i="7" s="1"/>
  <c r="G11" i="7"/>
  <c r="H11" i="7" s="1"/>
  <c r="G12" i="7"/>
  <c r="I12" i="7" s="1"/>
  <c r="G13" i="7"/>
  <c r="G14" i="7"/>
  <c r="G15" i="7"/>
  <c r="H15" i="7" s="1"/>
  <c r="G16" i="7"/>
  <c r="H16" i="7" s="1"/>
  <c r="G17" i="7"/>
  <c r="G18" i="7"/>
  <c r="G19" i="7"/>
  <c r="H19" i="7" s="1"/>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H22" i="7"/>
  <c r="F22" i="7"/>
  <c r="I22" i="7" s="1"/>
  <c r="H21" i="7"/>
  <c r="F21" i="7"/>
  <c r="I21" i="7" s="1"/>
  <c r="I20" i="7"/>
  <c r="H20" i="7"/>
  <c r="F20" i="7"/>
  <c r="F19" i="7"/>
  <c r="L18" i="7"/>
  <c r="L19" i="7" s="1"/>
  <c r="L20" i="7" s="1"/>
  <c r="H18" i="7"/>
  <c r="F18" i="7"/>
  <c r="J18" i="7" s="1"/>
  <c r="H17" i="7"/>
  <c r="F17" i="7"/>
  <c r="J17" i="7" s="1"/>
  <c r="F16" i="7"/>
  <c r="J16" i="7" s="1"/>
  <c r="F15" i="7"/>
  <c r="J15" i="7" s="1"/>
  <c r="H14" i="7"/>
  <c r="F14" i="7"/>
  <c r="J14" i="7" s="1"/>
  <c r="H13" i="7"/>
  <c r="F13" i="7"/>
  <c r="J13" i="7" s="1"/>
  <c r="J12" i="7"/>
  <c r="F12" i="7"/>
  <c r="F11" i="7"/>
  <c r="J11" i="7" s="1"/>
  <c r="F10" i="7"/>
  <c r="J10" i="7" s="1"/>
  <c r="G9" i="7"/>
  <c r="H9" i="7" s="1"/>
  <c r="F9" i="7"/>
  <c r="J9" i="7" s="1"/>
  <c r="G8" i="7"/>
  <c r="I8" i="7" s="1"/>
  <c r="F8" i="7"/>
  <c r="J8" i="7" s="1"/>
  <c r="G7" i="7"/>
  <c r="I7" i="7" s="1"/>
  <c r="F7" i="7"/>
  <c r="J7" i="7" s="1"/>
  <c r="G6" i="7"/>
  <c r="I6" i="7" s="1"/>
  <c r="F6" i="7"/>
  <c r="J6" i="7" s="1"/>
  <c r="G5" i="7"/>
  <c r="I5" i="7" s="1"/>
  <c r="F5" i="7"/>
  <c r="J5" i="7" s="1"/>
  <c r="G4" i="7"/>
  <c r="I4" i="7" s="1"/>
  <c r="F4" i="7"/>
  <c r="J4" i="7" s="1"/>
  <c r="J3" i="7"/>
  <c r="G3" i="7"/>
  <c r="I3" i="7" s="1"/>
  <c r="F3" i="7"/>
  <c r="G2" i="7"/>
  <c r="H2" i="7" s="1"/>
  <c r="F2" i="7"/>
  <c r="I19" i="7" l="1"/>
  <c r="H12" i="7"/>
  <c r="I18" i="7"/>
  <c r="I15" i="7"/>
  <c r="L23" i="7"/>
  <c r="I9" i="7"/>
  <c r="H4" i="7"/>
  <c r="I2" i="7"/>
  <c r="H7" i="7"/>
  <c r="J2" i="7"/>
  <c r="H5" i="7"/>
  <c r="I10" i="7"/>
  <c r="I13" i="7"/>
  <c r="I16" i="7"/>
  <c r="H3" i="7"/>
  <c r="H8" i="7"/>
  <c r="H6" i="7"/>
  <c r="I11" i="7"/>
  <c r="I14" i="7"/>
  <c r="I17" i="7"/>
  <c r="L30" i="7" l="1"/>
  <c r="L31" i="7"/>
  <c r="G22" i="6"/>
  <c r="H22" i="6" s="1"/>
  <c r="G20" i="6"/>
  <c r="G21" i="6"/>
  <c r="H21" i="6" s="1"/>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F22" i="6"/>
  <c r="F21" i="6"/>
  <c r="F20" i="6"/>
  <c r="G19" i="6"/>
  <c r="F19" i="6"/>
  <c r="L18" i="6"/>
  <c r="L19" i="6" s="1"/>
  <c r="L20" i="6" s="1"/>
  <c r="G18" i="6"/>
  <c r="F18" i="6"/>
  <c r="G17" i="6"/>
  <c r="F17" i="6"/>
  <c r="G16" i="6"/>
  <c r="F16" i="6"/>
  <c r="G15" i="6"/>
  <c r="F15" i="6"/>
  <c r="G14" i="6"/>
  <c r="F14" i="6"/>
  <c r="G13" i="6"/>
  <c r="F13" i="6"/>
  <c r="G12" i="6"/>
  <c r="F12" i="6"/>
  <c r="G11" i="6"/>
  <c r="F11" i="6"/>
  <c r="G10" i="6"/>
  <c r="H10" i="6" s="1"/>
  <c r="F10" i="6"/>
  <c r="G9" i="6"/>
  <c r="F9" i="6"/>
  <c r="G8" i="6"/>
  <c r="F8" i="6"/>
  <c r="G7" i="6"/>
  <c r="F7" i="6"/>
  <c r="G6" i="6"/>
  <c r="F6" i="6"/>
  <c r="G5" i="6"/>
  <c r="F5" i="6"/>
  <c r="G4" i="6"/>
  <c r="F4" i="6"/>
  <c r="G3" i="6"/>
  <c r="F3" i="6"/>
  <c r="G2" i="6"/>
  <c r="F2" i="6"/>
  <c r="I26" i="3"/>
  <c r="H26" i="3"/>
  <c r="G26" i="3"/>
  <c r="F26" i="3"/>
  <c r="G2" i="4"/>
  <c r="I174" i="3"/>
  <c r="G40" i="3"/>
  <c r="I9" i="6" l="1"/>
  <c r="I3" i="6"/>
  <c r="I15" i="6"/>
  <c r="I5" i="6"/>
  <c r="I17" i="6"/>
  <c r="I6" i="6"/>
  <c r="I4" i="6"/>
  <c r="I19" i="6"/>
  <c r="I18" i="6"/>
  <c r="I2" i="6"/>
  <c r="I14" i="6"/>
  <c r="I20" i="6"/>
  <c r="I16" i="6"/>
  <c r="I8" i="6"/>
  <c r="I22" i="6"/>
  <c r="I21" i="6"/>
  <c r="H20" i="6"/>
  <c r="I12" i="6"/>
  <c r="I7" i="6"/>
  <c r="H18" i="6"/>
  <c r="I13" i="6"/>
  <c r="L23" i="6"/>
  <c r="H15" i="6"/>
  <c r="I11" i="6"/>
  <c r="H3" i="6"/>
  <c r="H6" i="6"/>
  <c r="H9" i="6"/>
  <c r="H12" i="6"/>
  <c r="H4" i="6"/>
  <c r="H7" i="6"/>
  <c r="H13" i="6"/>
  <c r="H16" i="6"/>
  <c r="I10" i="6"/>
  <c r="H19" i="6"/>
  <c r="H2" i="6"/>
  <c r="H5" i="6"/>
  <c r="H8" i="6"/>
  <c r="H11" i="6"/>
  <c r="H14" i="6"/>
  <c r="H17" i="6"/>
  <c r="I63" i="3"/>
  <c r="G121" i="3"/>
  <c r="I121" i="3"/>
  <c r="H121" i="3"/>
  <c r="F121" i="3"/>
  <c r="F2" i="4"/>
  <c r="I52" i="3"/>
  <c r="H52" i="3"/>
  <c r="G52" i="3"/>
  <c r="F52" i="3"/>
  <c r="L31" i="6" l="1"/>
  <c r="L30" i="6"/>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G18" i="4"/>
  <c r="G19"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<sst xmlns="http://schemas.openxmlformats.org/spreadsheetml/2006/main" count="726" uniqueCount="439">
  <si>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</si>
  <si>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</si>
  <si>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</si>
  <si>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</si>
  <si>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</si>
  <si>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</si>
  <si>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</si>
  <si>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</si>
  <si>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</si>
  <si>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</si>
  <si>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</si>
  <si>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</si>
  <si>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</si>
  <si>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</si>
  <si>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</si>
  <si>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</si>
  <si>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</si>
  <si>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</si>
  <si>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</si>
  <si>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</si>
  <si>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</si>
  <si>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</si>
  <si>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</si>
  <si>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</si>
  <si>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</si>
  <si>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</si>
  <si>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</si>
  <si>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</si>
  <si>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</si>
  <si>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</si>
  <si>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</si>
  <si>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</si>
  <si>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</si>
  <si>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</si>
  <si>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</si>
  <si>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</si>
  <si>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</si>
  <si>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</si>
  <si>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</si>
  <si>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</si>
  <si>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</si>
  <si>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</si>
  <si>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</si>
  <si>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</si>
  <si>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</si>
  <si>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</si>
  <si>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</si>
  <si>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</si>
  <si>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</si>
  <si>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</si>
  <si>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</si>
  <si>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</si>
  <si>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</si>
  <si>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</si>
  <si>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</si>
  <si>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</si>
  <si>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</si>
  <si>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</si>
  <si>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</si>
  <si>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</si>
  <si>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</si>
  <si>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</si>
  <si>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</si>
  <si>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</si>
  <si>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</si>
  <si>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</si>
  <si>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</si>
  <si>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</si>
  <si>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</si>
  <si>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</si>
  <si>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</si>
  <si>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</si>
  <si>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</si>
  <si>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</si>
  <si>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</si>
  <si>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</si>
  <si>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</si>
  <si>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</si>
  <si>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</si>
  <si>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</si>
  <si>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</si>
  <si>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</si>
  <si>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</si>
  <si>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</si>
  <si>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</si>
  <si>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</si>
  <si>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</si>
  <si>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</si>
  <si>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</si>
  <si>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</si>
  <si>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</si>
  <si>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</si>
  <si>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</si>
  <si>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</si>
  <si>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</si>
  <si>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</si>
  <si>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</si>
  <si>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</si>
  <si>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</si>
  <si>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</si>
  <si>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</si>
  <si>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</si>
  <si>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</si>
  <si>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</si>
  <si>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</si>
  <si>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</si>
  <si>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</si>
  <si>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</si>
  <si>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</si>
  <si>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</si>
  <si>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</si>
  <si>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</si>
  <si>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</si>
  <si>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</si>
  <si>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</si>
  <si>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</si>
  <si>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</si>
  <si>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</si>
  <si>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</si>
  <si>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</si>
  <si>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</si>
  <si>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</si>
  <si>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</si>
  <si>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</si>
  <si>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</si>
  <si>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</si>
  <si>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</si>
  <si>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</si>
  <si>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</si>
  <si>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</si>
  <si>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</si>
  <si>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</si>
  <si>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</si>
  <si>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</si>
  <si>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</si>
  <si>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</si>
  <si>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</si>
  <si>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</si>
  <si>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</si>
  <si>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</si>
  <si>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</si>
  <si>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</si>
  <si>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</si>
  <si>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</si>
  <si>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</si>
  <si>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</si>
  <si>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</si>
  <si>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</si>
  <si>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</si>
  <si>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</si>
  <si>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</si>
  <si>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</si>
  <si>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</si>
  <si>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</si>
  <si>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</si>
  <si>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</si>
  <si>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</si>
  <si>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</si>
  <si>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</si>
  <si>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</si>
  <si>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</si>
  <si>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</si>
  <si>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</si>
  <si>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</si>
  <si>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</si>
  <si>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</si>
  <si>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</si>
  <si>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</si>
  <si>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</si>
  <si>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</si>
  <si>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</si>
  <si>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</si>
  <si>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</si>
  <si>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</si>
  <si>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</si>
  <si>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</si>
  <si>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</si>
  <si>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</si>
  <si>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</si>
  <si>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</si>
  <si>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</si>
  <si>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</si>
  <si>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</si>
  <si>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</si>
  <si>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</si>
  <si>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</si>
  <si>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</si>
  <si>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</si>
  <si>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</si>
  <si>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</si>
  <si>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</si>
  <si>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</si>
  <si>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</si>
  <si>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</si>
  <si>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</si>
  <si>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</si>
  <si>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</si>
  <si>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</si>
  <si>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</si>
  <si>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</si>
  <si>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</si>
  <si>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</si>
  <si>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</si>
  <si>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</si>
  <si>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</si>
  <si>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</si>
  <si>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</si>
  <si>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</si>
  <si>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</si>
  <si>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</si>
  <si>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</si>
  <si>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</si>
  <si>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</si>
  <si>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</si>
  <si>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</si>
  <si>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</si>
  <si>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</si>
  <si>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</si>
  <si>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</si>
  <si>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</si>
  <si>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</si>
  <si>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</si>
  <si>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</si>
  <si>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</si>
  <si>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</si>
  <si>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</si>
  <si>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</si>
  <si>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</si>
  <si>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</si>
  <si>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</si>
  <si>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</si>
  <si>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</si>
  <si>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</si>
  <si>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</si>
  <si>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</si>
  <si>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</si>
  <si>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</si>
  <si>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</si>
  <si>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</si>
  <si>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</si>
  <si>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</si>
  <si>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</si>
  <si>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</si>
  <si>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</si>
  <si>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</si>
  <si>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</si>
  <si>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</si>
  <si>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</si>
  <si>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</si>
  <si>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</si>
  <si>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</si>
  <si>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</si>
  <si>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</si>
  <si>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</si>
  <si>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</si>
  <si>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</si>
  <si>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</si>
  <si>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</si>
  <si>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</si>
  <si>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</si>
  <si>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</si>
  <si>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</si>
  <si>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</si>
  <si>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</si>
  <si>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</si>
  <si>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</si>
  <si>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</si>
  <si>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</si>
  <si>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</si>
  <si>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</si>
  <si>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</si>
  <si>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</si>
  <si>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</si>
  <si>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</si>
  <si>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</si>
  <si>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</si>
  <si>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</si>
  <si>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</si>
  <si>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</si>
  <si>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</si>
  <si>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</si>
  <si>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</si>
  <si>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</si>
  <si>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</si>
  <si>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</si>
  <si>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</si>
  <si>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</si>
  <si>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</si>
  <si>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</si>
  <si>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</si>
  <si>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</si>
  <si>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</si>
  <si>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</si>
  <si>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</si>
  <si>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</si>
  <si>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</si>
  <si>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</si>
  <si>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</si>
  <si>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</si>
  <si>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</si>
  <si>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</si>
  <si>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</si>
  <si>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</si>
  <si>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</si>
  <si>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</si>
  <si>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</si>
  <si>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</si>
  <si>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</si>
  <si>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</si>
  <si>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</si>
  <si>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</si>
  <si>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</si>
  <si>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</si>
  <si>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</si>
  <si>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</si>
  <si>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</si>
  <si>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</si>
  <si>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</si>
  <si>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</si>
  <si>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</si>
  <si>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</si>
  <si>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</si>
  <si>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</si>
  <si>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</si>
  <si>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</si>
  <si>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</si>
  <si>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</si>
  <si>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</si>
  <si>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</si>
  <si>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</si>
  <si>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</si>
  <si>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</si>
  <si>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</si>
  <si>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</si>
  <si>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</si>
  <si>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</si>
  <si>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</si>
  <si>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</si>
  <si>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</si>
  <si>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</si>
  <si>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</si>
  <si>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</si>
  <si>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</si>
  <si>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</si>
  <si>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</si>
  <si>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</si>
  <si>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</si>
  <si>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</si>
  <si>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</si>
  <si>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</si>
  <si>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</si>
  <si>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</si>
  <si>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</si>
  <si>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</si>
  <si>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</si>
  <si>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</si>
  <si>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</si>
  <si>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</si>
  <si>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</si>
  <si>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</si>
  <si>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</si>
  <si>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</si>
  <si>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</si>
  <si>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</si>
  <si>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</si>
  <si>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</si>
  <si>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</si>
  <si>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</si>
  <si>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</si>
  <si>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</si>
  <si>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</si>
  <si>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</si>
  <si>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</si>
  <si>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</si>
  <si>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</si>
  <si>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</si>
  <si>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</si>
  <si>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</si>
  <si>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</si>
  <si>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</si>
  <si>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</si>
  <si>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</si>
  <si>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</si>
  <si>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</si>
  <si>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</si>
  <si>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</si>
  <si>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</si>
  <si>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</si>
  <si>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</si>
  <si>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</si>
  <si>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</si>
  <si>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</si>
  <si>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</si>
  <si>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</si>
  <si>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</si>
  <si>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</si>
  <si>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</si>
  <si>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</si>
  <si>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</si>
  <si>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</si>
  <si>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</si>
  <si>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</si>
  <si>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</si>
  <si>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</si>
  <si>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</si>
  <si>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</si>
  <si>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</si>
  <si>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형개</t>
    <phoneticPr fontId="5" type="noConversion"/>
  </si>
  <si>
    <t>연교</t>
    <phoneticPr fontId="5" type="noConversion"/>
  </si>
  <si>
    <t>승마</t>
    <phoneticPr fontId="5" type="noConversion"/>
  </si>
  <si>
    <t>고본</t>
    <phoneticPr fontId="5" type="noConversion"/>
  </si>
  <si>
    <t>박하</t>
    <phoneticPr fontId="5" type="noConversion"/>
  </si>
  <si>
    <t>세신</t>
    <phoneticPr fontId="5" type="noConversion"/>
  </si>
  <si>
    <t>황금</t>
    <phoneticPr fontId="5" type="noConversion"/>
  </si>
  <si>
    <t>주초</t>
    <phoneticPr fontId="5" type="noConversion"/>
  </si>
  <si>
    <t>백지</t>
    <phoneticPr fontId="5" type="noConversion"/>
  </si>
  <si>
    <t>마황</t>
    <phoneticPr fontId="5" type="noConversion"/>
  </si>
  <si>
    <t>감초</t>
    <phoneticPr fontId="5" type="noConversion"/>
  </si>
  <si>
    <t>생강</t>
    <phoneticPr fontId="5" type="noConversion"/>
  </si>
  <si>
    <t>금은화</t>
    <phoneticPr fontId="5" type="noConversion"/>
  </si>
  <si>
    <t>천궁1</t>
    <phoneticPr fontId="5" type="noConversion"/>
  </si>
  <si>
    <t>창출1</t>
    <phoneticPr fontId="5" type="noConversion"/>
  </si>
  <si>
    <t>방풍1</t>
    <phoneticPr fontId="5" type="noConversion"/>
  </si>
  <si>
    <t>강활1</t>
    <phoneticPr fontId="5" type="noConversion"/>
  </si>
  <si>
    <t>길경</t>
    <phoneticPr fontId="5" type="noConversion"/>
  </si>
  <si>
    <t>청연산(형개연교B)</t>
    <phoneticPr fontId="5" type="noConversion"/>
  </si>
  <si>
    <t>상비약</t>
    <phoneticPr fontId="5" type="noConversion"/>
  </si>
  <si>
    <t>시호2</t>
    <phoneticPr fontId="5" type="noConversion"/>
  </si>
  <si>
    <t>백작약</t>
    <phoneticPr fontId="5" type="noConversion"/>
  </si>
  <si>
    <t>지각</t>
    <phoneticPr fontId="5" type="noConversion"/>
  </si>
  <si>
    <t>치자</t>
    <phoneticPr fontId="5" type="noConversion"/>
  </si>
  <si>
    <t>당귀1</t>
    <phoneticPr fontId="5" type="noConversion"/>
  </si>
  <si>
    <t>생지황</t>
    <phoneticPr fontId="5" type="noConversion"/>
  </si>
  <si>
    <t>독활</t>
    <phoneticPr fontId="5" type="noConversion"/>
  </si>
  <si>
    <t>갈근1</t>
    <phoneticPr fontId="5" type="noConversion"/>
  </si>
  <si>
    <t>형개연교A</t>
    <phoneticPr fontId="5" type="noConversion"/>
  </si>
  <si>
    <t xml:space="preserve">#풍열감모
형개연교+생지황 박하 강활 독활 승마 갈근 창출 금은화
</t>
    <phoneticPr fontId="5" type="noConversion"/>
  </si>
  <si>
    <t xml:space="preserve">#비류청체 비색 비성 전두통
</t>
    <phoneticPr fontId="5" type="noConversion"/>
  </si>
  <si>
    <t>1일당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</si>
</sst>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center"/>
    </xf>
    <xf numFmtId="179" fontId="0" fillId="0" borderId="14" xfId="0" applyNumberFormat="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7AAAF-52BC-4F08-B8F9-9C99A281DB4F}">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65" t="s">
        <v>438</v>
      </c>
      <c r="K1" s="148" t="s">
        <v>8</v>
      </c>
      <c r="L1" s="149"/>
      <c r="M1" s="150"/>
    </row>
    <row r="2" spans="2:13">
      <c r="B2" s="3">
        <v>1</v>
      </c>
      <c r="C2" t="s">
        <v>407</v>
      </c>
      <c r="D2" s="4"/>
      <c r="E2" s="88">
        <v>6</v>
      </c>
      <c r="F2" s="166">
        <f>E2*$L$15</f>
        <v>60</v>
      </c>
      <c r="G2">
        <f>VLOOKUP($C2,[1]약재관리!$A:$J,10,FALSE)</f>
        <v>17.600000000000001</v>
      </c>
      <c r="H2" s="5">
        <f>G2*E2</f>
        <v>105.60000000000001</v>
      </c>
      <c r="I2" s="6">
        <f t="shared" ref="I2:I31" si="0">G2*F2</f>
        <v>1056</v>
      </c>
      <c r="J2" s="103">
        <f>F2/$L$14</f>
        <v>6</v>
      </c>
      <c r="K2" s="7" t="s">
        <v>9</v>
      </c>
      <c r="L2" s="151">
        <v>44</v>
      </c>
      <c r="M2" s="152"/>
    </row>
    <row r="3" spans="2:13">
      <c r="B3" s="3">
        <v>2</v>
      </c>
      <c r="C3" t="s">
        <v>408</v>
      </c>
      <c r="D3" s="4"/>
      <c r="E3" s="88">
        <v>4</v>
      </c>
      <c r="F3" s="101">
        <f t="shared" ref="F3:F31" si="1">E3*$L$15</f>
        <v>40</v>
      </c>
      <c r="G3">
        <f>VLOOKUP($C3,[1]약재관리!$A:$J,10,FALSE)</f>
        <v>28</v>
      </c>
      <c r="H3" s="5">
        <f t="shared" ref="H3:H31" si="2">G3*E3</f>
        <v>112</v>
      </c>
      <c r="I3" s="6">
        <f t="shared" si="0"/>
        <v>1120</v>
      </c>
      <c r="J3" s="103">
        <f t="shared" ref="J3:J18" si="3">F3/$L$14</f>
        <v>4</v>
      </c>
      <c r="K3" s="8" t="s">
        <v>10</v>
      </c>
      <c r="L3" s="146" t="s">
        <v>425</v>
      </c>
      <c r="M3" s="147"/>
    </row>
    <row r="4" spans="2:13">
      <c r="B4" s="3">
        <v>3</v>
      </c>
      <c r="C4" t="s">
        <v>421</v>
      </c>
      <c r="D4" s="4"/>
      <c r="E4" s="88">
        <v>4</v>
      </c>
      <c r="F4" s="101">
        <f t="shared" si="1"/>
        <v>40</v>
      </c>
      <c r="G4">
        <f>VLOOKUP($C4,[1]약재관리!$A:$J,10,FALSE)</f>
        <v>25</v>
      </c>
      <c r="H4" s="5">
        <f t="shared" si="2"/>
        <v>100</v>
      </c>
      <c r="I4" s="6">
        <f t="shared" si="0"/>
        <v>1000</v>
      </c>
      <c r="J4" s="103">
        <f t="shared" si="3"/>
        <v>4</v>
      </c>
      <c r="K4" s="8" t="s">
        <v>11</v>
      </c>
      <c r="L4" s="153">
        <v>45603</v>
      </c>
      <c r="M4" s="147"/>
    </row>
    <row r="5" spans="2:13">
      <c r="B5" s="3">
        <v>4</v>
      </c>
      <c r="C5" t="s">
        <v>409</v>
      </c>
      <c r="D5" s="4"/>
      <c r="E5" s="88">
        <v>4</v>
      </c>
      <c r="F5" s="101">
        <f t="shared" si="1"/>
        <v>40</v>
      </c>
      <c r="G5">
        <f>VLOOKUP($C5,[1]약재관리!$A:$J,10,FALSE)</f>
        <v>31.7</v>
      </c>
      <c r="H5" s="5">
        <f t="shared" si="2"/>
        <v>126.8</v>
      </c>
      <c r="I5" s="6">
        <f t="shared" si="0"/>
        <v>1268</v>
      </c>
      <c r="J5" s="103">
        <f t="shared" si="3"/>
        <v>4</v>
      </c>
      <c r="K5" s="8" t="s">
        <v>12</v>
      </c>
      <c r="L5" s="146" t="s">
        <v>426</v>
      </c>
      <c r="M5" s="147"/>
    </row>
    <row r="6" spans="2:13">
      <c r="B6" s="3">
        <v>5</v>
      </c>
      <c r="C6" t="s">
        <v>422</v>
      </c>
      <c r="D6" s="4"/>
      <c r="E6" s="88">
        <v>4</v>
      </c>
      <c r="F6" s="101">
        <f t="shared" si="1"/>
        <v>40</v>
      </c>
      <c r="G6">
        <f>VLOOKUP($C6,[1]약재관리!$A:$J,10,FALSE)</f>
        <v>11.7</v>
      </c>
      <c r="H6" s="5">
        <f t="shared" si="2"/>
        <v>46.8</v>
      </c>
      <c r="I6" s="6">
        <f t="shared" si="0"/>
        <v>468</v>
      </c>
      <c r="J6" s="103">
        <f t="shared" si="3"/>
        <v>4</v>
      </c>
      <c r="K6" s="8" t="s">
        <v>13</v>
      </c>
      <c r="L6" s="146"/>
      <c r="M6" s="147"/>
    </row>
    <row r="7" spans="2:13" ht="17.25" thickBot="1">
      <c r="B7" s="3">
        <v>6</v>
      </c>
      <c r="C7" t="s">
        <v>423</v>
      </c>
      <c r="D7" s="4"/>
      <c r="E7" s="88">
        <v>4</v>
      </c>
      <c r="F7" s="101">
        <f t="shared" si="1"/>
        <v>40</v>
      </c>
      <c r="G7">
        <f>VLOOKUP($C7,[1]약재관리!$A:$J,10,FALSE)</f>
        <v>40</v>
      </c>
      <c r="H7" s="5">
        <f t="shared" si="2"/>
        <v>160</v>
      </c>
      <c r="I7" s="6">
        <f t="shared" si="0"/>
        <v>1600</v>
      </c>
      <c r="J7" s="103">
        <f t="shared" si="3"/>
        <v>4</v>
      </c>
      <c r="K7" s="8" t="s">
        <v>14</v>
      </c>
      <c r="L7" s="154"/>
      <c r="M7" s="155"/>
    </row>
    <row r="8" spans="2:13" ht="17.25" thickBot="1">
      <c r="B8" s="3">
        <v>7</v>
      </c>
      <c r="C8" t="s">
        <v>410</v>
      </c>
      <c r="D8" s="4"/>
      <c r="E8" s="88">
        <v>4</v>
      </c>
      <c r="F8" s="101">
        <f t="shared" si="1"/>
        <v>40</v>
      </c>
      <c r="G8">
        <f>VLOOKUP($C8,[1]약재관리!$A:$J,10,FALSE)</f>
        <v>64</v>
      </c>
      <c r="H8" s="5">
        <f t="shared" si="2"/>
        <v>256</v>
      </c>
      <c r="I8" s="6">
        <f t="shared" si="0"/>
        <v>2560</v>
      </c>
      <c r="J8" s="103">
        <f t="shared" si="3"/>
        <v>4</v>
      </c>
      <c r="K8" s="148" t="s">
        <v>15</v>
      </c>
      <c r="L8" s="149"/>
      <c r="M8" s="150"/>
    </row>
    <row r="9" spans="2:13">
      <c r="B9" s="3">
        <v>8</v>
      </c>
      <c r="C9" t="s">
        <v>420</v>
      </c>
      <c r="D9" s="4"/>
      <c r="E9" s="88">
        <v>4</v>
      </c>
      <c r="F9" s="101">
        <f t="shared" si="1"/>
        <v>40</v>
      </c>
      <c r="G9">
        <f>VLOOKUP($C9,[1]약재관리!$A:$J,10,FALSE)</f>
        <v>10.8</v>
      </c>
      <c r="H9" s="5">
        <f t="shared" si="2"/>
        <v>43.2</v>
      </c>
      <c r="I9" s="6">
        <f t="shared" si="0"/>
        <v>432</v>
      </c>
      <c r="J9" s="103">
        <f t="shared" si="3"/>
        <v>4</v>
      </c>
      <c r="K9" s="156"/>
      <c r="L9" s="157"/>
      <c r="M9" s="158"/>
    </row>
    <row r="10" spans="2:13">
      <c r="B10" s="3">
        <v>9</v>
      </c>
      <c r="C10" t="s">
        <v>411</v>
      </c>
      <c r="D10" s="4"/>
      <c r="E10" s="88">
        <v>2.8</v>
      </c>
      <c r="F10" s="101">
        <f t="shared" si="1"/>
        <v>28</v>
      </c>
      <c r="G10">
        <f>VLOOKUP($C10,[1]약재관리!$A:$J,10,FALSE)</f>
        <v>21.8</v>
      </c>
      <c r="H10" s="5">
        <f t="shared" si="2"/>
        <v>61.04</v>
      </c>
      <c r="I10" s="6">
        <f t="shared" si="0"/>
        <v>610.4</v>
      </c>
      <c r="J10" s="103">
        <f t="shared" si="3"/>
        <v>2.8</v>
      </c>
      <c r="K10" s="159"/>
      <c r="L10" s="160"/>
      <c r="M10" s="161"/>
    </row>
    <row r="11" spans="2:13">
      <c r="B11" s="3">
        <v>10</v>
      </c>
      <c r="C11" t="s">
        <v>412</v>
      </c>
      <c r="D11" s="4"/>
      <c r="E11" s="88">
        <v>2.8</v>
      </c>
      <c r="F11" s="101">
        <f t="shared" si="1"/>
        <v>28</v>
      </c>
      <c r="G11">
        <f>VLOOKUP($C11,[1]약재관리!$A:$J,10,FALSE)</f>
        <v>145.19999999999999</v>
      </c>
      <c r="H11" s="5">
        <f t="shared" si="2"/>
        <v>406.55999999999995</v>
      </c>
      <c r="I11" s="6">
        <f t="shared" si="0"/>
        <v>4065.5999999999995</v>
      </c>
      <c r="J11" s="103">
        <f t="shared" si="3"/>
        <v>2.8</v>
      </c>
      <c r="K11" s="159"/>
      <c r="L11" s="160"/>
      <c r="M11" s="161"/>
    </row>
    <row r="12" spans="2:13">
      <c r="B12" s="3">
        <v>11</v>
      </c>
      <c r="C12" t="s">
        <v>413</v>
      </c>
      <c r="D12" s="4" t="s">
        <v>414</v>
      </c>
      <c r="E12" s="88">
        <v>2.8</v>
      </c>
      <c r="F12" s="101">
        <f t="shared" si="1"/>
        <v>28</v>
      </c>
      <c r="G12">
        <f>VLOOKUP($C12,[1]약재관리!$A:$J,10,FALSE)</f>
        <v>22.5</v>
      </c>
      <c r="H12" s="5">
        <f t="shared" si="2"/>
        <v>62.999999999999993</v>
      </c>
      <c r="I12" s="6">
        <f t="shared" si="0"/>
        <v>630</v>
      </c>
      <c r="J12" s="103">
        <f t="shared" si="3"/>
        <v>2.8</v>
      </c>
      <c r="K12" s="159"/>
      <c r="L12" s="160"/>
      <c r="M12" s="161"/>
    </row>
    <row r="13" spans="2:13" ht="17.25" thickBot="1">
      <c r="B13" s="3">
        <v>12</v>
      </c>
      <c r="C13" t="s">
        <v>415</v>
      </c>
      <c r="D13" s="4"/>
      <c r="E13" s="88">
        <v>2.8</v>
      </c>
      <c r="F13" s="101">
        <f t="shared" si="1"/>
        <v>28</v>
      </c>
      <c r="G13">
        <f>VLOOKUP($C13,[1]약재관리!$A:$J,10,FALSE)</f>
        <v>26.4</v>
      </c>
      <c r="H13" s="5">
        <f t="shared" si="2"/>
        <v>73.919999999999987</v>
      </c>
      <c r="I13" s="6">
        <f t="shared" si="0"/>
        <v>739.19999999999993</v>
      </c>
      <c r="J13" s="103">
        <f t="shared" si="3"/>
        <v>2.8</v>
      </c>
      <c r="K13" s="162"/>
      <c r="L13" s="163"/>
      <c r="M13" s="164"/>
    </row>
    <row r="14" spans="2:13">
      <c r="B14" s="3">
        <v>13</v>
      </c>
      <c r="C14" t="s">
        <v>416</v>
      </c>
      <c r="D14" s="4"/>
      <c r="E14" s="88">
        <v>2</v>
      </c>
      <c r="F14" s="101">
        <f t="shared" si="1"/>
        <v>20</v>
      </c>
      <c r="G14">
        <f>VLOOKUP($C14,[1]약재관리!$A:$J,10,FALSE)</f>
        <v>8.5</v>
      </c>
      <c r="H14" s="5">
        <f>G14*E14</f>
        <v>17</v>
      </c>
      <c r="I14" s="6">
        <f>G14*F14</f>
        <v>170</v>
      </c>
      <c r="J14" s="103">
        <f t="shared" si="3"/>
        <v>2</v>
      </c>
      <c r="K14" s="92" t="s">
        <v>16</v>
      </c>
      <c r="L14" s="9">
        <v>10</v>
      </c>
      <c r="M14" s="10" t="s">
        <v>17</v>
      </c>
    </row>
    <row r="15" spans="2:13">
      <c r="B15" s="3">
        <v>14</v>
      </c>
      <c r="C15" t="s">
        <v>417</v>
      </c>
      <c r="D15" s="4"/>
      <c r="E15" s="88">
        <v>2</v>
      </c>
      <c r="F15" s="101">
        <f t="shared" si="1"/>
        <v>20</v>
      </c>
      <c r="G15">
        <f>VLOOKUP($C15,[1]약재관리!$A:$J,10,FALSE)</f>
        <v>30</v>
      </c>
      <c r="H15" s="5">
        <f>G15*E15</f>
        <v>60</v>
      </c>
      <c r="I15" s="6">
        <f>G15*F15</f>
        <v>600</v>
      </c>
      <c r="J15" s="103">
        <f t="shared" si="3"/>
        <v>2</v>
      </c>
      <c r="K15" s="91" t="s">
        <v>18</v>
      </c>
      <c r="L15">
        <v>10</v>
      </c>
      <c r="M15" s="4" t="s">
        <v>19</v>
      </c>
    </row>
    <row r="16" spans="2:13">
      <c r="B16" s="3">
        <v>15</v>
      </c>
      <c r="C16" t="s">
        <v>418</v>
      </c>
      <c r="D16" s="4"/>
      <c r="E16" s="88">
        <v>4</v>
      </c>
      <c r="F16" s="101">
        <f t="shared" si="1"/>
        <v>40</v>
      </c>
      <c r="G16">
        <f>VLOOKUP($C16,[1]약재관리!$A:$J,10,FALSE)</f>
        <v>20</v>
      </c>
      <c r="H16" s="5">
        <f t="shared" si="2"/>
        <v>80</v>
      </c>
      <c r="I16" s="6">
        <f t="shared" si="0"/>
        <v>800</v>
      </c>
      <c r="J16" s="103">
        <f t="shared" si="3"/>
        <v>4</v>
      </c>
      <c r="K16" s="91" t="s">
        <v>20</v>
      </c>
      <c r="L16">
        <v>21</v>
      </c>
      <c r="M16" s="4" t="s">
        <v>21</v>
      </c>
    </row>
    <row r="17" spans="2:13" ht="17.25" thickBot="1">
      <c r="B17" s="3">
        <v>16</v>
      </c>
      <c r="C17" t="s">
        <v>424</v>
      </c>
      <c r="D17" s="4"/>
      <c r="E17" s="88">
        <v>2</v>
      </c>
      <c r="F17" s="101">
        <f t="shared" si="1"/>
        <v>20</v>
      </c>
      <c r="G17">
        <f>VLOOKUP($C17,[1]약재관리!$A:$J,10,FALSE)</f>
        <v>11.5</v>
      </c>
      <c r="H17" s="5">
        <f t="shared" si="2"/>
        <v>23</v>
      </c>
      <c r="I17" s="6">
        <f t="shared" si="0"/>
        <v>230</v>
      </c>
      <c r="J17" s="103">
        <f t="shared" si="3"/>
        <v>2</v>
      </c>
      <c r="K17" s="14" t="s">
        <v>22</v>
      </c>
      <c r="L17" s="11">
        <v>110</v>
      </c>
      <c r="M17" s="12" t="s">
        <v>23</v>
      </c>
    </row>
    <row r="18" spans="2:13">
      <c r="B18" s="3">
        <v>17</v>
      </c>
      <c r="C18" t="s">
        <v>419</v>
      </c>
      <c r="D18" s="4"/>
      <c r="E18" s="88">
        <v>8</v>
      </c>
      <c r="F18" s="101">
        <f t="shared" si="1"/>
        <v>80</v>
      </c>
      <c r="G18">
        <f>VLOOKUP($C18,[1]약재관리!$A:$J,10,FALSE)</f>
        <v>43</v>
      </c>
      <c r="H18" s="5">
        <f t="shared" si="2"/>
        <v>344</v>
      </c>
      <c r="I18" s="6">
        <f t="shared" si="0"/>
        <v>3440</v>
      </c>
      <c r="J18" s="103">
        <f t="shared" si="3"/>
        <v>8</v>
      </c>
      <c r="K18" s="92" t="s">
        <v>24</v>
      </c>
      <c r="L18" s="9">
        <f>SUM(E2:E31)</f>
        <v>67.199999999999989</v>
      </c>
      <c r="M18" s="10" t="s">
        <v>25</v>
      </c>
    </row>
    <row r="19" spans="2:13">
      <c r="B19" s="3">
        <v>18</v>
      </c>
      <c r="C19" t="s">
        <v>427</v>
      </c>
      <c r="D19" s="4"/>
      <c r="E19" s="88">
        <v>4</v>
      </c>
      <c r="F19" s="101">
        <f t="shared" si="1"/>
        <v>40</v>
      </c>
      <c r="G19">
        <f>VLOOKUP($C19,[1]약재관리!$A:$J,10,FALSE)</f>
        <v>15.3</v>
      </c>
      <c r="H19" s="5">
        <f t="shared" si="2"/>
        <v>61.2</v>
      </c>
      <c r="I19" s="6">
        <f t="shared" si="0"/>
        <v>612</v>
      </c>
      <c r="K19" s="91" t="s">
        <v>26</v>
      </c>
      <c r="L19">
        <f>L15*L18</f>
        <v>671.99999999999989</v>
      </c>
      <c r="M19" s="4" t="s">
        <v>25</v>
      </c>
    </row>
    <row r="20" spans="2:13" ht="17.25" thickBot="1">
      <c r="B20" s="3">
        <v>19</v>
      </c>
      <c r="D20" s="4"/>
      <c r="F20" s="101">
        <f t="shared" si="1"/>
        <v>0</v>
      </c>
      <c r="H20" s="5">
        <f t="shared" si="2"/>
        <v>0</v>
      </c>
      <c r="I20" s="6">
        <f t="shared" si="0"/>
        <v>0</v>
      </c>
      <c r="K20" s="14" t="s">
        <v>27</v>
      </c>
      <c r="L20" s="11">
        <f>L16*L17+L19*1.3+400</f>
        <v>3583.6</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48" t="s">
        <v>388</v>
      </c>
      <c r="L22" s="149"/>
      <c r="M22" s="150"/>
    </row>
    <row r="23" spans="2:13">
      <c r="B23" s="3">
        <v>22</v>
      </c>
      <c r="D23" s="4"/>
      <c r="F23" s="101">
        <f t="shared" si="1"/>
        <v>0</v>
      </c>
      <c r="H23" s="5">
        <f t="shared" si="2"/>
        <v>0</v>
      </c>
      <c r="I23" s="6">
        <f t="shared" si="0"/>
        <v>0</v>
      </c>
      <c r="K23" s="91" t="s">
        <v>382</v>
      </c>
      <c r="L23">
        <f>SUM(F2:F31)</f>
        <v>672</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48" t="s">
        <v>387</v>
      </c>
      <c r="L29" s="149"/>
      <c r="M29" s="150"/>
    </row>
    <row r="30" spans="2:13">
      <c r="B30" s="3">
        <v>29</v>
      </c>
      <c r="D30" s="4"/>
      <c r="F30" s="101">
        <f t="shared" si="1"/>
        <v>0</v>
      </c>
      <c r="H30" s="5">
        <f t="shared" si="2"/>
        <v>0</v>
      </c>
      <c r="I30" s="6">
        <f t="shared" si="0"/>
        <v>0</v>
      </c>
      <c r="K30" s="91" t="s">
        <v>28</v>
      </c>
      <c r="L30" s="5">
        <f>SUM(H2:H31)</f>
        <v>2140.12</v>
      </c>
      <c r="M30" s="4" t="s">
        <v>386</v>
      </c>
    </row>
    <row r="31" spans="2:13" ht="17.25" thickBot="1">
      <c r="B31" s="13">
        <v>30</v>
      </c>
      <c r="C31" s="14"/>
      <c r="D31" s="12"/>
      <c r="E31" s="95"/>
      <c r="F31" s="102">
        <f t="shared" si="1"/>
        <v>0</v>
      </c>
      <c r="H31" s="15">
        <f t="shared" si="2"/>
        <v>0</v>
      </c>
      <c r="I31" s="16">
        <f t="shared" si="0"/>
        <v>0</v>
      </c>
      <c r="K31" s="14" t="s">
        <v>385</v>
      </c>
      <c r="L31" s="15">
        <f>SUM(I2:I31)</f>
        <v>21401.200000000001</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2265-C7B0-4575-8F91-25BC25F085B9}">
  <sheetPr>
    <pageSetUpPr fitToPage="1"/>
  </sheetPr>
  <dimension ref="B1:M31"/>
  <sheetViews>
    <sheetView workbookViewId="0">
      <selection activeCell="E14" sqref="E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6</v>
      </c>
      <c r="F2" s="101">
        <f t="shared" ref="F2:F22" si="0">E2*$L$15</f>
        <v>120</v>
      </c>
      <c r="G2">
        <f>VLOOKUP($C2,약재관리!A:J,10,FALSE)</f>
        <v>19.8</v>
      </c>
      <c r="H2" s="5">
        <f t="shared" ref="H2:H22" si="1">G2*E2</f>
        <v>118.80000000000001</v>
      </c>
      <c r="I2" s="90">
        <f>G2*F2</f>
        <v>2376</v>
      </c>
      <c r="K2" s="7" t="s">
        <v>9</v>
      </c>
      <c r="L2" s="151">
        <v>44</v>
      </c>
      <c r="M2" s="152"/>
    </row>
    <row r="3" spans="2:13">
      <c r="B3" s="3">
        <v>2</v>
      </c>
      <c r="C3" t="s">
        <v>408</v>
      </c>
      <c r="D3" s="4"/>
      <c r="E3" s="88">
        <v>6</v>
      </c>
      <c r="F3" s="101">
        <f t="shared" si="0"/>
        <v>120</v>
      </c>
      <c r="G3">
        <f>VLOOKUP($C3,약재관리!A:J,10,FALSE)</f>
        <v>28</v>
      </c>
      <c r="H3" s="5">
        <f t="shared" si="1"/>
        <v>168</v>
      </c>
      <c r="I3" s="6">
        <f t="shared" ref="I3:I31" si="2">G3*F3</f>
        <v>3360</v>
      </c>
      <c r="K3" s="8" t="s">
        <v>10</v>
      </c>
      <c r="L3" s="146" t="s">
        <v>435</v>
      </c>
      <c r="M3" s="147"/>
    </row>
    <row r="4" spans="2:13">
      <c r="B4" s="3">
        <v>3</v>
      </c>
      <c r="C4" t="s">
        <v>422</v>
      </c>
      <c r="D4" s="4"/>
      <c r="E4" s="88">
        <v>4</v>
      </c>
      <c r="F4" s="101">
        <f t="shared" si="0"/>
        <v>80</v>
      </c>
      <c r="G4">
        <f>VLOOKUP($C4,약재관리!A:J,10,FALSE)</f>
        <v>15.7</v>
      </c>
      <c r="H4" s="5">
        <f t="shared" si="1"/>
        <v>62.8</v>
      </c>
      <c r="I4" s="6">
        <f t="shared" si="2"/>
        <v>1256</v>
      </c>
      <c r="K4" s="8" t="s">
        <v>11</v>
      </c>
      <c r="L4" s="153">
        <v>45603</v>
      </c>
      <c r="M4" s="147"/>
    </row>
    <row r="5" spans="2:13">
      <c r="B5" s="3">
        <v>4</v>
      </c>
      <c r="C5" t="s">
        <v>431</v>
      </c>
      <c r="D5" s="4"/>
      <c r="E5" s="88">
        <v>4</v>
      </c>
      <c r="F5" s="101">
        <f t="shared" si="0"/>
        <v>80</v>
      </c>
      <c r="G5">
        <f>VLOOKUP($C5,약재관리!A:J,10,FALSE)</f>
        <v>25</v>
      </c>
      <c r="H5" s="5">
        <f t="shared" si="1"/>
        <v>100</v>
      </c>
      <c r="I5" s="6">
        <f t="shared" si="2"/>
        <v>2000</v>
      </c>
      <c r="K5" s="8" t="s">
        <v>12</v>
      </c>
      <c r="L5" s="146" t="s">
        <v>426</v>
      </c>
      <c r="M5" s="147"/>
    </row>
    <row r="6" spans="2:13">
      <c r="B6" s="3">
        <v>5</v>
      </c>
      <c r="C6" t="s">
        <v>420</v>
      </c>
      <c r="D6" s="4"/>
      <c r="E6" s="88">
        <v>4</v>
      </c>
      <c r="F6" s="101">
        <f t="shared" si="0"/>
        <v>80</v>
      </c>
      <c r="G6">
        <f>VLOOKUP($C6,약재관리!A:J,10,FALSE)</f>
        <v>10.8</v>
      </c>
      <c r="H6" s="5">
        <f t="shared" si="1"/>
        <v>43.2</v>
      </c>
      <c r="I6" s="6">
        <f t="shared" si="2"/>
        <v>864</v>
      </c>
      <c r="K6" s="8" t="s">
        <v>13</v>
      </c>
      <c r="L6" s="146"/>
      <c r="M6" s="147"/>
    </row>
    <row r="7" spans="2:13" ht="17.25" thickBot="1">
      <c r="B7" s="3">
        <v>6</v>
      </c>
      <c r="C7" t="s">
        <v>428</v>
      </c>
      <c r="D7" s="4"/>
      <c r="E7" s="88">
        <v>4</v>
      </c>
      <c r="F7" s="101">
        <f t="shared" si="0"/>
        <v>80</v>
      </c>
      <c r="G7">
        <f>VLOOKUP($C7,약재관리!A:J,10,FALSE)</f>
        <v>19.600000000000001</v>
      </c>
      <c r="H7" s="5">
        <f t="shared" si="1"/>
        <v>78.400000000000006</v>
      </c>
      <c r="I7" s="6">
        <f t="shared" si="2"/>
        <v>1568</v>
      </c>
      <c r="K7" s="8" t="s">
        <v>14</v>
      </c>
      <c r="L7" s="154"/>
      <c r="M7" s="155"/>
    </row>
    <row r="8" spans="2:13" ht="17.25" thickBot="1">
      <c r="B8" s="3">
        <v>7</v>
      </c>
      <c r="C8" t="s">
        <v>427</v>
      </c>
      <c r="D8" s="4"/>
      <c r="E8" s="88">
        <v>4</v>
      </c>
      <c r="F8" s="101">
        <f t="shared" si="0"/>
        <v>80</v>
      </c>
      <c r="G8">
        <f>VLOOKUP($C8,약재관리!A:J,10,FALSE)</f>
        <v>15.3</v>
      </c>
      <c r="H8" s="5">
        <f t="shared" si="1"/>
        <v>61.2</v>
      </c>
      <c r="I8" s="6">
        <f t="shared" si="2"/>
        <v>1224</v>
      </c>
      <c r="K8" s="148" t="s">
        <v>15</v>
      </c>
      <c r="L8" s="149"/>
      <c r="M8" s="150"/>
    </row>
    <row r="9" spans="2:13">
      <c r="B9" s="3">
        <v>8</v>
      </c>
      <c r="C9" t="s">
        <v>413</v>
      </c>
      <c r="D9" s="4"/>
      <c r="E9" s="88">
        <v>4</v>
      </c>
      <c r="F9" s="101">
        <f t="shared" si="0"/>
        <v>80</v>
      </c>
      <c r="G9">
        <f>VLOOKUP($C9,약재관리!A:J,10,FALSE)</f>
        <v>22.5</v>
      </c>
      <c r="H9" s="5">
        <f t="shared" si="1"/>
        <v>90</v>
      </c>
      <c r="I9" s="6">
        <f t="shared" si="2"/>
        <v>1800</v>
      </c>
      <c r="K9" s="156" t="s">
        <v>436</v>
      </c>
      <c r="L9" s="157"/>
      <c r="M9" s="158"/>
    </row>
    <row r="10" spans="2:13">
      <c r="B10" s="3">
        <v>9</v>
      </c>
      <c r="C10" t="s">
        <v>430</v>
      </c>
      <c r="D10" s="4"/>
      <c r="E10" s="88">
        <v>4</v>
      </c>
      <c r="F10" s="101">
        <f t="shared" si="0"/>
        <v>80</v>
      </c>
      <c r="G10">
        <f>VLOOKUP($C10,약재관리!A:J,10,FALSE)</f>
        <v>21.3</v>
      </c>
      <c r="H10" s="5">
        <f t="shared" si="1"/>
        <v>85.2</v>
      </c>
      <c r="I10" s="6">
        <f t="shared" si="2"/>
        <v>1704</v>
      </c>
      <c r="K10" s="159"/>
      <c r="L10" s="160"/>
      <c r="M10" s="161"/>
    </row>
    <row r="11" spans="2:13">
      <c r="B11" s="3">
        <v>10</v>
      </c>
      <c r="C11" t="s">
        <v>415</v>
      </c>
      <c r="D11" s="4"/>
      <c r="E11" s="88">
        <v>4</v>
      </c>
      <c r="F11" s="101">
        <f t="shared" si="0"/>
        <v>80</v>
      </c>
      <c r="G11">
        <f>VLOOKUP($C11,약재관리!A:J,10,FALSE)</f>
        <v>26.4</v>
      </c>
      <c r="H11" s="5">
        <f t="shared" si="1"/>
        <v>105.6</v>
      </c>
      <c r="I11" s="6">
        <f t="shared" si="2"/>
        <v>2112</v>
      </c>
      <c r="K11" s="159"/>
      <c r="L11" s="160"/>
      <c r="M11" s="161"/>
    </row>
    <row r="12" spans="2:13">
      <c r="B12" s="3">
        <v>11</v>
      </c>
      <c r="C12" t="s">
        <v>424</v>
      </c>
      <c r="D12" s="4"/>
      <c r="E12" s="88">
        <v>4</v>
      </c>
      <c r="F12" s="101">
        <f t="shared" si="0"/>
        <v>80</v>
      </c>
      <c r="G12">
        <f>VLOOKUP($C12,약재관리!A:J,10,FALSE)</f>
        <v>11.2</v>
      </c>
      <c r="H12" s="5">
        <f t="shared" si="1"/>
        <v>44.8</v>
      </c>
      <c r="I12" s="6">
        <f t="shared" si="2"/>
        <v>896</v>
      </c>
      <c r="K12" s="159"/>
      <c r="L12" s="160"/>
      <c r="M12" s="161"/>
    </row>
    <row r="13" spans="2:13" ht="17.25" thickBot="1">
      <c r="B13" s="3">
        <v>12</v>
      </c>
      <c r="C13" t="s">
        <v>417</v>
      </c>
      <c r="D13" s="4"/>
      <c r="E13" s="88">
        <v>2</v>
      </c>
      <c r="F13" s="101">
        <f t="shared" si="0"/>
        <v>40</v>
      </c>
      <c r="G13">
        <f>VLOOKUP($C13,약재관리!A:J,10,FALSE)</f>
        <v>28.3</v>
      </c>
      <c r="H13" s="5">
        <f t="shared" si="1"/>
        <v>56.6</v>
      </c>
      <c r="I13" s="6">
        <f t="shared" si="2"/>
        <v>1132</v>
      </c>
      <c r="K13" s="162"/>
      <c r="L13" s="163"/>
      <c r="M13" s="164"/>
    </row>
    <row r="14" spans="2:13">
      <c r="B14" s="3">
        <v>13</v>
      </c>
      <c r="C14" t="s">
        <v>432</v>
      </c>
      <c r="D14" s="4"/>
      <c r="E14" s="88">
        <v>4</v>
      </c>
      <c r="F14" s="101">
        <f t="shared" si="0"/>
        <v>80</v>
      </c>
      <c r="G14">
        <f>VLOOKUP($C14,약재관리!A:J,10,FALSE)</f>
        <v>17.399999999999999</v>
      </c>
      <c r="H14" s="5">
        <f t="shared" si="1"/>
        <v>69.599999999999994</v>
      </c>
      <c r="I14" s="6">
        <f t="shared" si="2"/>
        <v>1392</v>
      </c>
      <c r="K14" s="92" t="s">
        <v>16</v>
      </c>
      <c r="L14" s="9">
        <v>15</v>
      </c>
      <c r="M14" s="10" t="s">
        <v>17</v>
      </c>
    </row>
    <row r="15" spans="2:13">
      <c r="B15" s="3">
        <v>14</v>
      </c>
      <c r="C15" t="s">
        <v>411</v>
      </c>
      <c r="D15" s="4"/>
      <c r="E15" s="88">
        <v>2</v>
      </c>
      <c r="F15" s="101">
        <f t="shared" si="0"/>
        <v>40</v>
      </c>
      <c r="G15">
        <f>VLOOKUP($C15,약재관리!A:J,10,FALSE)</f>
        <v>21.8</v>
      </c>
      <c r="H15" s="5">
        <f t="shared" si="1"/>
        <v>43.6</v>
      </c>
      <c r="I15" s="6">
        <f t="shared" si="2"/>
        <v>872</v>
      </c>
      <c r="K15" s="91" t="s">
        <v>18</v>
      </c>
      <c r="L15">
        <v>20</v>
      </c>
      <c r="M15" s="4" t="s">
        <v>19</v>
      </c>
    </row>
    <row r="16" spans="2:13">
      <c r="B16" s="3">
        <v>15</v>
      </c>
      <c r="C16" t="s">
        <v>423</v>
      </c>
      <c r="D16" s="4"/>
      <c r="E16" s="88">
        <v>3</v>
      </c>
      <c r="F16" s="101">
        <f t="shared" si="0"/>
        <v>60</v>
      </c>
      <c r="G16">
        <f>VLOOKUP($C16,약재관리!A:J,10,FALSE)</f>
        <v>40</v>
      </c>
      <c r="H16" s="5">
        <f t="shared" si="1"/>
        <v>120</v>
      </c>
      <c r="I16" s="6">
        <f t="shared" si="2"/>
        <v>2400</v>
      </c>
      <c r="K16" s="91" t="s">
        <v>20</v>
      </c>
      <c r="L16">
        <v>45</v>
      </c>
      <c r="M16" s="4" t="s">
        <v>21</v>
      </c>
    </row>
    <row r="17" spans="2:13" ht="17.25" thickBot="1">
      <c r="B17" s="3">
        <v>16</v>
      </c>
      <c r="C17" t="s">
        <v>433</v>
      </c>
      <c r="D17" s="4"/>
      <c r="E17" s="88">
        <v>3</v>
      </c>
      <c r="F17" s="101">
        <f t="shared" si="0"/>
        <v>60</v>
      </c>
      <c r="G17">
        <f>VLOOKUP($C17,약재관리!A:J,10,FALSE)</f>
        <v>31.2</v>
      </c>
      <c r="H17" s="5">
        <f t="shared" si="1"/>
        <v>93.6</v>
      </c>
      <c r="I17" s="6">
        <f t="shared" si="2"/>
        <v>1872</v>
      </c>
      <c r="K17" s="14" t="s">
        <v>22</v>
      </c>
      <c r="L17" s="11">
        <v>100</v>
      </c>
      <c r="M17" s="12" t="s">
        <v>23</v>
      </c>
    </row>
    <row r="18" spans="2:13">
      <c r="B18" s="3">
        <v>17</v>
      </c>
      <c r="C18" t="s">
        <v>409</v>
      </c>
      <c r="D18" s="4"/>
      <c r="E18" s="88">
        <v>3</v>
      </c>
      <c r="F18" s="101">
        <f t="shared" si="0"/>
        <v>60</v>
      </c>
      <c r="G18">
        <f>VLOOKUP($C18,약재관리!A:J,10,FALSE)</f>
        <v>34.700000000000003</v>
      </c>
      <c r="H18" s="5">
        <f t="shared" si="1"/>
        <v>104.10000000000001</v>
      </c>
      <c r="I18" s="6">
        <f t="shared" si="2"/>
        <v>2082</v>
      </c>
      <c r="K18" s="92" t="s">
        <v>24</v>
      </c>
      <c r="L18" s="9">
        <f>SUM(E2:E31)</f>
        <v>81</v>
      </c>
      <c r="M18" s="10" t="s">
        <v>25</v>
      </c>
    </row>
    <row r="19" spans="2:13">
      <c r="B19" s="3">
        <v>18</v>
      </c>
      <c r="C19" t="s">
        <v>434</v>
      </c>
      <c r="D19" s="4"/>
      <c r="E19" s="88">
        <v>3</v>
      </c>
      <c r="F19" s="101">
        <f t="shared" si="0"/>
        <v>60</v>
      </c>
      <c r="G19">
        <f>VLOOKUP($C19,약재관리!A:J,10,FALSE)</f>
        <v>16.5</v>
      </c>
      <c r="H19" s="5">
        <f t="shared" si="1"/>
        <v>49.5</v>
      </c>
      <c r="I19" s="6">
        <f t="shared" si="2"/>
        <v>990</v>
      </c>
      <c r="K19" s="91" t="s">
        <v>26</v>
      </c>
      <c r="L19">
        <f>L15*L18</f>
        <v>1620</v>
      </c>
      <c r="M19" s="4" t="s">
        <v>25</v>
      </c>
    </row>
    <row r="20" spans="2:13" ht="17.25" thickBot="1">
      <c r="B20" s="3">
        <v>19</v>
      </c>
      <c r="C20" t="s">
        <v>421</v>
      </c>
      <c r="D20" s="4"/>
      <c r="E20" s="88">
        <v>3</v>
      </c>
      <c r="F20" s="101">
        <f t="shared" si="0"/>
        <v>60</v>
      </c>
      <c r="G20">
        <f>VLOOKUP($C20,약재관리!A:J,10,FALSE)</f>
        <v>24</v>
      </c>
      <c r="H20" s="5">
        <f t="shared" si="1"/>
        <v>72</v>
      </c>
      <c r="I20" s="6">
        <f t="shared" si="2"/>
        <v>1440</v>
      </c>
      <c r="K20" s="14" t="s">
        <v>27</v>
      </c>
      <c r="L20" s="11">
        <f>L16*L17+L19</f>
        <v>6120</v>
      </c>
      <c r="M20" s="12" t="s">
        <v>23</v>
      </c>
    </row>
    <row r="21" spans="2:13" ht="17.25" thickBot="1">
      <c r="B21" s="3">
        <v>20</v>
      </c>
      <c r="C21" t="s">
        <v>419</v>
      </c>
      <c r="D21" s="4"/>
      <c r="E21" s="88">
        <v>6</v>
      </c>
      <c r="F21" s="101">
        <f t="shared" si="0"/>
        <v>120</v>
      </c>
      <c r="G21">
        <f>VLOOKUP($C21,약재관리!A:J,10,FALSE)</f>
        <v>44</v>
      </c>
      <c r="H21" s="5">
        <f t="shared" si="1"/>
        <v>264</v>
      </c>
      <c r="I21" s="6">
        <f t="shared" si="2"/>
        <v>5280</v>
      </c>
      <c r="J21" s="91"/>
      <c r="M21" s="94"/>
    </row>
    <row r="22" spans="2:13" ht="17.25" thickBot="1">
      <c r="B22" s="3">
        <v>21</v>
      </c>
      <c r="C22" t="s">
        <v>429</v>
      </c>
      <c r="D22" s="4"/>
      <c r="E22" s="88">
        <v>4</v>
      </c>
      <c r="F22" s="101">
        <f t="shared" si="0"/>
        <v>80</v>
      </c>
      <c r="G22">
        <f>VLOOKUP($C22,약재관리!A:J,10,FALSE)</f>
        <v>10</v>
      </c>
      <c r="H22" s="5">
        <f t="shared" si="1"/>
        <v>40</v>
      </c>
      <c r="I22" s="6">
        <f t="shared" si="2"/>
        <v>800</v>
      </c>
      <c r="K22" s="148" t="s">
        <v>388</v>
      </c>
      <c r="L22" s="149"/>
      <c r="M22" s="150"/>
    </row>
    <row r="23" spans="2:13">
      <c r="B23" s="3">
        <v>22</v>
      </c>
      <c r="D23" s="4"/>
      <c r="F23" s="101">
        <f t="shared" ref="F23:F31" si="3">E23*$L$15</f>
        <v>0</v>
      </c>
      <c r="H23" s="5">
        <f t="shared" ref="H23:H31" si="4">G23*E23</f>
        <v>0</v>
      </c>
      <c r="I23" s="6">
        <f t="shared" si="2"/>
        <v>0</v>
      </c>
      <c r="K23" s="91" t="s">
        <v>382</v>
      </c>
      <c r="L23">
        <f>SUM(F2:F31)</f>
        <v>1620</v>
      </c>
      <c r="M23" s="4" t="s">
        <v>25</v>
      </c>
    </row>
    <row r="24" spans="2:13">
      <c r="B24" s="3">
        <v>23</v>
      </c>
      <c r="D24" s="4"/>
      <c r="F24" s="101">
        <f t="shared" si="3"/>
        <v>0</v>
      </c>
      <c r="H24" s="5">
        <f t="shared" si="4"/>
        <v>0</v>
      </c>
      <c r="I24" s="6">
        <f t="shared" si="2"/>
        <v>0</v>
      </c>
      <c r="K24" s="91" t="s">
        <v>389</v>
      </c>
      <c r="L24">
        <v>5000</v>
      </c>
      <c r="M24" s="4" t="s">
        <v>23</v>
      </c>
    </row>
    <row r="25" spans="2:13">
      <c r="B25" s="3">
        <v>24</v>
      </c>
      <c r="D25" s="4"/>
      <c r="F25" s="101">
        <f t="shared" si="3"/>
        <v>0</v>
      </c>
      <c r="H25" s="5">
        <f t="shared" si="4"/>
        <v>0</v>
      </c>
      <c r="I25" s="6">
        <f t="shared" si="2"/>
        <v>0</v>
      </c>
      <c r="K25" s="91" t="s">
        <v>28</v>
      </c>
      <c r="L25" s="93" t="s">
        <v>384</v>
      </c>
      <c r="M25" s="4" t="s">
        <v>25</v>
      </c>
    </row>
    <row r="26" spans="2:13">
      <c r="B26" s="3">
        <v>25</v>
      </c>
      <c r="D26" s="4"/>
      <c r="F26" s="101">
        <f t="shared" si="3"/>
        <v>0</v>
      </c>
      <c r="H26" s="5">
        <f t="shared" si="4"/>
        <v>0</v>
      </c>
      <c r="I26" s="6">
        <f t="shared" si="2"/>
        <v>0</v>
      </c>
      <c r="K26" s="91" t="s">
        <v>29</v>
      </c>
      <c r="L26" s="93">
        <v>1600</v>
      </c>
      <c r="M26" s="4" t="s">
        <v>25</v>
      </c>
    </row>
    <row r="27" spans="2:13" ht="17.25" thickBot="1">
      <c r="B27" s="3">
        <v>26</v>
      </c>
      <c r="D27" s="4"/>
      <c r="F27" s="101">
        <f t="shared" si="3"/>
        <v>0</v>
      </c>
      <c r="H27" s="5">
        <f t="shared" si="4"/>
        <v>0</v>
      </c>
      <c r="I27" s="6">
        <f t="shared" si="2"/>
        <v>0</v>
      </c>
      <c r="K27" s="14" t="s">
        <v>383</v>
      </c>
      <c r="L27" s="11">
        <v>4</v>
      </c>
      <c r="M27" s="12" t="s">
        <v>25</v>
      </c>
    </row>
    <row r="28" spans="2:13" ht="17.25" thickBot="1">
      <c r="B28" s="3">
        <v>27</v>
      </c>
      <c r="D28" s="4"/>
      <c r="F28" s="101">
        <f t="shared" si="3"/>
        <v>0</v>
      </c>
      <c r="H28" s="5">
        <f t="shared" si="4"/>
        <v>0</v>
      </c>
      <c r="I28" s="6">
        <f t="shared" si="2"/>
        <v>0</v>
      </c>
      <c r="J28" s="91"/>
      <c r="K28" s="11"/>
      <c r="L28" s="11"/>
      <c r="M28" s="94"/>
    </row>
    <row r="29" spans="2:13" ht="17.25" thickBot="1">
      <c r="B29" s="3">
        <v>28</v>
      </c>
      <c r="D29" s="4"/>
      <c r="F29" s="101">
        <f t="shared" si="3"/>
        <v>0</v>
      </c>
      <c r="H29" s="5">
        <f t="shared" si="4"/>
        <v>0</v>
      </c>
      <c r="I29" s="6">
        <f t="shared" si="2"/>
        <v>0</v>
      </c>
      <c r="K29" s="148" t="s">
        <v>387</v>
      </c>
      <c r="L29" s="149"/>
      <c r="M29" s="150"/>
    </row>
    <row r="30" spans="2:13">
      <c r="B30" s="3">
        <v>29</v>
      </c>
      <c r="D30" s="4"/>
      <c r="F30" s="101">
        <f t="shared" si="3"/>
        <v>0</v>
      </c>
      <c r="H30" s="5">
        <f t="shared" si="4"/>
        <v>0</v>
      </c>
      <c r="I30" s="6">
        <f t="shared" si="2"/>
        <v>0</v>
      </c>
      <c r="K30" s="91" t="s">
        <v>28</v>
      </c>
      <c r="L30" s="5">
        <f>SUM(H2:H31)</f>
        <v>1870.9999999999998</v>
      </c>
      <c r="M30" s="4" t="s">
        <v>386</v>
      </c>
    </row>
    <row r="31" spans="2:13" ht="17.25" thickBot="1">
      <c r="B31" s="13">
        <v>30</v>
      </c>
      <c r="C31" s="14"/>
      <c r="D31" s="12"/>
      <c r="E31" s="95"/>
      <c r="F31" s="102">
        <f t="shared" si="3"/>
        <v>0</v>
      </c>
      <c r="G31" s="14"/>
      <c r="H31" s="15">
        <f t="shared" si="4"/>
        <v>0</v>
      </c>
      <c r="I31" s="16">
        <f t="shared" si="2"/>
        <v>0</v>
      </c>
      <c r="K31" s="14" t="s">
        <v>385</v>
      </c>
      <c r="L31" s="15">
        <f>SUM(I2:I31)</f>
        <v>37420</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2" sqref="K2:M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6</v>
      </c>
      <c r="F2" s="101">
        <f>E2*$L$15</f>
        <v>120</v>
      </c>
      <c r="G2">
        <f>VLOOKUP($C2,약재관리!A:J,10,FALSE)</f>
        <v>19.8</v>
      </c>
      <c r="H2" s="5">
        <f>G2*E2</f>
        <v>118.80000000000001</v>
      </c>
      <c r="I2" s="90">
        <f>G2*F2</f>
        <v>2376</v>
      </c>
      <c r="K2" s="7" t="s">
        <v>9</v>
      </c>
      <c r="L2" s="151">
        <v>44</v>
      </c>
      <c r="M2" s="152"/>
    </row>
    <row r="3" spans="2:13">
      <c r="B3" s="3">
        <v>2</v>
      </c>
      <c r="C3" t="s">
        <v>408</v>
      </c>
      <c r="D3" s="4"/>
      <c r="E3" s="88">
        <v>4</v>
      </c>
      <c r="F3" s="101">
        <f t="shared" ref="F3:F31" si="0">E3*$L$15</f>
        <v>80</v>
      </c>
      <c r="G3">
        <f>VLOOKUP($C3,약재관리!A:J,10,FALSE)</f>
        <v>28</v>
      </c>
      <c r="H3" s="5">
        <f t="shared" ref="H3:H31" si="1">G3*E3</f>
        <v>112</v>
      </c>
      <c r="I3" s="6">
        <f t="shared" ref="I3:I31" si="2">G3*F3</f>
        <v>2240</v>
      </c>
      <c r="K3" s="8" t="s">
        <v>10</v>
      </c>
      <c r="L3" s="146" t="s">
        <v>425</v>
      </c>
      <c r="M3" s="147"/>
    </row>
    <row r="4" spans="2:13">
      <c r="B4" s="3">
        <v>3</v>
      </c>
      <c r="C4" t="s">
        <v>421</v>
      </c>
      <c r="D4" s="4"/>
      <c r="E4" s="88">
        <v>4</v>
      </c>
      <c r="F4" s="101">
        <f t="shared" si="0"/>
        <v>80</v>
      </c>
      <c r="G4">
        <f>VLOOKUP($C4,약재관리!A:J,10,FALSE)</f>
        <v>24</v>
      </c>
      <c r="H4" s="5">
        <f t="shared" si="1"/>
        <v>96</v>
      </c>
      <c r="I4" s="6">
        <f t="shared" si="2"/>
        <v>1920</v>
      </c>
      <c r="K4" s="8" t="s">
        <v>11</v>
      </c>
      <c r="L4" s="153">
        <v>45603</v>
      </c>
      <c r="M4" s="147"/>
    </row>
    <row r="5" spans="2:13">
      <c r="B5" s="3">
        <v>4</v>
      </c>
      <c r="C5" t="s">
        <v>409</v>
      </c>
      <c r="D5" s="4"/>
      <c r="E5" s="88">
        <v>4</v>
      </c>
      <c r="F5" s="101">
        <f t="shared" si="0"/>
        <v>80</v>
      </c>
      <c r="G5">
        <f>VLOOKUP($C5,약재관리!A:J,10,FALSE)</f>
        <v>34.700000000000003</v>
      </c>
      <c r="H5" s="5">
        <f t="shared" si="1"/>
        <v>138.80000000000001</v>
      </c>
      <c r="I5" s="6">
        <f t="shared" si="2"/>
        <v>2776</v>
      </c>
      <c r="K5" s="8" t="s">
        <v>12</v>
      </c>
      <c r="L5" s="146" t="s">
        <v>426</v>
      </c>
      <c r="M5" s="147"/>
    </row>
    <row r="6" spans="2:13">
      <c r="B6" s="3">
        <v>5</v>
      </c>
      <c r="C6" t="s">
        <v>422</v>
      </c>
      <c r="D6" s="4"/>
      <c r="E6" s="88">
        <v>4</v>
      </c>
      <c r="F6" s="101">
        <f t="shared" si="0"/>
        <v>80</v>
      </c>
      <c r="G6">
        <f>VLOOKUP($C6,약재관리!A:J,10,FALSE)</f>
        <v>15.7</v>
      </c>
      <c r="H6" s="5">
        <f t="shared" si="1"/>
        <v>62.8</v>
      </c>
      <c r="I6" s="6">
        <f t="shared" si="2"/>
        <v>1256</v>
      </c>
      <c r="K6" s="8" t="s">
        <v>13</v>
      </c>
      <c r="L6" s="146"/>
      <c r="M6" s="147"/>
    </row>
    <row r="7" spans="2:13" ht="17.25" thickBot="1">
      <c r="B7" s="3">
        <v>6</v>
      </c>
      <c r="C7" t="s">
        <v>423</v>
      </c>
      <c r="D7" s="4"/>
      <c r="E7" s="88">
        <v>4</v>
      </c>
      <c r="F7" s="101">
        <f t="shared" si="0"/>
        <v>80</v>
      </c>
      <c r="G7">
        <f>VLOOKUP($C7,약재관리!A:J,10,FALSE)</f>
        <v>40</v>
      </c>
      <c r="H7" s="5">
        <f t="shared" si="1"/>
        <v>160</v>
      </c>
      <c r="I7" s="6">
        <f t="shared" si="2"/>
        <v>3200</v>
      </c>
      <c r="K7" s="8" t="s">
        <v>14</v>
      </c>
      <c r="L7" s="154"/>
      <c r="M7" s="155"/>
    </row>
    <row r="8" spans="2:13" ht="17.25" thickBot="1">
      <c r="B8" s="3">
        <v>7</v>
      </c>
      <c r="C8" t="s">
        <v>410</v>
      </c>
      <c r="D8" s="4"/>
      <c r="E8" s="88">
        <v>4</v>
      </c>
      <c r="F8" s="101">
        <f t="shared" si="0"/>
        <v>80</v>
      </c>
      <c r="G8">
        <f>VLOOKUP($C8,약재관리!A:J,10,FALSE)</f>
        <v>61.3</v>
      </c>
      <c r="H8" s="5">
        <f t="shared" si="1"/>
        <v>245.2</v>
      </c>
      <c r="I8" s="6">
        <f t="shared" si="2"/>
        <v>4904</v>
      </c>
      <c r="K8" s="148" t="s">
        <v>15</v>
      </c>
      <c r="L8" s="149"/>
      <c r="M8" s="150"/>
    </row>
    <row r="9" spans="2:13">
      <c r="B9" s="3">
        <v>8</v>
      </c>
      <c r="C9" t="s">
        <v>420</v>
      </c>
      <c r="D9" s="4"/>
      <c r="E9" s="88">
        <v>4</v>
      </c>
      <c r="F9" s="101">
        <f t="shared" si="0"/>
        <v>80</v>
      </c>
      <c r="G9">
        <f>VLOOKUP($C9,약재관리!A:J,10,FALSE)</f>
        <v>10.8</v>
      </c>
      <c r="H9" s="5">
        <f t="shared" si="1"/>
        <v>43.2</v>
      </c>
      <c r="I9" s="6">
        <f t="shared" si="2"/>
        <v>864</v>
      </c>
      <c r="K9" s="156" t="s">
        <v>437</v>
      </c>
      <c r="L9" s="157"/>
      <c r="M9" s="158"/>
    </row>
    <row r="10" spans="2:13">
      <c r="B10" s="3">
        <v>9</v>
      </c>
      <c r="C10" t="s">
        <v>411</v>
      </c>
      <c r="D10" s="4"/>
      <c r="E10" s="88">
        <v>2.8</v>
      </c>
      <c r="F10" s="101">
        <f t="shared" si="0"/>
        <v>56</v>
      </c>
      <c r="G10">
        <f>VLOOKUP($C10,약재관리!A:J,10,FALSE)</f>
        <v>21.8</v>
      </c>
      <c r="H10" s="5">
        <f t="shared" si="1"/>
        <v>61.04</v>
      </c>
      <c r="I10" s="6">
        <f t="shared" si="2"/>
        <v>1220.8</v>
      </c>
      <c r="K10" s="159"/>
      <c r="L10" s="160"/>
      <c r="M10" s="161"/>
    </row>
    <row r="11" spans="2:13">
      <c r="B11" s="3">
        <v>10</v>
      </c>
      <c r="C11" t="s">
        <v>412</v>
      </c>
      <c r="D11" s="4"/>
      <c r="E11" s="88">
        <v>2.8</v>
      </c>
      <c r="F11" s="101">
        <f t="shared" si="0"/>
        <v>56</v>
      </c>
      <c r="G11">
        <f>VLOOKUP($C11,약재관리!A:J,10,FALSE)</f>
        <v>117</v>
      </c>
      <c r="H11" s="5">
        <f t="shared" si="1"/>
        <v>327.59999999999997</v>
      </c>
      <c r="I11" s="6">
        <f t="shared" si="2"/>
        <v>6552</v>
      </c>
      <c r="K11" s="159"/>
      <c r="L11" s="160"/>
      <c r="M11" s="161"/>
    </row>
    <row r="12" spans="2:13">
      <c r="B12" s="3">
        <v>11</v>
      </c>
      <c r="C12" t="s">
        <v>413</v>
      </c>
      <c r="D12" s="4" t="s">
        <v>414</v>
      </c>
      <c r="E12" s="88">
        <v>2.8</v>
      </c>
      <c r="F12" s="101">
        <f t="shared" si="0"/>
        <v>56</v>
      </c>
      <c r="G12">
        <f>VLOOKUP($C12,약재관리!A:J,10,FALSE)</f>
        <v>22.5</v>
      </c>
      <c r="H12" s="5">
        <f t="shared" si="1"/>
        <v>62.999999999999993</v>
      </c>
      <c r="I12" s="6">
        <f t="shared" si="2"/>
        <v>1260</v>
      </c>
      <c r="K12" s="159"/>
      <c r="L12" s="160"/>
      <c r="M12" s="161"/>
    </row>
    <row r="13" spans="2:13" ht="17.25" thickBot="1">
      <c r="B13" s="3">
        <v>12</v>
      </c>
      <c r="C13" t="s">
        <v>415</v>
      </c>
      <c r="D13" s="4"/>
      <c r="E13" s="88">
        <v>2.8</v>
      </c>
      <c r="F13" s="101">
        <f t="shared" si="0"/>
        <v>56</v>
      </c>
      <c r="G13">
        <f>VLOOKUP($C13,약재관리!A:J,10,FALSE)</f>
        <v>26.4</v>
      </c>
      <c r="H13" s="5">
        <f t="shared" si="1"/>
        <v>73.919999999999987</v>
      </c>
      <c r="I13" s="6">
        <f t="shared" si="2"/>
        <v>1478.3999999999999</v>
      </c>
      <c r="K13" s="162"/>
      <c r="L13" s="163"/>
      <c r="M13" s="164"/>
    </row>
    <row r="14" spans="2:13">
      <c r="B14" s="3">
        <v>13</v>
      </c>
      <c r="C14" t="s">
        <v>416</v>
      </c>
      <c r="D14" s="4"/>
      <c r="E14" s="88">
        <v>2</v>
      </c>
      <c r="F14" s="101">
        <f t="shared" si="0"/>
        <v>40</v>
      </c>
      <c r="G14">
        <f>VLOOKUP($C14,약재관리!A:J,10,FALSE)</f>
        <v>8.5</v>
      </c>
      <c r="H14" s="5">
        <f t="shared" si="1"/>
        <v>17</v>
      </c>
      <c r="I14" s="6">
        <f t="shared" si="2"/>
        <v>340</v>
      </c>
      <c r="K14" s="92" t="s">
        <v>16</v>
      </c>
      <c r="L14" s="9">
        <v>15</v>
      </c>
      <c r="M14" s="10" t="s">
        <v>17</v>
      </c>
    </row>
    <row r="15" spans="2:13">
      <c r="B15" s="3">
        <v>14</v>
      </c>
      <c r="C15" t="s">
        <v>417</v>
      </c>
      <c r="D15" s="4"/>
      <c r="E15" s="88">
        <v>2</v>
      </c>
      <c r="F15" s="101">
        <f t="shared" si="0"/>
        <v>40</v>
      </c>
      <c r="G15">
        <f>VLOOKUP($C15,약재관리!A:J,10,FALSE)</f>
        <v>28.3</v>
      </c>
      <c r="H15" s="5">
        <f t="shared" si="1"/>
        <v>56.6</v>
      </c>
      <c r="I15" s="6">
        <f t="shared" si="2"/>
        <v>1132</v>
      </c>
      <c r="K15" s="91" t="s">
        <v>18</v>
      </c>
      <c r="L15">
        <v>20</v>
      </c>
      <c r="M15" s="4" t="s">
        <v>19</v>
      </c>
    </row>
    <row r="16" spans="2:13">
      <c r="B16" s="3">
        <v>15</v>
      </c>
      <c r="C16" t="s">
        <v>418</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C17" t="s">
        <v>424</v>
      </c>
      <c r="D17" s="4"/>
      <c r="E17" s="88">
        <v>2</v>
      </c>
      <c r="F17" s="101">
        <f t="shared" si="0"/>
        <v>40</v>
      </c>
      <c r="G17">
        <f>VLOOKUP($C17,약재관리!A:J,10,FALSE)</f>
        <v>11.2</v>
      </c>
      <c r="H17" s="5">
        <f t="shared" si="1"/>
        <v>22.4</v>
      </c>
      <c r="I17" s="6">
        <f t="shared" si="2"/>
        <v>448</v>
      </c>
      <c r="K17" s="14" t="s">
        <v>22</v>
      </c>
      <c r="L17" s="11">
        <v>100</v>
      </c>
      <c r="M17" s="12" t="s">
        <v>23</v>
      </c>
    </row>
    <row r="18" spans="2:13">
      <c r="B18" s="3">
        <v>17</v>
      </c>
      <c r="C18" t="s">
        <v>419</v>
      </c>
      <c r="D18" s="4"/>
      <c r="E18" s="88">
        <v>8</v>
      </c>
      <c r="F18" s="101">
        <f t="shared" si="0"/>
        <v>160</v>
      </c>
      <c r="G18">
        <f>VLOOKUP($C18,약재관리!A:J,10,FALSE)</f>
        <v>44</v>
      </c>
      <c r="H18" s="5">
        <f t="shared" si="1"/>
        <v>352</v>
      </c>
      <c r="I18" s="6">
        <f t="shared" si="2"/>
        <v>7040</v>
      </c>
      <c r="K18" s="92" t="s">
        <v>24</v>
      </c>
      <c r="L18" s="9">
        <f>SUM(E2:E31)</f>
        <v>67.199999999999989</v>
      </c>
      <c r="M18" s="10" t="s">
        <v>25</v>
      </c>
    </row>
    <row r="19" spans="2:13">
      <c r="B19" s="3">
        <v>18</v>
      </c>
      <c r="C19" t="s">
        <v>427</v>
      </c>
      <c r="D19" s="4"/>
      <c r="E19" s="88">
        <v>4</v>
      </c>
      <c r="F19" s="101">
        <f t="shared" si="0"/>
        <v>80</v>
      </c>
      <c r="G19">
        <f>VLOOKUP($C19,약재관리!A:J,10,FALSE)</f>
        <v>15.3</v>
      </c>
      <c r="H19" s="5">
        <f t="shared" si="1"/>
        <v>61.2</v>
      </c>
      <c r="I19" s="6">
        <f t="shared" si="2"/>
        <v>1224</v>
      </c>
      <c r="K19" s="91" t="s">
        <v>26</v>
      </c>
      <c r="L19">
        <f>L15*L18</f>
        <v>1343.9999999999998</v>
      </c>
      <c r="M19" s="4" t="s">
        <v>25</v>
      </c>
    </row>
    <row r="20" spans="2:13" ht="17.25" thickBot="1">
      <c r="B20" s="3">
        <v>19</v>
      </c>
      <c r="D20" s="4"/>
      <c r="F20" s="101">
        <f t="shared" si="0"/>
        <v>0</v>
      </c>
      <c r="H20" s="5">
        <f t="shared" si="1"/>
        <v>0</v>
      </c>
      <c r="I20" s="6">
        <f t="shared" si="2"/>
        <v>0</v>
      </c>
      <c r="K20" s="14" t="s">
        <v>27</v>
      </c>
      <c r="L20" s="11">
        <f>L16*L17+L19</f>
        <v>5844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1344</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2071.56</v>
      </c>
      <c r="M30" s="4" t="s">
        <v>386</v>
      </c>
    </row>
    <row r="31" spans="2:13" ht="17.25" thickBot="1">
      <c r="B31" s="13">
        <v>30</v>
      </c>
      <c r="C31" s="14"/>
      <c r="D31" s="12"/>
      <c r="E31" s="95"/>
      <c r="F31" s="102">
        <f t="shared" si="0"/>
        <v>0</v>
      </c>
      <c r="G31" s="14"/>
      <c r="H31" s="15">
        <f t="shared" si="1"/>
        <v>0</v>
      </c>
      <c r="I31" s="16">
        <f t="shared" si="2"/>
        <v>0</v>
      </c>
      <c r="K31" s="14" t="s">
        <v>385</v>
      </c>
      <c r="L31" s="15">
        <f>SUM(I2:I31)</f>
        <v>41431.199999999997</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75" zoomScaleNormal="100" workbookViewId="0">
      <selection activeCell="J152" sqref="J15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vt:lpstr>
      <vt:lpstr>형개연교탕</vt:lpstr>
      <vt:lpstr>형개연교B (청연산)</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2024-12-02T00:50:57Z</cp:lastPrinted>
  <dcterms:created xsi:type="dcterms:W3CDTF">2024-09-12T16:35:01Z</dcterms:created>
  <dcterms:modified xsi:type="dcterms:W3CDTF">2026-04-20T06:22:42Z</dcterms:modified>
</cp:coreProperties>
</file>