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34" documentId="8_{6EB8DC0A-AB56-415F-A9F3-EA1534264548}" xr6:coauthVersionLast="47" xr6:coauthVersionMax="47" xr10:uidLastSave="{E2E9AC16-DCDD-4372-B020-F70FD8625C32}"/>
  <bookViews>
    <workbookView xWindow="13530" yWindow="3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81" i="5"/>
  <c r="I80" i="5"/>
  <c r="H80" i="5"/>
  <c r="G80" i="5"/>
  <c r="F80" i="5"/>
  <c r="I102" i="5"/>
  <c r="I138" i="5"/>
  <c r="H57" i="5"/>
  <c r="G15" i="4"/>
  <c r="G16" i="4"/>
  <c r="G17" i="4"/>
  <c r="I87" i="5"/>
  <c r="I53" i="5"/>
  <c r="I54" i="5"/>
  <c r="I128" i="5"/>
  <c r="G143" i="5"/>
  <c r="I146" i="5"/>
  <c r="H146" i="5"/>
  <c r="G146" i="5"/>
  <c r="F146" i="5"/>
  <c r="G172" i="5"/>
  <c r="G3" i="4"/>
  <c r="G4" i="4"/>
  <c r="G5" i="4"/>
  <c r="G6" i="4"/>
  <c r="G7" i="4"/>
  <c r="G8" i="4"/>
  <c r="G9" i="4"/>
  <c r="G10" i="4"/>
  <c r="G11" i="4"/>
  <c r="G12" i="4"/>
  <c r="G13" i="4"/>
  <c r="G14" i="4"/>
  <c r="G147"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F147" i="5"/>
  <c r="I145" i="5"/>
  <c r="H145" i="5"/>
  <c r="G145" i="5"/>
  <c r="F145" i="5"/>
  <c r="I144" i="5"/>
  <c r="H144" i="5"/>
  <c r="G144" i="5"/>
  <c r="F144" i="5"/>
  <c r="I143" i="5"/>
  <c r="H143" i="5"/>
  <c r="F143" i="5"/>
  <c r="I142" i="5"/>
  <c r="H142" i="5"/>
  <c r="G142" i="5"/>
  <c r="F142" i="5"/>
  <c r="I141" i="5"/>
  <c r="H141" i="5"/>
  <c r="G141" i="5"/>
  <c r="F141" i="5"/>
  <c r="I140" i="5"/>
  <c r="H140" i="5"/>
  <c r="G140" i="5"/>
  <c r="F140" i="5"/>
  <c r="I139" i="5"/>
  <c r="H139" i="5"/>
  <c r="G139" i="5"/>
  <c r="F139"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6" i="5"/>
  <c r="H86" i="5"/>
  <c r="G86" i="5"/>
  <c r="F86" i="5"/>
  <c r="I85" i="5"/>
  <c r="H85" i="5"/>
  <c r="G85" i="5"/>
  <c r="F85" i="5"/>
  <c r="I84" i="5"/>
  <c r="H84" i="5"/>
  <c r="G84" i="5"/>
  <c r="F84" i="5"/>
  <c r="I83" i="5"/>
  <c r="H83" i="5"/>
  <c r="G83" i="5"/>
  <c r="F83" i="5"/>
  <c r="I82" i="5"/>
  <c r="H82" i="5"/>
  <c r="G82" i="5"/>
  <c r="F82" i="5"/>
  <c r="I81" i="5"/>
  <c r="H81" i="5"/>
  <c r="F81"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5"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6"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7"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8"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9"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30"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1"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2"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3"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4"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5"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6"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7"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8"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9"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40"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1"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2"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3"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4"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5"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6"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7"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8"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9"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50"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1"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<sst xmlns="http://schemas.openxmlformats.org/spreadsheetml/2006/main" count="599" uniqueCount="434">
  <si>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</si>
  <si>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</si>
  <si>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</si>
  <si>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</si>
  <si>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</si>
  <si>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</si>
  <si>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</si>
  <si>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</si>
  <si>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</si>
  <si>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</si>
  <si>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</si>
  <si>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</si>
  <si>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</si>
  <si>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</si>
  <si>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</si>
  <si>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</si>
  <si>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</si>
  <si>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</si>
  <si>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</si>
  <si>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</si>
  <si>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</si>
  <si>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</si>
  <si>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</si>
  <si>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</si>
  <si>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</si>
  <si>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</si>
  <si>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</si>
  <si>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</si>
  <si>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</si>
  <si>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</si>
  <si>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</si>
  <si>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</si>
  <si>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</si>
  <si>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</si>
  <si>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</si>
  <si>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</si>
  <si>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</si>
  <si>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</si>
  <si>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</si>
  <si>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</si>
  <si>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</si>
  <si>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</si>
  <si>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</si>
  <si>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</si>
  <si>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</si>
  <si>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</si>
  <si>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</si>
  <si>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</si>
  <si>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</si>
  <si>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</si>
  <si>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</si>
  <si>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</si>
  <si>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</si>
  <si>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</si>
  <si>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</si>
  <si>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</si>
  <si>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</si>
  <si>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</si>
  <si>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</si>
  <si>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</si>
  <si>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</si>
  <si>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</si>
  <si>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</si>
  <si>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</si>
  <si>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</si>
  <si>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</si>
  <si>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</si>
  <si>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</si>
  <si>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</si>
  <si>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</si>
  <si>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</si>
  <si>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</si>
  <si>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</si>
  <si>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</si>
  <si>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</si>
  <si>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</si>
  <si>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</si>
  <si>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</si>
  <si>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</si>
  <si>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</si>
  <si>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</si>
  <si>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</si>
  <si>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</si>
  <si>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</si>
  <si>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</si>
  <si>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</si>
  <si>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</si>
  <si>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</si>
  <si>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</si>
  <si>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</si>
  <si>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</si>
  <si>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</si>
  <si>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</si>
  <si>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</si>
  <si>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</si>
  <si>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</si>
  <si>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</si>
  <si>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</si>
  <si>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</si>
  <si>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</si>
  <si>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</si>
  <si>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</si>
  <si>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</si>
  <si>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</si>
  <si>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</si>
  <si>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</si>
  <si>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</si>
  <si>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</si>
  <si>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</si>
  <si>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</si>
  <si>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</si>
  <si>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</si>
  <si>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</si>
  <si>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</si>
  <si>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</si>
  <si>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</si>
  <si>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</si>
  <si>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</si>
  <si>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</si>
  <si>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</si>
  <si>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</si>
  <si>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</si>
  <si>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</si>
  <si>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</si>
  <si>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</si>
  <si>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</si>
  <si>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</si>
  <si>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</si>
  <si>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</si>
  <si>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</si>
  <si>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</si>
  <si>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</si>
  <si>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</si>
  <si>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</si>
  <si>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</si>
  <si>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</si>
  <si>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</si>
  <si>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</si>
  <si>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</si>
  <si>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</si>
  <si>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</si>
  <si>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</si>
  <si>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</si>
  <si>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</si>
  <si>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</si>
  <si>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</si>
  <si>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</si>
  <si>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</si>
  <si>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</si>
  <si>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</si>
  <si>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</si>
  <si>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</si>
  <si>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</si>
  <si>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</si>
  <si>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</si>
  <si>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</si>
  <si>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</si>
  <si>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</si>
  <si>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</si>
  <si>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</si>
  <si>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</si>
  <si>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</si>
  <si>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</si>
  <si>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</si>
  <si>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</si>
  <si>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</si>
  <si>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</si>
  <si>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</si>
  <si>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</si>
  <si>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</si>
  <si>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</si>
  <si>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</si>
  <si>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</si>
  <si>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</si>
  <si>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</si>
  <si>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</si>
  <si>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</si>
  <si>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</si>
  <si>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</si>
  <si>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</si>
  <si>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</si>
  <si>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</si>
  <si>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</si>
  <si>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</si>
  <si>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</si>
  <si>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</si>
  <si>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</si>
  <si>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</si>
  <si>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</si>
  <si>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</si>
  <si>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</si>
  <si>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</si>
  <si>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</si>
  <si>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</si>
  <si>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</si>
  <si>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</si>
  <si>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</si>
  <si>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</si>
  <si>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</si>
  <si>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</si>
  <si>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</si>
  <si>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</si>
  <si>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</si>
  <si>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</si>
  <si>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</si>
  <si>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</si>
  <si>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</si>
  <si>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</si>
  <si>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</si>
  <si>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</si>
  <si>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</si>
  <si>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</si>
  <si>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</si>
  <si>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</si>
  <si>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</si>
  <si>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</si>
  <si>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</si>
  <si>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</si>
  <si>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</si>
  <si>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</si>
  <si>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</si>
  <si>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</si>
  <si>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</si>
  <si>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</si>
  <si>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</si>
  <si>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</si>
  <si>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</si>
  <si>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</si>
  <si>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</si>
  <si>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</si>
  <si>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</si>
  <si>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</si>
  <si>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</si>
  <si>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</si>
  <si>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</si>
  <si>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</si>
  <si>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</si>
  <si>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</si>
  <si>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</si>
  <si>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</si>
  <si>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</si>
  <si>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</si>
  <si>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</si>
  <si>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</si>
  <si>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</si>
  <si>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</si>
  <si>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</si>
  <si>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</si>
  <si>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</si>
  <si>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</si>
  <si>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</si>
  <si>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</si>
  <si>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</si>
  <si>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</si>
  <si>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</si>
  <si>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</si>
  <si>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</si>
  <si>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</si>
  <si>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</si>
  <si>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</si>
  <si>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</si>
  <si>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</si>
  <si>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</si>
  <si>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</si>
  <si>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</si>
  <si>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</si>
  <si>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</si>
  <si>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</si>
  <si>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</si>
  <si>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</si>
  <si>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</si>
  <si>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</si>
  <si>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</si>
  <si>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</si>
  <si>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</si>
  <si>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</si>
  <si>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</si>
  <si>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</si>
  <si>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</si>
  <si>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</si>
  <si>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</si>
  <si>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</si>
  <si>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</si>
  <si>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</si>
  <si>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</si>
  <si>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</si>
  <si>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</si>
  <si>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</si>
  <si>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</si>
  <si>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</si>
  <si>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</si>
  <si>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</si>
  <si>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</si>
  <si>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</si>
  <si>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</si>
  <si>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</si>
  <si>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</si>
  <si>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</si>
  <si>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</si>
  <si>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</si>
  <si>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</si>
  <si>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</si>
  <si>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</si>
  <si>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</si>
  <si>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</si>
  <si>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</si>
  <si>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</si>
  <si>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</si>
  <si>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</si>
  <si>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</si>
  <si>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</si>
  <si>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</si>
  <si>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</si>
  <si>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</si>
  <si>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</si>
  <si>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</si>
  <si>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</si>
  <si>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</si>
  <si>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</si>
  <si>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</si>
  <si>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</si>
  <si>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</si>
  <si>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</si>
  <si>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</si>
  <si>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</si>
  <si>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</si>
  <si>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</si>
  <si>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</si>
  <si>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</si>
  <si>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</si>
  <si>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</si>
  <si>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</si>
  <si>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</si>
  <si>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</si>
  <si>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</si>
  <si>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</si>
  <si>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</si>
  <si>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</si>
  <si>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</si>
  <si>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</si>
  <si>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</si>
  <si>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</si>
  <si>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</si>
  <si>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</si>
  <si>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</si>
  <si>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</si>
  <si>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</si>
  <si>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</si>
  <si>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</si>
  <si>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</si>
  <si>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</si>
  <si>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</si>
  <si>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</si>
  <si>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</si>
  <si>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</si>
  <si>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</si>
  <si>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</si>
  <si>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</si>
  <si>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</si>
  <si>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</si>
  <si>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</si>
  <si>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</si>
  <si>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</si>
  <si>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</si>
  <si>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</si>
  <si>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</si>
  <si>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</si>
  <si>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</si>
  <si>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</si>
  <si>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</si>
  <si>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</si>
  <si>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</si>
  <si>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</si>
  <si>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</si>
  <si>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</si>
  <si>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</si>
  <si>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</si>
  <si>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</si>
  <si>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</si>
  <si>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</si>
  <si>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</si>
  <si>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</si>
  <si>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</si>
  <si>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</si>
  <si>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</si>
  <si>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</si>
  <si>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</si>
  <si>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</si>
  <si>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</si>
  <si>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</si>
  <si>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</si>
  <si>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</si>
  <si>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</si>
  <si>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</si>
  <si>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</si>
  <si>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</si>
  <si>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</si>
  <si>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</si>
  <si>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</si>
  <si>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</si>
  <si>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</si>
  <si>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</si>
  <si>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</si>
  <si>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</si>
  <si>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</si>
  <si>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</si>
  <si>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</si>
  <si>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</si>
  <si>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</si>
  <si>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</si>
  <si>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</si>
  <si>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</si>
  <si>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</si>
  <si>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</si>
  <si>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인삼</t>
    <phoneticPr fontId="5" type="noConversion"/>
  </si>
  <si>
    <t>황기</t>
    <phoneticPr fontId="5" type="noConversion"/>
  </si>
  <si>
    <t>백출</t>
    <phoneticPr fontId="5" type="noConversion"/>
  </si>
  <si>
    <t>백작약</t>
    <phoneticPr fontId="5" type="noConversion"/>
  </si>
  <si>
    <t>감초</t>
    <phoneticPr fontId="5" type="noConversion"/>
  </si>
  <si>
    <t>생강</t>
    <phoneticPr fontId="5" type="noConversion"/>
  </si>
  <si>
    <t>대추</t>
    <phoneticPr fontId="5" type="noConversion"/>
  </si>
  <si>
    <t>백하수오</t>
    <phoneticPr fontId="5" type="noConversion"/>
  </si>
  <si>
    <t>당귀1</t>
    <phoneticPr fontId="5" type="noConversion"/>
  </si>
  <si>
    <t>감국</t>
    <phoneticPr fontId="5" type="noConversion"/>
  </si>
  <si>
    <t>구기자</t>
    <phoneticPr fontId="5" type="noConversion"/>
  </si>
  <si>
    <t>산수유</t>
    <phoneticPr fontId="5" type="noConversion"/>
  </si>
  <si>
    <t>녹용</t>
    <phoneticPr fontId="5" type="noConversion"/>
  </si>
  <si>
    <t>신나리</t>
    <phoneticPr fontId="5" type="noConversion"/>
  </si>
  <si>
    <t>F</t>
    <phoneticPr fontId="5" type="noConversion"/>
  </si>
  <si>
    <t>승양익기탕</t>
    <phoneticPr fontId="5" type="noConversion"/>
  </si>
  <si>
    <t>계지</t>
    <phoneticPr fontId="5" type="noConversion"/>
  </si>
  <si>
    <t>육계</t>
    <phoneticPr fontId="5" type="noConversion"/>
  </si>
  <si>
    <t>복령</t>
    <phoneticPr fontId="5" type="noConversion"/>
  </si>
  <si>
    <t xml:space="preserve">승양익기탕 + 복령 백출 감국 구기자 산수유 녹용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</si>
</sst>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732A399C-25B0-4037-9FC8-EAA2A8312A4D}">
    <text>휴먼허브, 초, 원산조인, 중국</text>
  </threadedComment>
  <threadedComment ref="A113" dT="2024-09-12T16:19:48.44" personId="{0277103A-E300-412D-B5C0-A5092221214E}" id="{DBB394E9-9A88-454C-B113-26684110C209}">
    <text>북시호</text>
  </threadedComment>
  <threadedComment ref="N113"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DAFE3375-7012-4228-BB84-52322B6BD771}">
    <text>야생시호</text>
  </threadedComment>
  <threadedComment ref="N114" dT="2024-09-12T07:59:25.73" personId="{00000000-0000-0000-0000-000000000000}" id="{7A04B3E7-161D-4686-B659-D1D35C99AE6E}">
    <text>사이코사포닌0.3%이상</text>
  </threadedComment>
  <threadedComment ref="N127"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21" sqref="F2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6</v>
      </c>
      <c r="F2" s="98">
        <f>E2*$L$15</f>
        <v>120</v>
      </c>
      <c r="G2">
        <f>VLOOKUP($C2,약재관리!A:J,10,FALSE)</f>
        <v>108.3</v>
      </c>
      <c r="H2" s="4">
        <f>G2*E2</f>
        <v>649.79999999999995</v>
      </c>
      <c r="I2" s="89">
        <f>G2*F2</f>
        <v>12996</v>
      </c>
      <c r="K2" s="6" t="s">
        <v>9</v>
      </c>
      <c r="L2" s="153">
        <v>126</v>
      </c>
      <c r="M2" s="154"/>
    </row>
    <row r="3" spans="2:13">
      <c r="B3" s="2">
        <v>2</v>
      </c>
      <c r="C3" t="s">
        <v>415</v>
      </c>
      <c r="D3" s="3"/>
      <c r="E3" s="87">
        <v>6</v>
      </c>
      <c r="F3" s="98">
        <f t="shared" ref="F3:F31" si="0">E3*$L$15</f>
        <v>120</v>
      </c>
      <c r="G3">
        <f>VLOOKUP($C3,약재관리!A:J,10,FALSE)</f>
        <v>22</v>
      </c>
      <c r="H3" s="4">
        <f t="shared" ref="H3:H31" si="1">G3*E3</f>
        <v>132</v>
      </c>
      <c r="I3" s="5">
        <f t="shared" ref="I3:I31" si="2">G3*F3</f>
        <v>2640</v>
      </c>
      <c r="K3" s="7" t="s">
        <v>10</v>
      </c>
      <c r="L3" s="148" t="s">
        <v>429</v>
      </c>
      <c r="M3" s="149"/>
    </row>
    <row r="4" spans="2:13">
      <c r="B4" s="2">
        <v>3</v>
      </c>
      <c r="C4" t="s">
        <v>430</v>
      </c>
      <c r="D4" s="3"/>
      <c r="E4" s="87">
        <v>6</v>
      </c>
      <c r="F4" s="98">
        <f t="shared" si="0"/>
        <v>120</v>
      </c>
      <c r="G4">
        <f>VLOOKUP($C4,약재관리!A:J,10,FALSE)</f>
        <v>4.8</v>
      </c>
      <c r="H4" s="4">
        <f t="shared" si="1"/>
        <v>28.799999999999997</v>
      </c>
      <c r="I4" s="5">
        <f t="shared" si="2"/>
        <v>576</v>
      </c>
      <c r="K4" s="7" t="s">
        <v>11</v>
      </c>
      <c r="L4" s="155">
        <v>45855</v>
      </c>
      <c r="M4" s="149"/>
    </row>
    <row r="5" spans="2:13">
      <c r="B5" s="2">
        <v>4</v>
      </c>
      <c r="C5" t="s">
        <v>422</v>
      </c>
      <c r="D5" s="3"/>
      <c r="E5" s="87">
        <v>4</v>
      </c>
      <c r="F5" s="98">
        <f t="shared" si="0"/>
        <v>80</v>
      </c>
      <c r="G5">
        <f>VLOOKUP($C5,약재관리!A:J,10,FALSE)</f>
        <v>27.2</v>
      </c>
      <c r="H5" s="4">
        <f t="shared" si="1"/>
        <v>108.8</v>
      </c>
      <c r="I5" s="5">
        <f t="shared" si="2"/>
        <v>2176</v>
      </c>
      <c r="K5" s="7" t="s">
        <v>12</v>
      </c>
      <c r="L5" s="148" t="s">
        <v>427</v>
      </c>
      <c r="M5" s="149"/>
    </row>
    <row r="6" spans="2:13">
      <c r="B6" s="2">
        <v>5</v>
      </c>
      <c r="C6" t="s">
        <v>431</v>
      </c>
      <c r="D6" s="3"/>
      <c r="E6" s="87">
        <v>4</v>
      </c>
      <c r="F6" s="98">
        <f t="shared" si="0"/>
        <v>80</v>
      </c>
      <c r="G6">
        <f>VLOOKUP($C6,약재관리!A:J,10,FALSE)</f>
        <v>14.8</v>
      </c>
      <c r="H6" s="4">
        <f t="shared" si="1"/>
        <v>59.2</v>
      </c>
      <c r="I6" s="5">
        <f t="shared" si="2"/>
        <v>1184</v>
      </c>
      <c r="K6" s="7" t="s">
        <v>13</v>
      </c>
      <c r="L6" s="148">
        <v>35</v>
      </c>
      <c r="M6" s="149"/>
    </row>
    <row r="7" spans="2:13" ht="17.25" thickBot="1">
      <c r="B7" s="2">
        <v>6</v>
      </c>
      <c r="C7" t="s">
        <v>417</v>
      </c>
      <c r="D7" s="3"/>
      <c r="E7" s="87">
        <v>4</v>
      </c>
      <c r="F7" s="98">
        <f t="shared" si="0"/>
        <v>80</v>
      </c>
      <c r="G7">
        <f>VLOOKUP($C7,약재관리!A:J,10,FALSE)</f>
        <v>19.600000000000001</v>
      </c>
      <c r="H7" s="4">
        <f t="shared" si="1"/>
        <v>78.400000000000006</v>
      </c>
      <c r="I7" s="5">
        <f t="shared" si="2"/>
        <v>1568</v>
      </c>
      <c r="K7" s="7" t="s">
        <v>14</v>
      </c>
      <c r="L7" s="156" t="s">
        <v>428</v>
      </c>
      <c r="M7" s="157"/>
    </row>
    <row r="8" spans="2:13" ht="17.25" thickBot="1">
      <c r="B8" s="2">
        <v>7</v>
      </c>
      <c r="C8" t="s">
        <v>421</v>
      </c>
      <c r="D8" s="3"/>
      <c r="E8" s="87">
        <v>4</v>
      </c>
      <c r="F8" s="98">
        <f t="shared" si="0"/>
        <v>80</v>
      </c>
      <c r="G8">
        <f>VLOOKUP($C8,약재관리!A:J,10,FALSE)</f>
        <v>49.8</v>
      </c>
      <c r="H8" s="4">
        <f t="shared" si="1"/>
        <v>199.2</v>
      </c>
      <c r="I8" s="5">
        <f t="shared" si="2"/>
        <v>3984</v>
      </c>
      <c r="K8" s="150" t="s">
        <v>15</v>
      </c>
      <c r="L8" s="151"/>
      <c r="M8" s="152"/>
    </row>
    <row r="9" spans="2:13">
      <c r="B9" s="2">
        <v>8</v>
      </c>
      <c r="C9" t="s">
        <v>418</v>
      </c>
      <c r="D9" s="3"/>
      <c r="E9" s="87">
        <v>4</v>
      </c>
      <c r="F9" s="98">
        <f t="shared" si="0"/>
        <v>80</v>
      </c>
      <c r="G9">
        <f>VLOOKUP($C9,약재관리!A:J,10,FALSE)</f>
        <v>28.3</v>
      </c>
      <c r="H9" s="4">
        <f t="shared" si="1"/>
        <v>113.2</v>
      </c>
      <c r="I9" s="5">
        <f t="shared" si="2"/>
        <v>2264</v>
      </c>
      <c r="K9" s="166" t="s">
        <v>433</v>
      </c>
      <c r="L9" s="158"/>
      <c r="M9" s="159"/>
    </row>
    <row r="10" spans="2:13">
      <c r="B10" s="2">
        <v>9</v>
      </c>
      <c r="C10" t="s">
        <v>419</v>
      </c>
      <c r="D10" s="3"/>
      <c r="E10" s="87">
        <v>4</v>
      </c>
      <c r="F10" s="98">
        <f t="shared" si="0"/>
        <v>80</v>
      </c>
      <c r="G10">
        <f>VLOOKUP($C10,약재관리!A:J,10,FALSE)</f>
        <v>15</v>
      </c>
      <c r="H10" s="4">
        <f t="shared" si="1"/>
        <v>60</v>
      </c>
      <c r="I10" s="5">
        <f t="shared" si="2"/>
        <v>1200</v>
      </c>
      <c r="K10" s="160"/>
      <c r="L10" s="161"/>
      <c r="M10" s="162"/>
    </row>
    <row r="11" spans="2:13">
      <c r="B11" s="2">
        <v>10</v>
      </c>
      <c r="C11" t="s">
        <v>420</v>
      </c>
      <c r="D11" s="3"/>
      <c r="E11" s="87">
        <v>4</v>
      </c>
      <c r="F11" s="98">
        <f t="shared" si="0"/>
        <v>80</v>
      </c>
      <c r="G11">
        <f>VLOOKUP($C11,약재관리!A:J,10,FALSE)</f>
        <v>20.8</v>
      </c>
      <c r="H11" s="4">
        <f t="shared" si="1"/>
        <v>83.2</v>
      </c>
      <c r="I11" s="5">
        <f t="shared" si="2"/>
        <v>1664</v>
      </c>
      <c r="K11" s="160"/>
      <c r="L11" s="161"/>
      <c r="M11" s="162"/>
    </row>
    <row r="12" spans="2:13">
      <c r="B12" s="2">
        <v>11</v>
      </c>
      <c r="C12" t="s">
        <v>432</v>
      </c>
      <c r="D12" s="3"/>
      <c r="E12" s="87">
        <v>4</v>
      </c>
      <c r="F12" s="98">
        <f t="shared" si="0"/>
        <v>80</v>
      </c>
      <c r="G12">
        <f>VLOOKUP($C12,약재관리!A:J,10,FALSE)</f>
        <v>9.8000000000000007</v>
      </c>
      <c r="H12" s="4">
        <f t="shared" si="1"/>
        <v>39.200000000000003</v>
      </c>
      <c r="I12" s="5">
        <f t="shared" si="2"/>
        <v>784</v>
      </c>
      <c r="K12" s="160"/>
      <c r="L12" s="161"/>
      <c r="M12" s="162"/>
    </row>
    <row r="13" spans="2:13" ht="17.25" thickBot="1">
      <c r="B13" s="2">
        <v>12</v>
      </c>
      <c r="C13" t="s">
        <v>423</v>
      </c>
      <c r="D13" s="3"/>
      <c r="E13" s="87">
        <v>4</v>
      </c>
      <c r="F13" s="98">
        <f t="shared" si="0"/>
        <v>80</v>
      </c>
      <c r="G13">
        <f>VLOOKUP($C13,약재관리!A:J,10,FALSE)</f>
        <v>19.5</v>
      </c>
      <c r="H13" s="4">
        <f t="shared" si="1"/>
        <v>78</v>
      </c>
      <c r="I13" s="5">
        <f t="shared" si="2"/>
        <v>1560</v>
      </c>
      <c r="K13" s="163"/>
      <c r="L13" s="164"/>
      <c r="M13" s="165"/>
    </row>
    <row r="14" spans="2:13">
      <c r="B14" s="2">
        <v>13</v>
      </c>
      <c r="C14" t="s">
        <v>424</v>
      </c>
      <c r="D14" s="3"/>
      <c r="E14" s="87">
        <v>4</v>
      </c>
      <c r="F14" s="98">
        <f t="shared" si="0"/>
        <v>80</v>
      </c>
      <c r="G14">
        <f>VLOOKUP($C14,약재관리!A:J,10,FALSE)</f>
        <v>13.7</v>
      </c>
      <c r="H14" s="4">
        <f t="shared" si="1"/>
        <v>54.8</v>
      </c>
      <c r="I14" s="5">
        <f t="shared" si="2"/>
        <v>1096</v>
      </c>
      <c r="K14" s="91" t="s">
        <v>16</v>
      </c>
      <c r="L14" s="8">
        <v>15</v>
      </c>
      <c r="M14" s="9" t="s">
        <v>17</v>
      </c>
    </row>
    <row r="15" spans="2:13">
      <c r="B15" s="2">
        <v>14</v>
      </c>
      <c r="C15" t="s">
        <v>425</v>
      </c>
      <c r="D15" s="3"/>
      <c r="E15" s="87">
        <v>4</v>
      </c>
      <c r="F15" s="98">
        <f t="shared" si="0"/>
        <v>80</v>
      </c>
      <c r="G15">
        <f>VLOOKUP($C15,약재관리!A:J,10,FALSE)</f>
        <v>27.7</v>
      </c>
      <c r="H15" s="4">
        <f t="shared" si="1"/>
        <v>110.8</v>
      </c>
      <c r="I15" s="5">
        <f t="shared" si="2"/>
        <v>2216</v>
      </c>
      <c r="K15" s="90" t="s">
        <v>18</v>
      </c>
      <c r="L15">
        <v>20</v>
      </c>
      <c r="M15" s="3" t="s">
        <v>19</v>
      </c>
    </row>
    <row r="16" spans="2:13">
      <c r="B16" s="2">
        <v>15</v>
      </c>
      <c r="C16" t="s">
        <v>426</v>
      </c>
      <c r="D16" s="3"/>
      <c r="E16" s="87">
        <v>2</v>
      </c>
      <c r="F16" s="98">
        <f t="shared" si="0"/>
        <v>40</v>
      </c>
      <c r="G16">
        <f>VLOOKUP($C16,약재관리!A:J,10,FALSE)</f>
        <v>463.3</v>
      </c>
      <c r="H16" s="4">
        <f t="shared" si="1"/>
        <v>926.6</v>
      </c>
      <c r="I16" s="5">
        <f t="shared" si="2"/>
        <v>18532</v>
      </c>
      <c r="K16" s="90" t="s">
        <v>20</v>
      </c>
      <c r="L16">
        <v>45</v>
      </c>
      <c r="M16" s="3" t="s">
        <v>21</v>
      </c>
    </row>
    <row r="17" spans="2:13" ht="17.25" thickBot="1">
      <c r="B17" s="2">
        <v>16</v>
      </c>
      <c r="C17" t="s">
        <v>416</v>
      </c>
      <c r="D17" s="3"/>
      <c r="E17" s="87">
        <v>4</v>
      </c>
      <c r="F17" s="98">
        <f t="shared" si="0"/>
        <v>80</v>
      </c>
      <c r="G17">
        <f>VLOOKUP($C17,약재관리!A:J,10,FALSE)</f>
        <v>30.3</v>
      </c>
      <c r="H17" s="4">
        <f t="shared" si="1"/>
        <v>121.2</v>
      </c>
      <c r="I17" s="5">
        <f t="shared" si="2"/>
        <v>2424</v>
      </c>
      <c r="K17" s="13" t="s">
        <v>22</v>
      </c>
      <c r="L17" s="10">
        <v>110</v>
      </c>
      <c r="M17" s="11" t="s">
        <v>23</v>
      </c>
    </row>
    <row r="18" spans="2:13">
      <c r="B18" s="2">
        <v>17</v>
      </c>
      <c r="D18" s="3"/>
      <c r="F18" s="98">
        <f t="shared" si="0"/>
        <v>0</v>
      </c>
      <c r="H18" s="4">
        <f t="shared" si="1"/>
        <v>0</v>
      </c>
      <c r="I18" s="5">
        <f t="shared" si="2"/>
        <v>0</v>
      </c>
      <c r="K18" s="91" t="s">
        <v>24</v>
      </c>
      <c r="L18" s="8">
        <f>SUM(E2:E31)</f>
        <v>68</v>
      </c>
      <c r="M18" s="9" t="s">
        <v>25</v>
      </c>
    </row>
    <row r="19" spans="2:13">
      <c r="B19" s="2">
        <v>18</v>
      </c>
      <c r="D19" s="3"/>
      <c r="F19" s="98">
        <f t="shared" si="0"/>
        <v>0</v>
      </c>
      <c r="H19" s="4">
        <f t="shared" si="1"/>
        <v>0</v>
      </c>
      <c r="I19" s="5">
        <f t="shared" si="2"/>
        <v>0</v>
      </c>
      <c r="K19" s="90" t="s">
        <v>26</v>
      </c>
      <c r="L19">
        <f>L15*L18</f>
        <v>1360</v>
      </c>
      <c r="M19" s="3" t="s">
        <v>25</v>
      </c>
    </row>
    <row r="20" spans="2:13" ht="17.25" thickBot="1">
      <c r="B20" s="2">
        <v>19</v>
      </c>
      <c r="D20" s="3"/>
      <c r="F20" s="98">
        <f t="shared" si="0"/>
        <v>0</v>
      </c>
      <c r="H20" s="4">
        <f t="shared" si="1"/>
        <v>0</v>
      </c>
      <c r="I20" s="5">
        <f t="shared" si="2"/>
        <v>0</v>
      </c>
      <c r="K20" s="13" t="s">
        <v>27</v>
      </c>
      <c r="L20" s="10">
        <f>L16*L17+L19</f>
        <v>6310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2843.2</v>
      </c>
      <c r="M30" s="3" t="s">
        <v>36</v>
      </c>
    </row>
    <row r="31" spans="2:13" ht="17.25" thickBot="1">
      <c r="B31" s="12">
        <v>30</v>
      </c>
      <c r="C31" s="13"/>
      <c r="D31" s="11"/>
      <c r="E31" s="94"/>
      <c r="F31" s="99">
        <f t="shared" si="0"/>
        <v>0</v>
      </c>
      <c r="G31" s="10"/>
      <c r="H31" s="14">
        <f t="shared" si="1"/>
        <v>0</v>
      </c>
      <c r="I31" s="15">
        <f t="shared" si="2"/>
        <v>0</v>
      </c>
      <c r="K31" s="13" t="s">
        <v>37</v>
      </c>
      <c r="L31" s="14">
        <f>SUM(I2:I31)</f>
        <v>56864</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zoomScaleNormal="100" workbookViewId="0">
      <selection activeCell="J6" sqref="J6"/>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J5" s="39">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3"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1"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ref="F80" si="9">B80/500</f>
        <v>0</v>
      </c>
      <c r="G80" s="43">
        <f>C80/500</f>
        <v>46</v>
      </c>
      <c r="H80" s="37">
        <f t="shared" ref="H80" si="10">D80/600</f>
        <v>0</v>
      </c>
      <c r="I80" s="38">
        <f t="shared" ref="I80" si="11">E80/600</f>
        <v>49.833333333333336</v>
      </c>
      <c r="J80" s="39">
        <v>49.8</v>
      </c>
      <c r="K80" s="40"/>
      <c r="L80" s="41" t="s">
        <v>50</v>
      </c>
      <c r="M80" s="41"/>
      <c r="N80" s="42" t="s">
        <v>202</v>
      </c>
    </row>
    <row r="81" spans="1:14" ht="15.75" customHeight="1">
      <c r="A81" s="115" t="s">
        <v>413</v>
      </c>
      <c r="B81" s="122"/>
      <c r="C81" s="35">
        <v>10000</v>
      </c>
      <c r="D81" s="35"/>
      <c r="E81" s="36"/>
      <c r="F81" s="112">
        <f t="shared" si="6"/>
        <v>0</v>
      </c>
      <c r="G81" s="43">
        <f>C81/600</f>
        <v>16.666666666666668</v>
      </c>
      <c r="H81" s="37">
        <f t="shared" si="8"/>
        <v>0</v>
      </c>
      <c r="I81" s="38">
        <f t="shared" si="8"/>
        <v>0</v>
      </c>
      <c r="J81" s="39">
        <v>16.7</v>
      </c>
      <c r="K81" s="40"/>
      <c r="L81" s="41" t="s">
        <v>268</v>
      </c>
      <c r="M81" s="41"/>
      <c r="N81" s="42"/>
    </row>
    <row r="82" spans="1:14" ht="15.75" customHeight="1">
      <c r="A82" s="115" t="s">
        <v>203</v>
      </c>
      <c r="B82" s="122"/>
      <c r="C82" s="35">
        <v>20500</v>
      </c>
      <c r="D82" s="35"/>
      <c r="E82" s="36">
        <v>16600</v>
      </c>
      <c r="F82" s="112">
        <f t="shared" si="6"/>
        <v>0</v>
      </c>
      <c r="G82" s="37">
        <f>C82/600</f>
        <v>34.166666666666664</v>
      </c>
      <c r="H82" s="37">
        <f t="shared" si="8"/>
        <v>0</v>
      </c>
      <c r="I82" s="38">
        <f t="shared" si="8"/>
        <v>27.666666666666668</v>
      </c>
      <c r="K82" s="40"/>
      <c r="L82" s="41" t="s">
        <v>204</v>
      </c>
      <c r="M82" s="41"/>
      <c r="N82" s="42" t="s">
        <v>67</v>
      </c>
    </row>
    <row r="83" spans="1:14" ht="15.75" customHeight="1">
      <c r="A83" s="115" t="s">
        <v>205</v>
      </c>
      <c r="B83" s="122">
        <v>9900</v>
      </c>
      <c r="C83" s="35">
        <v>4400</v>
      </c>
      <c r="D83" s="35">
        <v>7000</v>
      </c>
      <c r="E83" s="36">
        <v>5800</v>
      </c>
      <c r="F83" s="112">
        <f t="shared" si="6"/>
        <v>19.8</v>
      </c>
      <c r="G83" s="37">
        <f t="shared" si="6"/>
        <v>8.8000000000000007</v>
      </c>
      <c r="H83" s="37">
        <f t="shared" si="8"/>
        <v>11.666666666666666</v>
      </c>
      <c r="I83" s="47">
        <f t="shared" si="8"/>
        <v>9.6666666666666661</v>
      </c>
      <c r="J83" s="39">
        <v>9.8000000000000007</v>
      </c>
      <c r="K83" s="88" t="s">
        <v>206</v>
      </c>
      <c r="L83" s="46"/>
      <c r="M83" s="41"/>
      <c r="N83" s="44" t="s">
        <v>98</v>
      </c>
    </row>
    <row r="84" spans="1:14" ht="15.75" customHeight="1">
      <c r="A84" s="115" t="s">
        <v>207</v>
      </c>
      <c r="B84" s="122"/>
      <c r="C84" s="35">
        <v>5200</v>
      </c>
      <c r="D84" s="35"/>
      <c r="E84" s="36"/>
      <c r="F84" s="112">
        <f t="shared" ref="F84:G116" si="12">B84/500</f>
        <v>0</v>
      </c>
      <c r="G84" s="37">
        <f t="shared" si="12"/>
        <v>10.4</v>
      </c>
      <c r="H84" s="37">
        <f t="shared" si="8"/>
        <v>0</v>
      </c>
      <c r="I84" s="38">
        <f t="shared" si="8"/>
        <v>0</v>
      </c>
      <c r="J84" s="39">
        <v>10.4</v>
      </c>
      <c r="K84" s="40"/>
      <c r="L84" s="41" t="s">
        <v>208</v>
      </c>
      <c r="M84" s="41"/>
      <c r="N84" s="42"/>
    </row>
    <row r="85" spans="1:14" ht="15.75" customHeight="1">
      <c r="A85" s="115" t="s">
        <v>209</v>
      </c>
      <c r="B85" s="122"/>
      <c r="C85" s="35"/>
      <c r="D85" s="35">
        <v>16000</v>
      </c>
      <c r="E85" s="36"/>
      <c r="F85" s="112">
        <f t="shared" si="12"/>
        <v>0</v>
      </c>
      <c r="G85" s="37">
        <f t="shared" si="12"/>
        <v>0</v>
      </c>
      <c r="H85" s="37">
        <f t="shared" si="8"/>
        <v>26.666666666666668</v>
      </c>
      <c r="I85" s="38">
        <f t="shared" si="8"/>
        <v>0</v>
      </c>
      <c r="K85" s="40"/>
      <c r="L85" s="41"/>
      <c r="M85" s="46"/>
      <c r="N85" s="42"/>
    </row>
    <row r="86" spans="1:14" ht="15.75" customHeight="1">
      <c r="A86" s="115" t="s">
        <v>210</v>
      </c>
      <c r="B86" s="122"/>
      <c r="C86" s="35">
        <v>4500</v>
      </c>
      <c r="D86" s="35">
        <v>6500</v>
      </c>
      <c r="E86" s="36">
        <v>5900</v>
      </c>
      <c r="F86" s="112">
        <f t="shared" si="12"/>
        <v>0</v>
      </c>
      <c r="G86" s="37">
        <f t="shared" si="12"/>
        <v>9</v>
      </c>
      <c r="H86" s="37">
        <f t="shared" si="8"/>
        <v>10.833333333333334</v>
      </c>
      <c r="I86" s="38">
        <f t="shared" si="8"/>
        <v>9.8333333333333339</v>
      </c>
      <c r="J86" s="39">
        <v>10.8</v>
      </c>
      <c r="K86" s="40"/>
      <c r="L86" s="41" t="s">
        <v>58</v>
      </c>
      <c r="M86" s="41"/>
      <c r="N86" s="42" t="s">
        <v>74</v>
      </c>
    </row>
    <row r="87" spans="1:14" ht="15.75" customHeight="1">
      <c r="A87" s="115" t="s">
        <v>211</v>
      </c>
      <c r="B87" s="122"/>
      <c r="C87" s="35"/>
      <c r="D87" s="35"/>
      <c r="E87" s="36">
        <v>6200</v>
      </c>
      <c r="F87" s="112"/>
      <c r="G87" s="37"/>
      <c r="H87" s="37"/>
      <c r="I87" s="38">
        <f t="shared" si="8"/>
        <v>10.333333333333334</v>
      </c>
      <c r="J87" s="39">
        <v>10.3</v>
      </c>
      <c r="K87" s="40"/>
      <c r="L87" s="41"/>
      <c r="M87" s="41"/>
      <c r="N87" s="42"/>
    </row>
    <row r="88" spans="1:14" ht="15.75" customHeight="1">
      <c r="A88" s="115" t="s">
        <v>212</v>
      </c>
      <c r="B88" s="122"/>
      <c r="C88" s="35"/>
      <c r="D88" s="35">
        <v>11000</v>
      </c>
      <c r="E88" s="36">
        <v>11900</v>
      </c>
      <c r="F88" s="112">
        <f t="shared" si="12"/>
        <v>0</v>
      </c>
      <c r="G88" s="37">
        <f t="shared" si="12"/>
        <v>0</v>
      </c>
      <c r="H88" s="43">
        <f t="shared" si="8"/>
        <v>18.333333333333332</v>
      </c>
      <c r="I88" s="38">
        <f t="shared" si="8"/>
        <v>19.833333333333332</v>
      </c>
      <c r="J88" s="39">
        <v>18.3</v>
      </c>
      <c r="K88" s="40"/>
      <c r="L88" s="41"/>
      <c r="M88" s="46" t="s">
        <v>213</v>
      </c>
      <c r="N88" s="42" t="s">
        <v>214</v>
      </c>
    </row>
    <row r="89" spans="1:14" ht="15.75" customHeight="1" thickBot="1">
      <c r="A89" s="126" t="s">
        <v>215</v>
      </c>
      <c r="B89" s="123"/>
      <c r="C89" s="48">
        <v>4200</v>
      </c>
      <c r="D89" s="48">
        <v>7000</v>
      </c>
      <c r="E89" s="49">
        <v>5000</v>
      </c>
      <c r="F89" s="72">
        <f t="shared" si="12"/>
        <v>0</v>
      </c>
      <c r="G89" s="50">
        <f t="shared" si="12"/>
        <v>8.4</v>
      </c>
      <c r="H89" s="50">
        <f t="shared" si="8"/>
        <v>11.666666666666666</v>
      </c>
      <c r="I89" s="59">
        <f t="shared" si="8"/>
        <v>8.3333333333333339</v>
      </c>
      <c r="J89" s="51">
        <v>8.3000000000000007</v>
      </c>
      <c r="K89" s="60"/>
      <c r="L89" s="52"/>
      <c r="M89" s="52"/>
      <c r="N89" s="61" t="s">
        <v>131</v>
      </c>
    </row>
    <row r="90" spans="1:14" ht="15.75" customHeight="1">
      <c r="A90" s="127" t="s">
        <v>216</v>
      </c>
      <c r="B90" s="125"/>
      <c r="C90" s="25">
        <v>10500</v>
      </c>
      <c r="D90" s="25">
        <v>16500</v>
      </c>
      <c r="E90" s="26">
        <v>12600</v>
      </c>
      <c r="F90" s="27">
        <f t="shared" si="12"/>
        <v>0</v>
      </c>
      <c r="G90" s="28">
        <f t="shared" si="12"/>
        <v>21</v>
      </c>
      <c r="H90" s="28">
        <f t="shared" si="8"/>
        <v>27.5</v>
      </c>
      <c r="I90" s="55">
        <f t="shared" si="8"/>
        <v>21</v>
      </c>
      <c r="J90" s="30">
        <v>27.2</v>
      </c>
      <c r="K90" s="31"/>
      <c r="L90" s="32"/>
      <c r="M90" s="32"/>
      <c r="N90" s="34" t="s">
        <v>98</v>
      </c>
    </row>
    <row r="91" spans="1:14" ht="15.75" customHeight="1">
      <c r="A91" s="116" t="s">
        <v>217</v>
      </c>
      <c r="B91" s="122"/>
      <c r="C91" s="35">
        <v>13200</v>
      </c>
      <c r="D91" s="35">
        <v>15000</v>
      </c>
      <c r="E91" s="36">
        <v>13100</v>
      </c>
      <c r="F91" s="112">
        <f t="shared" si="12"/>
        <v>0</v>
      </c>
      <c r="G91" s="37">
        <f t="shared" si="12"/>
        <v>26.4</v>
      </c>
      <c r="H91" s="37">
        <f t="shared" si="8"/>
        <v>25</v>
      </c>
      <c r="I91" s="47">
        <f t="shared" si="8"/>
        <v>21.833333333333332</v>
      </c>
      <c r="J91" s="39">
        <v>21.8</v>
      </c>
      <c r="K91" s="40"/>
      <c r="L91" s="41" t="s">
        <v>218</v>
      </c>
      <c r="M91" s="46" t="s">
        <v>218</v>
      </c>
      <c r="N91" s="65" t="s">
        <v>219</v>
      </c>
    </row>
    <row r="92" spans="1:14" ht="15.75" customHeight="1">
      <c r="A92" s="116" t="s">
        <v>220</v>
      </c>
      <c r="B92" s="122"/>
      <c r="C92" s="35">
        <v>3500</v>
      </c>
      <c r="D92" s="35">
        <v>4500</v>
      </c>
      <c r="E92" s="36">
        <v>5000</v>
      </c>
      <c r="F92" s="112">
        <f t="shared" si="12"/>
        <v>0</v>
      </c>
      <c r="G92" s="43">
        <f t="shared" si="12"/>
        <v>7</v>
      </c>
      <c r="H92" s="37">
        <f t="shared" si="8"/>
        <v>7.5</v>
      </c>
      <c r="I92" s="38">
        <f t="shared" si="8"/>
        <v>8.3333333333333339</v>
      </c>
      <c r="J92" s="39">
        <v>7</v>
      </c>
      <c r="K92" s="40"/>
      <c r="L92" s="41" t="s">
        <v>185</v>
      </c>
      <c r="M92" s="46"/>
      <c r="N92" s="44" t="s">
        <v>98</v>
      </c>
    </row>
    <row r="93" spans="1:14" ht="15.75" customHeight="1">
      <c r="A93" s="116" t="s">
        <v>221</v>
      </c>
      <c r="B93" s="122"/>
      <c r="C93" s="35">
        <v>12500</v>
      </c>
      <c r="D93" s="35">
        <v>24000</v>
      </c>
      <c r="E93" s="36">
        <v>15600</v>
      </c>
      <c r="F93" s="112">
        <f t="shared" si="12"/>
        <v>0</v>
      </c>
      <c r="G93" s="43">
        <f t="shared" si="12"/>
        <v>25</v>
      </c>
      <c r="H93" s="37">
        <f t="shared" si="8"/>
        <v>40</v>
      </c>
      <c r="I93" s="38">
        <f t="shared" si="8"/>
        <v>26</v>
      </c>
      <c r="J93" s="39">
        <v>27.7</v>
      </c>
      <c r="K93" s="40"/>
      <c r="L93" s="41" t="s">
        <v>222</v>
      </c>
      <c r="M93" s="46" t="s">
        <v>223</v>
      </c>
      <c r="N93" s="42" t="s">
        <v>224</v>
      </c>
    </row>
    <row r="94" spans="1:14" ht="15.75" customHeight="1">
      <c r="A94" s="116" t="s">
        <v>225</v>
      </c>
      <c r="B94" s="122"/>
      <c r="C94" s="35">
        <v>10400</v>
      </c>
      <c r="D94" s="35">
        <v>11000</v>
      </c>
      <c r="E94" s="36">
        <v>24600</v>
      </c>
      <c r="F94" s="112">
        <f t="shared" si="12"/>
        <v>0</v>
      </c>
      <c r="G94" s="37">
        <f t="shared" si="12"/>
        <v>20.8</v>
      </c>
      <c r="H94" s="43">
        <f t="shared" si="8"/>
        <v>18.333333333333332</v>
      </c>
      <c r="I94" s="38">
        <f t="shared" si="8"/>
        <v>41</v>
      </c>
      <c r="J94" s="39">
        <v>18.3</v>
      </c>
      <c r="K94" s="40"/>
      <c r="L94" s="41" t="s">
        <v>226</v>
      </c>
      <c r="M94" s="57" t="s">
        <v>227</v>
      </c>
      <c r="N94" s="42" t="s">
        <v>228</v>
      </c>
    </row>
    <row r="95" spans="1:14" ht="15.75" customHeight="1">
      <c r="A95" s="116" t="s">
        <v>229</v>
      </c>
      <c r="B95" s="122"/>
      <c r="C95" s="35">
        <v>125800</v>
      </c>
      <c r="D95" s="35"/>
      <c r="E95" s="36">
        <v>169000</v>
      </c>
      <c r="F95" s="112">
        <f t="shared" si="12"/>
        <v>0</v>
      </c>
      <c r="G95" s="37">
        <f t="shared" si="12"/>
        <v>251.6</v>
      </c>
      <c r="H95" s="37">
        <f t="shared" si="8"/>
        <v>0</v>
      </c>
      <c r="I95" s="38">
        <f t="shared" si="8"/>
        <v>281.66666666666669</v>
      </c>
      <c r="K95" s="40"/>
      <c r="L95" s="110" t="s">
        <v>230</v>
      </c>
      <c r="M95" s="41"/>
      <c r="N95" s="42" t="s">
        <v>231</v>
      </c>
    </row>
    <row r="96" spans="1:14" ht="15.75" customHeight="1">
      <c r="A96" s="116" t="s">
        <v>232</v>
      </c>
      <c r="B96" s="122"/>
      <c r="C96" s="35">
        <v>3800</v>
      </c>
      <c r="D96" s="35">
        <v>5500</v>
      </c>
      <c r="E96" s="36">
        <v>4900</v>
      </c>
      <c r="F96" s="112">
        <f t="shared" si="12"/>
        <v>0</v>
      </c>
      <c r="G96" s="37">
        <f t="shared" si="12"/>
        <v>7.6</v>
      </c>
      <c r="H96" s="37">
        <f t="shared" si="8"/>
        <v>9.1666666666666661</v>
      </c>
      <c r="I96" s="38">
        <f t="shared" si="8"/>
        <v>8.1666666666666661</v>
      </c>
      <c r="J96" s="39">
        <v>9.1999999999999993</v>
      </c>
      <c r="K96" s="40"/>
      <c r="L96" s="41" t="s">
        <v>74</v>
      </c>
      <c r="M96" s="41"/>
      <c r="N96" s="42" t="s">
        <v>98</v>
      </c>
    </row>
    <row r="97" spans="1:14" ht="15.75" customHeight="1">
      <c r="A97" s="116" t="s">
        <v>233</v>
      </c>
      <c r="B97" s="122"/>
      <c r="C97" s="35"/>
      <c r="D97" s="35"/>
      <c r="E97" s="36"/>
      <c r="F97" s="112">
        <f t="shared" si="12"/>
        <v>0</v>
      </c>
      <c r="G97" s="37">
        <f t="shared" si="12"/>
        <v>0</v>
      </c>
      <c r="H97" s="37">
        <f t="shared" si="8"/>
        <v>0</v>
      </c>
      <c r="I97" s="38">
        <f t="shared" si="8"/>
        <v>0</v>
      </c>
      <c r="K97" s="40"/>
      <c r="L97" s="41"/>
      <c r="M97" s="41"/>
      <c r="N97" s="42"/>
    </row>
    <row r="98" spans="1:14" ht="15.75" customHeight="1">
      <c r="A98" s="116" t="s">
        <v>234</v>
      </c>
      <c r="B98" s="122"/>
      <c r="C98" s="35">
        <v>17500</v>
      </c>
      <c r="D98" s="35"/>
      <c r="E98" s="36">
        <v>20100</v>
      </c>
      <c r="F98" s="112">
        <f t="shared" si="12"/>
        <v>0</v>
      </c>
      <c r="G98" s="37">
        <f t="shared" si="12"/>
        <v>35</v>
      </c>
      <c r="H98" s="37">
        <f t="shared" si="8"/>
        <v>0</v>
      </c>
      <c r="I98" s="38">
        <f t="shared" si="8"/>
        <v>33.5</v>
      </c>
      <c r="J98" s="39">
        <v>35</v>
      </c>
      <c r="K98" s="40"/>
      <c r="L98" s="41" t="s">
        <v>50</v>
      </c>
      <c r="M98" s="41"/>
      <c r="N98" s="42" t="s">
        <v>50</v>
      </c>
    </row>
    <row r="99" spans="1:14" ht="15.75" customHeight="1">
      <c r="A99" s="116" t="s">
        <v>235</v>
      </c>
      <c r="B99" s="122"/>
      <c r="C99" s="35"/>
      <c r="D99" s="35"/>
      <c r="E99" s="36"/>
      <c r="F99" s="112">
        <f t="shared" si="12"/>
        <v>0</v>
      </c>
      <c r="G99" s="37">
        <f t="shared" si="12"/>
        <v>0</v>
      </c>
      <c r="H99" s="37">
        <f t="shared" si="8"/>
        <v>0</v>
      </c>
      <c r="I99" s="38">
        <f t="shared" si="8"/>
        <v>0</v>
      </c>
      <c r="K99" s="40"/>
      <c r="L99" s="41"/>
      <c r="M99" s="41"/>
      <c r="N99" s="42"/>
    </row>
    <row r="100" spans="1:14" ht="15.75" customHeight="1">
      <c r="A100" s="116" t="s">
        <v>236</v>
      </c>
      <c r="B100" s="122">
        <v>7500</v>
      </c>
      <c r="C100" s="35">
        <v>7000</v>
      </c>
      <c r="D100" s="35">
        <v>9000</v>
      </c>
      <c r="E100" s="36"/>
      <c r="F100" s="112">
        <f t="shared" si="12"/>
        <v>15</v>
      </c>
      <c r="G100" s="43">
        <f t="shared" si="12"/>
        <v>14</v>
      </c>
      <c r="H100" s="37">
        <f t="shared" si="8"/>
        <v>15</v>
      </c>
      <c r="I100" s="38">
        <f t="shared" si="8"/>
        <v>0</v>
      </c>
      <c r="J100" s="39">
        <v>15</v>
      </c>
      <c r="K100" s="66"/>
      <c r="L100" s="67" t="s">
        <v>172</v>
      </c>
      <c r="M100" s="46" t="s">
        <v>237</v>
      </c>
      <c r="N100" s="42"/>
    </row>
    <row r="101" spans="1:14" ht="15.75" customHeight="1">
      <c r="A101" s="116" t="s">
        <v>238</v>
      </c>
      <c r="B101" s="122">
        <v>10300</v>
      </c>
      <c r="C101" s="35">
        <v>7500</v>
      </c>
      <c r="D101" s="35">
        <v>9000</v>
      </c>
      <c r="E101" s="36"/>
      <c r="F101" s="112">
        <f t="shared" si="12"/>
        <v>20.6</v>
      </c>
      <c r="G101" s="43">
        <f t="shared" si="12"/>
        <v>15</v>
      </c>
      <c r="H101" s="37">
        <f t="shared" si="8"/>
        <v>15</v>
      </c>
      <c r="I101" s="38">
        <f t="shared" si="8"/>
        <v>0</v>
      </c>
      <c r="J101" s="39">
        <v>17.399999999999999</v>
      </c>
      <c r="K101" s="66"/>
      <c r="L101" s="56" t="s">
        <v>172</v>
      </c>
      <c r="M101" s="46"/>
      <c r="N101" s="42"/>
    </row>
    <row r="102" spans="1:14" ht="15.75" customHeight="1">
      <c r="A102" s="116" t="s">
        <v>239</v>
      </c>
      <c r="B102" s="122"/>
      <c r="C102" s="35">
        <v>5500</v>
      </c>
      <c r="D102" s="35">
        <v>5500</v>
      </c>
      <c r="E102" s="36">
        <v>4600</v>
      </c>
      <c r="F102" s="112">
        <f t="shared" si="12"/>
        <v>0</v>
      </c>
      <c r="G102" s="43">
        <f>C102/1000</f>
        <v>5.5</v>
      </c>
      <c r="H102" s="43">
        <f>D102/1000</f>
        <v>5.5</v>
      </c>
      <c r="I102" s="38">
        <f>E102/1000</f>
        <v>4.5999999999999996</v>
      </c>
      <c r="J102" s="39">
        <v>5.5</v>
      </c>
      <c r="K102" s="40"/>
      <c r="L102" s="41" t="s">
        <v>240</v>
      </c>
      <c r="M102" s="41"/>
      <c r="N102" s="42" t="s">
        <v>385</v>
      </c>
    </row>
    <row r="103" spans="1:14" ht="15.75" customHeight="1">
      <c r="A103" s="116" t="s">
        <v>241</v>
      </c>
      <c r="B103" s="122"/>
      <c r="C103" s="35"/>
      <c r="D103" s="35"/>
      <c r="E103" s="36"/>
      <c r="F103" s="112">
        <f t="shared" si="12"/>
        <v>0</v>
      </c>
      <c r="G103" s="37">
        <f t="shared" si="12"/>
        <v>0</v>
      </c>
      <c r="H103" s="37">
        <f t="shared" ref="H103:I110" si="13">D103/600</f>
        <v>0</v>
      </c>
      <c r="I103" s="38">
        <f t="shared" si="13"/>
        <v>0</v>
      </c>
      <c r="K103" s="40"/>
      <c r="L103" s="41"/>
      <c r="M103" s="41"/>
      <c r="N103" s="42"/>
    </row>
    <row r="104" spans="1:14" ht="15.75" customHeight="1">
      <c r="A104" s="116" t="s">
        <v>242</v>
      </c>
      <c r="B104" s="122">
        <v>22400</v>
      </c>
      <c r="C104" s="35">
        <v>15000</v>
      </c>
      <c r="D104" s="35"/>
      <c r="E104" s="36">
        <v>19000</v>
      </c>
      <c r="F104" s="112">
        <f t="shared" si="12"/>
        <v>44.8</v>
      </c>
      <c r="G104" s="37">
        <f t="shared" si="12"/>
        <v>30</v>
      </c>
      <c r="H104" s="37">
        <f t="shared" si="13"/>
        <v>0</v>
      </c>
      <c r="I104" s="38">
        <f t="shared" si="13"/>
        <v>31.666666666666668</v>
      </c>
      <c r="J104" s="39">
        <v>31.5</v>
      </c>
      <c r="K104" s="40"/>
      <c r="L104" s="41" t="s">
        <v>185</v>
      </c>
      <c r="M104" s="46"/>
      <c r="N104" s="42" t="s">
        <v>98</v>
      </c>
    </row>
    <row r="105" spans="1:14" ht="15" customHeight="1">
      <c r="A105" s="116" t="s">
        <v>243</v>
      </c>
      <c r="B105" s="122"/>
      <c r="C105" s="35">
        <v>15000</v>
      </c>
      <c r="D105" s="35">
        <v>20000</v>
      </c>
      <c r="E105" s="36"/>
      <c r="F105" s="112">
        <f t="shared" si="12"/>
        <v>0</v>
      </c>
      <c r="G105" s="37">
        <f t="shared" si="12"/>
        <v>30</v>
      </c>
      <c r="H105" s="37">
        <f t="shared" si="13"/>
        <v>33.333333333333336</v>
      </c>
      <c r="I105" s="38">
        <f t="shared" si="13"/>
        <v>0</v>
      </c>
      <c r="J105" s="39">
        <v>33.299999999999997</v>
      </c>
      <c r="K105" s="40"/>
      <c r="L105" s="41"/>
      <c r="M105" s="41"/>
      <c r="N105" s="42"/>
    </row>
    <row r="106" spans="1:14" ht="15" customHeight="1">
      <c r="A106" s="116" t="s">
        <v>244</v>
      </c>
      <c r="B106" s="122"/>
      <c r="C106" s="35">
        <v>66000</v>
      </c>
      <c r="D106" s="35"/>
      <c r="E106" s="36">
        <v>84500</v>
      </c>
      <c r="F106" s="112">
        <f t="shared" si="12"/>
        <v>0</v>
      </c>
      <c r="G106" s="43">
        <f t="shared" si="12"/>
        <v>132</v>
      </c>
      <c r="H106" s="37">
        <f t="shared" si="13"/>
        <v>0</v>
      </c>
      <c r="I106" s="38">
        <f t="shared" si="13"/>
        <v>140.83333333333334</v>
      </c>
      <c r="J106" s="39">
        <v>145.19999999999999</v>
      </c>
      <c r="K106" s="40"/>
      <c r="L106" s="56" t="s">
        <v>74</v>
      </c>
      <c r="M106" s="41"/>
      <c r="N106" s="42" t="s">
        <v>98</v>
      </c>
    </row>
    <row r="107" spans="1:14" ht="15" customHeight="1">
      <c r="A107" s="116" t="s">
        <v>245</v>
      </c>
      <c r="B107" s="122"/>
      <c r="C107" s="35">
        <v>3100</v>
      </c>
      <c r="D107" s="35">
        <v>5000</v>
      </c>
      <c r="E107" s="36">
        <v>3700</v>
      </c>
      <c r="F107" s="112">
        <f t="shared" si="12"/>
        <v>0</v>
      </c>
      <c r="G107" s="37">
        <f t="shared" si="12"/>
        <v>6.2</v>
      </c>
      <c r="H107" s="37">
        <f t="shared" si="13"/>
        <v>8.3333333333333339</v>
      </c>
      <c r="I107" s="38">
        <f t="shared" si="13"/>
        <v>6.166666666666667</v>
      </c>
      <c r="J107" s="39">
        <v>6.2</v>
      </c>
      <c r="K107" s="40"/>
      <c r="L107" s="41"/>
      <c r="M107" s="46"/>
      <c r="N107" s="42" t="s">
        <v>131</v>
      </c>
    </row>
    <row r="108" spans="1:14" ht="15" customHeight="1">
      <c r="A108" s="116" t="s">
        <v>246</v>
      </c>
      <c r="B108" s="122"/>
      <c r="C108" s="35">
        <v>5700</v>
      </c>
      <c r="D108" s="35">
        <v>7800</v>
      </c>
      <c r="E108" s="36">
        <v>4500</v>
      </c>
      <c r="F108" s="112">
        <f t="shared" si="12"/>
        <v>0</v>
      </c>
      <c r="G108" s="37">
        <f t="shared" si="12"/>
        <v>11.4</v>
      </c>
      <c r="H108" s="37">
        <f t="shared" si="13"/>
        <v>13</v>
      </c>
      <c r="I108" s="38">
        <f t="shared" si="13"/>
        <v>7.5</v>
      </c>
      <c r="J108" s="39">
        <v>7.5</v>
      </c>
      <c r="K108" s="40"/>
      <c r="L108" s="41"/>
      <c r="M108" s="46"/>
      <c r="N108" s="42"/>
    </row>
    <row r="109" spans="1:14" ht="15" customHeight="1">
      <c r="A109" s="116" t="s">
        <v>247</v>
      </c>
      <c r="B109" s="122"/>
      <c r="C109" s="35">
        <v>5800</v>
      </c>
      <c r="D109" s="35">
        <v>6000</v>
      </c>
      <c r="E109" s="36"/>
      <c r="F109" s="112">
        <f t="shared" si="12"/>
        <v>0</v>
      </c>
      <c r="G109" s="37">
        <f t="shared" si="12"/>
        <v>11.6</v>
      </c>
      <c r="H109" s="37">
        <f t="shared" si="13"/>
        <v>10</v>
      </c>
      <c r="I109" s="38">
        <f t="shared" si="13"/>
        <v>0</v>
      </c>
      <c r="J109" s="39">
        <v>10</v>
      </c>
      <c r="K109" s="40"/>
      <c r="L109" s="41"/>
      <c r="M109" s="41"/>
      <c r="N109" s="42"/>
    </row>
    <row r="110" spans="1:14" ht="15" customHeight="1">
      <c r="A110" s="116" t="s">
        <v>248</v>
      </c>
      <c r="B110" s="122"/>
      <c r="C110" s="35">
        <v>5700</v>
      </c>
      <c r="D110" s="35"/>
      <c r="E110" s="36">
        <v>7000</v>
      </c>
      <c r="F110" s="112">
        <f t="shared" si="12"/>
        <v>0</v>
      </c>
      <c r="G110" s="37">
        <f t="shared" si="12"/>
        <v>11.4</v>
      </c>
      <c r="H110" s="37">
        <f t="shared" si="13"/>
        <v>0</v>
      </c>
      <c r="I110" s="38">
        <f t="shared" si="13"/>
        <v>11.666666666666666</v>
      </c>
      <c r="J110" s="39">
        <v>11.7</v>
      </c>
      <c r="K110" s="40"/>
      <c r="L110" s="41" t="s">
        <v>108</v>
      </c>
      <c r="M110" s="46"/>
      <c r="N110" s="42" t="s">
        <v>58</v>
      </c>
    </row>
    <row r="111" spans="1:14" ht="15" customHeight="1">
      <c r="A111" s="116" t="s">
        <v>249</v>
      </c>
      <c r="B111" s="122"/>
      <c r="C111" s="35">
        <v>20000</v>
      </c>
      <c r="D111" s="35">
        <v>20000</v>
      </c>
      <c r="E111" s="36">
        <v>20000</v>
      </c>
      <c r="F111" s="112">
        <f t="shared" si="12"/>
        <v>0</v>
      </c>
      <c r="G111" s="43">
        <f>C111/1000</f>
        <v>20</v>
      </c>
      <c r="H111" s="43">
        <f>D111/1000</f>
        <v>20</v>
      </c>
      <c r="I111" s="47">
        <f>E111/1000</f>
        <v>20</v>
      </c>
      <c r="J111" s="39">
        <v>20</v>
      </c>
      <c r="K111" s="68"/>
      <c r="L111" s="57" t="s">
        <v>250</v>
      </c>
      <c r="M111" s="57" t="s">
        <v>250</v>
      </c>
      <c r="N111" s="69" t="s">
        <v>250</v>
      </c>
    </row>
    <row r="112" spans="1:14" ht="15" customHeight="1">
      <c r="A112" s="116" t="s">
        <v>251</v>
      </c>
      <c r="B112" s="122"/>
      <c r="C112" s="35">
        <v>15500</v>
      </c>
      <c r="D112" s="35"/>
      <c r="E112" s="36">
        <v>19200</v>
      </c>
      <c r="F112" s="112">
        <f t="shared" si="12"/>
        <v>0</v>
      </c>
      <c r="G112" s="37">
        <f>C112/500</f>
        <v>31</v>
      </c>
      <c r="H112" s="37">
        <f t="shared" ref="H112:I114" si="14">D112/600</f>
        <v>0</v>
      </c>
      <c r="I112" s="38">
        <f t="shared" si="14"/>
        <v>32</v>
      </c>
      <c r="J112" s="39">
        <v>31</v>
      </c>
      <c r="K112" s="68"/>
      <c r="L112" s="67" t="s">
        <v>74</v>
      </c>
      <c r="M112" s="67"/>
      <c r="N112" s="69" t="s">
        <v>98</v>
      </c>
    </row>
    <row r="113" spans="1:14" ht="15" customHeight="1">
      <c r="A113" s="116" t="s">
        <v>252</v>
      </c>
      <c r="B113" s="122"/>
      <c r="C113" s="35"/>
      <c r="D113" s="35"/>
      <c r="E113" s="36">
        <v>43600</v>
      </c>
      <c r="F113" s="112">
        <f t="shared" si="12"/>
        <v>0</v>
      </c>
      <c r="G113" s="37">
        <f>C113/500</f>
        <v>0</v>
      </c>
      <c r="H113" s="37">
        <f t="shared" si="14"/>
        <v>0</v>
      </c>
      <c r="I113" s="47">
        <f t="shared" si="14"/>
        <v>72.666666666666671</v>
      </c>
      <c r="J113" s="39">
        <v>72.7</v>
      </c>
      <c r="K113" s="68"/>
      <c r="L113" s="67"/>
      <c r="M113" s="67"/>
      <c r="N113" s="65" t="s">
        <v>253</v>
      </c>
    </row>
    <row r="114" spans="1:14" ht="15" customHeight="1">
      <c r="A114" s="116" t="s">
        <v>254</v>
      </c>
      <c r="B114" s="122">
        <v>29900</v>
      </c>
      <c r="C114" s="35">
        <v>7800</v>
      </c>
      <c r="D114" s="35">
        <v>10000</v>
      </c>
      <c r="E114" s="36">
        <v>8700</v>
      </c>
      <c r="F114" s="112">
        <f t="shared" si="12"/>
        <v>59.8</v>
      </c>
      <c r="G114" s="37">
        <f>C114/500</f>
        <v>15.6</v>
      </c>
      <c r="H114" s="37">
        <f t="shared" si="14"/>
        <v>16.666666666666668</v>
      </c>
      <c r="I114" s="38">
        <f t="shared" si="14"/>
        <v>14.5</v>
      </c>
      <c r="J114" s="39">
        <v>15.3</v>
      </c>
      <c r="K114" s="66"/>
      <c r="L114" s="67"/>
      <c r="M114" s="70" t="s">
        <v>167</v>
      </c>
      <c r="N114" s="65" t="s">
        <v>255</v>
      </c>
    </row>
    <row r="115" spans="1:14" ht="15" customHeight="1">
      <c r="A115" s="116" t="s">
        <v>256</v>
      </c>
      <c r="B115" s="122"/>
      <c r="C115" s="35">
        <v>8500</v>
      </c>
      <c r="D115" s="35">
        <v>8000</v>
      </c>
      <c r="E115" s="36">
        <v>8500</v>
      </c>
      <c r="F115" s="112">
        <f t="shared" si="12"/>
        <v>0</v>
      </c>
      <c r="G115" s="37">
        <f>C115/1000</f>
        <v>8.5</v>
      </c>
      <c r="H115" s="43">
        <f>D115/1000</f>
        <v>8</v>
      </c>
      <c r="I115" s="38">
        <f>E115/1000</f>
        <v>8.5</v>
      </c>
      <c r="J115" s="39">
        <v>8</v>
      </c>
      <c r="K115" s="40"/>
      <c r="L115" s="41" t="s">
        <v>257</v>
      </c>
      <c r="M115" s="46" t="s">
        <v>257</v>
      </c>
      <c r="N115" s="42" t="s">
        <v>258</v>
      </c>
    </row>
    <row r="116" spans="1:14" ht="15" customHeight="1" thickBot="1">
      <c r="A116" s="128" t="s">
        <v>259</v>
      </c>
      <c r="B116" s="123"/>
      <c r="C116" s="48">
        <v>18000</v>
      </c>
      <c r="D116" s="48">
        <v>15000</v>
      </c>
      <c r="E116" s="49">
        <v>24100</v>
      </c>
      <c r="F116" s="72">
        <f t="shared" si="12"/>
        <v>0</v>
      </c>
      <c r="G116" s="50">
        <f>C116/500</f>
        <v>36</v>
      </c>
      <c r="H116" s="50">
        <f>D116/600</f>
        <v>25</v>
      </c>
      <c r="I116" s="59">
        <f>E116/600</f>
        <v>40.166666666666664</v>
      </c>
      <c r="J116" s="51">
        <v>36</v>
      </c>
      <c r="K116" s="60"/>
      <c r="L116" s="52"/>
      <c r="M116" s="52"/>
      <c r="N116" s="61"/>
    </row>
    <row r="117" spans="1:14" ht="15" customHeight="1">
      <c r="A117" s="124" t="s">
        <v>260</v>
      </c>
      <c r="B117" s="125"/>
      <c r="C117" s="25">
        <v>8000</v>
      </c>
      <c r="D117" s="25"/>
      <c r="E117" s="26">
        <v>8000</v>
      </c>
      <c r="F117" s="27">
        <f t="shared" ref="F117:G149" si="15">B117/500</f>
        <v>0</v>
      </c>
      <c r="G117" s="54">
        <f>C117/300</f>
        <v>26.666666666666668</v>
      </c>
      <c r="H117" s="28">
        <f t="shared" ref="H117:I132" si="16">D117/600</f>
        <v>0</v>
      </c>
      <c r="I117" s="29">
        <f>E117/300</f>
        <v>26.666666666666668</v>
      </c>
      <c r="J117" s="30">
        <v>26.7</v>
      </c>
      <c r="K117" s="31"/>
      <c r="L117" s="32" t="s">
        <v>261</v>
      </c>
      <c r="M117" s="32"/>
      <c r="N117" s="34" t="s">
        <v>262</v>
      </c>
    </row>
    <row r="118" spans="1:14" ht="15" customHeight="1">
      <c r="A118" s="115" t="s">
        <v>263</v>
      </c>
      <c r="B118" s="122"/>
      <c r="C118" s="35">
        <v>2600</v>
      </c>
      <c r="D118" s="35">
        <v>4000</v>
      </c>
      <c r="E118" s="36"/>
      <c r="F118" s="112">
        <f t="shared" si="15"/>
        <v>0</v>
      </c>
      <c r="G118" s="37">
        <f t="shared" si="15"/>
        <v>5.2</v>
      </c>
      <c r="H118" s="37">
        <f t="shared" si="16"/>
        <v>6.666666666666667</v>
      </c>
      <c r="I118" s="38">
        <f t="shared" si="16"/>
        <v>0</v>
      </c>
      <c r="J118" s="39">
        <v>6.7</v>
      </c>
      <c r="K118" s="40"/>
      <c r="L118" s="41"/>
      <c r="M118" s="46"/>
      <c r="N118" s="42"/>
    </row>
    <row r="119" spans="1:14" ht="15" customHeight="1">
      <c r="A119" s="115" t="s">
        <v>264</v>
      </c>
      <c r="B119" s="122"/>
      <c r="C119" s="35">
        <v>13500</v>
      </c>
      <c r="D119" s="35">
        <v>38000</v>
      </c>
      <c r="E119" s="36">
        <v>23500</v>
      </c>
      <c r="F119" s="112">
        <f t="shared" si="15"/>
        <v>0</v>
      </c>
      <c r="G119" s="43">
        <f t="shared" si="15"/>
        <v>27</v>
      </c>
      <c r="H119" s="37">
        <f t="shared" si="16"/>
        <v>63.333333333333336</v>
      </c>
      <c r="I119" s="38">
        <f t="shared" si="16"/>
        <v>39.166666666666664</v>
      </c>
      <c r="J119" s="39">
        <v>28</v>
      </c>
      <c r="K119" s="40"/>
      <c r="L119" s="41" t="s">
        <v>58</v>
      </c>
      <c r="M119" s="46" t="s">
        <v>265</v>
      </c>
      <c r="N119" s="42" t="s">
        <v>98</v>
      </c>
    </row>
    <row r="120" spans="1:14" ht="15" customHeight="1">
      <c r="A120" s="115" t="s">
        <v>266</v>
      </c>
      <c r="B120" s="122"/>
      <c r="C120" s="35">
        <v>3700</v>
      </c>
      <c r="D120" s="35">
        <v>5500</v>
      </c>
      <c r="E120" s="36"/>
      <c r="F120" s="112">
        <f t="shared" si="15"/>
        <v>0</v>
      </c>
      <c r="G120" s="37">
        <f t="shared" si="15"/>
        <v>7.4</v>
      </c>
      <c r="H120" s="37">
        <f t="shared" si="16"/>
        <v>9.1666666666666661</v>
      </c>
      <c r="I120" s="38">
        <f t="shared" si="16"/>
        <v>0</v>
      </c>
      <c r="J120" s="39">
        <v>9.1999999999999993</v>
      </c>
      <c r="K120" s="40"/>
      <c r="L120" s="41"/>
      <c r="M120" s="46"/>
      <c r="N120" s="42"/>
    </row>
    <row r="121" spans="1:14" ht="15" customHeight="1">
      <c r="A121" s="115" t="s">
        <v>267</v>
      </c>
      <c r="B121" s="122"/>
      <c r="C121" s="35">
        <v>8200</v>
      </c>
      <c r="D121" s="35">
        <v>12000</v>
      </c>
      <c r="E121" s="36">
        <v>9900</v>
      </c>
      <c r="F121" s="112">
        <f t="shared" si="15"/>
        <v>0</v>
      </c>
      <c r="G121" s="37">
        <f t="shared" si="15"/>
        <v>16.399999999999999</v>
      </c>
      <c r="H121" s="37">
        <f t="shared" si="16"/>
        <v>20</v>
      </c>
      <c r="I121" s="38">
        <f t="shared" si="16"/>
        <v>16.5</v>
      </c>
      <c r="J121" s="39">
        <v>16.5</v>
      </c>
      <c r="K121" s="40"/>
      <c r="L121" s="41" t="s">
        <v>268</v>
      </c>
      <c r="M121" s="41"/>
      <c r="N121" s="42" t="s">
        <v>128</v>
      </c>
    </row>
    <row r="122" spans="1:14" ht="15" customHeight="1">
      <c r="A122" s="115" t="s">
        <v>269</v>
      </c>
      <c r="B122" s="122"/>
      <c r="C122" s="35"/>
      <c r="D122" s="35"/>
      <c r="E122" s="36"/>
      <c r="F122" s="112">
        <f t="shared" si="15"/>
        <v>0</v>
      </c>
      <c r="G122" s="37">
        <f t="shared" si="15"/>
        <v>0</v>
      </c>
      <c r="H122" s="37">
        <f t="shared" si="16"/>
        <v>0</v>
      </c>
      <c r="I122" s="38">
        <f t="shared" si="16"/>
        <v>0</v>
      </c>
      <c r="K122" s="40"/>
      <c r="L122" s="41"/>
      <c r="M122" s="41"/>
      <c r="N122" s="42"/>
    </row>
    <row r="123" spans="1:14" ht="15" customHeight="1">
      <c r="A123" s="115" t="s">
        <v>270</v>
      </c>
      <c r="B123" s="122"/>
      <c r="C123" s="35">
        <v>7200</v>
      </c>
      <c r="D123" s="35">
        <v>7000</v>
      </c>
      <c r="E123" s="36">
        <v>6400</v>
      </c>
      <c r="F123" s="112">
        <f t="shared" si="15"/>
        <v>0</v>
      </c>
      <c r="G123" s="37">
        <f t="shared" si="15"/>
        <v>14.4</v>
      </c>
      <c r="H123" s="37">
        <f t="shared" si="16"/>
        <v>11.666666666666666</v>
      </c>
      <c r="I123" s="47">
        <f t="shared" si="16"/>
        <v>10.666666666666666</v>
      </c>
      <c r="J123" s="39">
        <v>11.7</v>
      </c>
      <c r="K123" s="40"/>
      <c r="L123" s="41" t="s">
        <v>268</v>
      </c>
      <c r="M123" s="46"/>
      <c r="N123" s="42" t="s">
        <v>271</v>
      </c>
    </row>
    <row r="124" spans="1:14" ht="15" customHeight="1">
      <c r="A124" s="115" t="s">
        <v>272</v>
      </c>
      <c r="B124" s="122">
        <v>17900</v>
      </c>
      <c r="C124" s="35">
        <v>11000</v>
      </c>
      <c r="D124" s="35">
        <v>16000</v>
      </c>
      <c r="E124" s="36">
        <v>14100</v>
      </c>
      <c r="F124" s="112">
        <f t="shared" si="15"/>
        <v>35.799999999999997</v>
      </c>
      <c r="G124" s="43">
        <f t="shared" si="15"/>
        <v>22</v>
      </c>
      <c r="H124" s="37">
        <f t="shared" si="16"/>
        <v>26.666666666666668</v>
      </c>
      <c r="I124" s="38">
        <f t="shared" si="16"/>
        <v>23.5</v>
      </c>
      <c r="J124" s="39">
        <v>23.5</v>
      </c>
      <c r="K124" s="40"/>
      <c r="L124" s="41" t="s">
        <v>273</v>
      </c>
      <c r="M124" s="46"/>
      <c r="N124" s="42" t="s">
        <v>214</v>
      </c>
    </row>
    <row r="125" spans="1:14" ht="15" customHeight="1">
      <c r="A125" s="115" t="s">
        <v>274</v>
      </c>
      <c r="B125" s="122"/>
      <c r="C125" s="35"/>
      <c r="D125" s="35"/>
      <c r="E125" s="36"/>
      <c r="F125" s="112">
        <f t="shared" si="15"/>
        <v>0</v>
      </c>
      <c r="G125" s="37">
        <f t="shared" si="15"/>
        <v>0</v>
      </c>
      <c r="H125" s="37">
        <f t="shared" si="16"/>
        <v>0</v>
      </c>
      <c r="I125" s="38">
        <f t="shared" si="16"/>
        <v>0</v>
      </c>
      <c r="K125" s="40"/>
      <c r="L125" s="41"/>
      <c r="M125" s="41"/>
      <c r="N125" s="42"/>
    </row>
    <row r="126" spans="1:14" ht="15" customHeight="1">
      <c r="A126" s="115" t="s">
        <v>275</v>
      </c>
      <c r="B126" s="122"/>
      <c r="C126" s="35">
        <v>8400</v>
      </c>
      <c r="D126" s="35"/>
      <c r="E126" s="36"/>
      <c r="F126" s="112">
        <f t="shared" si="15"/>
        <v>0</v>
      </c>
      <c r="G126" s="37">
        <f t="shared" si="15"/>
        <v>16.8</v>
      </c>
      <c r="H126" s="37">
        <f t="shared" si="16"/>
        <v>0</v>
      </c>
      <c r="I126" s="38">
        <f t="shared" si="16"/>
        <v>0</v>
      </c>
      <c r="J126" s="39">
        <v>16.8</v>
      </c>
      <c r="K126" s="40"/>
      <c r="L126" s="41" t="s">
        <v>58</v>
      </c>
      <c r="M126" s="41"/>
      <c r="N126" s="42"/>
    </row>
    <row r="127" spans="1:14" ht="15" customHeight="1">
      <c r="A127" s="115" t="s">
        <v>276</v>
      </c>
      <c r="B127" s="122"/>
      <c r="C127" s="35">
        <v>4600</v>
      </c>
      <c r="D127" s="35">
        <v>7000</v>
      </c>
      <c r="E127" s="36">
        <v>5500</v>
      </c>
      <c r="F127" s="112">
        <f t="shared" si="15"/>
        <v>0</v>
      </c>
      <c r="G127" s="37">
        <f t="shared" si="15"/>
        <v>9.1999999999999993</v>
      </c>
      <c r="H127" s="37">
        <f t="shared" si="16"/>
        <v>11.666666666666666</v>
      </c>
      <c r="I127" s="47">
        <f t="shared" si="16"/>
        <v>9.1666666666666661</v>
      </c>
      <c r="J127" s="39">
        <v>9.1999999999999993</v>
      </c>
      <c r="K127" s="40"/>
      <c r="L127" s="41"/>
      <c r="M127" s="46"/>
      <c r="N127" s="42" t="s">
        <v>98</v>
      </c>
    </row>
    <row r="128" spans="1:14" ht="15" customHeight="1">
      <c r="A128" s="115" t="s">
        <v>277</v>
      </c>
      <c r="B128" s="122"/>
      <c r="C128" s="35">
        <v>14000</v>
      </c>
      <c r="D128" s="35">
        <v>15000</v>
      </c>
      <c r="E128" s="36">
        <v>14000</v>
      </c>
      <c r="F128" s="112">
        <f t="shared" si="15"/>
        <v>0</v>
      </c>
      <c r="G128" s="37">
        <f>C128/1000</f>
        <v>14</v>
      </c>
      <c r="H128" s="37">
        <f>D128/1000</f>
        <v>15</v>
      </c>
      <c r="I128" s="38">
        <f>E128/1000</f>
        <v>14</v>
      </c>
      <c r="J128" s="39">
        <v>14</v>
      </c>
      <c r="K128" s="40"/>
      <c r="L128" s="41" t="s">
        <v>240</v>
      </c>
      <c r="M128" s="46" t="s">
        <v>240</v>
      </c>
      <c r="N128" s="42" t="s">
        <v>278</v>
      </c>
    </row>
    <row r="129" spans="1:14" ht="15" customHeight="1">
      <c r="A129" s="115" t="s">
        <v>279</v>
      </c>
      <c r="B129" s="122"/>
      <c r="C129" s="35">
        <v>27500</v>
      </c>
      <c r="D129" s="35">
        <v>26000</v>
      </c>
      <c r="E129" s="36"/>
      <c r="F129" s="112">
        <f t="shared" si="15"/>
        <v>0</v>
      </c>
      <c r="G129" s="37">
        <f>C129/500</f>
        <v>55</v>
      </c>
      <c r="H129" s="37">
        <f t="shared" ref="H129:I144" si="17">D129/600</f>
        <v>43.333333333333336</v>
      </c>
      <c r="I129" s="38">
        <f t="shared" si="16"/>
        <v>0</v>
      </c>
      <c r="J129" s="39">
        <v>55</v>
      </c>
      <c r="K129" s="40"/>
      <c r="L129" s="41"/>
      <c r="M129" s="41" t="s">
        <v>280</v>
      </c>
      <c r="N129" s="42"/>
    </row>
    <row r="130" spans="1:14" ht="15" customHeight="1">
      <c r="A130" s="115" t="s">
        <v>281</v>
      </c>
      <c r="B130" s="122"/>
      <c r="C130" s="35">
        <v>7300</v>
      </c>
      <c r="D130" s="35">
        <v>8500</v>
      </c>
      <c r="E130" s="36"/>
      <c r="F130" s="112">
        <f t="shared" si="15"/>
        <v>0</v>
      </c>
      <c r="G130" s="37">
        <f>C130/500</f>
        <v>14.6</v>
      </c>
      <c r="H130" s="37">
        <f t="shared" si="17"/>
        <v>14.166666666666666</v>
      </c>
      <c r="I130" s="38">
        <f t="shared" si="16"/>
        <v>0</v>
      </c>
      <c r="K130" s="40"/>
      <c r="L130" s="41"/>
      <c r="M130" s="41"/>
      <c r="N130" s="42"/>
    </row>
    <row r="131" spans="1:14" ht="15" customHeight="1">
      <c r="A131" s="115" t="s">
        <v>282</v>
      </c>
      <c r="B131" s="122"/>
      <c r="C131" s="35">
        <v>5700</v>
      </c>
      <c r="D131" s="35">
        <v>9500</v>
      </c>
      <c r="E131" s="36">
        <v>6900</v>
      </c>
      <c r="F131" s="112">
        <f t="shared" si="15"/>
        <v>0</v>
      </c>
      <c r="G131" s="37">
        <f>C131/500</f>
        <v>11.4</v>
      </c>
      <c r="H131" s="37">
        <f t="shared" si="17"/>
        <v>15.833333333333334</v>
      </c>
      <c r="I131" s="38">
        <f t="shared" si="16"/>
        <v>11.5</v>
      </c>
      <c r="J131" s="39">
        <v>17.7</v>
      </c>
      <c r="K131" s="40"/>
      <c r="L131" s="41" t="s">
        <v>185</v>
      </c>
      <c r="M131" s="46" t="s">
        <v>283</v>
      </c>
      <c r="N131" s="42" t="s">
        <v>98</v>
      </c>
    </row>
    <row r="132" spans="1:14" ht="15" customHeight="1">
      <c r="A132" s="115" t="s">
        <v>284</v>
      </c>
      <c r="B132" s="122"/>
      <c r="C132" s="35">
        <v>12800</v>
      </c>
      <c r="D132" s="35">
        <v>13500</v>
      </c>
      <c r="E132" s="36">
        <v>12300</v>
      </c>
      <c r="F132" s="112">
        <f t="shared" si="15"/>
        <v>0</v>
      </c>
      <c r="G132" s="37">
        <f>C132/600</f>
        <v>21.333333333333332</v>
      </c>
      <c r="H132" s="37">
        <f t="shared" si="17"/>
        <v>22.5</v>
      </c>
      <c r="I132" s="38">
        <f t="shared" si="16"/>
        <v>20.5</v>
      </c>
      <c r="J132" s="39">
        <v>20.5</v>
      </c>
      <c r="K132" s="40"/>
      <c r="L132" s="56" t="s">
        <v>285</v>
      </c>
      <c r="M132" s="57"/>
      <c r="N132" s="42" t="s">
        <v>286</v>
      </c>
    </row>
    <row r="133" spans="1:14" ht="15" customHeight="1">
      <c r="A133" s="115" t="s">
        <v>287</v>
      </c>
      <c r="B133" s="122"/>
      <c r="C133" s="35">
        <v>34000</v>
      </c>
      <c r="D133" s="35"/>
      <c r="E133" s="36">
        <v>55900</v>
      </c>
      <c r="F133" s="112">
        <f t="shared" si="15"/>
        <v>0</v>
      </c>
      <c r="G133" s="37">
        <f>C133/500</f>
        <v>68</v>
      </c>
      <c r="H133" s="37">
        <f t="shared" si="17"/>
        <v>0</v>
      </c>
      <c r="I133" s="38">
        <f t="shared" si="17"/>
        <v>93.166666666666671</v>
      </c>
      <c r="J133" s="39">
        <v>68</v>
      </c>
      <c r="K133" s="40"/>
      <c r="L133" s="41" t="s">
        <v>58</v>
      </c>
      <c r="M133" s="41"/>
      <c r="N133" s="42" t="s">
        <v>98</v>
      </c>
    </row>
    <row r="134" spans="1:14" ht="15" customHeight="1">
      <c r="A134" s="115" t="s">
        <v>288</v>
      </c>
      <c r="B134" s="122"/>
      <c r="C134" s="35">
        <v>14500</v>
      </c>
      <c r="D134" s="35">
        <v>19000</v>
      </c>
      <c r="E134" s="36">
        <v>17700</v>
      </c>
      <c r="F134" s="112">
        <f t="shared" si="15"/>
        <v>0</v>
      </c>
      <c r="G134" s="37">
        <f>C134/500</f>
        <v>29</v>
      </c>
      <c r="H134" s="37">
        <f t="shared" si="17"/>
        <v>31.666666666666668</v>
      </c>
      <c r="I134" s="38">
        <f t="shared" si="17"/>
        <v>29.5</v>
      </c>
      <c r="J134" s="39">
        <v>29</v>
      </c>
      <c r="K134" s="40"/>
      <c r="L134" s="41"/>
      <c r="M134" s="41"/>
      <c r="N134" s="42"/>
    </row>
    <row r="135" spans="1:14" ht="15" customHeight="1">
      <c r="A135" s="115" t="s">
        <v>289</v>
      </c>
      <c r="B135" s="122"/>
      <c r="C135" s="35"/>
      <c r="D135" s="35"/>
      <c r="E135" s="36">
        <v>8800</v>
      </c>
      <c r="F135" s="112">
        <f t="shared" si="15"/>
        <v>0</v>
      </c>
      <c r="G135" s="37">
        <f>C135/500</f>
        <v>0</v>
      </c>
      <c r="H135" s="37">
        <f t="shared" si="17"/>
        <v>0</v>
      </c>
      <c r="I135" s="38">
        <f t="shared" si="17"/>
        <v>14.666666666666666</v>
      </c>
      <c r="J135" s="39">
        <v>14.7</v>
      </c>
      <c r="K135" s="40"/>
      <c r="L135" s="41"/>
      <c r="M135" s="41"/>
      <c r="N135" s="42" t="s">
        <v>131</v>
      </c>
    </row>
    <row r="136" spans="1:14" ht="15" customHeight="1">
      <c r="A136" s="115" t="s">
        <v>290</v>
      </c>
      <c r="B136" s="122">
        <v>14800</v>
      </c>
      <c r="C136" s="35"/>
      <c r="D136" s="35"/>
      <c r="E136" s="36">
        <v>8600</v>
      </c>
      <c r="F136" s="112">
        <f t="shared" si="15"/>
        <v>29.6</v>
      </c>
      <c r="G136" s="37">
        <f>C136/500</f>
        <v>0</v>
      </c>
      <c r="H136" s="37">
        <f t="shared" si="17"/>
        <v>0</v>
      </c>
      <c r="I136" s="47">
        <f t="shared" si="17"/>
        <v>14.333333333333334</v>
      </c>
      <c r="J136" s="39">
        <v>14.8</v>
      </c>
      <c r="K136" s="66"/>
      <c r="L136" s="67"/>
      <c r="M136" s="70"/>
      <c r="N136" s="65" t="s">
        <v>291</v>
      </c>
    </row>
    <row r="137" spans="1:14" ht="15" customHeight="1">
      <c r="A137" s="115" t="s">
        <v>292</v>
      </c>
      <c r="B137" s="122"/>
      <c r="C137" s="35">
        <v>13800</v>
      </c>
      <c r="D137" s="35">
        <v>17500</v>
      </c>
      <c r="E137" s="36"/>
      <c r="F137" s="112">
        <f t="shared" si="15"/>
        <v>0</v>
      </c>
      <c r="G137" s="37">
        <f>C137/500</f>
        <v>27.6</v>
      </c>
      <c r="H137" s="37">
        <f t="shared" si="17"/>
        <v>29.166666666666668</v>
      </c>
      <c r="I137" s="38">
        <f t="shared" si="17"/>
        <v>0</v>
      </c>
      <c r="J137" s="39">
        <v>29.2</v>
      </c>
      <c r="K137" s="68"/>
      <c r="L137" s="67"/>
      <c r="M137" s="67"/>
      <c r="N137" s="69"/>
    </row>
    <row r="138" spans="1:14" ht="15" customHeight="1">
      <c r="A138" s="115" t="s">
        <v>293</v>
      </c>
      <c r="B138" s="122"/>
      <c r="C138" s="35">
        <v>13200</v>
      </c>
      <c r="D138" s="35">
        <v>14000</v>
      </c>
      <c r="E138" s="36">
        <v>13000</v>
      </c>
      <c r="F138" s="112">
        <f t="shared" si="15"/>
        <v>0</v>
      </c>
      <c r="G138" s="37">
        <f>C138/600</f>
        <v>22</v>
      </c>
      <c r="H138" s="37">
        <f t="shared" si="17"/>
        <v>23.333333333333332</v>
      </c>
      <c r="I138" s="38">
        <f>E138/500</f>
        <v>26</v>
      </c>
      <c r="J138" s="39">
        <v>22</v>
      </c>
      <c r="K138" s="68"/>
      <c r="L138" s="67" t="s">
        <v>120</v>
      </c>
      <c r="M138" s="67"/>
      <c r="N138" s="69" t="s">
        <v>412</v>
      </c>
    </row>
    <row r="139" spans="1:14" ht="15" customHeight="1">
      <c r="A139" s="115" t="s">
        <v>294</v>
      </c>
      <c r="B139" s="122"/>
      <c r="C139" s="35">
        <v>11900</v>
      </c>
      <c r="D139" s="35"/>
      <c r="E139" s="36"/>
      <c r="F139" s="112">
        <f t="shared" si="15"/>
        <v>0</v>
      </c>
      <c r="G139" s="37">
        <f>C139/500</f>
        <v>23.8</v>
      </c>
      <c r="H139" s="37">
        <f t="shared" si="17"/>
        <v>0</v>
      </c>
      <c r="I139" s="38">
        <f t="shared" si="17"/>
        <v>0</v>
      </c>
      <c r="J139" s="39">
        <v>23.8</v>
      </c>
      <c r="K139" s="68"/>
      <c r="L139" s="67" t="s">
        <v>185</v>
      </c>
      <c r="M139" s="67"/>
      <c r="N139" s="69"/>
    </row>
    <row r="140" spans="1:14" ht="15" customHeight="1">
      <c r="A140" s="115" t="s">
        <v>295</v>
      </c>
      <c r="B140" s="122"/>
      <c r="C140" s="35">
        <v>7900</v>
      </c>
      <c r="D140" s="35">
        <v>10000</v>
      </c>
      <c r="E140" s="36">
        <v>7900</v>
      </c>
      <c r="F140" s="112">
        <f t="shared" si="15"/>
        <v>0</v>
      </c>
      <c r="G140" s="37">
        <f>C140/500</f>
        <v>15.8</v>
      </c>
      <c r="H140" s="37">
        <f t="shared" si="17"/>
        <v>16.666666666666668</v>
      </c>
      <c r="I140" s="38">
        <f t="shared" si="17"/>
        <v>13.166666666666666</v>
      </c>
      <c r="J140" s="39">
        <v>15.8</v>
      </c>
      <c r="K140" s="68"/>
      <c r="L140" s="67" t="s">
        <v>296</v>
      </c>
      <c r="M140" s="70" t="s">
        <v>237</v>
      </c>
      <c r="N140" s="69" t="s">
        <v>172</v>
      </c>
    </row>
    <row r="141" spans="1:14" ht="15" customHeight="1">
      <c r="A141" s="115" t="s">
        <v>297</v>
      </c>
      <c r="B141" s="122"/>
      <c r="C141" s="35">
        <v>5800</v>
      </c>
      <c r="D141" s="35">
        <v>7500</v>
      </c>
      <c r="E141" s="36"/>
      <c r="F141" s="112">
        <f t="shared" si="15"/>
        <v>0</v>
      </c>
      <c r="G141" s="37">
        <f>C141/500</f>
        <v>11.6</v>
      </c>
      <c r="H141" s="37">
        <f t="shared" si="17"/>
        <v>12.5</v>
      </c>
      <c r="I141" s="38">
        <f t="shared" si="17"/>
        <v>0</v>
      </c>
      <c r="K141" s="68"/>
      <c r="L141" s="67"/>
      <c r="M141" s="67" t="s">
        <v>172</v>
      </c>
      <c r="N141" s="69"/>
    </row>
    <row r="142" spans="1:14" ht="15" customHeight="1">
      <c r="A142" s="115" t="s">
        <v>298</v>
      </c>
      <c r="B142" s="122"/>
      <c r="C142" s="35">
        <v>11600</v>
      </c>
      <c r="D142" s="35">
        <v>10500</v>
      </c>
      <c r="E142" s="36">
        <v>13700</v>
      </c>
      <c r="F142" s="112">
        <f t="shared" si="15"/>
        <v>0</v>
      </c>
      <c r="G142" s="37">
        <f>C142/500</f>
        <v>23.2</v>
      </c>
      <c r="H142" s="37">
        <f t="shared" si="17"/>
        <v>17.5</v>
      </c>
      <c r="I142" s="38">
        <f t="shared" si="17"/>
        <v>22.833333333333332</v>
      </c>
      <c r="J142" s="39">
        <v>22.8</v>
      </c>
      <c r="K142" s="68"/>
      <c r="L142" s="67" t="s">
        <v>299</v>
      </c>
      <c r="M142" s="67"/>
      <c r="N142" s="69" t="s">
        <v>128</v>
      </c>
    </row>
    <row r="143" spans="1:14" ht="15" customHeight="1">
      <c r="A143" s="115" t="s">
        <v>300</v>
      </c>
      <c r="B143" s="122"/>
      <c r="C143" s="35">
        <v>60000</v>
      </c>
      <c r="D143" s="35">
        <v>30000</v>
      </c>
      <c r="E143" s="36">
        <v>67500</v>
      </c>
      <c r="F143" s="112">
        <f t="shared" si="15"/>
        <v>0</v>
      </c>
      <c r="G143" s="43">
        <f>C143/600</f>
        <v>100</v>
      </c>
      <c r="H143" s="37">
        <f>D143/300</f>
        <v>100</v>
      </c>
      <c r="I143" s="38">
        <f t="shared" si="17"/>
        <v>112.5</v>
      </c>
      <c r="J143" s="39">
        <v>108.3</v>
      </c>
      <c r="K143" s="68"/>
      <c r="L143" s="56" t="s">
        <v>301</v>
      </c>
      <c r="M143" s="70" t="s">
        <v>302</v>
      </c>
      <c r="N143" s="69" t="s">
        <v>303</v>
      </c>
    </row>
    <row r="144" spans="1:14" ht="15" customHeight="1" thickBot="1">
      <c r="A144" s="126" t="s">
        <v>304</v>
      </c>
      <c r="B144" s="123"/>
      <c r="C144" s="48">
        <v>6000</v>
      </c>
      <c r="D144" s="48">
        <v>7500</v>
      </c>
      <c r="E144" s="49">
        <v>7200</v>
      </c>
      <c r="F144" s="72">
        <f t="shared" si="15"/>
        <v>0</v>
      </c>
      <c r="G144" s="50">
        <f>C144/500</f>
        <v>12</v>
      </c>
      <c r="H144" s="50">
        <f t="shared" ref="H144:H149" si="18">D144/600</f>
        <v>12.5</v>
      </c>
      <c r="I144" s="59">
        <f t="shared" si="17"/>
        <v>12</v>
      </c>
      <c r="J144" s="51">
        <v>12</v>
      </c>
      <c r="K144" s="60"/>
      <c r="L144" s="52"/>
      <c r="M144" s="52"/>
      <c r="N144" s="61" t="s">
        <v>50</v>
      </c>
    </row>
    <row r="145" spans="1:14" ht="15" customHeight="1">
      <c r="A145" s="127" t="s">
        <v>305</v>
      </c>
      <c r="B145" s="125"/>
      <c r="C145" s="25">
        <v>7500</v>
      </c>
      <c r="D145" s="25">
        <v>8500</v>
      </c>
      <c r="E145" s="26">
        <v>7200</v>
      </c>
      <c r="F145" s="27">
        <f t="shared" si="15"/>
        <v>0</v>
      </c>
      <c r="G145" s="28">
        <f>C145/500</f>
        <v>15</v>
      </c>
      <c r="H145" s="28">
        <f t="shared" si="18"/>
        <v>14.166666666666666</v>
      </c>
      <c r="I145" s="55">
        <f t="shared" ref="I145:I176" si="19">E145/600</f>
        <v>12</v>
      </c>
      <c r="J145" s="30">
        <v>12</v>
      </c>
      <c r="K145" s="31"/>
      <c r="L145" s="32" t="s">
        <v>50</v>
      </c>
      <c r="M145" s="33" t="s">
        <v>172</v>
      </c>
      <c r="N145" s="34" t="s">
        <v>214</v>
      </c>
    </row>
    <row r="146" spans="1:14" ht="15" customHeight="1">
      <c r="A146" s="116" t="s">
        <v>306</v>
      </c>
      <c r="B146" s="122"/>
      <c r="C146" s="35">
        <v>29000</v>
      </c>
      <c r="D146" s="35">
        <v>23000</v>
      </c>
      <c r="E146" s="36">
        <v>20700</v>
      </c>
      <c r="F146" s="112">
        <f t="shared" ref="F146" si="20">B146/500</f>
        <v>0</v>
      </c>
      <c r="G146" s="37">
        <f>C146/600</f>
        <v>48.333333333333336</v>
      </c>
      <c r="H146" s="37">
        <f t="shared" si="18"/>
        <v>38.333333333333336</v>
      </c>
      <c r="I146" s="47">
        <f t="shared" ref="I146" si="21">E146/600</f>
        <v>34.5</v>
      </c>
      <c r="J146" s="39">
        <v>38</v>
      </c>
      <c r="K146" s="40"/>
      <c r="L146" s="41" t="s">
        <v>120</v>
      </c>
      <c r="M146" s="41"/>
      <c r="N146" s="42" t="s">
        <v>154</v>
      </c>
    </row>
    <row r="147" spans="1:14" ht="15" customHeight="1">
      <c r="A147" s="116" t="s">
        <v>307</v>
      </c>
      <c r="B147" s="122"/>
      <c r="C147" s="35"/>
      <c r="D147" s="35"/>
      <c r="E147" s="36">
        <v>31200</v>
      </c>
      <c r="F147" s="112">
        <f t="shared" si="15"/>
        <v>0</v>
      </c>
      <c r="G147" s="37">
        <f>C147/600</f>
        <v>0</v>
      </c>
      <c r="H147" s="37">
        <f t="shared" si="18"/>
        <v>0</v>
      </c>
      <c r="I147" s="47">
        <f t="shared" si="19"/>
        <v>52</v>
      </c>
      <c r="J147" s="39">
        <v>52</v>
      </c>
      <c r="K147" s="40"/>
      <c r="L147" s="41"/>
      <c r="M147" s="41"/>
      <c r="N147" s="42"/>
    </row>
    <row r="148" spans="1:14" ht="15" customHeight="1">
      <c r="A148" s="116" t="s">
        <v>308</v>
      </c>
      <c r="B148" s="122"/>
      <c r="C148" s="35">
        <v>22500</v>
      </c>
      <c r="D148" s="35">
        <v>28000</v>
      </c>
      <c r="E148" s="36">
        <v>26900</v>
      </c>
      <c r="F148" s="112">
        <f t="shared" si="15"/>
        <v>0</v>
      </c>
      <c r="G148" s="37">
        <f>C148/500</f>
        <v>45</v>
      </c>
      <c r="H148" s="37">
        <f t="shared" si="18"/>
        <v>46.666666666666664</v>
      </c>
      <c r="I148" s="38">
        <f t="shared" si="19"/>
        <v>44.833333333333336</v>
      </c>
      <c r="J148" s="39">
        <v>46.7</v>
      </c>
      <c r="K148" s="40"/>
      <c r="L148" s="41"/>
      <c r="M148" s="41"/>
      <c r="N148" s="42"/>
    </row>
    <row r="149" spans="1:14" ht="15" customHeight="1">
      <c r="A149" s="116" t="s">
        <v>309</v>
      </c>
      <c r="B149" s="122"/>
      <c r="C149" s="35"/>
      <c r="D149" s="35">
        <v>9000</v>
      </c>
      <c r="E149" s="36"/>
      <c r="F149" s="112">
        <f t="shared" si="15"/>
        <v>0</v>
      </c>
      <c r="G149" s="37">
        <f>C149/500</f>
        <v>0</v>
      </c>
      <c r="H149" s="37">
        <f t="shared" si="18"/>
        <v>15</v>
      </c>
      <c r="I149" s="38">
        <f t="shared" si="19"/>
        <v>0</v>
      </c>
      <c r="J149" s="39">
        <v>15</v>
      </c>
      <c r="K149" s="40"/>
      <c r="L149" s="41"/>
      <c r="M149" s="46"/>
      <c r="N149" s="42"/>
    </row>
    <row r="150" spans="1:14" ht="15" customHeight="1">
      <c r="A150" s="116" t="s">
        <v>310</v>
      </c>
      <c r="B150" s="122"/>
      <c r="C150" s="35">
        <v>20000</v>
      </c>
      <c r="D150" s="35">
        <v>20000</v>
      </c>
      <c r="E150" s="36"/>
      <c r="F150" s="112">
        <f t="shared" ref="F150:G181" si="22">B150/500</f>
        <v>0</v>
      </c>
      <c r="G150" s="37">
        <f>C150/1000</f>
        <v>20</v>
      </c>
      <c r="H150" s="37">
        <f>D150/1000</f>
        <v>20</v>
      </c>
      <c r="I150" s="38">
        <f t="shared" si="19"/>
        <v>0</v>
      </c>
      <c r="J150" s="39">
        <v>20</v>
      </c>
      <c r="K150" s="40"/>
      <c r="L150" s="41" t="s">
        <v>311</v>
      </c>
      <c r="M150" s="46" t="s">
        <v>311</v>
      </c>
      <c r="N150" s="42"/>
    </row>
    <row r="151" spans="1:14" ht="15" customHeight="1">
      <c r="A151" s="116" t="s">
        <v>312</v>
      </c>
      <c r="B151" s="122"/>
      <c r="C151" s="35">
        <v>11500</v>
      </c>
      <c r="D151" s="35">
        <v>16000</v>
      </c>
      <c r="E151" s="36">
        <v>16500</v>
      </c>
      <c r="F151" s="112">
        <f t="shared" si="22"/>
        <v>0</v>
      </c>
      <c r="G151" s="37">
        <f>C151/500</f>
        <v>23</v>
      </c>
      <c r="H151" s="37">
        <f t="shared" ref="H151:I186" si="23">D151/600</f>
        <v>26.666666666666668</v>
      </c>
      <c r="I151" s="38">
        <f t="shared" si="19"/>
        <v>27.5</v>
      </c>
      <c r="J151" s="39">
        <v>23</v>
      </c>
      <c r="K151" s="40"/>
      <c r="L151" s="41" t="s">
        <v>74</v>
      </c>
      <c r="M151" s="41"/>
      <c r="N151" s="42" t="s">
        <v>313</v>
      </c>
    </row>
    <row r="152" spans="1:14" ht="15" customHeight="1">
      <c r="A152" s="117" t="s">
        <v>314</v>
      </c>
      <c r="B152" s="122"/>
      <c r="C152" s="35"/>
      <c r="D152" s="35"/>
      <c r="E152" s="36"/>
      <c r="F152" s="112">
        <f t="shared" si="22"/>
        <v>0</v>
      </c>
      <c r="G152" s="37">
        <f>C152/500</f>
        <v>0</v>
      </c>
      <c r="H152" s="37">
        <f t="shared" si="23"/>
        <v>0</v>
      </c>
      <c r="I152" s="38">
        <f t="shared" si="19"/>
        <v>0</v>
      </c>
      <c r="K152" s="40"/>
      <c r="L152" s="41"/>
      <c r="M152" s="41"/>
      <c r="N152" s="42"/>
    </row>
    <row r="153" spans="1:14" ht="15" customHeight="1">
      <c r="A153" s="117" t="s">
        <v>315</v>
      </c>
      <c r="B153" s="122"/>
      <c r="C153" s="35"/>
      <c r="D153" s="35"/>
      <c r="E153" s="36">
        <v>7800</v>
      </c>
      <c r="F153" s="112">
        <f t="shared" si="22"/>
        <v>0</v>
      </c>
      <c r="G153" s="37">
        <f>C153/500</f>
        <v>0</v>
      </c>
      <c r="H153" s="37">
        <f t="shared" si="23"/>
        <v>0</v>
      </c>
      <c r="I153" s="47">
        <f t="shared" si="19"/>
        <v>13</v>
      </c>
      <c r="J153" s="39">
        <v>13</v>
      </c>
      <c r="K153" s="40"/>
      <c r="L153" s="41"/>
      <c r="M153" s="41"/>
      <c r="N153" s="42"/>
    </row>
    <row r="154" spans="1:14" ht="15" customHeight="1">
      <c r="A154" s="117" t="s">
        <v>316</v>
      </c>
      <c r="B154" s="122"/>
      <c r="C154" s="35">
        <v>8600</v>
      </c>
      <c r="D154" s="35">
        <v>11000</v>
      </c>
      <c r="E154" s="36"/>
      <c r="F154" s="112">
        <f t="shared" si="22"/>
        <v>0</v>
      </c>
      <c r="G154" s="37">
        <f>C154/500</f>
        <v>17.2</v>
      </c>
      <c r="H154" s="37">
        <f t="shared" si="23"/>
        <v>18.333333333333332</v>
      </c>
      <c r="I154" s="38">
        <f t="shared" si="19"/>
        <v>0</v>
      </c>
      <c r="J154" s="39">
        <v>18.3</v>
      </c>
      <c r="K154" s="40"/>
      <c r="L154" s="41"/>
      <c r="M154" s="41"/>
      <c r="N154" s="42"/>
    </row>
    <row r="155" spans="1:14" ht="15" customHeight="1">
      <c r="A155" s="117" t="s">
        <v>317</v>
      </c>
      <c r="B155" s="122"/>
      <c r="C155" s="35">
        <v>8000</v>
      </c>
      <c r="D155" s="35"/>
      <c r="E155" s="36">
        <v>10200</v>
      </c>
      <c r="F155" s="112">
        <f t="shared" si="22"/>
        <v>0</v>
      </c>
      <c r="G155" s="43">
        <f>C155/500</f>
        <v>16</v>
      </c>
      <c r="H155" s="37">
        <f t="shared" si="23"/>
        <v>0</v>
      </c>
      <c r="I155" s="38">
        <f t="shared" si="19"/>
        <v>17</v>
      </c>
      <c r="J155" s="39">
        <v>15.4</v>
      </c>
      <c r="K155" s="40"/>
      <c r="L155" s="41" t="s">
        <v>65</v>
      </c>
      <c r="M155" s="41"/>
      <c r="N155" s="42"/>
    </row>
    <row r="156" spans="1:14" ht="15" customHeight="1">
      <c r="A156" s="116" t="s">
        <v>318</v>
      </c>
      <c r="B156" s="122"/>
      <c r="C156" s="35">
        <v>3500</v>
      </c>
      <c r="D156" s="35">
        <v>4500</v>
      </c>
      <c r="E156" s="36"/>
      <c r="F156" s="112">
        <f t="shared" si="22"/>
        <v>0</v>
      </c>
      <c r="G156" s="37">
        <f>C156/600</f>
        <v>5.833333333333333</v>
      </c>
      <c r="H156" s="37">
        <f t="shared" si="23"/>
        <v>7.5</v>
      </c>
      <c r="I156" s="38">
        <f t="shared" si="19"/>
        <v>0</v>
      </c>
      <c r="K156" s="40"/>
      <c r="L156" s="41" t="s">
        <v>57</v>
      </c>
      <c r="M156" s="41"/>
      <c r="N156" s="42"/>
    </row>
    <row r="157" spans="1:14" ht="15" customHeight="1">
      <c r="A157" s="117" t="s">
        <v>319</v>
      </c>
      <c r="B157" s="122"/>
      <c r="C157" s="35">
        <v>4500</v>
      </c>
      <c r="D157" s="35"/>
      <c r="E157" s="36"/>
      <c r="F157" s="112">
        <f t="shared" si="22"/>
        <v>0</v>
      </c>
      <c r="G157" s="37">
        <f>C157/600</f>
        <v>7.5</v>
      </c>
      <c r="H157" s="37">
        <f t="shared" si="23"/>
        <v>0</v>
      </c>
      <c r="I157" s="38">
        <f t="shared" si="19"/>
        <v>0</v>
      </c>
      <c r="J157" s="39">
        <v>7.5</v>
      </c>
      <c r="K157" s="40"/>
      <c r="L157" s="41" t="s">
        <v>320</v>
      </c>
      <c r="M157" s="41"/>
      <c r="N157" s="42"/>
    </row>
    <row r="158" spans="1:14" ht="15" customHeight="1">
      <c r="A158" s="117" t="s">
        <v>321</v>
      </c>
      <c r="B158" s="122"/>
      <c r="C158" s="35">
        <v>4800</v>
      </c>
      <c r="D158" s="35">
        <v>7000</v>
      </c>
      <c r="E158" s="36">
        <v>6000</v>
      </c>
      <c r="F158" s="112">
        <f t="shared" si="22"/>
        <v>0</v>
      </c>
      <c r="G158" s="37">
        <f t="shared" si="22"/>
        <v>9.6</v>
      </c>
      <c r="H158" s="37">
        <f t="shared" si="23"/>
        <v>11.666666666666666</v>
      </c>
      <c r="I158" s="38">
        <f t="shared" si="19"/>
        <v>10</v>
      </c>
      <c r="J158" s="39">
        <v>10</v>
      </c>
      <c r="K158" s="40"/>
      <c r="L158" s="41" t="s">
        <v>86</v>
      </c>
      <c r="M158" s="46" t="s">
        <v>167</v>
      </c>
      <c r="N158" s="42" t="s">
        <v>98</v>
      </c>
    </row>
    <row r="159" spans="1:14" ht="15" customHeight="1">
      <c r="A159" s="117" t="s">
        <v>322</v>
      </c>
      <c r="B159" s="122"/>
      <c r="C159" s="35">
        <v>10600</v>
      </c>
      <c r="D159" s="35">
        <v>14000</v>
      </c>
      <c r="E159" s="36">
        <v>14200</v>
      </c>
      <c r="F159" s="112">
        <f t="shared" si="22"/>
        <v>0</v>
      </c>
      <c r="G159" s="37">
        <f t="shared" si="22"/>
        <v>21.2</v>
      </c>
      <c r="H159" s="37">
        <f t="shared" si="23"/>
        <v>23.333333333333332</v>
      </c>
      <c r="I159" s="47">
        <f t="shared" si="19"/>
        <v>23.666666666666668</v>
      </c>
      <c r="J159" s="39">
        <v>21.7</v>
      </c>
      <c r="K159" s="40"/>
      <c r="L159" s="41"/>
      <c r="M159" s="41" t="s">
        <v>280</v>
      </c>
      <c r="N159" s="42" t="s">
        <v>98</v>
      </c>
    </row>
    <row r="160" spans="1:14" ht="15" customHeight="1">
      <c r="A160" s="117" t="s">
        <v>323</v>
      </c>
      <c r="B160" s="122"/>
      <c r="C160" s="35">
        <v>7800</v>
      </c>
      <c r="D160" s="35">
        <v>11000</v>
      </c>
      <c r="E160" s="36">
        <v>9600</v>
      </c>
      <c r="F160" s="112">
        <f t="shared" si="22"/>
        <v>0</v>
      </c>
      <c r="G160" s="37">
        <f t="shared" si="22"/>
        <v>15.6</v>
      </c>
      <c r="H160" s="37">
        <f t="shared" si="23"/>
        <v>18.333333333333332</v>
      </c>
      <c r="I160" s="38">
        <f t="shared" si="19"/>
        <v>16</v>
      </c>
      <c r="J160" s="39">
        <v>16.7</v>
      </c>
      <c r="K160" s="40"/>
      <c r="L160" s="41" t="s">
        <v>324</v>
      </c>
      <c r="M160" s="46"/>
      <c r="N160" s="42" t="s">
        <v>214</v>
      </c>
    </row>
    <row r="161" spans="1:14" ht="15" customHeight="1">
      <c r="A161" s="117" t="s">
        <v>325</v>
      </c>
      <c r="B161" s="122"/>
      <c r="C161" s="35"/>
      <c r="D161" s="35"/>
      <c r="E161" s="36"/>
      <c r="F161" s="112">
        <f t="shared" si="22"/>
        <v>0</v>
      </c>
      <c r="G161" s="37">
        <f t="shared" si="22"/>
        <v>0</v>
      </c>
      <c r="H161" s="37">
        <f t="shared" si="23"/>
        <v>0</v>
      </c>
      <c r="I161" s="38">
        <f t="shared" si="19"/>
        <v>0</v>
      </c>
      <c r="K161" s="40"/>
      <c r="L161" s="41"/>
      <c r="M161" s="41"/>
      <c r="N161" s="42"/>
    </row>
    <row r="162" spans="1:14" ht="15" customHeight="1">
      <c r="A162" s="117" t="s">
        <v>326</v>
      </c>
      <c r="B162" s="122"/>
      <c r="C162" s="35">
        <v>10000</v>
      </c>
      <c r="D162" s="35"/>
      <c r="E162" s="36">
        <v>10000</v>
      </c>
      <c r="F162" s="112">
        <f t="shared" si="22"/>
        <v>0</v>
      </c>
      <c r="G162" s="37">
        <f t="shared" si="22"/>
        <v>20</v>
      </c>
      <c r="H162" s="37">
        <f t="shared" si="23"/>
        <v>0</v>
      </c>
      <c r="I162" s="47">
        <f t="shared" si="19"/>
        <v>16.666666666666668</v>
      </c>
      <c r="J162" s="39">
        <v>16.7</v>
      </c>
      <c r="K162" s="40"/>
      <c r="L162" s="41" t="s">
        <v>273</v>
      </c>
      <c r="M162" s="41"/>
      <c r="N162" s="42" t="s">
        <v>327</v>
      </c>
    </row>
    <row r="163" spans="1:14" ht="15" customHeight="1">
      <c r="A163" s="117" t="s">
        <v>328</v>
      </c>
      <c r="B163" s="122"/>
      <c r="C163" s="35"/>
      <c r="D163" s="35"/>
      <c r="E163" s="36"/>
      <c r="F163" s="112">
        <f t="shared" si="22"/>
        <v>0</v>
      </c>
      <c r="G163" s="37">
        <f t="shared" si="22"/>
        <v>0</v>
      </c>
      <c r="H163" s="37">
        <f t="shared" si="23"/>
        <v>0</v>
      </c>
      <c r="I163" s="38">
        <f t="shared" si="19"/>
        <v>0</v>
      </c>
      <c r="K163" s="40"/>
      <c r="L163" s="41"/>
      <c r="M163" s="41"/>
      <c r="N163" s="42"/>
    </row>
    <row r="164" spans="1:14" ht="15" customHeight="1">
      <c r="A164" s="117" t="s">
        <v>329</v>
      </c>
      <c r="B164" s="122"/>
      <c r="C164" s="35">
        <v>9500</v>
      </c>
      <c r="D164" s="35">
        <v>14000</v>
      </c>
      <c r="E164" s="36"/>
      <c r="F164" s="112">
        <f t="shared" si="22"/>
        <v>0</v>
      </c>
      <c r="G164" s="37">
        <f t="shared" si="22"/>
        <v>19</v>
      </c>
      <c r="H164" s="37">
        <f t="shared" si="23"/>
        <v>23.333333333333332</v>
      </c>
      <c r="I164" s="38">
        <f t="shared" si="19"/>
        <v>0</v>
      </c>
      <c r="J164" s="39">
        <v>23.3</v>
      </c>
      <c r="K164" s="40"/>
      <c r="L164" s="41"/>
      <c r="M164" s="41"/>
      <c r="N164" s="42"/>
    </row>
    <row r="165" spans="1:14" ht="15" customHeight="1">
      <c r="A165" s="117" t="s">
        <v>330</v>
      </c>
      <c r="B165" s="122">
        <v>8800</v>
      </c>
      <c r="C165" s="35">
        <v>5100</v>
      </c>
      <c r="D165" s="35">
        <v>5800</v>
      </c>
      <c r="E165" s="36">
        <v>7000</v>
      </c>
      <c r="F165" s="112">
        <f t="shared" si="22"/>
        <v>17.600000000000001</v>
      </c>
      <c r="G165" s="37">
        <f t="shared" si="22"/>
        <v>10.199999999999999</v>
      </c>
      <c r="H165" s="37">
        <f t="shared" si="23"/>
        <v>9.6666666666666661</v>
      </c>
      <c r="I165" s="47">
        <f t="shared" si="19"/>
        <v>11.666666666666666</v>
      </c>
      <c r="J165" s="39">
        <v>17.600000000000001</v>
      </c>
      <c r="K165" s="66"/>
      <c r="L165" s="67" t="s">
        <v>331</v>
      </c>
      <c r="M165" s="57" t="s">
        <v>332</v>
      </c>
      <c r="N165" s="65" t="s">
        <v>333</v>
      </c>
    </row>
    <row r="166" spans="1:14" ht="15" customHeight="1">
      <c r="A166" s="117" t="s">
        <v>334</v>
      </c>
      <c r="B166" s="122">
        <v>22500</v>
      </c>
      <c r="C166" s="35"/>
      <c r="D166" s="35"/>
      <c r="E166" s="36"/>
      <c r="F166" s="112">
        <f t="shared" si="22"/>
        <v>45</v>
      </c>
      <c r="G166" s="37">
        <f t="shared" si="22"/>
        <v>0</v>
      </c>
      <c r="H166" s="37">
        <f t="shared" si="23"/>
        <v>0</v>
      </c>
      <c r="I166" s="38">
        <f t="shared" si="19"/>
        <v>0</v>
      </c>
      <c r="J166" s="39">
        <v>45</v>
      </c>
      <c r="K166" s="40"/>
      <c r="L166" s="41"/>
      <c r="M166" s="41"/>
      <c r="N166" s="42"/>
    </row>
    <row r="167" spans="1:14" ht="15" customHeight="1" thickBot="1">
      <c r="A167" s="119" t="s">
        <v>335</v>
      </c>
      <c r="B167" s="123"/>
      <c r="C167" s="48"/>
      <c r="D167" s="48"/>
      <c r="E167" s="49"/>
      <c r="F167" s="72">
        <f t="shared" si="22"/>
        <v>0</v>
      </c>
      <c r="G167" s="50">
        <f t="shared" si="22"/>
        <v>0</v>
      </c>
      <c r="H167" s="50">
        <f t="shared" si="23"/>
        <v>0</v>
      </c>
      <c r="I167" s="59">
        <f t="shared" si="19"/>
        <v>0</v>
      </c>
      <c r="J167" s="51"/>
      <c r="K167" s="60"/>
      <c r="L167" s="52"/>
      <c r="M167" s="52"/>
      <c r="N167" s="61"/>
    </row>
    <row r="168" spans="1:14" ht="15" customHeight="1">
      <c r="A168" s="129" t="s">
        <v>336</v>
      </c>
      <c r="B168" s="125"/>
      <c r="C168" s="25">
        <v>5300</v>
      </c>
      <c r="D168" s="25">
        <v>14000</v>
      </c>
      <c r="E168" s="26"/>
      <c r="F168" s="27">
        <f t="shared" si="22"/>
        <v>0</v>
      </c>
      <c r="G168" s="28">
        <f t="shared" si="22"/>
        <v>10.6</v>
      </c>
      <c r="H168" s="28">
        <f t="shared" si="23"/>
        <v>23.333333333333332</v>
      </c>
      <c r="I168" s="55">
        <f t="shared" si="19"/>
        <v>0</v>
      </c>
      <c r="J168" s="30">
        <v>23.3</v>
      </c>
      <c r="K168" s="31"/>
      <c r="L168" s="32"/>
      <c r="M168" s="33"/>
      <c r="N168" s="34"/>
    </row>
    <row r="169" spans="1:14" ht="15" customHeight="1">
      <c r="A169" s="118" t="s">
        <v>337</v>
      </c>
      <c r="B169" s="122"/>
      <c r="C169" s="35"/>
      <c r="D169" s="35"/>
      <c r="E169" s="36"/>
      <c r="F169" s="112">
        <f t="shared" si="22"/>
        <v>0</v>
      </c>
      <c r="G169" s="37">
        <f t="shared" si="22"/>
        <v>0</v>
      </c>
      <c r="H169" s="37">
        <f t="shared" si="23"/>
        <v>0</v>
      </c>
      <c r="I169" s="38">
        <f t="shared" si="19"/>
        <v>0</v>
      </c>
      <c r="K169" s="40"/>
      <c r="L169" s="41"/>
      <c r="M169" s="41"/>
      <c r="N169" s="42"/>
    </row>
    <row r="170" spans="1:14" ht="15" customHeight="1">
      <c r="A170" s="118" t="s">
        <v>338</v>
      </c>
      <c r="B170" s="122"/>
      <c r="C170" s="35">
        <v>11000</v>
      </c>
      <c r="D170" s="35"/>
      <c r="E170" s="36">
        <v>16300</v>
      </c>
      <c r="F170" s="112">
        <f t="shared" si="22"/>
        <v>0</v>
      </c>
      <c r="G170" s="71">
        <f t="shared" si="22"/>
        <v>22</v>
      </c>
      <c r="H170" s="37">
        <f t="shared" si="23"/>
        <v>0</v>
      </c>
      <c r="I170" s="143">
        <f t="shared" si="19"/>
        <v>27.166666666666668</v>
      </c>
      <c r="J170" s="39">
        <v>22</v>
      </c>
      <c r="K170" s="40"/>
      <c r="L170" s="56" t="s">
        <v>58</v>
      </c>
      <c r="M170" s="41"/>
      <c r="N170" s="42" t="s">
        <v>98</v>
      </c>
    </row>
    <row r="171" spans="1:14" ht="15" customHeight="1">
      <c r="A171" s="118" t="s">
        <v>339</v>
      </c>
      <c r="B171" s="122">
        <v>31900</v>
      </c>
      <c r="C171" s="35"/>
      <c r="D171" s="35">
        <v>17000</v>
      </c>
      <c r="E171" s="36">
        <v>25800</v>
      </c>
      <c r="F171" s="112">
        <f t="shared" si="22"/>
        <v>63.8</v>
      </c>
      <c r="G171" s="37">
        <f t="shared" si="22"/>
        <v>0</v>
      </c>
      <c r="H171" s="37">
        <f t="shared" si="23"/>
        <v>28.333333333333332</v>
      </c>
      <c r="I171" s="38">
        <f t="shared" si="19"/>
        <v>43</v>
      </c>
      <c r="J171" s="39">
        <v>43</v>
      </c>
      <c r="K171" s="40" t="s">
        <v>340</v>
      </c>
      <c r="L171" s="41"/>
      <c r="M171" s="46" t="s">
        <v>341</v>
      </c>
      <c r="N171" s="65" t="s">
        <v>342</v>
      </c>
    </row>
    <row r="172" spans="1:14" ht="15" customHeight="1">
      <c r="A172" s="118" t="s">
        <v>343</v>
      </c>
      <c r="B172" s="122"/>
      <c r="C172" s="35">
        <v>5200</v>
      </c>
      <c r="D172" s="35">
        <v>14000</v>
      </c>
      <c r="E172" s="36">
        <v>6500</v>
      </c>
      <c r="F172" s="112">
        <f t="shared" si="22"/>
        <v>0</v>
      </c>
      <c r="G172" s="37">
        <f>C172/500</f>
        <v>10.4</v>
      </c>
      <c r="H172" s="37">
        <f t="shared" si="23"/>
        <v>23.333333333333332</v>
      </c>
      <c r="I172" s="38">
        <f t="shared" si="19"/>
        <v>10.833333333333334</v>
      </c>
      <c r="J172" s="39">
        <v>10.8</v>
      </c>
      <c r="K172" s="40"/>
      <c r="L172" s="41" t="s">
        <v>344</v>
      </c>
      <c r="M172" s="41" t="s">
        <v>172</v>
      </c>
      <c r="N172" s="42" t="s">
        <v>98</v>
      </c>
    </row>
    <row r="173" spans="1:14" ht="15" customHeight="1">
      <c r="A173" s="115" t="s">
        <v>345</v>
      </c>
      <c r="B173" s="122"/>
      <c r="C173" s="35"/>
      <c r="D173" s="35"/>
      <c r="E173" s="36">
        <v>12500</v>
      </c>
      <c r="F173" s="112">
        <f t="shared" si="22"/>
        <v>0</v>
      </c>
      <c r="G173" s="37">
        <f t="shared" si="22"/>
        <v>0</v>
      </c>
      <c r="H173" s="37">
        <f t="shared" si="23"/>
        <v>0</v>
      </c>
      <c r="I173" s="38">
        <f t="shared" si="19"/>
        <v>20.833333333333332</v>
      </c>
      <c r="J173" s="39">
        <v>20.8</v>
      </c>
      <c r="K173" s="40"/>
      <c r="L173" s="41"/>
      <c r="M173" s="41"/>
      <c r="N173" s="42" t="s">
        <v>50</v>
      </c>
    </row>
    <row r="174" spans="1:14" ht="15" customHeight="1">
      <c r="A174" s="118" t="s">
        <v>346</v>
      </c>
      <c r="B174" s="122"/>
      <c r="C174" s="35">
        <v>5800</v>
      </c>
      <c r="D174" s="35"/>
      <c r="E174" s="36"/>
      <c r="F174" s="112">
        <f t="shared" si="22"/>
        <v>0</v>
      </c>
      <c r="G174" s="37">
        <f t="shared" si="22"/>
        <v>11.6</v>
      </c>
      <c r="H174" s="37">
        <f t="shared" si="23"/>
        <v>0</v>
      </c>
      <c r="I174" s="38">
        <f t="shared" si="19"/>
        <v>0</v>
      </c>
      <c r="J174" s="39">
        <v>11.6</v>
      </c>
      <c r="K174" s="40"/>
      <c r="L174" s="41" t="s">
        <v>347</v>
      </c>
      <c r="M174" s="41"/>
      <c r="N174" s="42"/>
    </row>
    <row r="175" spans="1:14" ht="15" customHeight="1">
      <c r="A175" s="118" t="s">
        <v>348</v>
      </c>
      <c r="B175" s="122"/>
      <c r="C175" s="35">
        <v>21900</v>
      </c>
      <c r="D175" s="35">
        <v>24000</v>
      </c>
      <c r="E175" s="36">
        <v>24300</v>
      </c>
      <c r="F175" s="112">
        <f t="shared" si="22"/>
        <v>0</v>
      </c>
      <c r="G175" s="37">
        <f t="shared" si="22"/>
        <v>43.8</v>
      </c>
      <c r="H175" s="37">
        <f t="shared" si="23"/>
        <v>40</v>
      </c>
      <c r="I175" s="38">
        <f t="shared" si="19"/>
        <v>40.5</v>
      </c>
      <c r="J175" s="39">
        <v>40</v>
      </c>
      <c r="K175" s="40"/>
      <c r="L175" s="41" t="s">
        <v>74</v>
      </c>
      <c r="M175" s="46"/>
      <c r="N175" s="42" t="s">
        <v>98</v>
      </c>
    </row>
    <row r="176" spans="1:14" ht="15" customHeight="1">
      <c r="A176" s="118" t="s">
        <v>349</v>
      </c>
      <c r="B176" s="122"/>
      <c r="C176" s="35">
        <v>13800</v>
      </c>
      <c r="D176" s="35"/>
      <c r="E176" s="36">
        <v>17600</v>
      </c>
      <c r="F176" s="112">
        <f t="shared" si="22"/>
        <v>0</v>
      </c>
      <c r="G176" s="37">
        <f t="shared" si="22"/>
        <v>27.6</v>
      </c>
      <c r="H176" s="37">
        <f t="shared" si="23"/>
        <v>0</v>
      </c>
      <c r="I176" s="38">
        <f t="shared" si="19"/>
        <v>29.333333333333332</v>
      </c>
      <c r="J176" s="39">
        <v>28.5</v>
      </c>
      <c r="K176" s="40"/>
      <c r="L176" s="41" t="s">
        <v>273</v>
      </c>
      <c r="M176" s="41"/>
      <c r="N176" s="42" t="s">
        <v>350</v>
      </c>
    </row>
    <row r="177" spans="1:14" ht="15" customHeight="1">
      <c r="A177" s="118" t="s">
        <v>351</v>
      </c>
      <c r="B177" s="122"/>
      <c r="C177" s="35">
        <v>11000</v>
      </c>
      <c r="D177" s="35"/>
      <c r="E177" s="36">
        <v>11000</v>
      </c>
      <c r="F177" s="112">
        <f t="shared" si="22"/>
        <v>0</v>
      </c>
      <c r="G177" s="37">
        <f t="shared" si="22"/>
        <v>22</v>
      </c>
      <c r="H177" s="37">
        <f t="shared" si="23"/>
        <v>0</v>
      </c>
      <c r="I177" s="38">
        <f>E177/500</f>
        <v>22</v>
      </c>
      <c r="J177" s="39">
        <v>22</v>
      </c>
      <c r="K177" s="40"/>
      <c r="L177" s="41" t="s">
        <v>352</v>
      </c>
      <c r="M177" s="41"/>
      <c r="N177" s="42" t="s">
        <v>353</v>
      </c>
    </row>
    <row r="178" spans="1:14" ht="15" customHeight="1">
      <c r="A178" s="118" t="s">
        <v>354</v>
      </c>
      <c r="B178" s="122"/>
      <c r="C178" s="35">
        <v>11300</v>
      </c>
      <c r="D178" s="35"/>
      <c r="E178" s="36">
        <v>14200</v>
      </c>
      <c r="F178" s="112">
        <f t="shared" si="22"/>
        <v>0</v>
      </c>
      <c r="G178" s="37">
        <f t="shared" si="22"/>
        <v>22.6</v>
      </c>
      <c r="H178" s="37">
        <f t="shared" si="23"/>
        <v>0</v>
      </c>
      <c r="I178" s="38">
        <f t="shared" si="23"/>
        <v>23.666666666666668</v>
      </c>
      <c r="J178" s="39">
        <v>22.6</v>
      </c>
      <c r="K178" s="40"/>
      <c r="L178" s="41" t="s">
        <v>50</v>
      </c>
      <c r="M178" s="41"/>
      <c r="N178" s="42" t="s">
        <v>50</v>
      </c>
    </row>
    <row r="179" spans="1:14" ht="15" customHeight="1">
      <c r="A179" s="118" t="s">
        <v>355</v>
      </c>
      <c r="B179" s="122"/>
      <c r="C179" s="35"/>
      <c r="D179" s="35">
        <v>8500</v>
      </c>
      <c r="E179" s="36"/>
      <c r="F179" s="112">
        <f t="shared" si="22"/>
        <v>0</v>
      </c>
      <c r="G179" s="37">
        <f t="shared" si="22"/>
        <v>0</v>
      </c>
      <c r="H179" s="37">
        <f t="shared" si="23"/>
        <v>14.166666666666666</v>
      </c>
      <c r="I179" s="38">
        <f t="shared" si="23"/>
        <v>0</v>
      </c>
      <c r="J179" s="39">
        <v>14.2</v>
      </c>
      <c r="K179" s="40"/>
      <c r="L179" s="41"/>
      <c r="M179" s="41"/>
      <c r="N179" s="42"/>
    </row>
    <row r="180" spans="1:14" ht="15" customHeight="1">
      <c r="A180" s="118" t="s">
        <v>356</v>
      </c>
      <c r="B180" s="122"/>
      <c r="C180" s="35">
        <v>3300</v>
      </c>
      <c r="D180" s="35">
        <v>5800</v>
      </c>
      <c r="E180" s="36">
        <v>4400</v>
      </c>
      <c r="F180" s="112">
        <f t="shared" si="22"/>
        <v>0</v>
      </c>
      <c r="G180" s="37">
        <f t="shared" si="22"/>
        <v>6.6</v>
      </c>
      <c r="H180" s="37">
        <f t="shared" si="23"/>
        <v>9.6666666666666661</v>
      </c>
      <c r="I180" s="38">
        <f t="shared" si="23"/>
        <v>7.333333333333333</v>
      </c>
      <c r="J180" s="39">
        <v>7.3</v>
      </c>
      <c r="K180" s="40"/>
      <c r="L180" s="41"/>
      <c r="M180" s="41" t="s">
        <v>357</v>
      </c>
      <c r="N180" s="42" t="s">
        <v>98</v>
      </c>
    </row>
    <row r="181" spans="1:14" ht="15" customHeight="1">
      <c r="A181" s="118" t="s">
        <v>358</v>
      </c>
      <c r="B181" s="122"/>
      <c r="C181" s="35"/>
      <c r="D181" s="35"/>
      <c r="E181" s="36"/>
      <c r="F181" s="112">
        <f t="shared" si="22"/>
        <v>0</v>
      </c>
      <c r="G181" s="37">
        <f t="shared" si="22"/>
        <v>0</v>
      </c>
      <c r="H181" s="37">
        <f t="shared" si="23"/>
        <v>0</v>
      </c>
      <c r="I181" s="38">
        <f t="shared" si="23"/>
        <v>0</v>
      </c>
      <c r="K181" s="40"/>
      <c r="L181" s="41"/>
      <c r="M181" s="41"/>
      <c r="N181" s="42"/>
    </row>
    <row r="182" spans="1:14" ht="15" customHeight="1">
      <c r="A182" s="118" t="s">
        <v>359</v>
      </c>
      <c r="B182" s="122"/>
      <c r="C182" s="35"/>
      <c r="D182" s="35"/>
      <c r="E182" s="36"/>
      <c r="F182" s="112">
        <f t="shared" ref="F182:G187" si="24">B182/500</f>
        <v>0</v>
      </c>
      <c r="G182" s="37">
        <f t="shared" si="24"/>
        <v>0</v>
      </c>
      <c r="H182" s="37">
        <f t="shared" si="23"/>
        <v>0</v>
      </c>
      <c r="I182" s="38">
        <f t="shared" si="23"/>
        <v>0</v>
      </c>
      <c r="K182" s="40"/>
      <c r="L182" s="41"/>
      <c r="M182" s="41"/>
      <c r="N182" s="42"/>
    </row>
    <row r="183" spans="1:14" ht="15" customHeight="1">
      <c r="A183" s="118" t="s">
        <v>360</v>
      </c>
      <c r="B183" s="122"/>
      <c r="C183" s="35">
        <v>5800</v>
      </c>
      <c r="D183" s="35">
        <v>7000</v>
      </c>
      <c r="E183" s="36"/>
      <c r="F183" s="112">
        <f t="shared" si="24"/>
        <v>0</v>
      </c>
      <c r="G183" s="37">
        <f t="shared" si="24"/>
        <v>11.6</v>
      </c>
      <c r="H183" s="37">
        <f t="shared" si="23"/>
        <v>11.666666666666666</v>
      </c>
      <c r="I183" s="38">
        <f t="shared" si="23"/>
        <v>0</v>
      </c>
      <c r="J183" s="39">
        <v>11.7</v>
      </c>
      <c r="K183" s="40"/>
      <c r="L183" s="41" t="s">
        <v>299</v>
      </c>
      <c r="M183" s="41"/>
      <c r="N183" s="42"/>
    </row>
    <row r="184" spans="1:14" ht="15" customHeight="1">
      <c r="A184" s="118" t="s">
        <v>361</v>
      </c>
      <c r="B184" s="122"/>
      <c r="C184" s="35"/>
      <c r="D184" s="35"/>
      <c r="E184" s="36"/>
      <c r="F184" s="112">
        <f t="shared" si="24"/>
        <v>0</v>
      </c>
      <c r="G184" s="37">
        <f t="shared" si="24"/>
        <v>0</v>
      </c>
      <c r="H184" s="37">
        <f t="shared" si="23"/>
        <v>0</v>
      </c>
      <c r="I184" s="38">
        <f t="shared" si="23"/>
        <v>0</v>
      </c>
      <c r="K184" s="40"/>
      <c r="L184" s="41"/>
      <c r="M184" s="41"/>
      <c r="N184" s="42"/>
    </row>
    <row r="185" spans="1:14" ht="15" customHeight="1" thickBot="1">
      <c r="A185" s="130" t="s">
        <v>362</v>
      </c>
      <c r="B185" s="123">
        <v>10800</v>
      </c>
      <c r="C185" s="48">
        <v>9500</v>
      </c>
      <c r="D185" s="48">
        <v>7500</v>
      </c>
      <c r="E185" s="49">
        <v>12700</v>
      </c>
      <c r="F185" s="72">
        <f t="shared" si="24"/>
        <v>21.6</v>
      </c>
      <c r="G185" s="50">
        <f t="shared" si="24"/>
        <v>19</v>
      </c>
      <c r="H185" s="50">
        <f t="shared" si="23"/>
        <v>12.5</v>
      </c>
      <c r="I185" s="59">
        <f t="shared" si="23"/>
        <v>21.166666666666668</v>
      </c>
      <c r="J185" s="51">
        <v>26</v>
      </c>
      <c r="K185" s="139"/>
      <c r="L185" s="52" t="s">
        <v>50</v>
      </c>
      <c r="M185" s="53"/>
      <c r="N185" s="61" t="s">
        <v>214</v>
      </c>
    </row>
    <row r="186" spans="1:14" ht="15" customHeight="1">
      <c r="A186" s="131" t="s">
        <v>363</v>
      </c>
      <c r="B186" s="125"/>
      <c r="C186" s="25">
        <v>13200</v>
      </c>
      <c r="D186" s="25">
        <v>15000</v>
      </c>
      <c r="E186" s="26">
        <v>16300</v>
      </c>
      <c r="F186" s="27">
        <f t="shared" si="24"/>
        <v>0</v>
      </c>
      <c r="G186" s="28">
        <f t="shared" si="24"/>
        <v>26.4</v>
      </c>
      <c r="H186" s="28">
        <f t="shared" si="23"/>
        <v>25</v>
      </c>
      <c r="I186" s="55">
        <f t="shared" si="23"/>
        <v>27.166666666666668</v>
      </c>
      <c r="J186" s="30">
        <v>23.7</v>
      </c>
      <c r="K186" s="31"/>
      <c r="L186" s="140" t="s">
        <v>50</v>
      </c>
      <c r="M186" s="33" t="s">
        <v>71</v>
      </c>
      <c r="N186" s="34" t="s">
        <v>52</v>
      </c>
    </row>
    <row r="187" spans="1:14" ht="15" customHeight="1">
      <c r="A187" s="141" t="s">
        <v>364</v>
      </c>
      <c r="B187" s="122"/>
      <c r="C187" s="35">
        <v>5500</v>
      </c>
      <c r="D187" s="35"/>
      <c r="E187" s="36"/>
      <c r="F187" s="112"/>
      <c r="G187" s="37">
        <f t="shared" si="24"/>
        <v>11</v>
      </c>
      <c r="H187" s="37"/>
      <c r="I187" s="38"/>
      <c r="J187" s="39">
        <v>11</v>
      </c>
      <c r="K187" s="136"/>
      <c r="L187" s="41" t="s">
        <v>365</v>
      </c>
      <c r="M187" s="132"/>
      <c r="N187" s="142"/>
    </row>
    <row r="188" spans="1:14" ht="15" customHeight="1" thickBot="1">
      <c r="A188" s="119" t="s">
        <v>366</v>
      </c>
      <c r="B188" s="123"/>
      <c r="C188" s="48">
        <v>10000</v>
      </c>
      <c r="D188" s="48">
        <v>10000</v>
      </c>
      <c r="E188" s="49">
        <v>10300</v>
      </c>
      <c r="F188" s="72">
        <f t="shared" ref="F188:G208" si="25">B188/500</f>
        <v>0</v>
      </c>
      <c r="G188" s="50">
        <f t="shared" ref="G188:I196" si="26">C188/600</f>
        <v>16.666666666666668</v>
      </c>
      <c r="H188" s="50">
        <f t="shared" si="26"/>
        <v>16.666666666666668</v>
      </c>
      <c r="I188" s="59">
        <f t="shared" si="26"/>
        <v>17.166666666666668</v>
      </c>
      <c r="J188" s="51"/>
      <c r="K188" s="60"/>
      <c r="L188" s="52" t="s">
        <v>120</v>
      </c>
      <c r="M188" s="53" t="s">
        <v>367</v>
      </c>
      <c r="N188" s="61" t="s">
        <v>368</v>
      </c>
    </row>
    <row r="189" spans="1:14" ht="15" customHeight="1">
      <c r="A189" s="129" t="s">
        <v>369</v>
      </c>
      <c r="B189" s="125"/>
      <c r="C189" s="25">
        <v>4700</v>
      </c>
      <c r="D189" s="25">
        <v>5500</v>
      </c>
      <c r="E189" s="26">
        <v>4700</v>
      </c>
      <c r="F189" s="27">
        <f t="shared" si="25"/>
        <v>0</v>
      </c>
      <c r="G189" s="28">
        <f t="shared" si="26"/>
        <v>7.833333333333333</v>
      </c>
      <c r="H189" s="28">
        <f t="shared" si="26"/>
        <v>9.1666666666666661</v>
      </c>
      <c r="I189" s="55">
        <f t="shared" si="26"/>
        <v>7.833333333333333</v>
      </c>
      <c r="J189" s="30">
        <v>9.1999999999999993</v>
      </c>
      <c r="K189" s="31"/>
      <c r="L189" s="32" t="s">
        <v>370</v>
      </c>
      <c r="M189" s="33" t="s">
        <v>371</v>
      </c>
      <c r="N189" s="34" t="s">
        <v>372</v>
      </c>
    </row>
    <row r="190" spans="1:14" ht="15" customHeight="1">
      <c r="A190" s="118" t="s">
        <v>373</v>
      </c>
      <c r="B190" s="122"/>
      <c r="C190" s="35">
        <v>21000</v>
      </c>
      <c r="D190" s="35">
        <v>25500</v>
      </c>
      <c r="E190" s="36">
        <v>25400</v>
      </c>
      <c r="F190" s="112">
        <f t="shared" si="25"/>
        <v>0</v>
      </c>
      <c r="G190" s="43">
        <f t="shared" si="26"/>
        <v>35</v>
      </c>
      <c r="H190" s="37">
        <f t="shared" si="26"/>
        <v>42.5</v>
      </c>
      <c r="I190" s="38">
        <f t="shared" si="26"/>
        <v>42.333333333333336</v>
      </c>
      <c r="J190" s="39">
        <v>35</v>
      </c>
      <c r="K190" s="40"/>
      <c r="L190" s="41" t="s">
        <v>374</v>
      </c>
      <c r="M190" s="41"/>
      <c r="N190" s="42" t="s">
        <v>98</v>
      </c>
    </row>
    <row r="191" spans="1:14" ht="15" customHeight="1">
      <c r="A191" s="118" t="s">
        <v>375</v>
      </c>
      <c r="B191" s="122"/>
      <c r="C191" s="35">
        <v>19000</v>
      </c>
      <c r="D191" s="35">
        <v>19200</v>
      </c>
      <c r="E191" s="36">
        <v>19200</v>
      </c>
      <c r="F191" s="112">
        <f t="shared" si="25"/>
        <v>0</v>
      </c>
      <c r="G191" s="37">
        <f>C191/500</f>
        <v>38</v>
      </c>
      <c r="H191" s="37">
        <f t="shared" si="26"/>
        <v>32</v>
      </c>
      <c r="I191" s="38">
        <f t="shared" si="26"/>
        <v>32</v>
      </c>
      <c r="J191" s="39">
        <v>32</v>
      </c>
      <c r="K191" s="40"/>
      <c r="L191" s="41"/>
      <c r="M191" s="41"/>
      <c r="N191" s="42"/>
    </row>
    <row r="192" spans="1:14" ht="15" customHeight="1">
      <c r="A192" s="118" t="s">
        <v>376</v>
      </c>
      <c r="B192" s="122"/>
      <c r="C192" s="35"/>
      <c r="D192" s="35"/>
      <c r="E192" s="36"/>
      <c r="F192" s="112">
        <f t="shared" si="25"/>
        <v>0</v>
      </c>
      <c r="G192" s="37">
        <f>C192/500</f>
        <v>0</v>
      </c>
      <c r="H192" s="37">
        <f t="shared" si="26"/>
        <v>0</v>
      </c>
      <c r="I192" s="38">
        <f t="shared" si="26"/>
        <v>0</v>
      </c>
      <c r="K192" s="40"/>
      <c r="L192" s="41"/>
      <c r="M192" s="41"/>
      <c r="N192" s="42"/>
    </row>
    <row r="193" spans="1:14" ht="15" customHeight="1" thickBot="1">
      <c r="A193" s="130" t="s">
        <v>377</v>
      </c>
      <c r="B193" s="123"/>
      <c r="C193" s="48">
        <v>5200</v>
      </c>
      <c r="D193" s="48"/>
      <c r="E193" s="49">
        <v>5600</v>
      </c>
      <c r="F193" s="72">
        <f t="shared" si="25"/>
        <v>0</v>
      </c>
      <c r="G193" s="58">
        <f>C193/600</f>
        <v>8.6666666666666661</v>
      </c>
      <c r="H193" s="50">
        <f t="shared" si="26"/>
        <v>0</v>
      </c>
      <c r="I193" s="59">
        <f t="shared" si="26"/>
        <v>9.3333333333333339</v>
      </c>
      <c r="J193" s="51">
        <v>8.6999999999999993</v>
      </c>
      <c r="K193" s="60"/>
      <c r="L193" s="52" t="s">
        <v>82</v>
      </c>
      <c r="M193" s="52"/>
      <c r="N193" s="61" t="s">
        <v>58</v>
      </c>
    </row>
    <row r="194" spans="1:14" ht="15" customHeight="1">
      <c r="A194" s="131" t="s">
        <v>378</v>
      </c>
      <c r="B194" s="125"/>
      <c r="C194" s="25">
        <v>4000</v>
      </c>
      <c r="D194" s="25">
        <v>5500</v>
      </c>
      <c r="E194" s="26">
        <v>5100</v>
      </c>
      <c r="F194" s="27">
        <f t="shared" si="25"/>
        <v>0</v>
      </c>
      <c r="G194" s="28">
        <f t="shared" si="25"/>
        <v>8</v>
      </c>
      <c r="H194" s="28">
        <f t="shared" si="26"/>
        <v>9.1666666666666661</v>
      </c>
      <c r="I194" s="55">
        <f t="shared" si="26"/>
        <v>8.5</v>
      </c>
      <c r="J194" s="30">
        <v>8</v>
      </c>
      <c r="K194" s="31"/>
      <c r="L194" s="32" t="s">
        <v>58</v>
      </c>
      <c r="M194" s="32"/>
      <c r="N194" s="34"/>
    </row>
    <row r="195" spans="1:14" ht="15" customHeight="1">
      <c r="A195" s="117" t="s">
        <v>379</v>
      </c>
      <c r="B195" s="122"/>
      <c r="C195" s="35">
        <v>5900</v>
      </c>
      <c r="D195" s="35">
        <v>6500</v>
      </c>
      <c r="E195" s="36">
        <v>6900</v>
      </c>
      <c r="F195" s="112">
        <f t="shared" si="25"/>
        <v>0</v>
      </c>
      <c r="G195" s="37">
        <f t="shared" si="25"/>
        <v>11.8</v>
      </c>
      <c r="H195" s="37">
        <f t="shared" si="26"/>
        <v>10.833333333333334</v>
      </c>
      <c r="I195" s="38">
        <f t="shared" si="26"/>
        <v>11.5</v>
      </c>
      <c r="J195" s="39">
        <v>12</v>
      </c>
      <c r="K195" s="40"/>
      <c r="L195" s="41"/>
      <c r="M195" s="46" t="s">
        <v>380</v>
      </c>
      <c r="N195" s="42" t="s">
        <v>381</v>
      </c>
    </row>
    <row r="196" spans="1:14" ht="15" customHeight="1">
      <c r="A196" s="117" t="s">
        <v>382</v>
      </c>
      <c r="B196" s="122"/>
      <c r="C196" s="35">
        <v>7200</v>
      </c>
      <c r="D196" s="35">
        <v>9500</v>
      </c>
      <c r="E196" s="36">
        <v>8600</v>
      </c>
      <c r="F196" s="112">
        <f t="shared" si="25"/>
        <v>0</v>
      </c>
      <c r="G196" s="37">
        <f t="shared" si="25"/>
        <v>14.4</v>
      </c>
      <c r="H196" s="37">
        <f t="shared" si="26"/>
        <v>15.833333333333334</v>
      </c>
      <c r="I196" s="95">
        <f t="shared" si="26"/>
        <v>14.333333333333334</v>
      </c>
      <c r="J196" s="39">
        <v>14.7</v>
      </c>
      <c r="K196" s="40"/>
      <c r="L196" s="110" t="s">
        <v>50</v>
      </c>
      <c r="M196" s="46" t="s">
        <v>383</v>
      </c>
      <c r="N196" s="42" t="s">
        <v>50</v>
      </c>
    </row>
    <row r="197" spans="1:14" ht="15" customHeight="1">
      <c r="A197" s="117" t="s">
        <v>384</v>
      </c>
      <c r="B197" s="122"/>
      <c r="C197" s="35"/>
      <c r="D197" s="35"/>
      <c r="E197" s="36">
        <v>39000</v>
      </c>
      <c r="F197" s="112">
        <f t="shared" si="25"/>
        <v>0</v>
      </c>
      <c r="G197" s="37">
        <f t="shared" si="25"/>
        <v>0</v>
      </c>
      <c r="H197" s="37">
        <f>D197/600</f>
        <v>0</v>
      </c>
      <c r="I197" s="38">
        <f>E197/1000</f>
        <v>39</v>
      </c>
      <c r="J197" s="39">
        <v>39</v>
      </c>
      <c r="K197" s="40"/>
      <c r="L197" s="41"/>
      <c r="M197" s="41"/>
      <c r="N197" s="42" t="s">
        <v>385</v>
      </c>
    </row>
    <row r="198" spans="1:14" ht="15" customHeight="1">
      <c r="A198" s="117" t="s">
        <v>386</v>
      </c>
      <c r="B198" s="122"/>
      <c r="C198" s="35">
        <v>12000</v>
      </c>
      <c r="D198" s="35">
        <v>6000</v>
      </c>
      <c r="E198" s="36">
        <v>15300</v>
      </c>
      <c r="F198" s="112">
        <f t="shared" si="25"/>
        <v>0</v>
      </c>
      <c r="G198" s="37">
        <f t="shared" si="25"/>
        <v>24</v>
      </c>
      <c r="H198" s="37">
        <f>D198/600</f>
        <v>10</v>
      </c>
      <c r="I198" s="38">
        <f t="shared" ref="I198:I208" si="27">E198/600</f>
        <v>25.5</v>
      </c>
      <c r="J198" s="39">
        <v>24</v>
      </c>
      <c r="K198" s="40"/>
      <c r="L198" s="41" t="s">
        <v>387</v>
      </c>
      <c r="M198" s="41" t="s">
        <v>280</v>
      </c>
      <c r="N198" s="42" t="s">
        <v>84</v>
      </c>
    </row>
    <row r="199" spans="1:14" ht="15" customHeight="1">
      <c r="A199" s="117" t="s">
        <v>388</v>
      </c>
      <c r="B199" s="122"/>
      <c r="C199" s="35">
        <v>14500</v>
      </c>
      <c r="D199" s="35">
        <v>37000</v>
      </c>
      <c r="E199" s="36">
        <v>35800</v>
      </c>
      <c r="F199" s="112">
        <f t="shared" si="25"/>
        <v>0</v>
      </c>
      <c r="G199" s="37">
        <f>C199/600</f>
        <v>24.166666666666668</v>
      </c>
      <c r="H199" s="37">
        <f>D199/600</f>
        <v>61.666666666666664</v>
      </c>
      <c r="I199" s="38">
        <f t="shared" si="27"/>
        <v>59.666666666666664</v>
      </c>
      <c r="J199" s="39">
        <v>59.7</v>
      </c>
      <c r="K199" s="40"/>
      <c r="L199" s="41"/>
      <c r="M199" s="46"/>
      <c r="N199" s="42"/>
    </row>
    <row r="200" spans="1:14" ht="15" customHeight="1">
      <c r="A200" s="117" t="s">
        <v>389</v>
      </c>
      <c r="B200" s="122"/>
      <c r="C200" s="35">
        <v>8800</v>
      </c>
      <c r="D200" s="35"/>
      <c r="E200" s="36">
        <v>10500</v>
      </c>
      <c r="F200" s="112">
        <f t="shared" si="25"/>
        <v>0</v>
      </c>
      <c r="G200" s="37">
        <f t="shared" si="25"/>
        <v>17.600000000000001</v>
      </c>
      <c r="H200" s="37">
        <f>D200/600</f>
        <v>0</v>
      </c>
      <c r="I200" s="38">
        <f t="shared" si="27"/>
        <v>17.5</v>
      </c>
      <c r="J200" s="39">
        <v>17.600000000000001</v>
      </c>
      <c r="K200" s="40"/>
      <c r="L200" s="41" t="s">
        <v>324</v>
      </c>
      <c r="M200" s="41"/>
      <c r="N200" s="42" t="s">
        <v>128</v>
      </c>
    </row>
    <row r="201" spans="1:14" ht="15" customHeight="1">
      <c r="A201" s="117" t="s">
        <v>390</v>
      </c>
      <c r="B201" s="122"/>
      <c r="C201" s="35">
        <v>19500</v>
      </c>
      <c r="D201" s="35">
        <v>30000</v>
      </c>
      <c r="E201" s="36">
        <v>26000</v>
      </c>
      <c r="F201" s="112">
        <f t="shared" si="25"/>
        <v>0</v>
      </c>
      <c r="G201" s="37">
        <f t="shared" si="25"/>
        <v>39</v>
      </c>
      <c r="H201" s="37">
        <f>D201/600</f>
        <v>50</v>
      </c>
      <c r="I201" s="38">
        <f t="shared" si="27"/>
        <v>43.333333333333336</v>
      </c>
      <c r="J201" s="39">
        <v>44.2</v>
      </c>
      <c r="K201" s="40"/>
      <c r="L201" s="41" t="s">
        <v>391</v>
      </c>
      <c r="M201" s="46" t="s">
        <v>392</v>
      </c>
      <c r="N201" s="42" t="s">
        <v>74</v>
      </c>
    </row>
    <row r="202" spans="1:14" ht="15" customHeight="1">
      <c r="A202" s="117" t="s">
        <v>393</v>
      </c>
      <c r="B202" s="122"/>
      <c r="C202" s="35"/>
      <c r="D202" s="35">
        <v>8500</v>
      </c>
      <c r="E202" s="36"/>
      <c r="F202" s="112">
        <f t="shared" si="25"/>
        <v>0</v>
      </c>
      <c r="G202" s="37">
        <f t="shared" si="25"/>
        <v>0</v>
      </c>
      <c r="H202" s="37">
        <f>D202/1000</f>
        <v>8.5</v>
      </c>
      <c r="I202" s="38">
        <f t="shared" si="27"/>
        <v>0</v>
      </c>
      <c r="K202" s="40"/>
      <c r="L202" s="41"/>
      <c r="M202" s="46" t="s">
        <v>394</v>
      </c>
      <c r="N202" s="42"/>
    </row>
    <row r="203" spans="1:14" ht="15" customHeight="1">
      <c r="A203" s="117" t="s">
        <v>395</v>
      </c>
      <c r="B203" s="122"/>
      <c r="C203" s="35">
        <v>9000</v>
      </c>
      <c r="D203" s="35">
        <v>9000</v>
      </c>
      <c r="E203" s="36">
        <v>13500</v>
      </c>
      <c r="F203" s="112">
        <f t="shared" si="25"/>
        <v>0</v>
      </c>
      <c r="G203" s="37">
        <f t="shared" si="25"/>
        <v>18</v>
      </c>
      <c r="H203" s="37">
        <f t="shared" ref="H203:H208" si="28">D203/600</f>
        <v>15</v>
      </c>
      <c r="I203" s="47">
        <f t="shared" si="27"/>
        <v>22.5</v>
      </c>
      <c r="J203" s="39">
        <v>22.5</v>
      </c>
      <c r="K203" s="40"/>
      <c r="L203" s="41"/>
      <c r="M203" s="46"/>
      <c r="N203" s="42" t="s">
        <v>396</v>
      </c>
    </row>
    <row r="204" spans="1:14" ht="15" customHeight="1">
      <c r="A204" s="117" t="s">
        <v>397</v>
      </c>
      <c r="B204" s="122"/>
      <c r="C204" s="35">
        <v>11000</v>
      </c>
      <c r="D204" s="35">
        <v>24000</v>
      </c>
      <c r="E204" s="36">
        <v>13400</v>
      </c>
      <c r="F204" s="112">
        <f t="shared" si="25"/>
        <v>0</v>
      </c>
      <c r="G204" s="43">
        <f t="shared" si="25"/>
        <v>22</v>
      </c>
      <c r="H204" s="37">
        <f t="shared" si="28"/>
        <v>40</v>
      </c>
      <c r="I204" s="47">
        <f t="shared" si="27"/>
        <v>22.333333333333332</v>
      </c>
      <c r="J204" s="39">
        <v>22</v>
      </c>
      <c r="K204" s="40"/>
      <c r="L204" s="110" t="s">
        <v>398</v>
      </c>
      <c r="M204" s="46" t="s">
        <v>399</v>
      </c>
      <c r="N204" s="42" t="s">
        <v>400</v>
      </c>
    </row>
    <row r="205" spans="1:14" ht="15" customHeight="1">
      <c r="A205" s="117" t="s">
        <v>401</v>
      </c>
      <c r="B205" s="122"/>
      <c r="C205" s="35">
        <v>68400</v>
      </c>
      <c r="D205" s="35">
        <v>85000</v>
      </c>
      <c r="E205" s="36">
        <v>84800</v>
      </c>
      <c r="F205" s="112">
        <f t="shared" si="25"/>
        <v>0</v>
      </c>
      <c r="G205" s="37">
        <f t="shared" si="25"/>
        <v>136.80000000000001</v>
      </c>
      <c r="H205" s="43">
        <f t="shared" si="28"/>
        <v>141.66666666666666</v>
      </c>
      <c r="I205" s="38">
        <f t="shared" si="27"/>
        <v>141.33333333333334</v>
      </c>
      <c r="J205" s="39">
        <v>136.80000000000001</v>
      </c>
      <c r="K205" s="40"/>
      <c r="L205" s="41" t="s">
        <v>402</v>
      </c>
      <c r="M205" s="57" t="s">
        <v>403</v>
      </c>
      <c r="N205" s="42" t="s">
        <v>268</v>
      </c>
    </row>
    <row r="206" spans="1:14" ht="15" customHeight="1">
      <c r="A206" s="117" t="s">
        <v>404</v>
      </c>
      <c r="B206" s="122"/>
      <c r="C206" s="35">
        <v>12800</v>
      </c>
      <c r="D206" s="35">
        <v>9500</v>
      </c>
      <c r="E206" s="36">
        <v>16600</v>
      </c>
      <c r="F206" s="112">
        <f t="shared" si="25"/>
        <v>0</v>
      </c>
      <c r="G206" s="37">
        <f t="shared" si="25"/>
        <v>25.6</v>
      </c>
      <c r="H206" s="37">
        <f t="shared" si="28"/>
        <v>15.833333333333334</v>
      </c>
      <c r="I206" s="38">
        <f t="shared" si="27"/>
        <v>27.666666666666668</v>
      </c>
      <c r="J206" s="39">
        <v>27.7</v>
      </c>
      <c r="K206" s="40"/>
      <c r="L206" s="41"/>
      <c r="M206" s="46" t="s">
        <v>405</v>
      </c>
      <c r="N206" s="42" t="s">
        <v>406</v>
      </c>
    </row>
    <row r="207" spans="1:14" ht="15" customHeight="1">
      <c r="A207" s="117" t="s">
        <v>407</v>
      </c>
      <c r="B207" s="122"/>
      <c r="C207" s="35"/>
      <c r="D207" s="35">
        <v>9500</v>
      </c>
      <c r="E207" s="36"/>
      <c r="F207" s="112">
        <f t="shared" si="25"/>
        <v>0</v>
      </c>
      <c r="G207" s="37">
        <f t="shared" si="25"/>
        <v>0</v>
      </c>
      <c r="H207" s="37">
        <f t="shared" si="28"/>
        <v>15.833333333333334</v>
      </c>
      <c r="I207" s="38">
        <f t="shared" si="27"/>
        <v>0</v>
      </c>
      <c r="K207" s="40"/>
      <c r="L207" s="41"/>
      <c r="M207" s="41"/>
      <c r="N207" s="42"/>
    </row>
    <row r="208" spans="1:14" ht="15" customHeight="1" thickBot="1">
      <c r="A208" s="119" t="s">
        <v>408</v>
      </c>
      <c r="B208" s="123"/>
      <c r="C208" s="48">
        <v>4500</v>
      </c>
      <c r="D208" s="48">
        <v>4500</v>
      </c>
      <c r="E208" s="49">
        <v>5400</v>
      </c>
      <c r="F208" s="72">
        <f t="shared" si="25"/>
        <v>0</v>
      </c>
      <c r="G208" s="50">
        <f t="shared" si="25"/>
        <v>9</v>
      </c>
      <c r="H208" s="50">
        <f t="shared" si="28"/>
        <v>7.5</v>
      </c>
      <c r="I208" s="73">
        <f t="shared" si="27"/>
        <v>9</v>
      </c>
      <c r="J208" s="51">
        <v>9</v>
      </c>
      <c r="K208" s="60"/>
      <c r="L208" s="52" t="s">
        <v>409</v>
      </c>
      <c r="M208" s="53" t="s">
        <v>410</v>
      </c>
      <c r="N208" s="61" t="s">
        <v>411</v>
      </c>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J2373"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2025-07-17T03:17:38Z</cp:lastPrinted>
  <dcterms:created xsi:type="dcterms:W3CDTF">2024-09-12T16:35:01Z</dcterms:created>
  <dcterms:modified xsi:type="dcterms:W3CDTF">2025-07-17T03:46:35Z</dcterms:modified>
  <cp:category/>
  <cp:contentStatus/>
</cp:coreProperties>
</file>