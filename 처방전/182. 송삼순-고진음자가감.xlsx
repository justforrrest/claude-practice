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698" documentId="8_{6EB8DC0A-AB56-415F-A9F3-EA1534264548}" xr6:coauthVersionLast="47" xr6:coauthVersionMax="47" xr10:uidLastSave="{2FAF5447-974C-4214-A965-22A8B2CAE132}"/>
  <bookViews>
    <workbookView xWindow="-120" yWindow="-120" windowWidth="29040" windowHeight="1572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8" l="1"/>
  <c r="F31" i="8"/>
  <c r="I31" i="8" s="1"/>
  <c r="H30" i="8"/>
  <c r="F30" i="8"/>
  <c r="I30" i="8" s="1"/>
  <c r="I29" i="8"/>
  <c r="H29" i="8"/>
  <c r="F29" i="8"/>
  <c r="H28" i="8"/>
  <c r="F28" i="8"/>
  <c r="I28" i="8" s="1"/>
  <c r="H27" i="8"/>
  <c r="F27" i="8"/>
  <c r="I27" i="8" s="1"/>
  <c r="H26" i="8"/>
  <c r="F26" i="8"/>
  <c r="I26" i="8" s="1"/>
  <c r="H25" i="8"/>
  <c r="F25" i="8"/>
  <c r="I25" i="8" s="1"/>
  <c r="H24" i="8"/>
  <c r="F24" i="8"/>
  <c r="I24" i="8" s="1"/>
  <c r="H23" i="8"/>
  <c r="F23" i="8"/>
  <c r="I23" i="8" s="1"/>
  <c r="H22" i="8"/>
  <c r="F22" i="8"/>
  <c r="I22" i="8" s="1"/>
  <c r="H21" i="8"/>
  <c r="F21" i="8"/>
  <c r="I21" i="8" s="1"/>
  <c r="F20" i="8"/>
  <c r="I20" i="8" s="1"/>
  <c r="F19" i="8"/>
  <c r="I19" i="8" s="1"/>
  <c r="L18" i="8"/>
  <c r="L19" i="8" s="1"/>
  <c r="L20" i="8" s="1"/>
  <c r="F18" i="8"/>
  <c r="J18" i="8" s="1"/>
  <c r="F17" i="8"/>
  <c r="J17" i="8" s="1"/>
  <c r="F16" i="8"/>
  <c r="J16" i="8" s="1"/>
  <c r="F15" i="8"/>
  <c r="J15" i="8" s="1"/>
  <c r="H14" i="8"/>
  <c r="F14" i="8"/>
  <c r="J14" i="8" s="1"/>
  <c r="F13" i="8"/>
  <c r="I13" i="8" s="1"/>
  <c r="F12" i="8"/>
  <c r="J12" i="8" s="1"/>
  <c r="H11" i="8"/>
  <c r="F11" i="8"/>
  <c r="J11" i="8" s="1"/>
  <c r="G10" i="8"/>
  <c r="F10" i="8"/>
  <c r="J10" i="8" s="1"/>
  <c r="G9" i="8"/>
  <c r="F9" i="8"/>
  <c r="J9" i="8" s="1"/>
  <c r="G8" i="8"/>
  <c r="F8" i="8"/>
  <c r="J8" i="8" s="1"/>
  <c r="G7" i="8"/>
  <c r="F7" i="8"/>
  <c r="J7" i="8" s="1"/>
  <c r="G6" i="8"/>
  <c r="F6" i="8"/>
  <c r="J6" i="8" s="1"/>
  <c r="G5" i="8"/>
  <c r="H5" i="8" s="1"/>
  <c r="F5" i="8"/>
  <c r="J5" i="8" s="1"/>
  <c r="G4" i="8"/>
  <c r="H4" i="8" s="1"/>
  <c r="F4" i="8"/>
  <c r="J4" i="8" s="1"/>
  <c r="G3" i="8"/>
  <c r="F3" i="8"/>
  <c r="J3" i="8" s="1"/>
  <c r="G2" i="8"/>
  <c r="F2" i="8"/>
  <c r="G20" i="7"/>
  <c r="G19" i="7"/>
  <c r="G11" i="7"/>
  <c r="G12" i="7"/>
  <c r="G13" i="7"/>
  <c r="G14" i="7"/>
  <c r="G15" i="7"/>
  <c r="G16" i="7"/>
  <c r="G17" i="7"/>
  <c r="G18" i="7"/>
  <c r="G9" i="7"/>
  <c r="G10" i="7"/>
  <c r="G8" i="7"/>
  <c r="G7" i="7"/>
  <c r="G3" i="7"/>
  <c r="G4" i="7"/>
  <c r="G5" i="7"/>
  <c r="G6" i="7"/>
  <c r="I16" i="8" l="1"/>
  <c r="I11" i="8"/>
  <c r="I18" i="8"/>
  <c r="J13" i="8"/>
  <c r="I15" i="8"/>
  <c r="I6" i="8"/>
  <c r="I10" i="8"/>
  <c r="I7" i="8"/>
  <c r="I3" i="8"/>
  <c r="I2" i="8"/>
  <c r="I17" i="8"/>
  <c r="L23" i="8"/>
  <c r="H10" i="8"/>
  <c r="H2" i="8"/>
  <c r="I5" i="8"/>
  <c r="I8" i="8"/>
  <c r="I12" i="8"/>
  <c r="H16" i="8"/>
  <c r="I9" i="8"/>
  <c r="I4" i="8"/>
  <c r="H9" i="8"/>
  <c r="H7" i="8"/>
  <c r="H19" i="8"/>
  <c r="I14" i="8"/>
  <c r="J2" i="8"/>
  <c r="H12" i="8"/>
  <c r="H17" i="8"/>
  <c r="H3" i="8"/>
  <c r="H15" i="8"/>
  <c r="H8" i="8"/>
  <c r="H20" i="8"/>
  <c r="H13" i="8"/>
  <c r="H6" i="8"/>
  <c r="H18" i="8"/>
  <c r="F3" i="7"/>
  <c r="J3" i="7" s="1"/>
  <c r="F4" i="7"/>
  <c r="F2" i="7"/>
  <c r="J2" i="7" s="1"/>
  <c r="L31" i="8" l="1"/>
  <c r="L30" i="8"/>
  <c r="I4" i="7"/>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<sst xmlns="http://schemas.openxmlformats.org/spreadsheetml/2006/main" count="665" uniqueCount="449">
  <si>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</si>
  <si>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</si>
  <si>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</si>
  <si>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</si>
  <si>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</si>
  <si>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</si>
  <si>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</si>
  <si>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</si>
  <si>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</si>
  <si>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</si>
  <si>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</si>
  <si>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</si>
  <si>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</si>
  <si>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</si>
  <si>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</si>
  <si>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</si>
  <si>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</si>
  <si>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</si>
  <si>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</si>
  <si>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</si>
  <si>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</si>
  <si>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</si>
  <si>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</si>
  <si>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</si>
  <si>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</si>
  <si>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</si>
  <si>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</si>
  <si>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</si>
  <si>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</si>
  <si>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</si>
  <si>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</si>
  <si>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</si>
  <si>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</si>
  <si>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</si>
  <si>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</si>
  <si>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</si>
  <si>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</si>
  <si>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</si>
  <si>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</si>
  <si>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</si>
  <si>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</si>
  <si>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</si>
  <si>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</si>
  <si>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</si>
  <si>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</si>
  <si>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</si>
  <si>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</si>
  <si>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</si>
  <si>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</si>
  <si>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</si>
  <si>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</si>
  <si>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</si>
  <si>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</si>
  <si>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</si>
  <si>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</si>
  <si>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</si>
  <si>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</si>
  <si>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</si>
  <si>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</si>
  <si>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</si>
  <si>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</si>
  <si>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</si>
  <si>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</si>
  <si>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</si>
  <si>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</si>
  <si>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</si>
  <si>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</si>
  <si>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</si>
  <si>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</si>
  <si>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</si>
  <si>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</si>
  <si>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</si>
  <si>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</si>
  <si>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</si>
  <si>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</si>
  <si>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</si>
  <si>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</si>
  <si>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</si>
  <si>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</si>
  <si>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</si>
  <si>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</si>
  <si>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</si>
  <si>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</si>
  <si>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</si>
  <si>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</si>
  <si>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</si>
  <si>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</si>
  <si>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</si>
  <si>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</si>
  <si>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</si>
  <si>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</si>
  <si>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</si>
  <si>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</si>
  <si>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</si>
  <si>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</si>
  <si>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</si>
  <si>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</si>
  <si>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</si>
  <si>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</si>
  <si>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</si>
  <si>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</si>
  <si>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</si>
  <si>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</si>
  <si>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</si>
  <si>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</si>
  <si>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</si>
  <si>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</si>
  <si>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</si>
  <si>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</si>
  <si>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</si>
  <si>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</si>
  <si>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</si>
  <si>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</si>
  <si>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</si>
  <si>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</si>
  <si>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</si>
  <si>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</si>
  <si>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</si>
  <si>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</si>
  <si>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</si>
  <si>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</si>
  <si>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</si>
  <si>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</si>
  <si>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</si>
  <si>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</si>
  <si>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</si>
  <si>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</si>
  <si>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</si>
  <si>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</si>
  <si>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</si>
  <si>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</si>
  <si>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</si>
  <si>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</si>
  <si>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</si>
  <si>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</si>
  <si>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</si>
  <si>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</si>
  <si>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</si>
  <si>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</si>
  <si>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</si>
  <si>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</si>
  <si>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</si>
  <si>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</si>
  <si>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</si>
  <si>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</si>
  <si>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</si>
  <si>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</si>
  <si>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</si>
  <si>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</si>
  <si>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</si>
  <si>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</si>
  <si>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</si>
  <si>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</si>
  <si>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</si>
  <si>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</si>
  <si>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</si>
  <si>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</si>
  <si>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</si>
  <si>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</si>
  <si>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</si>
  <si>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</si>
  <si>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</si>
  <si>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</si>
  <si>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</si>
  <si>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</si>
  <si>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</si>
  <si>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</si>
  <si>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</si>
  <si>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</si>
  <si>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</si>
  <si>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</si>
  <si>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</si>
  <si>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</si>
  <si>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</si>
  <si>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</si>
  <si>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</si>
  <si>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</si>
  <si>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</si>
  <si>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</si>
  <si>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</si>
  <si>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</si>
  <si>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</si>
  <si>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</si>
  <si>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</si>
  <si>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</si>
  <si>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</si>
  <si>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</si>
  <si>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</si>
  <si>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</si>
  <si>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</si>
  <si>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</si>
  <si>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</si>
  <si>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</si>
  <si>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</si>
  <si>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</si>
  <si>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</si>
  <si>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</si>
  <si>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</si>
  <si>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</si>
  <si>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</si>
  <si>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</si>
  <si>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</si>
  <si>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</si>
  <si>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</si>
  <si>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</si>
  <si>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</si>
  <si>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</si>
  <si>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</si>
  <si>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</si>
  <si>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</si>
  <si>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</si>
  <si>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</si>
  <si>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</si>
  <si>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</si>
  <si>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</si>
  <si>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</si>
  <si>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</si>
  <si>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</si>
  <si>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</si>
  <si>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</si>
  <si>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</si>
  <si>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</si>
  <si>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</si>
  <si>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</si>
  <si>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</si>
  <si>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</si>
  <si>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</si>
  <si>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</si>
  <si>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</si>
  <si>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</si>
  <si>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</si>
  <si>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</si>
  <si>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</si>
  <si>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</si>
  <si>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</si>
  <si>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</si>
  <si>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</si>
  <si>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</si>
  <si>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</si>
  <si>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</si>
  <si>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</si>
  <si>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</si>
  <si>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</si>
  <si>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</si>
  <si>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</si>
  <si>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</si>
  <si>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</si>
  <si>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</si>
  <si>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</si>
  <si>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</si>
  <si>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</si>
  <si>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</si>
  <si>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</si>
  <si>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</si>
  <si>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</si>
  <si>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</si>
  <si>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</si>
  <si>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</si>
  <si>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</si>
  <si>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</si>
  <si>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</si>
  <si>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</si>
  <si>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</si>
  <si>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</si>
  <si>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</si>
  <si>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</si>
  <si>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</si>
  <si>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</si>
  <si>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</si>
  <si>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</si>
  <si>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</si>
  <si>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</si>
  <si>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</si>
  <si>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</si>
  <si>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</si>
  <si>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</si>
  <si>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</si>
  <si>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</si>
  <si>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</si>
  <si>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</si>
  <si>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</si>
  <si>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</si>
  <si>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</si>
  <si>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</si>
  <si>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</si>
  <si>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</si>
  <si>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</si>
  <si>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</si>
  <si>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</si>
  <si>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</si>
  <si>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</si>
  <si>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</si>
  <si>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</si>
  <si>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</si>
  <si>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</si>
  <si>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</si>
  <si>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</si>
  <si>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</si>
  <si>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</si>
  <si>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</si>
  <si>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</si>
  <si>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</si>
  <si>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</si>
  <si>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</si>
  <si>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</si>
  <si>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</si>
  <si>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</si>
  <si>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</si>
  <si>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</si>
  <si>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</si>
  <si>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</si>
  <si>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</si>
  <si>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</si>
  <si>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</si>
  <si>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</si>
  <si>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</si>
  <si>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</si>
  <si>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</si>
  <si>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</si>
  <si>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</si>
  <si>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</si>
  <si>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</si>
  <si>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</si>
  <si>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</si>
  <si>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</si>
  <si>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</si>
  <si>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</si>
  <si>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</si>
  <si>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</si>
  <si>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</si>
  <si>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</si>
  <si>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</si>
  <si>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</si>
  <si>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</si>
  <si>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</si>
  <si>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</si>
  <si>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</si>
  <si>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</si>
  <si>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</si>
  <si>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</si>
  <si>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</si>
  <si>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</si>
  <si>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</si>
  <si>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</si>
  <si>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</si>
  <si>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</si>
  <si>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</si>
  <si>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</si>
  <si>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</si>
  <si>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</si>
  <si>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</si>
  <si>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</si>
  <si>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</si>
  <si>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</si>
  <si>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</si>
  <si>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</si>
  <si>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</si>
  <si>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</si>
  <si>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</si>
  <si>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</si>
  <si>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</si>
  <si>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</si>
  <si>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</si>
  <si>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</si>
  <si>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</si>
  <si>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</si>
  <si>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</si>
  <si>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</si>
  <si>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</si>
  <si>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</si>
  <si>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</si>
  <si>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</si>
  <si>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</si>
  <si>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</si>
  <si>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</si>
  <si>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</si>
  <si>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</si>
  <si>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</si>
  <si>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</si>
  <si>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</si>
  <si>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</si>
  <si>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</si>
  <si>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</si>
  <si>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</si>
  <si>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</si>
  <si>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</si>
  <si>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</si>
  <si>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</si>
  <si>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</si>
  <si>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</si>
  <si>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</si>
  <si>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</si>
  <si>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</si>
  <si>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</si>
  <si>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</si>
  <si>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</si>
  <si>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</si>
  <si>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</si>
  <si>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</si>
  <si>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</si>
  <si>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</si>
  <si>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</si>
  <si>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</si>
  <si>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</si>
  <si>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</si>
  <si>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</si>
  <si>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</si>
  <si>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</si>
  <si>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</si>
  <si>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</si>
  <si>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</si>
  <si>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</si>
  <si>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</si>
  <si>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</si>
  <si>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</si>
  <si>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</si>
  <si>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</si>
  <si>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</si>
  <si>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1일당</t>
    <phoneticPr fontId="5" type="noConversion"/>
  </si>
  <si>
    <t>감초</t>
    <phoneticPr fontId="5" type="noConversion"/>
  </si>
  <si>
    <t>오미자</t>
    <phoneticPr fontId="5" type="noConversion"/>
  </si>
  <si>
    <t>육계</t>
    <phoneticPr fontId="5" type="noConversion"/>
  </si>
  <si>
    <t>복령</t>
    <phoneticPr fontId="5" type="noConversion"/>
  </si>
  <si>
    <t>고진음자</t>
    <phoneticPr fontId="5" type="noConversion"/>
  </si>
  <si>
    <t>숙지황</t>
    <phoneticPr fontId="5" type="noConversion"/>
  </si>
  <si>
    <t>산약</t>
    <phoneticPr fontId="5" type="noConversion"/>
  </si>
  <si>
    <t>인삼</t>
    <phoneticPr fontId="5" type="noConversion"/>
  </si>
  <si>
    <t>황기</t>
    <phoneticPr fontId="5" type="noConversion"/>
  </si>
  <si>
    <t>황백</t>
    <phoneticPr fontId="5" type="noConversion"/>
  </si>
  <si>
    <t>두충</t>
    <phoneticPr fontId="5" type="noConversion"/>
  </si>
  <si>
    <t>초</t>
    <phoneticPr fontId="5" type="noConversion"/>
  </si>
  <si>
    <t>백출</t>
    <phoneticPr fontId="5" type="noConversion"/>
  </si>
  <si>
    <t>산수유</t>
    <phoneticPr fontId="5" type="noConversion"/>
  </si>
  <si>
    <t>파고지</t>
    <phoneticPr fontId="5" type="noConversion"/>
  </si>
  <si>
    <t>당귀1</t>
    <phoneticPr fontId="5" type="noConversion"/>
  </si>
  <si>
    <t>진피1</t>
    <phoneticPr fontId="5" type="noConversion"/>
  </si>
  <si>
    <t>택사1</t>
    <phoneticPr fontId="5" type="noConversion"/>
  </si>
  <si>
    <t>우슬</t>
    <phoneticPr fontId="5" type="noConversion"/>
  </si>
  <si>
    <t>녹용</t>
    <phoneticPr fontId="5" type="noConversion"/>
  </si>
  <si>
    <t>백작약</t>
    <phoneticPr fontId="5" type="noConversion"/>
  </si>
  <si>
    <t>고진음자 + 백작약 육계 우슬 녹용 (황기 복령 택사 증량)</t>
    <phoneticPr fontId="5" type="noConversion"/>
  </si>
  <si>
    <t>송삼순</t>
    <phoneticPr fontId="5" type="noConversion"/>
  </si>
  <si>
    <t>방기황기탕가감</t>
    <phoneticPr fontId="5" type="noConversion"/>
  </si>
  <si>
    <t>방기황기탕 + 마황 복령</t>
    <phoneticPr fontId="5" type="noConversion"/>
  </si>
  <si>
    <t>대추</t>
    <phoneticPr fontId="5" type="noConversion"/>
  </si>
  <si>
    <t>생강</t>
    <phoneticPr fontId="5" type="noConversion"/>
  </si>
  <si>
    <t>마황</t>
    <phoneticPr fontId="5" type="noConversion"/>
  </si>
  <si>
    <t>방기1</t>
    <phoneticPr fontId="5" type="noConversion"/>
  </si>
  <si>
    <t>창출1</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</si>
</sst>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D5">
            <v>10000</v>
          </cell>
          <cell r="E5">
            <v>11700</v>
          </cell>
          <cell r="F5">
            <v>0</v>
          </cell>
          <cell r="G5">
            <v>0</v>
          </cell>
          <cell r="H5">
            <v>20</v>
          </cell>
          <cell r="I5">
            <v>19.5</v>
          </cell>
          <cell r="J5">
            <v>19.5</v>
          </cell>
        </row>
        <row r="6">
          <cell r="A6" t="str">
            <v>감수</v>
          </cell>
          <cell r="D6">
            <v>23400</v>
          </cell>
          <cell r="E6">
            <v>27100</v>
          </cell>
          <cell r="F6">
            <v>0</v>
          </cell>
          <cell r="G6">
            <v>0</v>
          </cell>
          <cell r="H6">
            <v>39</v>
          </cell>
          <cell r="I6">
            <v>45.166666666666664</v>
          </cell>
          <cell r="J6">
            <v>45.2</v>
          </cell>
        </row>
        <row r="7">
          <cell r="A7" t="str">
            <v>감초</v>
          </cell>
          <cell r="B7">
            <v>17500</v>
          </cell>
          <cell r="C7">
            <v>18000</v>
          </cell>
          <cell r="E7">
            <v>25500</v>
          </cell>
          <cell r="F7">
            <v>35</v>
          </cell>
          <cell r="G7">
            <v>30</v>
          </cell>
          <cell r="H7">
            <v>0</v>
          </cell>
          <cell r="I7">
            <v>42.5</v>
          </cell>
          <cell r="J7">
            <v>30</v>
          </cell>
        </row>
        <row r="8">
          <cell r="A8" t="str">
            <v>강활1</v>
          </cell>
          <cell r="B8">
            <v>27200</v>
          </cell>
          <cell r="C8">
            <v>24000</v>
          </cell>
          <cell r="D8">
            <v>24000</v>
          </cell>
          <cell r="F8">
            <v>54.4</v>
          </cell>
          <cell r="G8">
            <v>40</v>
          </cell>
          <cell r="H8">
            <v>48</v>
          </cell>
          <cell r="I8">
            <v>0</v>
          </cell>
          <cell r="J8">
            <v>40</v>
          </cell>
        </row>
        <row r="9">
          <cell r="A9" t="str">
            <v>강활2</v>
          </cell>
          <cell r="C9">
            <v>21000</v>
          </cell>
          <cell r="D9">
            <v>23500</v>
          </cell>
          <cell r="E9">
            <v>27400</v>
          </cell>
          <cell r="F9">
            <v>0</v>
          </cell>
          <cell r="G9">
            <v>35</v>
          </cell>
          <cell r="H9">
            <v>47</v>
          </cell>
          <cell r="I9">
            <v>45.666666666666664</v>
          </cell>
          <cell r="J9">
            <v>45.7</v>
          </cell>
        </row>
        <row r="10">
          <cell r="A10" t="str">
            <v>강황</v>
          </cell>
          <cell r="C10">
            <v>5000</v>
          </cell>
          <cell r="D10">
            <v>5500</v>
          </cell>
          <cell r="E10">
            <v>5800</v>
          </cell>
          <cell r="F10">
            <v>0</v>
          </cell>
          <cell r="G10">
            <v>8.3333333333333339</v>
          </cell>
          <cell r="H10">
            <v>11</v>
          </cell>
          <cell r="I10">
            <v>9.6666666666666661</v>
          </cell>
          <cell r="J10">
            <v>8.3000000000000007</v>
          </cell>
        </row>
        <row r="11">
          <cell r="A11" t="str">
            <v>건강</v>
          </cell>
          <cell r="C11">
            <v>8000</v>
          </cell>
          <cell r="D11">
            <v>5200</v>
          </cell>
          <cell r="E11">
            <v>5900</v>
          </cell>
          <cell r="F11">
            <v>0</v>
          </cell>
          <cell r="G11">
            <v>13.333333333333334</v>
          </cell>
          <cell r="H11">
            <v>10.4</v>
          </cell>
          <cell r="I11">
            <v>9.8333333333333339</v>
          </cell>
          <cell r="J11">
            <v>9.5</v>
          </cell>
        </row>
        <row r="12">
          <cell r="A12" t="str">
            <v>건율</v>
          </cell>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F14">
            <v>0</v>
          </cell>
          <cell r="G14">
            <v>0</v>
          </cell>
          <cell r="H14">
            <v>0</v>
          </cell>
          <cell r="I14">
            <v>0</v>
          </cell>
        </row>
        <row r="15">
          <cell r="A15" t="str">
            <v>계자황(난황)</v>
          </cell>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E17">
            <v>2800</v>
          </cell>
          <cell r="I17">
            <v>4.666666666666667</v>
          </cell>
          <cell r="J17">
            <v>4.7</v>
          </cell>
        </row>
        <row r="18">
          <cell r="A18" t="str">
            <v>고량강</v>
          </cell>
          <cell r="D18">
            <v>10200</v>
          </cell>
          <cell r="E18">
            <v>11100</v>
          </cell>
          <cell r="F18">
            <v>0</v>
          </cell>
          <cell r="G18">
            <v>0</v>
          </cell>
          <cell r="H18">
            <v>17</v>
          </cell>
          <cell r="I18">
            <v>18.5</v>
          </cell>
          <cell r="J18">
            <v>17</v>
          </cell>
        </row>
        <row r="19">
          <cell r="A19" t="str">
            <v>고본</v>
          </cell>
          <cell r="D19">
            <v>32000</v>
          </cell>
          <cell r="E19">
            <v>41600</v>
          </cell>
          <cell r="F19">
            <v>0</v>
          </cell>
          <cell r="G19">
            <v>0</v>
          </cell>
          <cell r="H19">
            <v>64</v>
          </cell>
          <cell r="I19">
            <v>69.333333333333329</v>
          </cell>
          <cell r="J19">
            <v>64</v>
          </cell>
        </row>
        <row r="20">
          <cell r="A20" t="str">
            <v>고삼</v>
          </cell>
          <cell r="D20">
            <v>4500</v>
          </cell>
          <cell r="F20">
            <v>0</v>
          </cell>
          <cell r="G20">
            <v>0</v>
          </cell>
          <cell r="H20">
            <v>9</v>
          </cell>
          <cell r="I20">
            <v>0</v>
          </cell>
          <cell r="J20">
            <v>9</v>
          </cell>
        </row>
        <row r="21">
          <cell r="A21" t="str">
            <v>골쇄보</v>
          </cell>
          <cell r="F21">
            <v>0</v>
          </cell>
          <cell r="G21">
            <v>0</v>
          </cell>
          <cell r="H21">
            <v>0</v>
          </cell>
          <cell r="I21">
            <v>0</v>
          </cell>
        </row>
        <row r="22">
          <cell r="A22" t="str">
            <v>과루인</v>
          </cell>
          <cell r="C22">
            <v>6500</v>
          </cell>
          <cell r="D22">
            <v>3500</v>
          </cell>
          <cell r="F22">
            <v>0</v>
          </cell>
          <cell r="G22">
            <v>10.833333333333334</v>
          </cell>
          <cell r="H22">
            <v>7</v>
          </cell>
          <cell r="I22">
            <v>0</v>
          </cell>
          <cell r="J22">
            <v>10.8</v>
          </cell>
        </row>
        <row r="23">
          <cell r="A23" t="str">
            <v>곽향1</v>
          </cell>
          <cell r="B23">
            <v>6900</v>
          </cell>
          <cell r="D23">
            <v>5600</v>
          </cell>
          <cell r="E23">
            <v>6900</v>
          </cell>
          <cell r="F23">
            <v>13.8</v>
          </cell>
          <cell r="G23">
            <v>0</v>
          </cell>
          <cell r="H23">
            <v>11.2</v>
          </cell>
          <cell r="I23">
            <v>11.5</v>
          </cell>
          <cell r="J23">
            <v>13.8</v>
          </cell>
        </row>
        <row r="24">
          <cell r="A24" t="str">
            <v>곽향2</v>
          </cell>
          <cell r="B24">
            <v>4600</v>
          </cell>
          <cell r="D24">
            <v>3500</v>
          </cell>
          <cell r="E24">
            <v>4800</v>
          </cell>
          <cell r="F24">
            <v>9.1999999999999993</v>
          </cell>
          <cell r="G24">
            <v>0</v>
          </cell>
          <cell r="H24">
            <v>7</v>
          </cell>
          <cell r="I24">
            <v>8</v>
          </cell>
          <cell r="J24">
            <v>7</v>
          </cell>
        </row>
        <row r="25">
          <cell r="A25" t="str">
            <v>관동화</v>
          </cell>
          <cell r="C25">
            <v>73000</v>
          </cell>
          <cell r="D25">
            <v>46000</v>
          </cell>
          <cell r="E25">
            <v>75400</v>
          </cell>
          <cell r="F25">
            <v>0</v>
          </cell>
          <cell r="G25">
            <v>121.66666666666667</v>
          </cell>
          <cell r="H25">
            <v>153.33333333333334</v>
          </cell>
          <cell r="I25">
            <v>125.66666666666667</v>
          </cell>
          <cell r="J25">
            <v>121.7</v>
          </cell>
        </row>
        <row r="26">
          <cell r="A26" t="str">
            <v>괴화</v>
          </cell>
          <cell r="F26">
            <v>0</v>
          </cell>
          <cell r="G26">
            <v>0</v>
          </cell>
          <cell r="H26">
            <v>0</v>
          </cell>
          <cell r="I26">
            <v>0</v>
          </cell>
        </row>
        <row r="27">
          <cell r="A27" t="str">
            <v>교이</v>
          </cell>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F29">
            <v>0</v>
          </cell>
          <cell r="G29">
            <v>0</v>
          </cell>
          <cell r="H29">
            <v>0</v>
          </cell>
          <cell r="I29">
            <v>0</v>
          </cell>
        </row>
        <row r="30">
          <cell r="A30" t="str">
            <v>구척</v>
          </cell>
          <cell r="D30">
            <v>12000</v>
          </cell>
          <cell r="E30">
            <v>14300</v>
          </cell>
          <cell r="F30">
            <v>0</v>
          </cell>
          <cell r="G30">
            <v>0</v>
          </cell>
          <cell r="H30">
            <v>24</v>
          </cell>
          <cell r="I30">
            <v>23.833333333333332</v>
          </cell>
          <cell r="J30">
            <v>23.8</v>
          </cell>
        </row>
        <row r="31">
          <cell r="A31" t="str">
            <v>귀판</v>
          </cell>
          <cell r="C31">
            <v>19000</v>
          </cell>
          <cell r="D31">
            <v>20500</v>
          </cell>
          <cell r="F31">
            <v>0</v>
          </cell>
          <cell r="G31">
            <v>31.666666666666668</v>
          </cell>
          <cell r="H31">
            <v>34.166666666666664</v>
          </cell>
          <cell r="I31">
            <v>0</v>
          </cell>
          <cell r="J31">
            <v>31.7</v>
          </cell>
        </row>
        <row r="32">
          <cell r="A32" t="str">
            <v>금은화</v>
          </cell>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C34">
            <v>4000</v>
          </cell>
          <cell r="D34">
            <v>3000</v>
          </cell>
          <cell r="E34">
            <v>4000</v>
          </cell>
          <cell r="F34">
            <v>0</v>
          </cell>
          <cell r="G34">
            <v>6.666666666666667</v>
          </cell>
          <cell r="H34">
            <v>6</v>
          </cell>
          <cell r="I34">
            <v>6.666666666666667</v>
          </cell>
          <cell r="J34">
            <v>6</v>
          </cell>
        </row>
        <row r="35">
          <cell r="A35" t="str">
            <v>남성1</v>
          </cell>
          <cell r="D35">
            <v>26000</v>
          </cell>
          <cell r="H35">
            <v>52</v>
          </cell>
          <cell r="J35">
            <v>52</v>
          </cell>
        </row>
        <row r="36">
          <cell r="A36" t="str">
            <v>남성2</v>
          </cell>
          <cell r="C36">
            <v>13000</v>
          </cell>
          <cell r="D36">
            <v>13000</v>
          </cell>
          <cell r="F36">
            <v>0</v>
          </cell>
          <cell r="G36">
            <v>26</v>
          </cell>
          <cell r="H36">
            <v>26</v>
          </cell>
          <cell r="I36">
            <v>0</v>
          </cell>
          <cell r="J36">
            <v>26</v>
          </cell>
        </row>
        <row r="37">
          <cell r="A37" t="str">
            <v>녹각교</v>
          </cell>
        </row>
        <row r="38">
          <cell r="A38" t="str">
            <v>녹용</v>
          </cell>
          <cell r="D38">
            <v>278000</v>
          </cell>
          <cell r="F38">
            <v>0</v>
          </cell>
          <cell r="G38">
            <v>0</v>
          </cell>
          <cell r="H38">
            <v>463.33333333333331</v>
          </cell>
          <cell r="I38">
            <v>0</v>
          </cell>
          <cell r="J38">
            <v>550</v>
          </cell>
        </row>
        <row r="39">
          <cell r="A39" t="str">
            <v>단삼</v>
          </cell>
          <cell r="D39">
            <v>6600</v>
          </cell>
          <cell r="E39">
            <v>7500</v>
          </cell>
          <cell r="F39">
            <v>0</v>
          </cell>
          <cell r="G39">
            <v>0</v>
          </cell>
          <cell r="H39">
            <v>13.2</v>
          </cell>
          <cell r="I39">
            <v>12.5</v>
          </cell>
          <cell r="J39">
            <v>12.5</v>
          </cell>
        </row>
        <row r="40">
          <cell r="A40" t="str">
            <v>담두시</v>
          </cell>
          <cell r="C40">
            <v>8000</v>
          </cell>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D42">
            <v>12700</v>
          </cell>
          <cell r="E42">
            <v>13800</v>
          </cell>
          <cell r="F42">
            <v>0</v>
          </cell>
          <cell r="G42">
            <v>0</v>
          </cell>
          <cell r="H42">
            <v>25.4</v>
          </cell>
          <cell r="I42">
            <v>23</v>
          </cell>
          <cell r="J42">
            <v>23</v>
          </cell>
        </row>
        <row r="43">
          <cell r="A43" t="str">
            <v>당삼</v>
          </cell>
          <cell r="C43">
            <v>32000</v>
          </cell>
          <cell r="D43">
            <v>17500</v>
          </cell>
          <cell r="E43">
            <v>30600</v>
          </cell>
          <cell r="F43">
            <v>0</v>
          </cell>
          <cell r="G43">
            <v>53.333333333333336</v>
          </cell>
          <cell r="H43">
            <v>29.166666666666668</v>
          </cell>
          <cell r="I43">
            <v>51</v>
          </cell>
          <cell r="J43">
            <v>51</v>
          </cell>
        </row>
        <row r="44">
          <cell r="A44" t="str">
            <v>대두황권</v>
          </cell>
          <cell r="D44">
            <v>13000</v>
          </cell>
          <cell r="E44">
            <v>15800</v>
          </cell>
          <cell r="F44">
            <v>0</v>
          </cell>
          <cell r="G44">
            <v>0</v>
          </cell>
          <cell r="H44">
            <v>26</v>
          </cell>
          <cell r="I44">
            <v>26.333333333333332</v>
          </cell>
          <cell r="J44">
            <v>26</v>
          </cell>
        </row>
        <row r="45">
          <cell r="A45" t="str">
            <v>대복피</v>
          </cell>
          <cell r="C45">
            <v>4000</v>
          </cell>
          <cell r="E45">
            <v>3200</v>
          </cell>
          <cell r="F45">
            <v>0</v>
          </cell>
          <cell r="G45">
            <v>6.666666666666667</v>
          </cell>
          <cell r="H45">
            <v>0</v>
          </cell>
          <cell r="I45">
            <v>5.333333333333333</v>
          </cell>
          <cell r="J45">
            <v>5.3</v>
          </cell>
        </row>
        <row r="46">
          <cell r="A46" t="str">
            <v>대추</v>
          </cell>
          <cell r="C46">
            <v>10000</v>
          </cell>
          <cell r="D46">
            <v>10300</v>
          </cell>
          <cell r="E46">
            <v>12700</v>
          </cell>
          <cell r="F46">
            <v>0</v>
          </cell>
          <cell r="G46">
            <v>16.666666666666668</v>
          </cell>
          <cell r="H46">
            <v>20.6</v>
          </cell>
          <cell r="I46">
            <v>21.166666666666668</v>
          </cell>
          <cell r="J46">
            <v>21.2</v>
          </cell>
        </row>
        <row r="47">
          <cell r="A47" t="str">
            <v>대황</v>
          </cell>
          <cell r="C47">
            <v>9500</v>
          </cell>
          <cell r="D47">
            <v>4500</v>
          </cell>
          <cell r="E47">
            <v>7800</v>
          </cell>
          <cell r="F47">
            <v>0</v>
          </cell>
          <cell r="G47">
            <v>15.833333333333334</v>
          </cell>
          <cell r="H47">
            <v>9</v>
          </cell>
          <cell r="I47">
            <v>13</v>
          </cell>
          <cell r="J47">
            <v>13</v>
          </cell>
        </row>
        <row r="48">
          <cell r="A48" t="str">
            <v>도인</v>
          </cell>
          <cell r="C48">
            <v>8000</v>
          </cell>
          <cell r="D48">
            <v>6200</v>
          </cell>
          <cell r="F48">
            <v>0</v>
          </cell>
          <cell r="G48">
            <v>13.333333333333334</v>
          </cell>
          <cell r="H48">
            <v>12.4</v>
          </cell>
          <cell r="I48">
            <v>0</v>
          </cell>
          <cell r="J48">
            <v>13.3</v>
          </cell>
        </row>
        <row r="49">
          <cell r="A49" t="str">
            <v>독활</v>
          </cell>
          <cell r="C49">
            <v>19000</v>
          </cell>
          <cell r="D49">
            <v>15600</v>
          </cell>
          <cell r="E49">
            <v>18000</v>
          </cell>
          <cell r="F49">
            <v>0</v>
          </cell>
          <cell r="G49">
            <v>31.666666666666668</v>
          </cell>
          <cell r="H49">
            <v>31.2</v>
          </cell>
          <cell r="I49">
            <v>30</v>
          </cell>
          <cell r="J49">
            <v>31.2</v>
          </cell>
        </row>
        <row r="50">
          <cell r="A50" t="str">
            <v>동과자</v>
          </cell>
          <cell r="C50">
            <v>7000</v>
          </cell>
          <cell r="F50">
            <v>0</v>
          </cell>
          <cell r="G50">
            <v>11.666666666666666</v>
          </cell>
          <cell r="H50">
            <v>0</v>
          </cell>
          <cell r="I50">
            <v>0</v>
          </cell>
          <cell r="J50">
            <v>11.7</v>
          </cell>
        </row>
        <row r="51">
          <cell r="A51" t="str">
            <v>두충</v>
          </cell>
          <cell r="B51">
            <v>10700</v>
          </cell>
          <cell r="C51">
            <v>9500</v>
          </cell>
          <cell r="D51">
            <v>5700</v>
          </cell>
          <cell r="E51">
            <v>6800</v>
          </cell>
          <cell r="F51">
            <v>21.4</v>
          </cell>
          <cell r="G51">
            <v>15.833333333333334</v>
          </cell>
          <cell r="H51">
            <v>11.4</v>
          </cell>
          <cell r="I51">
            <v>11.333333333333334</v>
          </cell>
          <cell r="J51">
            <v>21.4</v>
          </cell>
        </row>
        <row r="52">
          <cell r="A52" t="str">
            <v>등심초</v>
          </cell>
          <cell r="C52">
            <v>7000</v>
          </cell>
          <cell r="D52">
            <v>6500</v>
          </cell>
          <cell r="E52">
            <v>6700</v>
          </cell>
          <cell r="F52">
            <v>0</v>
          </cell>
          <cell r="G52">
            <v>70</v>
          </cell>
          <cell r="H52">
            <v>65</v>
          </cell>
          <cell r="I52">
            <v>67</v>
          </cell>
          <cell r="J52">
            <v>65</v>
          </cell>
        </row>
        <row r="53">
          <cell r="A53" t="str">
            <v>마자인</v>
          </cell>
          <cell r="D53">
            <v>4000</v>
          </cell>
          <cell r="E53">
            <v>5100</v>
          </cell>
          <cell r="F53">
            <v>0</v>
          </cell>
          <cell r="G53">
            <v>0</v>
          </cell>
          <cell r="H53">
            <v>8</v>
          </cell>
          <cell r="I53">
            <v>8.5</v>
          </cell>
          <cell r="J53">
            <v>8</v>
          </cell>
        </row>
        <row r="54">
          <cell r="A54" t="str">
            <v>마황</v>
          </cell>
          <cell r="C54">
            <v>7500</v>
          </cell>
          <cell r="D54">
            <v>4200</v>
          </cell>
          <cell r="E54">
            <v>5000</v>
          </cell>
          <cell r="F54">
            <v>0</v>
          </cell>
          <cell r="G54">
            <v>12.5</v>
          </cell>
          <cell r="H54">
            <v>8.4</v>
          </cell>
          <cell r="I54">
            <v>8.3333333333333339</v>
          </cell>
          <cell r="J54">
            <v>8.5</v>
          </cell>
        </row>
        <row r="55">
          <cell r="A55" t="str">
            <v>만형자</v>
          </cell>
          <cell r="D55">
            <v>10900</v>
          </cell>
          <cell r="E55">
            <v>13500</v>
          </cell>
          <cell r="F55">
            <v>0</v>
          </cell>
          <cell r="G55">
            <v>0</v>
          </cell>
          <cell r="H55">
            <v>18.166666666666668</v>
          </cell>
          <cell r="I55">
            <v>22.5</v>
          </cell>
          <cell r="J55">
            <v>22.5</v>
          </cell>
        </row>
        <row r="56">
          <cell r="A56" t="str">
            <v>망초</v>
          </cell>
          <cell r="C56">
            <v>4000</v>
          </cell>
          <cell r="D56">
            <v>3000</v>
          </cell>
          <cell r="F56">
            <v>0</v>
          </cell>
          <cell r="G56">
            <v>6.666666666666667</v>
          </cell>
          <cell r="H56">
            <v>5</v>
          </cell>
          <cell r="I56">
            <v>0</v>
          </cell>
          <cell r="J56">
            <v>5</v>
          </cell>
        </row>
        <row r="57">
          <cell r="A57" t="str">
            <v>맥문동</v>
          </cell>
          <cell r="C57">
            <v>57500</v>
          </cell>
          <cell r="D57">
            <v>19600</v>
          </cell>
          <cell r="E57">
            <v>23500</v>
          </cell>
          <cell r="F57">
            <v>0</v>
          </cell>
          <cell r="G57">
            <v>95.833333333333329</v>
          </cell>
          <cell r="H57">
            <v>39.200000000000003</v>
          </cell>
          <cell r="I57">
            <v>39.166666666666664</v>
          </cell>
          <cell r="J57">
            <v>39.200000000000003</v>
          </cell>
        </row>
        <row r="58">
          <cell r="A58" t="str">
            <v>맥아</v>
          </cell>
          <cell r="C58">
            <v>7500</v>
          </cell>
          <cell r="D58">
            <v>8000</v>
          </cell>
          <cell r="F58">
            <v>0</v>
          </cell>
          <cell r="G58">
            <v>7.5</v>
          </cell>
          <cell r="H58">
            <v>8</v>
          </cell>
          <cell r="I58">
            <v>23.5</v>
          </cell>
          <cell r="J58">
            <v>7.5</v>
          </cell>
        </row>
        <row r="59">
          <cell r="A59" t="str">
            <v>모과</v>
          </cell>
          <cell r="C59">
            <v>7000</v>
          </cell>
          <cell r="D59">
            <v>4700</v>
          </cell>
          <cell r="E59">
            <v>5900</v>
          </cell>
          <cell r="F59">
            <v>0</v>
          </cell>
          <cell r="G59">
            <v>11.666666666666666</v>
          </cell>
          <cell r="H59">
            <v>9.4</v>
          </cell>
          <cell r="I59">
            <v>9.8333333333333339</v>
          </cell>
          <cell r="J59">
            <v>9.8000000000000007</v>
          </cell>
        </row>
        <row r="60">
          <cell r="A60" t="str">
            <v>모려</v>
          </cell>
          <cell r="C60">
            <v>8000</v>
          </cell>
          <cell r="D60">
            <v>8000</v>
          </cell>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C62">
            <v>7000</v>
          </cell>
          <cell r="D62">
            <v>5400</v>
          </cell>
          <cell r="E62">
            <v>6400</v>
          </cell>
          <cell r="F62">
            <v>0</v>
          </cell>
          <cell r="G62">
            <v>11.666666666666666</v>
          </cell>
          <cell r="H62">
            <v>10.8</v>
          </cell>
          <cell r="I62">
            <v>10.666666666666666</v>
          </cell>
          <cell r="J62">
            <v>10.7</v>
          </cell>
        </row>
        <row r="63">
          <cell r="A63" t="str">
            <v>목향</v>
          </cell>
          <cell r="C63">
            <v>8500</v>
          </cell>
          <cell r="D63">
            <v>6000</v>
          </cell>
          <cell r="E63">
            <v>7300</v>
          </cell>
          <cell r="F63">
            <v>0</v>
          </cell>
          <cell r="G63">
            <v>14.166666666666666</v>
          </cell>
          <cell r="H63">
            <v>10</v>
          </cell>
          <cell r="I63">
            <v>12.166666666666666</v>
          </cell>
          <cell r="J63">
            <v>12.2</v>
          </cell>
        </row>
        <row r="64">
          <cell r="A64" t="str">
            <v>몰약</v>
          </cell>
          <cell r="E64">
            <v>10500</v>
          </cell>
          <cell r="I64">
            <v>17.5</v>
          </cell>
          <cell r="J64">
            <v>17.5</v>
          </cell>
        </row>
        <row r="65">
          <cell r="A65" t="str">
            <v>문합</v>
          </cell>
          <cell r="E65">
            <v>9000</v>
          </cell>
          <cell r="F65">
            <v>0</v>
          </cell>
          <cell r="G65">
            <v>0</v>
          </cell>
          <cell r="H65">
            <v>0</v>
          </cell>
          <cell r="I65">
            <v>15</v>
          </cell>
          <cell r="J65">
            <v>15</v>
          </cell>
        </row>
        <row r="66">
          <cell r="A66" t="str">
            <v>박하</v>
          </cell>
          <cell r="D66">
            <v>7900</v>
          </cell>
          <cell r="E66">
            <v>10600</v>
          </cell>
          <cell r="F66">
            <v>0</v>
          </cell>
          <cell r="G66">
            <v>0</v>
          </cell>
          <cell r="H66">
            <v>15.8</v>
          </cell>
          <cell r="I66">
            <v>17.666666666666668</v>
          </cell>
          <cell r="J66">
            <v>21.8</v>
          </cell>
        </row>
        <row r="67">
          <cell r="A67" t="str">
            <v>반하</v>
          </cell>
          <cell r="C67">
            <v>20500</v>
          </cell>
          <cell r="D67">
            <v>20500</v>
          </cell>
          <cell r="E67">
            <v>20500</v>
          </cell>
          <cell r="F67">
            <v>0</v>
          </cell>
          <cell r="G67">
            <v>41</v>
          </cell>
          <cell r="H67">
            <v>41</v>
          </cell>
          <cell r="I67">
            <v>41</v>
          </cell>
          <cell r="J67">
            <v>41</v>
          </cell>
        </row>
        <row r="68">
          <cell r="A68" t="str">
            <v>방기1</v>
          </cell>
          <cell r="E68">
            <v>42100</v>
          </cell>
          <cell r="F68">
            <v>0</v>
          </cell>
          <cell r="G68">
            <v>0</v>
          </cell>
          <cell r="H68">
            <v>0</v>
          </cell>
          <cell r="I68">
            <v>70.166666666666671</v>
          </cell>
          <cell r="J68">
            <v>70.2</v>
          </cell>
        </row>
        <row r="69">
          <cell r="A69" t="str">
            <v>방기2</v>
          </cell>
          <cell r="D69">
            <v>3000</v>
          </cell>
          <cell r="E69">
            <v>3500</v>
          </cell>
          <cell r="F69">
            <v>0</v>
          </cell>
          <cell r="G69">
            <v>0</v>
          </cell>
          <cell r="H69">
            <v>6</v>
          </cell>
          <cell r="I69">
            <v>5.833333333333333</v>
          </cell>
          <cell r="J69">
            <v>5.8</v>
          </cell>
        </row>
        <row r="70">
          <cell r="A70" t="str">
            <v>방기3</v>
          </cell>
          <cell r="E70">
            <v>14280</v>
          </cell>
          <cell r="F70">
            <v>0</v>
          </cell>
          <cell r="G70">
            <v>0</v>
          </cell>
          <cell r="H70">
            <v>0</v>
          </cell>
          <cell r="I70">
            <v>23.8</v>
          </cell>
          <cell r="J70">
            <v>23.8</v>
          </cell>
        </row>
        <row r="71">
          <cell r="A71" t="str">
            <v>방풍1</v>
          </cell>
          <cell r="D71">
            <v>5900</v>
          </cell>
          <cell r="E71">
            <v>7000</v>
          </cell>
          <cell r="F71">
            <v>0</v>
          </cell>
          <cell r="G71">
            <v>0</v>
          </cell>
          <cell r="H71">
            <v>11.8</v>
          </cell>
          <cell r="I71">
            <v>11.666666666666666</v>
          </cell>
          <cell r="J71">
            <v>11.7</v>
          </cell>
        </row>
        <row r="72">
          <cell r="A72" t="str">
            <v>방풍2</v>
          </cell>
          <cell r="C72">
            <v>14000</v>
          </cell>
          <cell r="D72">
            <v>11300</v>
          </cell>
          <cell r="F72">
            <v>0</v>
          </cell>
          <cell r="G72">
            <v>23.333333333333332</v>
          </cell>
          <cell r="H72">
            <v>22.6</v>
          </cell>
          <cell r="I72">
            <v>0</v>
          </cell>
          <cell r="J72">
            <v>22.6</v>
          </cell>
        </row>
        <row r="73">
          <cell r="A73" t="str">
            <v>백강잠</v>
          </cell>
          <cell r="D73">
            <v>14000</v>
          </cell>
          <cell r="E73">
            <v>19800</v>
          </cell>
          <cell r="F73">
            <v>0</v>
          </cell>
          <cell r="G73">
            <v>0</v>
          </cell>
          <cell r="H73">
            <v>28</v>
          </cell>
          <cell r="I73">
            <v>33</v>
          </cell>
          <cell r="J73">
            <v>33</v>
          </cell>
        </row>
        <row r="74">
          <cell r="A74" t="str">
            <v>백개자</v>
          </cell>
          <cell r="D74">
            <v>3600</v>
          </cell>
          <cell r="E74">
            <v>3800</v>
          </cell>
          <cell r="F74">
            <v>0</v>
          </cell>
          <cell r="G74">
            <v>0</v>
          </cell>
          <cell r="H74">
            <v>7.2</v>
          </cell>
          <cell r="I74">
            <v>6.333333333333333</v>
          </cell>
          <cell r="J74">
            <v>6.3</v>
          </cell>
        </row>
        <row r="75">
          <cell r="A75" t="str">
            <v>백두구</v>
          </cell>
          <cell r="D75">
            <v>10500</v>
          </cell>
          <cell r="E75">
            <v>12600</v>
          </cell>
          <cell r="F75">
            <v>0</v>
          </cell>
          <cell r="G75">
            <v>0</v>
          </cell>
          <cell r="H75">
            <v>21</v>
          </cell>
          <cell r="I75">
            <v>21</v>
          </cell>
          <cell r="J75">
            <v>21</v>
          </cell>
        </row>
        <row r="76">
          <cell r="A76" t="str">
            <v>백두옹</v>
          </cell>
        </row>
        <row r="77">
          <cell r="A77" t="str">
            <v>백부근</v>
          </cell>
          <cell r="C77">
            <v>15000</v>
          </cell>
          <cell r="D77">
            <v>10700</v>
          </cell>
          <cell r="F77">
            <v>0</v>
          </cell>
          <cell r="G77">
            <v>25</v>
          </cell>
          <cell r="H77">
            <v>21.4</v>
          </cell>
          <cell r="I77">
            <v>0</v>
          </cell>
          <cell r="J77">
            <v>23.3</v>
          </cell>
        </row>
        <row r="78">
          <cell r="A78" t="str">
            <v>백부자</v>
          </cell>
          <cell r="F78">
            <v>0</v>
          </cell>
          <cell r="G78">
            <v>0</v>
          </cell>
          <cell r="H78">
            <v>0</v>
          </cell>
          <cell r="I78">
            <v>0</v>
          </cell>
        </row>
        <row r="79">
          <cell r="A79" t="str">
            <v>백선피</v>
          </cell>
        </row>
        <row r="80">
          <cell r="A80" t="str">
            <v>백자인</v>
          </cell>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E83">
            <v>9600</v>
          </cell>
          <cell r="F83">
            <v>0</v>
          </cell>
          <cell r="G83">
            <v>0</v>
          </cell>
          <cell r="H83">
            <v>0</v>
          </cell>
          <cell r="I83">
            <v>16</v>
          </cell>
          <cell r="J83">
            <v>16</v>
          </cell>
        </row>
        <row r="84">
          <cell r="A84" t="str">
            <v>백출</v>
          </cell>
          <cell r="C84">
            <v>14000</v>
          </cell>
          <cell r="D84">
            <v>14000</v>
          </cell>
          <cell r="E84">
            <v>7800</v>
          </cell>
          <cell r="F84">
            <v>0</v>
          </cell>
          <cell r="G84">
            <v>23.333333333333332</v>
          </cell>
          <cell r="H84">
            <v>28</v>
          </cell>
          <cell r="I84">
            <v>13</v>
          </cell>
          <cell r="J84">
            <v>13</v>
          </cell>
        </row>
        <row r="85">
          <cell r="A85" t="str">
            <v>백편두</v>
          </cell>
          <cell r="D85">
            <v>6300</v>
          </cell>
          <cell r="E85">
            <v>5500</v>
          </cell>
          <cell r="F85">
            <v>0</v>
          </cell>
          <cell r="G85">
            <v>0</v>
          </cell>
          <cell r="H85">
            <v>10.5</v>
          </cell>
          <cell r="I85">
            <v>9.1666666666666661</v>
          </cell>
          <cell r="J85">
            <v>10.5</v>
          </cell>
        </row>
        <row r="86">
          <cell r="A86" t="str">
            <v>백하수오</v>
          </cell>
          <cell r="D86">
            <v>23000</v>
          </cell>
          <cell r="E86">
            <v>29900</v>
          </cell>
          <cell r="F86">
            <v>0</v>
          </cell>
          <cell r="G86">
            <v>0</v>
          </cell>
          <cell r="H86">
            <v>46</v>
          </cell>
          <cell r="I86">
            <v>49.833333333333336</v>
          </cell>
          <cell r="J86">
            <v>49.8</v>
          </cell>
        </row>
        <row r="87">
          <cell r="A87" t="str">
            <v>백합</v>
          </cell>
          <cell r="D87">
            <v>10000</v>
          </cell>
          <cell r="F87">
            <v>0</v>
          </cell>
          <cell r="G87">
            <v>0</v>
          </cell>
          <cell r="H87">
            <v>16.666666666666668</v>
          </cell>
          <cell r="I87">
            <v>0</v>
          </cell>
          <cell r="J87">
            <v>16.7</v>
          </cell>
        </row>
        <row r="88">
          <cell r="A88" t="str">
            <v>별갑</v>
          </cell>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D90">
            <v>5200</v>
          </cell>
          <cell r="F90">
            <v>0</v>
          </cell>
          <cell r="G90">
            <v>0</v>
          </cell>
          <cell r="H90">
            <v>10.4</v>
          </cell>
          <cell r="I90">
            <v>0</v>
          </cell>
          <cell r="J90">
            <v>10.4</v>
          </cell>
        </row>
        <row r="91">
          <cell r="A91" t="str">
            <v>복신</v>
          </cell>
          <cell r="C91">
            <v>16000</v>
          </cell>
          <cell r="F91">
            <v>0</v>
          </cell>
          <cell r="G91">
            <v>26.666666666666668</v>
          </cell>
          <cell r="H91">
            <v>0</v>
          </cell>
          <cell r="I91">
            <v>0</v>
          </cell>
        </row>
        <row r="92">
          <cell r="A92" t="str">
            <v>봉밀</v>
          </cell>
          <cell r="B92">
            <v>45000</v>
          </cell>
          <cell r="F92">
            <v>18.75</v>
          </cell>
          <cell r="J92">
            <v>18.8</v>
          </cell>
        </row>
        <row r="93">
          <cell r="A93" t="str">
            <v>봉출</v>
          </cell>
          <cell r="C93">
            <v>6500</v>
          </cell>
          <cell r="D93">
            <v>4500</v>
          </cell>
          <cell r="E93">
            <v>5900</v>
          </cell>
          <cell r="F93">
            <v>0</v>
          </cell>
          <cell r="G93">
            <v>10.833333333333334</v>
          </cell>
          <cell r="H93">
            <v>9</v>
          </cell>
          <cell r="I93">
            <v>9.8333333333333339</v>
          </cell>
          <cell r="J93">
            <v>10.8</v>
          </cell>
        </row>
        <row r="94">
          <cell r="A94" t="str">
            <v>부소맥</v>
          </cell>
          <cell r="E94">
            <v>6200</v>
          </cell>
          <cell r="I94">
            <v>10.333333333333334</v>
          </cell>
          <cell r="J94">
            <v>10.3</v>
          </cell>
        </row>
        <row r="95">
          <cell r="A95" t="str">
            <v>부자</v>
          </cell>
          <cell r="C95">
            <v>11000</v>
          </cell>
          <cell r="E95">
            <v>11900</v>
          </cell>
          <cell r="F95">
            <v>0</v>
          </cell>
          <cell r="G95">
            <v>18.333333333333332</v>
          </cell>
          <cell r="H95">
            <v>0</v>
          </cell>
          <cell r="I95">
            <v>19.833333333333332</v>
          </cell>
          <cell r="J95">
            <v>18.3</v>
          </cell>
        </row>
        <row r="96">
          <cell r="A96" t="str">
            <v>비파엽</v>
          </cell>
          <cell r="E96">
            <v>5400</v>
          </cell>
          <cell r="I96">
            <v>9</v>
          </cell>
          <cell r="J96">
            <v>9</v>
          </cell>
        </row>
        <row r="97">
          <cell r="A97" t="str">
            <v>빈랑</v>
          </cell>
          <cell r="C97">
            <v>7000</v>
          </cell>
          <cell r="D97">
            <v>4200</v>
          </cell>
          <cell r="E97">
            <v>5000</v>
          </cell>
          <cell r="F97">
            <v>0</v>
          </cell>
          <cell r="G97">
            <v>11.666666666666666</v>
          </cell>
          <cell r="H97">
            <v>8.4</v>
          </cell>
          <cell r="I97">
            <v>8.3333333333333339</v>
          </cell>
          <cell r="J97">
            <v>8.3000000000000007</v>
          </cell>
        </row>
        <row r="98">
          <cell r="A98" t="str">
            <v>사삼</v>
          </cell>
          <cell r="C98">
            <v>16500</v>
          </cell>
          <cell r="D98">
            <v>10500</v>
          </cell>
          <cell r="E98">
            <v>12600</v>
          </cell>
          <cell r="F98">
            <v>0</v>
          </cell>
          <cell r="G98">
            <v>27.5</v>
          </cell>
          <cell r="H98">
            <v>21</v>
          </cell>
          <cell r="I98">
            <v>21</v>
          </cell>
          <cell r="J98">
            <v>27.2</v>
          </cell>
        </row>
        <row r="99">
          <cell r="A99" t="str">
            <v>사인</v>
          </cell>
          <cell r="C99">
            <v>17000</v>
          </cell>
          <cell r="D99">
            <v>13000</v>
          </cell>
          <cell r="E99">
            <v>13700</v>
          </cell>
          <cell r="F99">
            <v>0</v>
          </cell>
          <cell r="G99">
            <v>28.333333333333332</v>
          </cell>
          <cell r="H99">
            <v>26</v>
          </cell>
          <cell r="I99">
            <v>22.833333333333332</v>
          </cell>
          <cell r="J99">
            <v>21.8</v>
          </cell>
        </row>
        <row r="100">
          <cell r="A100" t="str">
            <v>산사</v>
          </cell>
          <cell r="C100">
            <v>4500</v>
          </cell>
          <cell r="D100">
            <v>3500</v>
          </cell>
          <cell r="E100">
            <v>5000</v>
          </cell>
          <cell r="F100">
            <v>0</v>
          </cell>
          <cell r="G100">
            <v>7.5</v>
          </cell>
          <cell r="H100">
            <v>7</v>
          </cell>
          <cell r="I100">
            <v>8.3333333333333339</v>
          </cell>
          <cell r="J100">
            <v>7</v>
          </cell>
        </row>
        <row r="101">
          <cell r="A101" t="str">
            <v>산수유</v>
          </cell>
          <cell r="C101">
            <v>24000</v>
          </cell>
          <cell r="D101">
            <v>12500</v>
          </cell>
          <cell r="E101">
            <v>15600</v>
          </cell>
          <cell r="F101">
            <v>0</v>
          </cell>
          <cell r="G101">
            <v>40</v>
          </cell>
          <cell r="H101">
            <v>25</v>
          </cell>
          <cell r="I101">
            <v>26</v>
          </cell>
          <cell r="J101">
            <v>26</v>
          </cell>
        </row>
        <row r="102">
          <cell r="A102" t="str">
            <v>산약</v>
          </cell>
          <cell r="C102">
            <v>11000</v>
          </cell>
          <cell r="D102">
            <v>10400</v>
          </cell>
          <cell r="E102">
            <v>24600</v>
          </cell>
          <cell r="F102">
            <v>0</v>
          </cell>
          <cell r="G102">
            <v>18.333333333333332</v>
          </cell>
          <cell r="H102">
            <v>20.8</v>
          </cell>
          <cell r="I102">
            <v>41</v>
          </cell>
          <cell r="J102">
            <v>18.3</v>
          </cell>
        </row>
        <row r="103">
          <cell r="A103" t="str">
            <v>산조인</v>
          </cell>
          <cell r="D103">
            <v>125800</v>
          </cell>
          <cell r="E103">
            <v>169000</v>
          </cell>
          <cell r="F103">
            <v>0</v>
          </cell>
          <cell r="G103">
            <v>0</v>
          </cell>
          <cell r="H103">
            <v>251.6</v>
          </cell>
          <cell r="I103">
            <v>281.66666666666669</v>
          </cell>
          <cell r="J103">
            <v>251.6</v>
          </cell>
        </row>
        <row r="104">
          <cell r="A104" t="str">
            <v>삼릉</v>
          </cell>
          <cell r="C104">
            <v>5500</v>
          </cell>
          <cell r="D104">
            <v>3800</v>
          </cell>
          <cell r="E104">
            <v>4900</v>
          </cell>
          <cell r="F104">
            <v>0</v>
          </cell>
          <cell r="G104">
            <v>9.1666666666666661</v>
          </cell>
          <cell r="H104">
            <v>7.6</v>
          </cell>
          <cell r="I104">
            <v>8.1666666666666661</v>
          </cell>
          <cell r="J104">
            <v>9.1999999999999993</v>
          </cell>
        </row>
        <row r="105">
          <cell r="A105" t="str">
            <v>상기생</v>
          </cell>
          <cell r="F105">
            <v>0</v>
          </cell>
          <cell r="G105">
            <v>0</v>
          </cell>
          <cell r="H105">
            <v>0</v>
          </cell>
          <cell r="I105">
            <v>0</v>
          </cell>
        </row>
        <row r="106">
          <cell r="A106" t="str">
            <v>상백피</v>
          </cell>
          <cell r="D106">
            <v>17500</v>
          </cell>
          <cell r="E106">
            <v>20100</v>
          </cell>
          <cell r="F106">
            <v>0</v>
          </cell>
          <cell r="G106">
            <v>0</v>
          </cell>
          <cell r="H106">
            <v>35</v>
          </cell>
          <cell r="I106">
            <v>33.5</v>
          </cell>
          <cell r="J106">
            <v>35</v>
          </cell>
        </row>
        <row r="107">
          <cell r="A107" t="str">
            <v>상표초</v>
          </cell>
          <cell r="F107">
            <v>0</v>
          </cell>
          <cell r="G107">
            <v>0</v>
          </cell>
          <cell r="H107">
            <v>0</v>
          </cell>
          <cell r="I107">
            <v>0</v>
          </cell>
        </row>
        <row r="108">
          <cell r="A108" t="str">
            <v>생강</v>
          </cell>
          <cell r="B108">
            <v>7500</v>
          </cell>
          <cell r="C108">
            <v>9000</v>
          </cell>
          <cell r="D108">
            <v>10000</v>
          </cell>
          <cell r="F108">
            <v>15</v>
          </cell>
          <cell r="G108">
            <v>15</v>
          </cell>
          <cell r="H108">
            <v>20</v>
          </cell>
          <cell r="I108">
            <v>0</v>
          </cell>
          <cell r="J108">
            <v>20</v>
          </cell>
        </row>
        <row r="109">
          <cell r="A109" t="str">
            <v>생지황</v>
          </cell>
          <cell r="B109">
            <v>10300</v>
          </cell>
          <cell r="C109">
            <v>9000</v>
          </cell>
          <cell r="D109">
            <v>9500</v>
          </cell>
          <cell r="F109">
            <v>20.6</v>
          </cell>
          <cell r="G109">
            <v>15</v>
          </cell>
          <cell r="H109">
            <v>19</v>
          </cell>
          <cell r="I109">
            <v>0</v>
          </cell>
          <cell r="J109">
            <v>19</v>
          </cell>
        </row>
        <row r="110">
          <cell r="A110" t="str">
            <v>석고</v>
          </cell>
          <cell r="C110">
            <v>5500</v>
          </cell>
          <cell r="D110">
            <v>5500</v>
          </cell>
          <cell r="E110">
            <v>4600</v>
          </cell>
          <cell r="F110">
            <v>0</v>
          </cell>
          <cell r="G110">
            <v>5.5</v>
          </cell>
          <cell r="H110">
            <v>5.5</v>
          </cell>
          <cell r="I110">
            <v>4.5999999999999996</v>
          </cell>
          <cell r="J110">
            <v>5.5</v>
          </cell>
        </row>
        <row r="111">
          <cell r="A111" t="str">
            <v>석곡</v>
          </cell>
          <cell r="E111">
            <v>12500</v>
          </cell>
          <cell r="F111">
            <v>0</v>
          </cell>
          <cell r="G111">
            <v>0</v>
          </cell>
          <cell r="H111">
            <v>0</v>
          </cell>
          <cell r="I111">
            <v>20.833333333333332</v>
          </cell>
          <cell r="J111">
            <v>20.8</v>
          </cell>
        </row>
        <row r="112">
          <cell r="A112" t="str">
            <v>석창포</v>
          </cell>
          <cell r="B112">
            <v>22400</v>
          </cell>
          <cell r="D112">
            <v>15000</v>
          </cell>
          <cell r="E112">
            <v>18800</v>
          </cell>
          <cell r="F112">
            <v>44.8</v>
          </cell>
          <cell r="G112">
            <v>0</v>
          </cell>
          <cell r="H112">
            <v>30</v>
          </cell>
          <cell r="I112">
            <v>31.333333333333332</v>
          </cell>
          <cell r="J112">
            <v>31.3</v>
          </cell>
        </row>
        <row r="113">
          <cell r="A113" t="str">
            <v>선복화</v>
          </cell>
          <cell r="C113">
            <v>20000</v>
          </cell>
          <cell r="D113">
            <v>15000</v>
          </cell>
          <cell r="F113">
            <v>0</v>
          </cell>
          <cell r="G113">
            <v>33.333333333333336</v>
          </cell>
          <cell r="H113">
            <v>30</v>
          </cell>
          <cell r="I113">
            <v>0</v>
          </cell>
          <cell r="J113">
            <v>33.299999999999997</v>
          </cell>
        </row>
        <row r="114">
          <cell r="A114" t="str">
            <v>세신</v>
          </cell>
          <cell r="D114">
            <v>64000</v>
          </cell>
          <cell r="E114">
            <v>84500</v>
          </cell>
          <cell r="F114">
            <v>0</v>
          </cell>
          <cell r="G114">
            <v>0</v>
          </cell>
          <cell r="H114">
            <v>128</v>
          </cell>
          <cell r="I114">
            <v>140.83333333333334</v>
          </cell>
          <cell r="J114">
            <v>145.19999999999999</v>
          </cell>
        </row>
        <row r="115">
          <cell r="A115" t="str">
            <v>소목</v>
          </cell>
          <cell r="C115">
            <v>5000</v>
          </cell>
          <cell r="D115">
            <v>3100</v>
          </cell>
          <cell r="E115">
            <v>3700</v>
          </cell>
          <cell r="F115">
            <v>0</v>
          </cell>
          <cell r="G115">
            <v>8.3333333333333339</v>
          </cell>
          <cell r="H115">
            <v>6.2</v>
          </cell>
          <cell r="I115">
            <v>6.166666666666667</v>
          </cell>
          <cell r="J115">
            <v>6.2</v>
          </cell>
        </row>
        <row r="116">
          <cell r="A116" t="str">
            <v>소엽</v>
          </cell>
          <cell r="C116">
            <v>8500</v>
          </cell>
          <cell r="D116">
            <v>7500</v>
          </cell>
          <cell r="E116">
            <v>7200</v>
          </cell>
          <cell r="F116">
            <v>0</v>
          </cell>
          <cell r="G116">
            <v>14.166666666666666</v>
          </cell>
          <cell r="H116">
            <v>15</v>
          </cell>
          <cell r="I116">
            <v>12</v>
          </cell>
          <cell r="J116">
            <v>12</v>
          </cell>
        </row>
        <row r="117">
          <cell r="A117" t="str">
            <v>소자</v>
          </cell>
          <cell r="C117">
            <v>7800</v>
          </cell>
          <cell r="D117">
            <v>5700</v>
          </cell>
          <cell r="E117">
            <v>4500</v>
          </cell>
          <cell r="F117">
            <v>0</v>
          </cell>
          <cell r="G117">
            <v>13</v>
          </cell>
          <cell r="H117">
            <v>11.4</v>
          </cell>
          <cell r="I117">
            <v>7.5</v>
          </cell>
          <cell r="J117">
            <v>7.5</v>
          </cell>
        </row>
        <row r="118">
          <cell r="A118" t="str">
            <v>소회향</v>
          </cell>
          <cell r="C118">
            <v>6000</v>
          </cell>
          <cell r="D118">
            <v>5800</v>
          </cell>
          <cell r="E118">
            <v>5000</v>
          </cell>
          <cell r="F118">
            <v>0</v>
          </cell>
          <cell r="G118">
            <v>10</v>
          </cell>
          <cell r="H118">
            <v>11.6</v>
          </cell>
          <cell r="I118">
            <v>8.3333333333333339</v>
          </cell>
          <cell r="J118">
            <v>8.3000000000000007</v>
          </cell>
        </row>
        <row r="119">
          <cell r="A119" t="str">
            <v>속단</v>
          </cell>
          <cell r="D119">
            <v>5700</v>
          </cell>
          <cell r="E119">
            <v>6500</v>
          </cell>
          <cell r="F119">
            <v>0</v>
          </cell>
          <cell r="G119">
            <v>0</v>
          </cell>
          <cell r="H119">
            <v>11.4</v>
          </cell>
          <cell r="I119">
            <v>10.833333333333334</v>
          </cell>
          <cell r="J119">
            <v>10.8</v>
          </cell>
        </row>
        <row r="120">
          <cell r="A120" t="str">
            <v>숙지황</v>
          </cell>
          <cell r="C120">
            <v>20000</v>
          </cell>
          <cell r="D120">
            <v>19500</v>
          </cell>
          <cell r="E120">
            <v>20000</v>
          </cell>
          <cell r="F120">
            <v>0</v>
          </cell>
          <cell r="G120">
            <v>20</v>
          </cell>
          <cell r="H120">
            <v>19.5</v>
          </cell>
          <cell r="I120">
            <v>20</v>
          </cell>
          <cell r="J120">
            <v>20</v>
          </cell>
        </row>
        <row r="121">
          <cell r="A121" t="str">
            <v>승마</v>
          </cell>
          <cell r="C121">
            <v>19000</v>
          </cell>
          <cell r="D121">
            <v>15500</v>
          </cell>
          <cell r="E121">
            <v>19200</v>
          </cell>
          <cell r="F121">
            <v>0</v>
          </cell>
          <cell r="G121">
            <v>31.666666666666668</v>
          </cell>
          <cell r="H121">
            <v>31</v>
          </cell>
          <cell r="I121">
            <v>32</v>
          </cell>
          <cell r="J121">
            <v>31.7</v>
          </cell>
        </row>
        <row r="122">
          <cell r="A122" t="str">
            <v>시호1</v>
          </cell>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C124">
            <v>8000</v>
          </cell>
          <cell r="D124">
            <v>8500</v>
          </cell>
          <cell r="E124">
            <v>8500</v>
          </cell>
          <cell r="F124">
            <v>0</v>
          </cell>
          <cell r="G124">
            <v>8</v>
          </cell>
          <cell r="H124">
            <v>8.5</v>
          </cell>
          <cell r="I124">
            <v>8.5</v>
          </cell>
          <cell r="J124">
            <v>8</v>
          </cell>
        </row>
        <row r="125">
          <cell r="A125" t="str">
            <v>신이화</v>
          </cell>
          <cell r="C125">
            <v>15000</v>
          </cell>
          <cell r="D125">
            <v>18000</v>
          </cell>
          <cell r="E125">
            <v>24100</v>
          </cell>
          <cell r="F125">
            <v>0</v>
          </cell>
          <cell r="G125">
            <v>25</v>
          </cell>
          <cell r="H125">
            <v>36</v>
          </cell>
          <cell r="I125">
            <v>40.166666666666664</v>
          </cell>
          <cell r="J125">
            <v>36</v>
          </cell>
        </row>
        <row r="126">
          <cell r="A126" t="str">
            <v>아교</v>
          </cell>
          <cell r="D126">
            <v>8000</v>
          </cell>
          <cell r="E126">
            <v>8000</v>
          </cell>
          <cell r="F126">
            <v>0</v>
          </cell>
          <cell r="G126">
            <v>0</v>
          </cell>
          <cell r="H126">
            <v>26.666666666666668</v>
          </cell>
          <cell r="I126">
            <v>26.666666666666668</v>
          </cell>
          <cell r="J126">
            <v>26.7</v>
          </cell>
        </row>
        <row r="127">
          <cell r="A127" t="str">
            <v>애엽</v>
          </cell>
          <cell r="E127">
            <v>7400</v>
          </cell>
          <cell r="F127">
            <v>0</v>
          </cell>
          <cell r="G127">
            <v>0</v>
          </cell>
          <cell r="H127">
            <v>0</v>
          </cell>
          <cell r="I127">
            <v>24.666666666666668</v>
          </cell>
          <cell r="J127">
            <v>24.7</v>
          </cell>
        </row>
        <row r="128">
          <cell r="A128" t="str">
            <v>야교등</v>
          </cell>
          <cell r="D128">
            <v>5800</v>
          </cell>
          <cell r="E128">
            <v>6800</v>
          </cell>
          <cell r="F128">
            <v>0</v>
          </cell>
          <cell r="G128">
            <v>0</v>
          </cell>
          <cell r="H128">
            <v>9.6666666666666661</v>
          </cell>
          <cell r="I128">
            <v>11.333333333333334</v>
          </cell>
          <cell r="J128">
            <v>11.3</v>
          </cell>
        </row>
        <row r="129">
          <cell r="A129" t="str">
            <v>여정자</v>
          </cell>
          <cell r="C129">
            <v>4000</v>
          </cell>
          <cell r="D129">
            <v>2600</v>
          </cell>
          <cell r="F129">
            <v>0</v>
          </cell>
          <cell r="G129">
            <v>6.666666666666667</v>
          </cell>
          <cell r="H129">
            <v>5.2</v>
          </cell>
          <cell r="I129">
            <v>0</v>
          </cell>
          <cell r="J129">
            <v>6.7</v>
          </cell>
        </row>
        <row r="130">
          <cell r="A130" t="str">
            <v>연교</v>
          </cell>
          <cell r="C130">
            <v>38000</v>
          </cell>
          <cell r="D130">
            <v>9000</v>
          </cell>
          <cell r="E130">
            <v>15600</v>
          </cell>
          <cell r="F130">
            <v>0</v>
          </cell>
          <cell r="G130">
            <v>63.333333333333336</v>
          </cell>
          <cell r="H130">
            <v>18</v>
          </cell>
          <cell r="I130">
            <v>26</v>
          </cell>
          <cell r="J130">
            <v>28</v>
          </cell>
        </row>
        <row r="131">
          <cell r="A131" t="str">
            <v>연육</v>
          </cell>
          <cell r="C131">
            <v>5500</v>
          </cell>
          <cell r="D131">
            <v>3700</v>
          </cell>
          <cell r="F131">
            <v>0</v>
          </cell>
          <cell r="G131">
            <v>9.1666666666666661</v>
          </cell>
          <cell r="H131">
            <v>7.4</v>
          </cell>
          <cell r="I131">
            <v>0</v>
          </cell>
          <cell r="J131">
            <v>9.1999999999999993</v>
          </cell>
        </row>
        <row r="132">
          <cell r="A132" t="str">
            <v>오가피</v>
          </cell>
          <cell r="C132">
            <v>12000</v>
          </cell>
          <cell r="D132">
            <v>8200</v>
          </cell>
          <cell r="E132">
            <v>9900</v>
          </cell>
          <cell r="F132">
            <v>0</v>
          </cell>
          <cell r="G132">
            <v>20</v>
          </cell>
          <cell r="H132">
            <v>16.399999999999999</v>
          </cell>
          <cell r="I132">
            <v>16.5</v>
          </cell>
          <cell r="J132">
            <v>16.5</v>
          </cell>
        </row>
        <row r="133">
          <cell r="A133" t="str">
            <v>오령지</v>
          </cell>
          <cell r="F133">
            <v>0</v>
          </cell>
          <cell r="G133">
            <v>0</v>
          </cell>
          <cell r="H133">
            <v>0</v>
          </cell>
          <cell r="I133">
            <v>0</v>
          </cell>
        </row>
        <row r="134">
          <cell r="A134" t="str">
            <v>오매</v>
          </cell>
          <cell r="C134">
            <v>7000</v>
          </cell>
          <cell r="D134">
            <v>7200</v>
          </cell>
          <cell r="E134">
            <v>6400</v>
          </cell>
          <cell r="F134">
            <v>0</v>
          </cell>
          <cell r="G134">
            <v>11.666666666666666</v>
          </cell>
          <cell r="H134">
            <v>14.4</v>
          </cell>
          <cell r="I134">
            <v>10.666666666666666</v>
          </cell>
          <cell r="J134">
            <v>11.7</v>
          </cell>
        </row>
        <row r="135">
          <cell r="A135" t="str">
            <v>오미자</v>
          </cell>
          <cell r="B135">
            <v>17900</v>
          </cell>
          <cell r="C135">
            <v>16000</v>
          </cell>
          <cell r="D135">
            <v>11000</v>
          </cell>
          <cell r="E135">
            <v>11600</v>
          </cell>
          <cell r="F135">
            <v>35.799999999999997</v>
          </cell>
          <cell r="G135">
            <v>26.666666666666668</v>
          </cell>
          <cell r="H135">
            <v>22</v>
          </cell>
          <cell r="I135">
            <v>19.333333333333332</v>
          </cell>
          <cell r="J135">
            <v>23.5</v>
          </cell>
        </row>
        <row r="136">
          <cell r="A136" t="str">
            <v>오배자</v>
          </cell>
          <cell r="F136">
            <v>0</v>
          </cell>
          <cell r="G136">
            <v>0</v>
          </cell>
          <cell r="H136">
            <v>0</v>
          </cell>
          <cell r="I136">
            <v>0</v>
          </cell>
        </row>
        <row r="137">
          <cell r="A137" t="str">
            <v>오수유</v>
          </cell>
          <cell r="D137">
            <v>8400</v>
          </cell>
          <cell r="E137">
            <v>9100</v>
          </cell>
          <cell r="F137">
            <v>0</v>
          </cell>
          <cell r="G137">
            <v>0</v>
          </cell>
          <cell r="H137">
            <v>16.8</v>
          </cell>
          <cell r="I137">
            <v>15.166666666666666</v>
          </cell>
          <cell r="J137">
            <v>15.2</v>
          </cell>
        </row>
        <row r="138">
          <cell r="A138" t="str">
            <v>오약</v>
          </cell>
          <cell r="C138">
            <v>7000</v>
          </cell>
          <cell r="D138">
            <v>4600</v>
          </cell>
          <cell r="E138">
            <v>5500</v>
          </cell>
          <cell r="F138">
            <v>0</v>
          </cell>
          <cell r="G138">
            <v>11.666666666666666</v>
          </cell>
          <cell r="H138">
            <v>9.1999999999999993</v>
          </cell>
          <cell r="I138">
            <v>9.1666666666666661</v>
          </cell>
          <cell r="J138">
            <v>9.1999999999999993</v>
          </cell>
        </row>
        <row r="139">
          <cell r="A139" t="str">
            <v>용골</v>
          </cell>
          <cell r="C139">
            <v>15000</v>
          </cell>
          <cell r="D139">
            <v>14000</v>
          </cell>
          <cell r="E139">
            <v>14000</v>
          </cell>
          <cell r="F139">
            <v>0</v>
          </cell>
          <cell r="G139">
            <v>15</v>
          </cell>
          <cell r="H139">
            <v>14</v>
          </cell>
          <cell r="I139">
            <v>14</v>
          </cell>
          <cell r="J139">
            <v>14</v>
          </cell>
        </row>
        <row r="140">
          <cell r="A140" t="str">
            <v>용담초</v>
          </cell>
          <cell r="C140">
            <v>26000</v>
          </cell>
          <cell r="D140">
            <v>26500</v>
          </cell>
          <cell r="E140">
            <v>28300</v>
          </cell>
          <cell r="F140">
            <v>0</v>
          </cell>
          <cell r="G140">
            <v>43.333333333333336</v>
          </cell>
          <cell r="H140">
            <v>44.166666666666664</v>
          </cell>
          <cell r="I140">
            <v>47.166666666666664</v>
          </cell>
          <cell r="J140">
            <v>47.2</v>
          </cell>
        </row>
        <row r="141">
          <cell r="A141" t="str">
            <v>우방자</v>
          </cell>
          <cell r="C141">
            <v>8500</v>
          </cell>
          <cell r="D141">
            <v>7300</v>
          </cell>
          <cell r="E141">
            <v>6100</v>
          </cell>
          <cell r="F141">
            <v>0</v>
          </cell>
          <cell r="G141">
            <v>14.166666666666666</v>
          </cell>
          <cell r="H141">
            <v>14.6</v>
          </cell>
          <cell r="I141">
            <v>10.166666666666666</v>
          </cell>
          <cell r="J141">
            <v>10.199999999999999</v>
          </cell>
        </row>
        <row r="142">
          <cell r="A142" t="str">
            <v>우슬</v>
          </cell>
          <cell r="C142">
            <v>9500</v>
          </cell>
          <cell r="D142">
            <v>5700</v>
          </cell>
          <cell r="E142">
            <v>6900</v>
          </cell>
          <cell r="F142">
            <v>0</v>
          </cell>
          <cell r="G142">
            <v>15.833333333333334</v>
          </cell>
          <cell r="H142">
            <v>11.4</v>
          </cell>
          <cell r="I142">
            <v>11.5</v>
          </cell>
          <cell r="J142">
            <v>17.7</v>
          </cell>
        </row>
        <row r="143">
          <cell r="A143" t="str">
            <v>울금</v>
          </cell>
          <cell r="D143">
            <v>6200</v>
          </cell>
          <cell r="E143">
            <v>6700</v>
          </cell>
          <cell r="F143">
            <v>0</v>
          </cell>
          <cell r="G143">
            <v>0</v>
          </cell>
          <cell r="H143">
            <v>10.333333333333334</v>
          </cell>
          <cell r="I143">
            <v>11.166666666666666</v>
          </cell>
          <cell r="J143">
            <v>11.2</v>
          </cell>
        </row>
        <row r="144">
          <cell r="A144" t="str">
            <v>원육</v>
          </cell>
          <cell r="C144">
            <v>13500</v>
          </cell>
          <cell r="D144">
            <v>10400</v>
          </cell>
          <cell r="E144">
            <v>10400</v>
          </cell>
          <cell r="F144">
            <v>0</v>
          </cell>
          <cell r="G144">
            <v>22.5</v>
          </cell>
          <cell r="H144">
            <v>17.333333333333332</v>
          </cell>
          <cell r="I144">
            <v>17.333333333333332</v>
          </cell>
          <cell r="J144">
            <v>20.5</v>
          </cell>
        </row>
        <row r="145">
          <cell r="A145" t="str">
            <v>원지</v>
          </cell>
          <cell r="D145">
            <v>46800</v>
          </cell>
          <cell r="E145">
            <v>55900</v>
          </cell>
          <cell r="F145">
            <v>0</v>
          </cell>
          <cell r="G145">
            <v>0</v>
          </cell>
          <cell r="H145">
            <v>93.6</v>
          </cell>
          <cell r="I145">
            <v>93.166666666666671</v>
          </cell>
          <cell r="J145">
            <v>68</v>
          </cell>
        </row>
        <row r="146">
          <cell r="A146" t="str">
            <v>위령선</v>
          </cell>
          <cell r="C146">
            <v>19000</v>
          </cell>
          <cell r="D146">
            <v>14500</v>
          </cell>
          <cell r="E146">
            <v>17700</v>
          </cell>
          <cell r="F146">
            <v>0</v>
          </cell>
          <cell r="G146">
            <v>31.666666666666668</v>
          </cell>
          <cell r="H146">
            <v>29</v>
          </cell>
          <cell r="I146">
            <v>29.5</v>
          </cell>
          <cell r="J146">
            <v>29</v>
          </cell>
        </row>
        <row r="147">
          <cell r="A147" t="str">
            <v>유백피</v>
          </cell>
          <cell r="D147">
            <v>16800</v>
          </cell>
          <cell r="E147">
            <v>21900</v>
          </cell>
          <cell r="H147">
            <v>33.6</v>
          </cell>
          <cell r="I147">
            <v>36.5</v>
          </cell>
          <cell r="J147">
            <v>33.6</v>
          </cell>
        </row>
        <row r="148">
          <cell r="A148" t="str">
            <v>유향</v>
          </cell>
          <cell r="E148">
            <v>8800</v>
          </cell>
          <cell r="F148">
            <v>0</v>
          </cell>
          <cell r="G148">
            <v>0</v>
          </cell>
          <cell r="H148">
            <v>0</v>
          </cell>
          <cell r="I148">
            <v>14.666666666666666</v>
          </cell>
          <cell r="J148">
            <v>14.7</v>
          </cell>
        </row>
        <row r="149">
          <cell r="A149" t="str">
            <v>육계</v>
          </cell>
          <cell r="B149">
            <v>14800</v>
          </cell>
          <cell r="C149">
            <v>6000</v>
          </cell>
          <cell r="E149">
            <v>8600</v>
          </cell>
          <cell r="F149">
            <v>29.6</v>
          </cell>
          <cell r="G149">
            <v>10</v>
          </cell>
          <cell r="H149">
            <v>0</v>
          </cell>
          <cell r="I149">
            <v>14.333333333333334</v>
          </cell>
          <cell r="J149">
            <v>14.8</v>
          </cell>
        </row>
        <row r="150">
          <cell r="A150" t="str">
            <v>육두구</v>
          </cell>
          <cell r="C150">
            <v>17500</v>
          </cell>
          <cell r="D150">
            <v>13800</v>
          </cell>
          <cell r="E150">
            <v>15500</v>
          </cell>
          <cell r="F150">
            <v>0</v>
          </cell>
          <cell r="G150">
            <v>29.166666666666668</v>
          </cell>
          <cell r="H150">
            <v>27.6</v>
          </cell>
          <cell r="I150">
            <v>25.833333333333332</v>
          </cell>
          <cell r="J150">
            <v>25.8</v>
          </cell>
        </row>
        <row r="151">
          <cell r="A151" t="str">
            <v>육종용</v>
          </cell>
          <cell r="C151">
            <v>14000</v>
          </cell>
          <cell r="D151">
            <v>13200</v>
          </cell>
          <cell r="E151">
            <v>13000</v>
          </cell>
          <cell r="F151">
            <v>0</v>
          </cell>
          <cell r="G151">
            <v>23.333333333333332</v>
          </cell>
          <cell r="H151">
            <v>22</v>
          </cell>
          <cell r="I151">
            <v>26</v>
          </cell>
          <cell r="J151">
            <v>22</v>
          </cell>
        </row>
        <row r="152">
          <cell r="A152" t="str">
            <v>음양곽</v>
          </cell>
          <cell r="D152">
            <v>20000</v>
          </cell>
          <cell r="E152">
            <v>18600</v>
          </cell>
          <cell r="F152">
            <v>0</v>
          </cell>
          <cell r="G152">
            <v>0</v>
          </cell>
          <cell r="H152">
            <v>33.333333333333336</v>
          </cell>
          <cell r="I152">
            <v>31</v>
          </cell>
          <cell r="J152">
            <v>31</v>
          </cell>
        </row>
        <row r="153">
          <cell r="A153" t="str">
            <v>의이인</v>
          </cell>
          <cell r="C153">
            <v>10000</v>
          </cell>
          <cell r="D153">
            <v>8900</v>
          </cell>
          <cell r="E153">
            <v>10600</v>
          </cell>
          <cell r="F153">
            <v>0</v>
          </cell>
          <cell r="G153">
            <v>16.666666666666668</v>
          </cell>
          <cell r="H153">
            <v>17.8</v>
          </cell>
          <cell r="I153">
            <v>17.666666666666668</v>
          </cell>
          <cell r="J153">
            <v>15.8</v>
          </cell>
        </row>
        <row r="154">
          <cell r="A154" t="str">
            <v>익모초</v>
          </cell>
          <cell r="C154">
            <v>7500</v>
          </cell>
          <cell r="D154">
            <v>6500</v>
          </cell>
          <cell r="E154">
            <v>7100</v>
          </cell>
          <cell r="F154">
            <v>0</v>
          </cell>
          <cell r="G154">
            <v>12.5</v>
          </cell>
          <cell r="H154">
            <v>13</v>
          </cell>
          <cell r="I154">
            <v>11.833333333333334</v>
          </cell>
          <cell r="J154">
            <v>12.5</v>
          </cell>
        </row>
        <row r="155">
          <cell r="A155" t="str">
            <v>익지인</v>
          </cell>
          <cell r="C155">
            <v>10500</v>
          </cell>
          <cell r="D155">
            <v>11600</v>
          </cell>
          <cell r="E155">
            <v>13700</v>
          </cell>
          <cell r="F155">
            <v>0</v>
          </cell>
          <cell r="G155">
            <v>17.5</v>
          </cell>
          <cell r="H155">
            <v>23.2</v>
          </cell>
          <cell r="I155">
            <v>22.833333333333332</v>
          </cell>
          <cell r="J155">
            <v>22.8</v>
          </cell>
        </row>
        <row r="156">
          <cell r="A156" t="str">
            <v>인삼</v>
          </cell>
          <cell r="C156">
            <v>30000</v>
          </cell>
          <cell r="D156">
            <v>72000</v>
          </cell>
          <cell r="E156">
            <v>81000</v>
          </cell>
          <cell r="F156">
            <v>0</v>
          </cell>
          <cell r="G156">
            <v>100</v>
          </cell>
          <cell r="H156">
            <v>120</v>
          </cell>
          <cell r="I156">
            <v>135</v>
          </cell>
          <cell r="J156">
            <v>120</v>
          </cell>
        </row>
        <row r="157">
          <cell r="A157" t="str">
            <v>인진</v>
          </cell>
          <cell r="C157">
            <v>7500</v>
          </cell>
          <cell r="D157">
            <v>6000</v>
          </cell>
          <cell r="E157">
            <v>7200</v>
          </cell>
          <cell r="F157">
            <v>0</v>
          </cell>
          <cell r="G157">
            <v>12.5</v>
          </cell>
          <cell r="H157">
            <v>12</v>
          </cell>
          <cell r="I157">
            <v>12</v>
          </cell>
          <cell r="J157">
            <v>12</v>
          </cell>
        </row>
        <row r="158">
          <cell r="A158" t="str">
            <v>자완</v>
          </cell>
          <cell r="C158">
            <v>23000</v>
          </cell>
          <cell r="D158">
            <v>29000</v>
          </cell>
          <cell r="E158">
            <v>20700</v>
          </cell>
          <cell r="F158">
            <v>0</v>
          </cell>
          <cell r="G158">
            <v>38.333333333333336</v>
          </cell>
          <cell r="H158">
            <v>48.333333333333336</v>
          </cell>
          <cell r="I158">
            <v>34.5</v>
          </cell>
          <cell r="J158">
            <v>38</v>
          </cell>
        </row>
        <row r="159">
          <cell r="A159" t="str">
            <v>자충</v>
          </cell>
          <cell r="E159">
            <v>31200</v>
          </cell>
          <cell r="F159">
            <v>0</v>
          </cell>
          <cell r="G159">
            <v>0</v>
          </cell>
          <cell r="H159">
            <v>0</v>
          </cell>
          <cell r="I159">
            <v>52</v>
          </cell>
          <cell r="J159">
            <v>52</v>
          </cell>
        </row>
        <row r="160">
          <cell r="A160" t="str">
            <v>저근백피</v>
          </cell>
          <cell r="C160">
            <v>14000</v>
          </cell>
          <cell r="F160">
            <v>0</v>
          </cell>
          <cell r="G160">
            <v>23.333333333333332</v>
          </cell>
          <cell r="H160">
            <v>0</v>
          </cell>
          <cell r="I160">
            <v>0</v>
          </cell>
          <cell r="J160">
            <v>23.3</v>
          </cell>
        </row>
        <row r="161">
          <cell r="A161" t="str">
            <v>저령</v>
          </cell>
          <cell r="C161">
            <v>28000</v>
          </cell>
          <cell r="D161">
            <v>22500</v>
          </cell>
          <cell r="E161">
            <v>26900</v>
          </cell>
          <cell r="F161">
            <v>0</v>
          </cell>
          <cell r="G161">
            <v>46.666666666666664</v>
          </cell>
          <cell r="H161">
            <v>45</v>
          </cell>
          <cell r="I161">
            <v>44.833333333333336</v>
          </cell>
          <cell r="J161">
            <v>46.7</v>
          </cell>
        </row>
        <row r="162">
          <cell r="A162" t="str">
            <v>적석지</v>
          </cell>
          <cell r="E162">
            <v>4900</v>
          </cell>
          <cell r="F162">
            <v>0</v>
          </cell>
          <cell r="G162">
            <v>0</v>
          </cell>
          <cell r="H162">
            <v>0</v>
          </cell>
          <cell r="I162">
            <v>8.1666666666666661</v>
          </cell>
          <cell r="J162">
            <v>8.1999999999999993</v>
          </cell>
        </row>
        <row r="163">
          <cell r="A163" t="str">
            <v>적하수오</v>
          </cell>
          <cell r="C163">
            <v>20000</v>
          </cell>
          <cell r="D163">
            <v>20000</v>
          </cell>
          <cell r="F163">
            <v>0</v>
          </cell>
          <cell r="G163">
            <v>20</v>
          </cell>
          <cell r="H163">
            <v>20</v>
          </cell>
          <cell r="I163">
            <v>0</v>
          </cell>
          <cell r="J163">
            <v>20</v>
          </cell>
        </row>
        <row r="164">
          <cell r="A164" t="str">
            <v>전호</v>
          </cell>
          <cell r="C164">
            <v>16000</v>
          </cell>
          <cell r="D164">
            <v>11500</v>
          </cell>
          <cell r="E164">
            <v>16500</v>
          </cell>
          <cell r="F164">
            <v>0</v>
          </cell>
          <cell r="G164">
            <v>26.666666666666668</v>
          </cell>
          <cell r="H164">
            <v>23</v>
          </cell>
          <cell r="I164">
            <v>27.5</v>
          </cell>
          <cell r="J164">
            <v>23</v>
          </cell>
        </row>
        <row r="165">
          <cell r="A165" t="str">
            <v>정향</v>
          </cell>
          <cell r="F165">
            <v>0</v>
          </cell>
          <cell r="G165">
            <v>0</v>
          </cell>
          <cell r="H165">
            <v>0</v>
          </cell>
          <cell r="I165">
            <v>0</v>
          </cell>
        </row>
        <row r="166">
          <cell r="A166" t="str">
            <v>조협</v>
          </cell>
          <cell r="E166">
            <v>7800</v>
          </cell>
          <cell r="F166">
            <v>0</v>
          </cell>
          <cell r="G166">
            <v>0</v>
          </cell>
          <cell r="H166">
            <v>0</v>
          </cell>
          <cell r="I166">
            <v>13</v>
          </cell>
          <cell r="J166">
            <v>13</v>
          </cell>
        </row>
        <row r="167">
          <cell r="A167" t="str">
            <v>조구등</v>
          </cell>
          <cell r="C167">
            <v>11000</v>
          </cell>
          <cell r="D167">
            <v>8600</v>
          </cell>
          <cell r="F167">
            <v>0</v>
          </cell>
          <cell r="G167">
            <v>18.333333333333332</v>
          </cell>
          <cell r="H167">
            <v>17.2</v>
          </cell>
          <cell r="I167">
            <v>0</v>
          </cell>
          <cell r="J167">
            <v>18.3</v>
          </cell>
        </row>
        <row r="168">
          <cell r="A168" t="str">
            <v>죽여1</v>
          </cell>
          <cell r="D168">
            <v>8200</v>
          </cell>
          <cell r="E168">
            <v>10200</v>
          </cell>
          <cell r="F168">
            <v>0</v>
          </cell>
          <cell r="G168">
            <v>0</v>
          </cell>
          <cell r="H168">
            <v>16.399999999999999</v>
          </cell>
          <cell r="I168">
            <v>17</v>
          </cell>
          <cell r="J168">
            <v>15.4</v>
          </cell>
        </row>
        <row r="169">
          <cell r="A169" t="str">
            <v>죽여2</v>
          </cell>
          <cell r="C169">
            <v>4500</v>
          </cell>
          <cell r="D169">
            <v>3500</v>
          </cell>
          <cell r="F169">
            <v>0</v>
          </cell>
          <cell r="G169">
            <v>7.5</v>
          </cell>
          <cell r="H169">
            <v>5.833333333333333</v>
          </cell>
          <cell r="I169">
            <v>0</v>
          </cell>
        </row>
        <row r="170">
          <cell r="A170" t="str">
            <v>죽엽</v>
          </cell>
          <cell r="D170">
            <v>4500</v>
          </cell>
          <cell r="F170">
            <v>0</v>
          </cell>
          <cell r="G170">
            <v>0</v>
          </cell>
          <cell r="H170">
            <v>7.5</v>
          </cell>
          <cell r="I170">
            <v>0</v>
          </cell>
          <cell r="J170">
            <v>7.5</v>
          </cell>
        </row>
        <row r="171">
          <cell r="A171" t="str">
            <v>지각</v>
          </cell>
          <cell r="C171">
            <v>7000</v>
          </cell>
          <cell r="D171">
            <v>4800</v>
          </cell>
          <cell r="E171">
            <v>6000</v>
          </cell>
          <cell r="F171">
            <v>0</v>
          </cell>
          <cell r="G171">
            <v>11.666666666666666</v>
          </cell>
          <cell r="H171">
            <v>9.6</v>
          </cell>
          <cell r="I171">
            <v>10</v>
          </cell>
          <cell r="J171">
            <v>10</v>
          </cell>
        </row>
        <row r="172">
          <cell r="A172" t="str">
            <v>지골피</v>
          </cell>
          <cell r="C172">
            <v>14000</v>
          </cell>
          <cell r="D172">
            <v>10600</v>
          </cell>
          <cell r="E172">
            <v>14200</v>
          </cell>
          <cell r="F172">
            <v>0</v>
          </cell>
          <cell r="G172">
            <v>23.333333333333332</v>
          </cell>
          <cell r="H172">
            <v>21.2</v>
          </cell>
          <cell r="I172">
            <v>23.666666666666668</v>
          </cell>
          <cell r="J172">
            <v>21.7</v>
          </cell>
        </row>
        <row r="173">
          <cell r="A173" t="str">
            <v>지모</v>
          </cell>
          <cell r="C173">
            <v>11000</v>
          </cell>
          <cell r="D173">
            <v>7800</v>
          </cell>
          <cell r="E173">
            <v>9600</v>
          </cell>
          <cell r="F173">
            <v>0</v>
          </cell>
          <cell r="G173">
            <v>18.333333333333332</v>
          </cell>
          <cell r="H173">
            <v>15.6</v>
          </cell>
          <cell r="I173">
            <v>16</v>
          </cell>
          <cell r="J173">
            <v>16.7</v>
          </cell>
        </row>
        <row r="174">
          <cell r="A174" t="str">
            <v>지부자</v>
          </cell>
          <cell r="E174">
            <v>5600</v>
          </cell>
          <cell r="F174">
            <v>0</v>
          </cell>
          <cell r="G174">
            <v>0</v>
          </cell>
          <cell r="H174">
            <v>0</v>
          </cell>
          <cell r="I174">
            <v>9.3333333333333339</v>
          </cell>
          <cell r="J174">
            <v>9.3000000000000007</v>
          </cell>
        </row>
        <row r="175">
          <cell r="A175" t="str">
            <v>지실</v>
          </cell>
          <cell r="D175">
            <v>10000</v>
          </cell>
          <cell r="E175">
            <v>10000</v>
          </cell>
          <cell r="F175">
            <v>0</v>
          </cell>
          <cell r="G175">
            <v>0</v>
          </cell>
          <cell r="H175">
            <v>20</v>
          </cell>
          <cell r="I175">
            <v>16.666666666666668</v>
          </cell>
          <cell r="J175">
            <v>16.7</v>
          </cell>
        </row>
        <row r="176">
          <cell r="A176" t="str">
            <v>지유</v>
          </cell>
          <cell r="F176">
            <v>0</v>
          </cell>
          <cell r="G176">
            <v>0</v>
          </cell>
          <cell r="H176">
            <v>0</v>
          </cell>
          <cell r="I176">
            <v>0</v>
          </cell>
        </row>
        <row r="177">
          <cell r="A177" t="str">
            <v>진교</v>
          </cell>
          <cell r="C177">
            <v>14000</v>
          </cell>
          <cell r="D177">
            <v>9500</v>
          </cell>
          <cell r="F177">
            <v>0</v>
          </cell>
          <cell r="G177">
            <v>23.333333333333332</v>
          </cell>
          <cell r="H177">
            <v>19</v>
          </cell>
          <cell r="I177">
            <v>0</v>
          </cell>
          <cell r="J177">
            <v>23.3</v>
          </cell>
        </row>
        <row r="178">
          <cell r="A178" t="str">
            <v>진피1</v>
          </cell>
          <cell r="B178">
            <v>8800</v>
          </cell>
          <cell r="C178">
            <v>5800</v>
          </cell>
          <cell r="D178">
            <v>6300</v>
          </cell>
          <cell r="E178">
            <v>7000</v>
          </cell>
          <cell r="F178">
            <v>17.600000000000001</v>
          </cell>
          <cell r="G178">
            <v>9.6666666666666661</v>
          </cell>
          <cell r="H178">
            <v>12.6</v>
          </cell>
          <cell r="I178">
            <v>11.666666666666666</v>
          </cell>
          <cell r="J178">
            <v>17.600000000000001</v>
          </cell>
        </row>
        <row r="179">
          <cell r="A179" t="str">
            <v>진피2</v>
          </cell>
          <cell r="B179">
            <v>22500</v>
          </cell>
          <cell r="E179">
            <v>41000</v>
          </cell>
          <cell r="F179">
            <v>45</v>
          </cell>
          <cell r="G179">
            <v>0</v>
          </cell>
          <cell r="H179">
            <v>0</v>
          </cell>
          <cell r="I179">
            <v>68.333333333333329</v>
          </cell>
          <cell r="J179">
            <v>68.3</v>
          </cell>
        </row>
        <row r="180">
          <cell r="A180" t="str">
            <v>진피3</v>
          </cell>
          <cell r="F180">
            <v>0</v>
          </cell>
          <cell r="G180">
            <v>0</v>
          </cell>
          <cell r="H180">
            <v>0</v>
          </cell>
          <cell r="I180">
            <v>0</v>
          </cell>
        </row>
        <row r="181">
          <cell r="A181" t="str">
            <v>차전자</v>
          </cell>
          <cell r="C181">
            <v>14000</v>
          </cell>
          <cell r="D181">
            <v>5300</v>
          </cell>
          <cell r="F181">
            <v>0</v>
          </cell>
          <cell r="G181">
            <v>23.333333333333332</v>
          </cell>
          <cell r="H181">
            <v>10.6</v>
          </cell>
          <cell r="I181">
            <v>0</v>
          </cell>
          <cell r="J181">
            <v>23.3</v>
          </cell>
        </row>
        <row r="182">
          <cell r="A182" t="str">
            <v>창이자</v>
          </cell>
          <cell r="E182">
            <v>4100</v>
          </cell>
          <cell r="F182">
            <v>0</v>
          </cell>
          <cell r="G182">
            <v>0</v>
          </cell>
          <cell r="H182">
            <v>0</v>
          </cell>
          <cell r="I182">
            <v>6.833333333333333</v>
          </cell>
          <cell r="J182">
            <v>6.8</v>
          </cell>
        </row>
        <row r="183">
          <cell r="A183" t="str">
            <v>창출1</v>
          </cell>
          <cell r="D183">
            <v>11000</v>
          </cell>
          <cell r="E183">
            <v>15000</v>
          </cell>
          <cell r="F183">
            <v>0</v>
          </cell>
          <cell r="G183">
            <v>0</v>
          </cell>
          <cell r="H183">
            <v>22</v>
          </cell>
          <cell r="I183">
            <v>25</v>
          </cell>
          <cell r="J183">
            <v>25</v>
          </cell>
        </row>
        <row r="184">
          <cell r="A184" t="str">
            <v>창출2</v>
          </cell>
          <cell r="B184">
            <v>31900</v>
          </cell>
          <cell r="C184">
            <v>17000</v>
          </cell>
          <cell r="E184">
            <v>25800</v>
          </cell>
          <cell r="F184">
            <v>63.8</v>
          </cell>
          <cell r="G184">
            <v>28.333333333333332</v>
          </cell>
          <cell r="H184">
            <v>0</v>
          </cell>
          <cell r="I184">
            <v>43</v>
          </cell>
          <cell r="J184">
            <v>43</v>
          </cell>
        </row>
        <row r="185">
          <cell r="A185" t="str">
            <v>천궁1</v>
          </cell>
          <cell r="C185">
            <v>14000</v>
          </cell>
          <cell r="D185">
            <v>5200</v>
          </cell>
          <cell r="E185">
            <v>6500</v>
          </cell>
          <cell r="F185">
            <v>0</v>
          </cell>
          <cell r="G185">
            <v>23.333333333333332</v>
          </cell>
          <cell r="H185">
            <v>10.4</v>
          </cell>
          <cell r="I185">
            <v>10.833333333333334</v>
          </cell>
          <cell r="J185">
            <v>10.8</v>
          </cell>
        </row>
        <row r="186">
          <cell r="A186" t="str">
            <v>천궁2</v>
          </cell>
          <cell r="E186">
            <v>12500</v>
          </cell>
          <cell r="F186">
            <v>0</v>
          </cell>
          <cell r="G186">
            <v>0</v>
          </cell>
          <cell r="H186">
            <v>0</v>
          </cell>
          <cell r="I186">
            <v>20.833333333333332</v>
          </cell>
          <cell r="J186">
            <v>20.8</v>
          </cell>
        </row>
        <row r="187">
          <cell r="A187" t="str">
            <v>천련자</v>
          </cell>
          <cell r="D187">
            <v>5800</v>
          </cell>
          <cell r="F187">
            <v>0</v>
          </cell>
          <cell r="G187">
            <v>0</v>
          </cell>
          <cell r="H187">
            <v>11.6</v>
          </cell>
          <cell r="I187">
            <v>0</v>
          </cell>
          <cell r="J187">
            <v>11.6</v>
          </cell>
        </row>
        <row r="188">
          <cell r="A188" t="str">
            <v>천마</v>
          </cell>
          <cell r="C188">
            <v>24000</v>
          </cell>
          <cell r="D188">
            <v>23500</v>
          </cell>
          <cell r="E188">
            <v>31700</v>
          </cell>
          <cell r="F188">
            <v>0</v>
          </cell>
          <cell r="G188">
            <v>40</v>
          </cell>
          <cell r="H188">
            <v>47</v>
          </cell>
          <cell r="I188">
            <v>52.833333333333336</v>
          </cell>
          <cell r="J188">
            <v>52.8</v>
          </cell>
        </row>
        <row r="189">
          <cell r="A189" t="str">
            <v>천문동</v>
          </cell>
          <cell r="D189">
            <v>13800</v>
          </cell>
          <cell r="E189">
            <v>17900</v>
          </cell>
          <cell r="F189">
            <v>0</v>
          </cell>
          <cell r="G189">
            <v>0</v>
          </cell>
          <cell r="H189">
            <v>27.6</v>
          </cell>
          <cell r="I189">
            <v>29.833333333333332</v>
          </cell>
          <cell r="J189">
            <v>29.8</v>
          </cell>
        </row>
        <row r="190">
          <cell r="A190" t="str">
            <v>천오</v>
          </cell>
          <cell r="D190">
            <v>11000</v>
          </cell>
          <cell r="E190">
            <v>11000</v>
          </cell>
          <cell r="F190">
            <v>0</v>
          </cell>
          <cell r="G190">
            <v>0</v>
          </cell>
          <cell r="H190">
            <v>22</v>
          </cell>
          <cell r="I190">
            <v>22</v>
          </cell>
          <cell r="J190">
            <v>22</v>
          </cell>
        </row>
        <row r="191">
          <cell r="A191" t="str">
            <v>천초</v>
          </cell>
          <cell r="E191">
            <v>11300</v>
          </cell>
          <cell r="I191">
            <v>22.6</v>
          </cell>
          <cell r="J191">
            <v>22.6</v>
          </cell>
        </row>
        <row r="192">
          <cell r="A192" t="str">
            <v>천화분</v>
          </cell>
          <cell r="D192">
            <v>11300</v>
          </cell>
          <cell r="E192">
            <v>14100</v>
          </cell>
          <cell r="F192">
            <v>0</v>
          </cell>
          <cell r="G192">
            <v>0</v>
          </cell>
          <cell r="H192">
            <v>22.6</v>
          </cell>
          <cell r="I192">
            <v>23.5</v>
          </cell>
          <cell r="J192">
            <v>23.5</v>
          </cell>
        </row>
        <row r="193">
          <cell r="A193" t="str">
            <v>청상자</v>
          </cell>
          <cell r="C193">
            <v>8500</v>
          </cell>
          <cell r="F193">
            <v>0</v>
          </cell>
          <cell r="G193">
            <v>14.166666666666666</v>
          </cell>
          <cell r="H193">
            <v>0</v>
          </cell>
          <cell r="I193">
            <v>0</v>
          </cell>
          <cell r="J193">
            <v>14.2</v>
          </cell>
        </row>
        <row r="194">
          <cell r="A194" t="str">
            <v>청피</v>
          </cell>
          <cell r="C194">
            <v>5800</v>
          </cell>
          <cell r="D194">
            <v>3300</v>
          </cell>
          <cell r="E194">
            <v>4400</v>
          </cell>
          <cell r="F194">
            <v>0</v>
          </cell>
          <cell r="G194">
            <v>9.6666666666666661</v>
          </cell>
          <cell r="H194">
            <v>6.6</v>
          </cell>
          <cell r="I194">
            <v>7.333333333333333</v>
          </cell>
          <cell r="J194">
            <v>7.3</v>
          </cell>
        </row>
        <row r="195">
          <cell r="A195" t="str">
            <v>초결</v>
          </cell>
          <cell r="F195">
            <v>0</v>
          </cell>
          <cell r="G195">
            <v>0</v>
          </cell>
          <cell r="H195">
            <v>0</v>
          </cell>
          <cell r="I195">
            <v>0</v>
          </cell>
        </row>
        <row r="196">
          <cell r="A196" t="str">
            <v>초과</v>
          </cell>
          <cell r="F196">
            <v>0</v>
          </cell>
          <cell r="G196">
            <v>0</v>
          </cell>
          <cell r="H196">
            <v>0</v>
          </cell>
          <cell r="I196">
            <v>0</v>
          </cell>
        </row>
        <row r="197">
          <cell r="A197" t="str">
            <v>초두구</v>
          </cell>
          <cell r="C197">
            <v>7000</v>
          </cell>
          <cell r="D197">
            <v>5800</v>
          </cell>
          <cell r="F197">
            <v>0</v>
          </cell>
          <cell r="G197">
            <v>11.666666666666666</v>
          </cell>
          <cell r="H197">
            <v>11.6</v>
          </cell>
          <cell r="I197">
            <v>0</v>
          </cell>
          <cell r="J197">
            <v>11.7</v>
          </cell>
        </row>
        <row r="198">
          <cell r="A198" t="str">
            <v>측백엽</v>
          </cell>
          <cell r="F198">
            <v>0</v>
          </cell>
          <cell r="G198">
            <v>0</v>
          </cell>
          <cell r="H198">
            <v>0</v>
          </cell>
          <cell r="I198">
            <v>0</v>
          </cell>
        </row>
        <row r="199">
          <cell r="A199" t="str">
            <v>치자</v>
          </cell>
          <cell r="B199">
            <v>10800</v>
          </cell>
          <cell r="C199">
            <v>7500</v>
          </cell>
          <cell r="D199">
            <v>9300</v>
          </cell>
          <cell r="E199">
            <v>11200</v>
          </cell>
          <cell r="F199">
            <v>21.6</v>
          </cell>
          <cell r="G199">
            <v>12.5</v>
          </cell>
          <cell r="H199">
            <v>18.600000000000001</v>
          </cell>
          <cell r="I199">
            <v>18.666666666666668</v>
          </cell>
          <cell r="J199">
            <v>26</v>
          </cell>
        </row>
        <row r="200">
          <cell r="A200" t="str">
            <v>택사1</v>
          </cell>
          <cell r="C200">
            <v>15000</v>
          </cell>
          <cell r="D200">
            <v>13200</v>
          </cell>
          <cell r="E200">
            <v>16900</v>
          </cell>
          <cell r="F200">
            <v>0</v>
          </cell>
          <cell r="G200">
            <v>25</v>
          </cell>
          <cell r="H200">
            <v>26.4</v>
          </cell>
          <cell r="I200">
            <v>28.166666666666668</v>
          </cell>
          <cell r="J200">
            <v>28.2</v>
          </cell>
        </row>
        <row r="201">
          <cell r="A201" t="str">
            <v>택사2</v>
          </cell>
          <cell r="D201">
            <v>5500</v>
          </cell>
          <cell r="H201">
            <v>11</v>
          </cell>
          <cell r="J201">
            <v>11</v>
          </cell>
        </row>
        <row r="202">
          <cell r="A202" t="str">
            <v>토사자</v>
          </cell>
          <cell r="C202">
            <v>10000</v>
          </cell>
          <cell r="D202">
            <v>10000</v>
          </cell>
          <cell r="E202">
            <v>10300</v>
          </cell>
          <cell r="F202">
            <v>0</v>
          </cell>
          <cell r="G202">
            <v>16.666666666666668</v>
          </cell>
          <cell r="H202">
            <v>16.666666666666668</v>
          </cell>
          <cell r="I202">
            <v>17.166666666666668</v>
          </cell>
          <cell r="J202">
            <v>17.2</v>
          </cell>
        </row>
        <row r="203">
          <cell r="A203" t="str">
            <v>파고지</v>
          </cell>
          <cell r="C203">
            <v>5500</v>
          </cell>
          <cell r="D203">
            <v>8500</v>
          </cell>
          <cell r="E203">
            <v>5300</v>
          </cell>
          <cell r="F203">
            <v>0</v>
          </cell>
          <cell r="G203">
            <v>9.1666666666666661</v>
          </cell>
          <cell r="H203">
            <v>14.166666666666666</v>
          </cell>
          <cell r="I203">
            <v>8.8333333333333339</v>
          </cell>
          <cell r="J203">
            <v>14.2</v>
          </cell>
        </row>
        <row r="204">
          <cell r="A204" t="str">
            <v>파극천</v>
          </cell>
          <cell r="C204">
            <v>25500</v>
          </cell>
          <cell r="D204">
            <v>21000</v>
          </cell>
          <cell r="E204">
            <v>25400</v>
          </cell>
          <cell r="F204">
            <v>0</v>
          </cell>
          <cell r="G204">
            <v>42.5</v>
          </cell>
          <cell r="H204">
            <v>35</v>
          </cell>
          <cell r="I204">
            <v>42.333333333333336</v>
          </cell>
          <cell r="J204">
            <v>35</v>
          </cell>
        </row>
        <row r="205">
          <cell r="A205" t="str">
            <v>패모</v>
          </cell>
          <cell r="C205">
            <v>19200</v>
          </cell>
          <cell r="D205">
            <v>19000</v>
          </cell>
          <cell r="E205">
            <v>19200</v>
          </cell>
          <cell r="F205">
            <v>0</v>
          </cell>
          <cell r="G205">
            <v>32</v>
          </cell>
          <cell r="H205">
            <v>38</v>
          </cell>
          <cell r="I205">
            <v>32</v>
          </cell>
          <cell r="J205">
            <v>32</v>
          </cell>
        </row>
        <row r="206">
          <cell r="A206" t="str">
            <v>편축</v>
          </cell>
          <cell r="F206">
            <v>0</v>
          </cell>
          <cell r="G206">
            <v>0</v>
          </cell>
          <cell r="H206">
            <v>0</v>
          </cell>
          <cell r="I206">
            <v>0</v>
          </cell>
        </row>
        <row r="207">
          <cell r="A207" t="str">
            <v>포공영</v>
          </cell>
          <cell r="D207">
            <v>5200</v>
          </cell>
          <cell r="E207">
            <v>5600</v>
          </cell>
          <cell r="F207">
            <v>0</v>
          </cell>
          <cell r="G207">
            <v>0</v>
          </cell>
          <cell r="H207">
            <v>8.6666666666666661</v>
          </cell>
          <cell r="I207">
            <v>9.3333333333333339</v>
          </cell>
          <cell r="J207">
            <v>8.6999999999999993</v>
          </cell>
        </row>
        <row r="208">
          <cell r="A208" t="str">
            <v>합환피</v>
          </cell>
          <cell r="D208">
            <v>4600</v>
          </cell>
          <cell r="E208">
            <v>10900</v>
          </cell>
          <cell r="F208">
            <v>0</v>
          </cell>
          <cell r="G208">
            <v>0</v>
          </cell>
          <cell r="H208">
            <v>9.1999999999999993</v>
          </cell>
          <cell r="I208">
            <v>18.166666666666668</v>
          </cell>
          <cell r="J208">
            <v>18.2</v>
          </cell>
        </row>
        <row r="209">
          <cell r="A209" t="str">
            <v>해동피</v>
          </cell>
          <cell r="C209">
            <v>5500</v>
          </cell>
          <cell r="D209">
            <v>4000</v>
          </cell>
          <cell r="E209">
            <v>5100</v>
          </cell>
          <cell r="F209">
            <v>0</v>
          </cell>
          <cell r="G209">
            <v>9.1666666666666661</v>
          </cell>
          <cell r="H209">
            <v>8</v>
          </cell>
          <cell r="I209">
            <v>8.5</v>
          </cell>
          <cell r="J209">
            <v>8</v>
          </cell>
        </row>
        <row r="210">
          <cell r="A210" t="str">
            <v>행인</v>
          </cell>
          <cell r="C210">
            <v>6500</v>
          </cell>
          <cell r="D210">
            <v>5900</v>
          </cell>
          <cell r="E210">
            <v>6900</v>
          </cell>
          <cell r="F210">
            <v>0</v>
          </cell>
          <cell r="G210">
            <v>10.833333333333334</v>
          </cell>
          <cell r="H210">
            <v>11.8</v>
          </cell>
          <cell r="I210">
            <v>11.5</v>
          </cell>
          <cell r="J210">
            <v>12</v>
          </cell>
        </row>
        <row r="211">
          <cell r="A211" t="str">
            <v>향부자</v>
          </cell>
          <cell r="C211">
            <v>9500</v>
          </cell>
          <cell r="D211">
            <v>7800</v>
          </cell>
          <cell r="E211">
            <v>8600</v>
          </cell>
          <cell r="F211">
            <v>0</v>
          </cell>
          <cell r="G211">
            <v>15.833333333333334</v>
          </cell>
          <cell r="H211">
            <v>15.6</v>
          </cell>
          <cell r="I211">
            <v>14.333333333333334</v>
          </cell>
          <cell r="J211">
            <v>14.7</v>
          </cell>
        </row>
        <row r="212">
          <cell r="A212" t="str">
            <v>향시</v>
          </cell>
          <cell r="E212">
            <v>39000</v>
          </cell>
          <cell r="F212">
            <v>0</v>
          </cell>
          <cell r="G212">
            <v>0</v>
          </cell>
          <cell r="H212">
            <v>0</v>
          </cell>
          <cell r="I212">
            <v>39</v>
          </cell>
          <cell r="J212">
            <v>39</v>
          </cell>
        </row>
        <row r="213">
          <cell r="A213" t="str">
            <v>현삼</v>
          </cell>
          <cell r="C213">
            <v>6000</v>
          </cell>
          <cell r="D213">
            <v>12000</v>
          </cell>
          <cell r="E213">
            <v>16500</v>
          </cell>
          <cell r="F213">
            <v>0</v>
          </cell>
          <cell r="G213">
            <v>10</v>
          </cell>
          <cell r="H213">
            <v>24</v>
          </cell>
          <cell r="I213">
            <v>27.5</v>
          </cell>
          <cell r="J213">
            <v>27.5</v>
          </cell>
        </row>
        <row r="214">
          <cell r="A214" t="str">
            <v>현호색</v>
          </cell>
          <cell r="C214">
            <v>37000</v>
          </cell>
          <cell r="D214">
            <v>14500</v>
          </cell>
          <cell r="E214">
            <v>35800</v>
          </cell>
          <cell r="F214">
            <v>0</v>
          </cell>
          <cell r="G214">
            <v>61.666666666666664</v>
          </cell>
          <cell r="H214">
            <v>24.166666666666668</v>
          </cell>
          <cell r="I214">
            <v>59.666666666666664</v>
          </cell>
          <cell r="J214">
            <v>59.7</v>
          </cell>
        </row>
        <row r="215">
          <cell r="A215" t="str">
            <v>형개</v>
          </cell>
          <cell r="D215">
            <v>8800</v>
          </cell>
          <cell r="E215">
            <v>10500</v>
          </cell>
          <cell r="F215">
            <v>0</v>
          </cell>
          <cell r="G215">
            <v>0</v>
          </cell>
          <cell r="H215">
            <v>17.600000000000001</v>
          </cell>
          <cell r="I215">
            <v>17.5</v>
          </cell>
          <cell r="J215">
            <v>17.600000000000001</v>
          </cell>
        </row>
        <row r="216">
          <cell r="A216" t="str">
            <v>홍화</v>
          </cell>
          <cell r="C216">
            <v>30000</v>
          </cell>
          <cell r="D216">
            <v>19500</v>
          </cell>
          <cell r="E216">
            <v>26000</v>
          </cell>
          <cell r="F216">
            <v>0</v>
          </cell>
          <cell r="G216">
            <v>50</v>
          </cell>
          <cell r="H216">
            <v>39</v>
          </cell>
          <cell r="I216">
            <v>43.333333333333336</v>
          </cell>
          <cell r="J216">
            <v>44.2</v>
          </cell>
        </row>
        <row r="217">
          <cell r="A217" t="str">
            <v>활석</v>
          </cell>
          <cell r="C217">
            <v>8500</v>
          </cell>
          <cell r="F217">
            <v>0</v>
          </cell>
          <cell r="G217">
            <v>8.5</v>
          </cell>
          <cell r="H217">
            <v>0</v>
          </cell>
          <cell r="I217">
            <v>0</v>
          </cell>
          <cell r="J217">
            <v>8.5</v>
          </cell>
        </row>
        <row r="218">
          <cell r="A218" t="str">
            <v>황금</v>
          </cell>
          <cell r="C218">
            <v>9000</v>
          </cell>
          <cell r="D218">
            <v>9000</v>
          </cell>
          <cell r="E218">
            <v>13500</v>
          </cell>
          <cell r="F218">
            <v>0</v>
          </cell>
          <cell r="G218">
            <v>15</v>
          </cell>
          <cell r="H218">
            <v>18</v>
          </cell>
          <cell r="I218">
            <v>22.5</v>
          </cell>
          <cell r="J218">
            <v>22.5</v>
          </cell>
        </row>
        <row r="219">
          <cell r="A219" t="str">
            <v>황기</v>
          </cell>
          <cell r="C219">
            <v>24000</v>
          </cell>
          <cell r="D219">
            <v>11000</v>
          </cell>
          <cell r="E219">
            <v>13400</v>
          </cell>
          <cell r="F219">
            <v>0</v>
          </cell>
          <cell r="G219">
            <v>40</v>
          </cell>
          <cell r="H219">
            <v>22</v>
          </cell>
          <cell r="I219">
            <v>22.333333333333332</v>
          </cell>
          <cell r="J219">
            <v>22.3</v>
          </cell>
        </row>
        <row r="220">
          <cell r="A220" t="str">
            <v>황련</v>
          </cell>
          <cell r="C220">
            <v>85000</v>
          </cell>
          <cell r="D220">
            <v>68400</v>
          </cell>
          <cell r="E220">
            <v>81900</v>
          </cell>
          <cell r="F220">
            <v>0</v>
          </cell>
          <cell r="G220">
            <v>141.66666666666666</v>
          </cell>
          <cell r="H220">
            <v>136.80000000000001</v>
          </cell>
          <cell r="I220">
            <v>136.5</v>
          </cell>
          <cell r="J220">
            <v>136.80000000000001</v>
          </cell>
        </row>
        <row r="221">
          <cell r="A221" t="str">
            <v>황백</v>
          </cell>
          <cell r="C221">
            <v>9500</v>
          </cell>
          <cell r="D221">
            <v>12800</v>
          </cell>
          <cell r="E221">
            <v>18500</v>
          </cell>
          <cell r="F221">
            <v>0</v>
          </cell>
          <cell r="G221">
            <v>15.833333333333334</v>
          </cell>
          <cell r="H221">
            <v>25.6</v>
          </cell>
          <cell r="I221">
            <v>30.833333333333332</v>
          </cell>
          <cell r="J221">
            <v>30.8</v>
          </cell>
        </row>
        <row r="222">
          <cell r="A222" t="str">
            <v>황정</v>
          </cell>
          <cell r="C222">
            <v>9500</v>
          </cell>
          <cell r="F222">
            <v>0</v>
          </cell>
          <cell r="G222">
            <v>15.833333333333334</v>
          </cell>
          <cell r="H222">
            <v>0</v>
          </cell>
          <cell r="I222">
            <v>0</v>
          </cell>
          <cell r="J222">
            <v>15.8</v>
          </cell>
        </row>
        <row r="223">
          <cell r="A223" t="str">
            <v>후박</v>
          </cell>
          <cell r="C223">
            <v>4500</v>
          </cell>
          <cell r="D223">
            <v>4100</v>
          </cell>
          <cell r="E223">
            <v>5300</v>
          </cell>
          <cell r="F223">
            <v>0</v>
          </cell>
          <cell r="G223">
            <v>7.5</v>
          </cell>
          <cell r="H223">
            <v>8.1999999999999993</v>
          </cell>
          <cell r="I223">
            <v>8.8333333333333339</v>
          </cell>
          <cell r="J223">
            <v>8.8000000000000007</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80CEA-76BE-44F7-AE9D-C3D5229C96BF}">
  <sheetPr>
    <pageSetUpPr fitToPage="1"/>
  </sheetPr>
  <dimension ref="B1:M31"/>
  <sheetViews>
    <sheetView tabSelected="1" topLeftCell="B1" workbookViewId="0">
      <selection activeCell="H18" sqref="H18"/>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447</v>
      </c>
      <c r="D2" s="3"/>
      <c r="E2" s="87">
        <v>8</v>
      </c>
      <c r="F2" s="171">
        <f>E2*$L$15</f>
        <v>320</v>
      </c>
      <c r="G2">
        <f>VLOOKUP($C2,[1]약재관리!$A:$J,10,FALSE)</f>
        <v>70.2</v>
      </c>
      <c r="H2" s="4">
        <f>G2*E2</f>
        <v>561.6</v>
      </c>
      <c r="I2" s="5">
        <f t="shared" ref="I2:I31" si="0">G2*F2</f>
        <v>22464</v>
      </c>
      <c r="J2" s="99">
        <f>F2/$L$14</f>
        <v>16</v>
      </c>
      <c r="K2" s="6" t="s">
        <v>6</v>
      </c>
      <c r="L2" s="189">
        <v>179</v>
      </c>
      <c r="M2" s="190"/>
    </row>
    <row r="3" spans="2:13">
      <c r="B3" s="2">
        <v>2</v>
      </c>
      <c r="C3" t="s">
        <v>427</v>
      </c>
      <c r="D3" s="3"/>
      <c r="E3" s="87">
        <v>10</v>
      </c>
      <c r="F3" s="97">
        <f t="shared" ref="F3:F31" si="1">E3*$L$15</f>
        <v>400</v>
      </c>
      <c r="G3">
        <f>VLOOKUP($C3,[1]약재관리!$A:$J,10,FALSE)</f>
        <v>22.3</v>
      </c>
      <c r="H3" s="4">
        <f t="shared" ref="H3:H31" si="2">G3*E3</f>
        <v>223</v>
      </c>
      <c r="I3" s="5">
        <f t="shared" si="0"/>
        <v>8920</v>
      </c>
      <c r="J3" s="99">
        <f t="shared" ref="J3:J18" si="3">F3/$L$14</f>
        <v>20</v>
      </c>
      <c r="K3" s="7" t="s">
        <v>7</v>
      </c>
      <c r="L3" s="187" t="s">
        <v>442</v>
      </c>
      <c r="M3" s="188"/>
    </row>
    <row r="4" spans="2:13">
      <c r="B4" s="2">
        <v>3</v>
      </c>
      <c r="C4" t="s">
        <v>444</v>
      </c>
      <c r="D4" s="3"/>
      <c r="E4" s="87">
        <v>8</v>
      </c>
      <c r="F4" s="97">
        <f t="shared" si="1"/>
        <v>320</v>
      </c>
      <c r="G4">
        <f>VLOOKUP($C4,[1]약재관리!$A:$J,10,FALSE)</f>
        <v>21.2</v>
      </c>
      <c r="H4" s="4">
        <f t="shared" si="2"/>
        <v>169.6</v>
      </c>
      <c r="I4" s="5">
        <f t="shared" si="0"/>
        <v>6784</v>
      </c>
      <c r="J4" s="99">
        <f t="shared" si="3"/>
        <v>16</v>
      </c>
      <c r="K4" s="7" t="s">
        <v>8</v>
      </c>
      <c r="L4" s="191">
        <v>46099</v>
      </c>
      <c r="M4" s="188"/>
    </row>
    <row r="5" spans="2:13">
      <c r="B5" s="2">
        <v>4</v>
      </c>
      <c r="C5" t="s">
        <v>448</v>
      </c>
      <c r="D5" s="3"/>
      <c r="E5" s="87">
        <v>6</v>
      </c>
      <c r="F5" s="97">
        <f t="shared" si="1"/>
        <v>240</v>
      </c>
      <c r="G5">
        <f>VLOOKUP($C5,[1]약재관리!$A:$J,10,FALSE)</f>
        <v>25</v>
      </c>
      <c r="H5" s="4">
        <f t="shared" si="2"/>
        <v>150</v>
      </c>
      <c r="I5" s="5">
        <f t="shared" si="0"/>
        <v>6000</v>
      </c>
      <c r="J5" s="99">
        <f t="shared" si="3"/>
        <v>12</v>
      </c>
      <c r="K5" s="7" t="s">
        <v>9</v>
      </c>
      <c r="L5" s="187" t="s">
        <v>441</v>
      </c>
      <c r="M5" s="188"/>
    </row>
    <row r="6" spans="2:13">
      <c r="B6" s="2">
        <v>5</v>
      </c>
      <c r="C6" t="s">
        <v>445</v>
      </c>
      <c r="D6" s="3"/>
      <c r="E6" s="87">
        <v>6</v>
      </c>
      <c r="F6" s="97">
        <f t="shared" si="1"/>
        <v>240</v>
      </c>
      <c r="G6">
        <f>VLOOKUP($C6,[1]약재관리!$A:$J,10,FALSE)</f>
        <v>20</v>
      </c>
      <c r="H6" s="4">
        <f t="shared" si="2"/>
        <v>120</v>
      </c>
      <c r="I6" s="5">
        <f t="shared" si="0"/>
        <v>4800</v>
      </c>
      <c r="J6" s="99">
        <f t="shared" si="3"/>
        <v>12</v>
      </c>
      <c r="K6" s="7" t="s">
        <v>10</v>
      </c>
      <c r="L6" s="187">
        <v>77</v>
      </c>
      <c r="M6" s="188"/>
    </row>
    <row r="7" spans="2:13" ht="17.25" thickBot="1">
      <c r="B7" s="2">
        <v>6</v>
      </c>
      <c r="C7" t="s">
        <v>419</v>
      </c>
      <c r="D7" s="3"/>
      <c r="E7" s="87">
        <v>4</v>
      </c>
      <c r="F7" s="97">
        <f t="shared" si="1"/>
        <v>160</v>
      </c>
      <c r="G7">
        <f>VLOOKUP($C7,[1]약재관리!$A:$J,10,FALSE)</f>
        <v>30</v>
      </c>
      <c r="H7" s="4">
        <f t="shared" si="2"/>
        <v>120</v>
      </c>
      <c r="I7" s="5">
        <f t="shared" si="0"/>
        <v>4800</v>
      </c>
      <c r="J7" s="99">
        <f t="shared" si="3"/>
        <v>8</v>
      </c>
      <c r="K7" s="7" t="s">
        <v>11</v>
      </c>
      <c r="L7" s="173" t="s">
        <v>417</v>
      </c>
      <c r="M7" s="174"/>
    </row>
    <row r="8" spans="2:13" ht="17.25" thickBot="1">
      <c r="B8" s="2">
        <v>7</v>
      </c>
      <c r="C8" t="s">
        <v>446</v>
      </c>
      <c r="D8" s="3"/>
      <c r="E8" s="87">
        <v>4</v>
      </c>
      <c r="F8" s="97">
        <f t="shared" si="1"/>
        <v>160</v>
      </c>
      <c r="G8">
        <f>VLOOKUP($C8,[1]약재관리!$A:$J,10,FALSE)</f>
        <v>8.5</v>
      </c>
      <c r="H8" s="4">
        <f t="shared" si="2"/>
        <v>34</v>
      </c>
      <c r="I8" s="5">
        <f t="shared" si="0"/>
        <v>1360</v>
      </c>
      <c r="J8" s="99">
        <f t="shared" si="3"/>
        <v>8</v>
      </c>
      <c r="K8" s="175" t="s">
        <v>12</v>
      </c>
      <c r="L8" s="176"/>
      <c r="M8" s="177"/>
    </row>
    <row r="9" spans="2:13">
      <c r="B9" s="2">
        <v>8</v>
      </c>
      <c r="C9" t="s">
        <v>422</v>
      </c>
      <c r="D9" s="3"/>
      <c r="E9" s="87">
        <v>8</v>
      </c>
      <c r="F9" s="97">
        <f t="shared" si="1"/>
        <v>320</v>
      </c>
      <c r="G9">
        <f>VLOOKUP($C9,[1]약재관리!$A:$J,10,FALSE)</f>
        <v>8.6999999999999993</v>
      </c>
      <c r="H9" s="4">
        <f t="shared" si="2"/>
        <v>69.599999999999994</v>
      </c>
      <c r="I9" s="5">
        <f t="shared" si="0"/>
        <v>2784</v>
      </c>
      <c r="J9" s="99">
        <f t="shared" si="3"/>
        <v>16</v>
      </c>
      <c r="K9" s="178" t="s">
        <v>443</v>
      </c>
      <c r="L9" s="179"/>
      <c r="M9" s="180"/>
    </row>
    <row r="10" spans="2:13">
      <c r="B10" s="2">
        <v>9</v>
      </c>
      <c r="C10" t="s">
        <v>438</v>
      </c>
      <c r="D10" s="3"/>
      <c r="E10" s="87">
        <v>1</v>
      </c>
      <c r="F10" s="97">
        <f t="shared" si="1"/>
        <v>40</v>
      </c>
      <c r="G10">
        <f>VLOOKUP($C10,[1]약재관리!$A:$J,10,FALSE)</f>
        <v>550</v>
      </c>
      <c r="H10" s="4">
        <f t="shared" si="2"/>
        <v>550</v>
      </c>
      <c r="I10" s="5">
        <f t="shared" si="0"/>
        <v>22000</v>
      </c>
      <c r="J10" s="99">
        <f t="shared" si="3"/>
        <v>2</v>
      </c>
      <c r="K10" s="181"/>
      <c r="L10" s="182"/>
      <c r="M10" s="183"/>
    </row>
    <row r="11" spans="2:13">
      <c r="B11" s="2">
        <v>10</v>
      </c>
      <c r="D11" s="3"/>
      <c r="F11" s="97">
        <f t="shared" si="1"/>
        <v>0</v>
      </c>
      <c r="H11" s="4">
        <f t="shared" si="2"/>
        <v>0</v>
      </c>
      <c r="I11" s="5">
        <f t="shared" si="0"/>
        <v>0</v>
      </c>
      <c r="J11" s="99">
        <f t="shared" si="3"/>
        <v>0</v>
      </c>
      <c r="K11" s="181"/>
      <c r="L11" s="182"/>
      <c r="M11" s="183"/>
    </row>
    <row r="12" spans="2:13">
      <c r="B12" s="2">
        <v>11</v>
      </c>
      <c r="D12" s="3"/>
      <c r="F12" s="97">
        <f t="shared" si="1"/>
        <v>0</v>
      </c>
      <c r="H12" s="4">
        <f t="shared" si="2"/>
        <v>0</v>
      </c>
      <c r="I12" s="5">
        <f t="shared" si="0"/>
        <v>0</v>
      </c>
      <c r="J12" s="99">
        <f t="shared" si="3"/>
        <v>0</v>
      </c>
      <c r="K12" s="181"/>
      <c r="L12" s="182"/>
      <c r="M12" s="183"/>
    </row>
    <row r="13" spans="2:13" ht="17.25" thickBot="1">
      <c r="B13" s="2">
        <v>12</v>
      </c>
      <c r="D13" s="3"/>
      <c r="F13" s="97">
        <f t="shared" si="1"/>
        <v>0</v>
      </c>
      <c r="H13" s="4">
        <f t="shared" si="2"/>
        <v>0</v>
      </c>
      <c r="I13" s="5">
        <f t="shared" si="0"/>
        <v>0</v>
      </c>
      <c r="J13" s="99">
        <f t="shared" si="3"/>
        <v>0</v>
      </c>
      <c r="K13" s="184"/>
      <c r="L13" s="185"/>
      <c r="M13" s="186"/>
    </row>
    <row r="14" spans="2:13">
      <c r="B14" s="2">
        <v>13</v>
      </c>
      <c r="D14" s="3"/>
      <c r="F14" s="97">
        <f t="shared" si="1"/>
        <v>0</v>
      </c>
      <c r="H14" s="4">
        <f>G14*E14</f>
        <v>0</v>
      </c>
      <c r="I14" s="5">
        <f>G14*F14</f>
        <v>0</v>
      </c>
      <c r="J14" s="99">
        <f t="shared" si="3"/>
        <v>0</v>
      </c>
      <c r="K14" s="90" t="s">
        <v>13</v>
      </c>
      <c r="L14" s="8">
        <v>20</v>
      </c>
      <c r="M14" s="9" t="s">
        <v>14</v>
      </c>
    </row>
    <row r="15" spans="2:13">
      <c r="B15" s="2">
        <v>14</v>
      </c>
      <c r="D15" s="3"/>
      <c r="F15" s="97">
        <f t="shared" si="1"/>
        <v>0</v>
      </c>
      <c r="H15" s="4">
        <f>G15*E15</f>
        <v>0</v>
      </c>
      <c r="I15" s="5">
        <f>G15*F15</f>
        <v>0</v>
      </c>
      <c r="J15" s="99">
        <f t="shared" si="3"/>
        <v>0</v>
      </c>
      <c r="K15" s="89" t="s">
        <v>15</v>
      </c>
      <c r="L15">
        <v>40</v>
      </c>
      <c r="M15" s="3" t="s">
        <v>16</v>
      </c>
    </row>
    <row r="16" spans="2:13">
      <c r="B16" s="2">
        <v>15</v>
      </c>
      <c r="D16" s="3"/>
      <c r="F16" s="97">
        <f t="shared" si="1"/>
        <v>0</v>
      </c>
      <c r="H16" s="4">
        <f t="shared" si="2"/>
        <v>0</v>
      </c>
      <c r="I16" s="5">
        <f t="shared" si="0"/>
        <v>0</v>
      </c>
      <c r="J16" s="99">
        <f t="shared" si="3"/>
        <v>0</v>
      </c>
      <c r="K16" s="89" t="s">
        <v>17</v>
      </c>
      <c r="L16">
        <v>47</v>
      </c>
      <c r="M16" s="3" t="s">
        <v>18</v>
      </c>
    </row>
    <row r="17" spans="2:13" ht="17.25" thickBot="1">
      <c r="B17" s="2">
        <v>16</v>
      </c>
      <c r="D17" s="3"/>
      <c r="F17" s="97">
        <f t="shared" si="1"/>
        <v>0</v>
      </c>
      <c r="H17" s="4">
        <f t="shared" si="2"/>
        <v>0</v>
      </c>
      <c r="I17" s="5">
        <f t="shared" si="0"/>
        <v>0</v>
      </c>
      <c r="J17" s="99">
        <f t="shared" si="3"/>
        <v>0</v>
      </c>
      <c r="K17" s="13" t="s">
        <v>19</v>
      </c>
      <c r="L17" s="10">
        <v>110</v>
      </c>
      <c r="M17" s="11" t="s">
        <v>20</v>
      </c>
    </row>
    <row r="18" spans="2:13">
      <c r="B18" s="2">
        <v>17</v>
      </c>
      <c r="D18" s="3"/>
      <c r="F18" s="97">
        <f t="shared" si="1"/>
        <v>0</v>
      </c>
      <c r="H18" s="4">
        <f t="shared" si="2"/>
        <v>0</v>
      </c>
      <c r="I18" s="5">
        <f t="shared" si="0"/>
        <v>0</v>
      </c>
      <c r="J18" s="99">
        <f t="shared" si="3"/>
        <v>0</v>
      </c>
      <c r="K18" s="90" t="s">
        <v>21</v>
      </c>
      <c r="L18" s="8">
        <f>SUM(E2:E31)</f>
        <v>55</v>
      </c>
      <c r="M18" s="9" t="s">
        <v>22</v>
      </c>
    </row>
    <row r="19" spans="2:13">
      <c r="B19" s="2">
        <v>18</v>
      </c>
      <c r="D19" s="3"/>
      <c r="F19" s="97">
        <f t="shared" si="1"/>
        <v>0</v>
      </c>
      <c r="H19" s="4">
        <f t="shared" si="2"/>
        <v>0</v>
      </c>
      <c r="I19" s="5">
        <f t="shared" si="0"/>
        <v>0</v>
      </c>
      <c r="K19" s="89" t="s">
        <v>23</v>
      </c>
      <c r="L19">
        <f>L15*L18</f>
        <v>2200</v>
      </c>
      <c r="M19" s="3" t="s">
        <v>22</v>
      </c>
    </row>
    <row r="20" spans="2:13" ht="17.25" thickBot="1">
      <c r="B20" s="2">
        <v>19</v>
      </c>
      <c r="D20" s="3"/>
      <c r="F20" s="97">
        <f t="shared" si="1"/>
        <v>0</v>
      </c>
      <c r="H20" s="4">
        <f t="shared" si="2"/>
        <v>0</v>
      </c>
      <c r="I20" s="5">
        <f t="shared" si="0"/>
        <v>0</v>
      </c>
      <c r="K20" s="13" t="s">
        <v>24</v>
      </c>
      <c r="L20" s="10">
        <f>L16*L17+L19*1.3+400</f>
        <v>8430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5" t="s">
        <v>25</v>
      </c>
      <c r="L22" s="176"/>
      <c r="M22" s="177"/>
    </row>
    <row r="23" spans="2:13">
      <c r="B23" s="2">
        <v>22</v>
      </c>
      <c r="D23" s="3"/>
      <c r="F23" s="97">
        <f t="shared" si="1"/>
        <v>0</v>
      </c>
      <c r="H23" s="4">
        <f t="shared" si="2"/>
        <v>0</v>
      </c>
      <c r="I23" s="5">
        <f t="shared" si="0"/>
        <v>0</v>
      </c>
      <c r="K23" s="89" t="s">
        <v>26</v>
      </c>
      <c r="L23">
        <f>SUM(F2:F31)</f>
        <v>2200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5" t="s">
        <v>32</v>
      </c>
      <c r="L29" s="176"/>
      <c r="M29" s="177"/>
    </row>
    <row r="30" spans="2:13">
      <c r="B30" s="2">
        <v>29</v>
      </c>
      <c r="D30" s="3"/>
      <c r="F30" s="97">
        <f t="shared" si="1"/>
        <v>0</v>
      </c>
      <c r="H30" s="4">
        <f t="shared" si="2"/>
        <v>0</v>
      </c>
      <c r="I30" s="5">
        <f t="shared" si="0"/>
        <v>0</v>
      </c>
      <c r="K30" s="89" t="s">
        <v>28</v>
      </c>
      <c r="L30" s="4">
        <f>SUM(H2:H31)</f>
        <v>1997.8</v>
      </c>
      <c r="M30" s="3" t="s">
        <v>33</v>
      </c>
    </row>
    <row r="31" spans="2:13" ht="17.25" thickBot="1">
      <c r="B31" s="12">
        <v>30</v>
      </c>
      <c r="C31" s="13"/>
      <c r="D31" s="11"/>
      <c r="E31" s="93"/>
      <c r="F31" s="98">
        <f t="shared" si="1"/>
        <v>0</v>
      </c>
      <c r="G31" s="10"/>
      <c r="H31" s="14">
        <f t="shared" si="2"/>
        <v>0</v>
      </c>
      <c r="I31" s="15">
        <f t="shared" si="0"/>
        <v>0</v>
      </c>
      <c r="K31" s="13" t="s">
        <v>34</v>
      </c>
      <c r="L31" s="14">
        <f>SUM(I2:I31)</f>
        <v>79912</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F29" sqref="F29"/>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424</v>
      </c>
      <c r="D2" s="3"/>
      <c r="E2" s="87">
        <v>6</v>
      </c>
      <c r="F2" s="171">
        <f>E2*$L$15</f>
        <v>120</v>
      </c>
      <c r="G2">
        <f>VLOOKUP($C2,[1]약재관리!$A:$J,10,FALSE)</f>
        <v>20</v>
      </c>
      <c r="H2" s="4">
        <f>G2*E2</f>
        <v>120</v>
      </c>
      <c r="I2" s="5">
        <f t="shared" ref="I2:I7" si="0">G2*F2</f>
        <v>2400</v>
      </c>
      <c r="J2" s="99">
        <f>F2/$L$14</f>
        <v>6</v>
      </c>
      <c r="K2" s="6" t="s">
        <v>6</v>
      </c>
      <c r="L2" s="189">
        <v>179</v>
      </c>
      <c r="M2" s="190"/>
    </row>
    <row r="3" spans="2:13">
      <c r="B3" s="2">
        <v>2</v>
      </c>
      <c r="C3" t="s">
        <v>425</v>
      </c>
      <c r="D3" s="3"/>
      <c r="E3" s="87">
        <v>4</v>
      </c>
      <c r="F3" s="97">
        <f t="shared" ref="F3:F4" si="1">E3*$L$15</f>
        <v>80</v>
      </c>
      <c r="G3">
        <f>VLOOKUP($C3,[1]약재관리!$A:$J,10,FALSE)</f>
        <v>18.3</v>
      </c>
      <c r="H3" s="4">
        <f t="shared" ref="H3:H4" si="2">G3*E3</f>
        <v>73.2</v>
      </c>
      <c r="I3" s="5">
        <f t="shared" si="0"/>
        <v>1464</v>
      </c>
      <c r="J3" s="99">
        <f t="shared" ref="J3:J18" si="3">F3/$L$14</f>
        <v>4</v>
      </c>
      <c r="K3" s="7" t="s">
        <v>7</v>
      </c>
      <c r="L3" s="187" t="s">
        <v>423</v>
      </c>
      <c r="M3" s="188"/>
    </row>
    <row r="4" spans="2:13">
      <c r="B4" s="2">
        <v>3</v>
      </c>
      <c r="C4" t="s">
        <v>426</v>
      </c>
      <c r="D4" s="3"/>
      <c r="E4" s="87">
        <v>4</v>
      </c>
      <c r="F4" s="97">
        <f t="shared" si="1"/>
        <v>80</v>
      </c>
      <c r="G4">
        <f>VLOOKUP($C4,[1]약재관리!$A:$J,10,FALSE)</f>
        <v>120</v>
      </c>
      <c r="H4" s="4">
        <f t="shared" si="2"/>
        <v>480</v>
      </c>
      <c r="I4" s="5">
        <f t="shared" si="0"/>
        <v>9600</v>
      </c>
      <c r="J4" s="99">
        <f t="shared" si="3"/>
        <v>4</v>
      </c>
      <c r="K4" s="7" t="s">
        <v>8</v>
      </c>
      <c r="L4" s="191">
        <v>46042</v>
      </c>
      <c r="M4" s="188"/>
    </row>
    <row r="5" spans="2:13">
      <c r="B5" s="2">
        <v>4</v>
      </c>
      <c r="C5" t="s">
        <v>434</v>
      </c>
      <c r="D5" s="3"/>
      <c r="E5" s="87">
        <v>4</v>
      </c>
      <c r="F5" s="97">
        <f t="shared" ref="F5:F31" si="4">E5*$L$15</f>
        <v>80</v>
      </c>
      <c r="G5">
        <f>VLOOKUP($C5,[1]약재관리!$A:$J,10,FALSE)</f>
        <v>31.7</v>
      </c>
      <c r="H5" s="4">
        <f t="shared" ref="H5:H31" si="5">G5*E5</f>
        <v>126.8</v>
      </c>
      <c r="I5" s="5">
        <f t="shared" si="0"/>
        <v>2536</v>
      </c>
      <c r="J5" s="99">
        <f t="shared" si="3"/>
        <v>4</v>
      </c>
      <c r="K5" s="7" t="s">
        <v>9</v>
      </c>
      <c r="L5" s="187" t="s">
        <v>441</v>
      </c>
      <c r="M5" s="188"/>
    </row>
    <row r="6" spans="2:13">
      <c r="B6" s="2">
        <v>5</v>
      </c>
      <c r="C6" t="s">
        <v>427</v>
      </c>
      <c r="D6" s="3"/>
      <c r="E6" s="87">
        <v>8</v>
      </c>
      <c r="F6" s="97">
        <f t="shared" si="4"/>
        <v>160</v>
      </c>
      <c r="G6">
        <f>VLOOKUP($C6,[1]약재관리!$A:$J,10,FALSE)</f>
        <v>22.3</v>
      </c>
      <c r="H6" s="4">
        <f t="shared" si="5"/>
        <v>178.4</v>
      </c>
      <c r="I6" s="5">
        <f t="shared" si="0"/>
        <v>3568</v>
      </c>
      <c r="J6" s="99">
        <f t="shared" si="3"/>
        <v>8</v>
      </c>
      <c r="K6" s="7" t="s">
        <v>10</v>
      </c>
      <c r="L6" s="187">
        <v>77</v>
      </c>
      <c r="M6" s="188"/>
    </row>
    <row r="7" spans="2:13" ht="17.25" thickBot="1">
      <c r="B7" s="2">
        <v>6</v>
      </c>
      <c r="C7" t="s">
        <v>428</v>
      </c>
      <c r="D7" s="3"/>
      <c r="E7" s="87">
        <v>4</v>
      </c>
      <c r="F7" s="97">
        <f t="shared" si="4"/>
        <v>80</v>
      </c>
      <c r="G7">
        <f>VLOOKUP($C7,[1]약재관리!$A:$J,10,FALSE)</f>
        <v>30.8</v>
      </c>
      <c r="H7" s="4">
        <f t="shared" si="5"/>
        <v>123.2</v>
      </c>
      <c r="I7" s="5">
        <f t="shared" si="0"/>
        <v>2464</v>
      </c>
      <c r="J7" s="99">
        <f t="shared" si="3"/>
        <v>4</v>
      </c>
      <c r="K7" s="7" t="s">
        <v>11</v>
      </c>
      <c r="L7" s="173" t="s">
        <v>417</v>
      </c>
      <c r="M7" s="174"/>
    </row>
    <row r="8" spans="2:13" ht="17.25" thickBot="1">
      <c r="B8" s="2">
        <v>7</v>
      </c>
      <c r="C8" t="s">
        <v>435</v>
      </c>
      <c r="D8" s="3"/>
      <c r="E8" s="87">
        <v>4</v>
      </c>
      <c r="F8" s="97">
        <f t="shared" si="4"/>
        <v>80</v>
      </c>
      <c r="G8">
        <f>VLOOKUP($C8,[1]약재관리!$A:$J,10,FALSE)</f>
        <v>17.600000000000001</v>
      </c>
      <c r="H8" s="4">
        <f t="shared" si="5"/>
        <v>70.400000000000006</v>
      </c>
      <c r="I8" s="5">
        <f t="shared" ref="I8:I31" si="6">G8*F8</f>
        <v>1408</v>
      </c>
      <c r="J8" s="99">
        <f t="shared" si="3"/>
        <v>4</v>
      </c>
      <c r="K8" s="175" t="s">
        <v>12</v>
      </c>
      <c r="L8" s="176"/>
      <c r="M8" s="177"/>
    </row>
    <row r="9" spans="2:13">
      <c r="B9" s="2">
        <v>8</v>
      </c>
      <c r="C9" t="s">
        <v>422</v>
      </c>
      <c r="D9" s="3"/>
      <c r="E9" s="87">
        <v>6</v>
      </c>
      <c r="F9" s="97">
        <f t="shared" si="4"/>
        <v>120</v>
      </c>
      <c r="G9">
        <f>VLOOKUP($C9,[1]약재관리!$A:$J,10,FALSE)</f>
        <v>8.6999999999999993</v>
      </c>
      <c r="H9" s="4">
        <f t="shared" si="5"/>
        <v>52.199999999999996</v>
      </c>
      <c r="I9" s="5">
        <f t="shared" si="6"/>
        <v>1044</v>
      </c>
      <c r="J9" s="99">
        <f t="shared" si="3"/>
        <v>6</v>
      </c>
      <c r="K9" s="178" t="s">
        <v>440</v>
      </c>
      <c r="L9" s="179"/>
      <c r="M9" s="180"/>
    </row>
    <row r="10" spans="2:13">
      <c r="B10" s="2">
        <v>9</v>
      </c>
      <c r="C10" t="s">
        <v>429</v>
      </c>
      <c r="D10" s="3" t="s">
        <v>430</v>
      </c>
      <c r="E10" s="87">
        <v>4</v>
      </c>
      <c r="F10" s="97">
        <f t="shared" si="4"/>
        <v>80</v>
      </c>
      <c r="G10">
        <f>VLOOKUP($C10,[1]약재관리!$A:$J,10,FALSE)</f>
        <v>21.4</v>
      </c>
      <c r="H10" s="4">
        <f t="shared" si="5"/>
        <v>85.6</v>
      </c>
      <c r="I10" s="5">
        <f t="shared" si="6"/>
        <v>1712</v>
      </c>
      <c r="J10" s="99">
        <f t="shared" si="3"/>
        <v>4</v>
      </c>
      <c r="K10" s="181"/>
      <c r="L10" s="182"/>
      <c r="M10" s="183"/>
    </row>
    <row r="11" spans="2:13">
      <c r="B11" s="2">
        <v>10</v>
      </c>
      <c r="C11" t="s">
        <v>419</v>
      </c>
      <c r="D11" s="3"/>
      <c r="E11" s="87">
        <v>3</v>
      </c>
      <c r="F11" s="97">
        <f t="shared" si="4"/>
        <v>60</v>
      </c>
      <c r="G11">
        <f>VLOOKUP($C11,[1]약재관리!$A:$J,10,FALSE)</f>
        <v>30</v>
      </c>
      <c r="H11" s="4">
        <f t="shared" si="5"/>
        <v>90</v>
      </c>
      <c r="I11" s="5">
        <f t="shared" si="6"/>
        <v>1800</v>
      </c>
      <c r="J11" s="99">
        <f t="shared" si="3"/>
        <v>3</v>
      </c>
      <c r="K11" s="181"/>
      <c r="L11" s="182"/>
      <c r="M11" s="183"/>
    </row>
    <row r="12" spans="2:13">
      <c r="B12" s="2">
        <v>11</v>
      </c>
      <c r="C12" t="s">
        <v>431</v>
      </c>
      <c r="D12" s="3"/>
      <c r="E12" s="87">
        <v>4</v>
      </c>
      <c r="F12" s="97">
        <f t="shared" si="4"/>
        <v>80</v>
      </c>
      <c r="G12">
        <f>VLOOKUP($C12,[1]약재관리!$A:$J,10,FALSE)</f>
        <v>13</v>
      </c>
      <c r="H12" s="4">
        <f t="shared" si="5"/>
        <v>52</v>
      </c>
      <c r="I12" s="5">
        <f t="shared" si="6"/>
        <v>1040</v>
      </c>
      <c r="J12" s="99">
        <f t="shared" si="3"/>
        <v>4</v>
      </c>
      <c r="K12" s="181"/>
      <c r="L12" s="182"/>
      <c r="M12" s="183"/>
    </row>
    <row r="13" spans="2:13" ht="17.25" thickBot="1">
      <c r="B13" s="2">
        <v>12</v>
      </c>
      <c r="C13" t="s">
        <v>436</v>
      </c>
      <c r="D13" s="3"/>
      <c r="E13" s="87">
        <v>3</v>
      </c>
      <c r="F13" s="97">
        <f t="shared" si="4"/>
        <v>60</v>
      </c>
      <c r="G13">
        <f>VLOOKUP($C13,[1]약재관리!$A:$J,10,FALSE)</f>
        <v>28.2</v>
      </c>
      <c r="H13" s="4">
        <f t="shared" si="5"/>
        <v>84.6</v>
      </c>
      <c r="I13" s="5">
        <f t="shared" si="6"/>
        <v>1692</v>
      </c>
      <c r="J13" s="99">
        <f t="shared" si="3"/>
        <v>3</v>
      </c>
      <c r="K13" s="184"/>
      <c r="L13" s="185"/>
      <c r="M13" s="186"/>
    </row>
    <row r="14" spans="2:13">
      <c r="B14" s="2">
        <v>13</v>
      </c>
      <c r="C14" t="s">
        <v>432</v>
      </c>
      <c r="D14" s="3"/>
      <c r="E14" s="87">
        <v>4</v>
      </c>
      <c r="F14" s="97">
        <f t="shared" si="4"/>
        <v>80</v>
      </c>
      <c r="G14">
        <f>VLOOKUP($C14,[1]약재관리!$A:$J,10,FALSE)</f>
        <v>26</v>
      </c>
      <c r="H14" s="4">
        <f>G14*E14</f>
        <v>104</v>
      </c>
      <c r="I14" s="5">
        <f>G14*F14</f>
        <v>2080</v>
      </c>
      <c r="J14" s="99">
        <f t="shared" si="3"/>
        <v>4</v>
      </c>
      <c r="K14" s="90" t="s">
        <v>13</v>
      </c>
      <c r="L14" s="8">
        <v>20</v>
      </c>
      <c r="M14" s="9" t="s">
        <v>14</v>
      </c>
    </row>
    <row r="15" spans="2:13">
      <c r="B15" s="2">
        <v>14</v>
      </c>
      <c r="C15" t="s">
        <v>433</v>
      </c>
      <c r="D15" s="3"/>
      <c r="E15" s="87">
        <v>2</v>
      </c>
      <c r="F15" s="97">
        <f t="shared" si="4"/>
        <v>40</v>
      </c>
      <c r="G15">
        <f>VLOOKUP($C15,[1]약재관리!$A:$J,10,FALSE)</f>
        <v>14.2</v>
      </c>
      <c r="H15" s="4">
        <f>G15*E15</f>
        <v>28.4</v>
      </c>
      <c r="I15" s="5">
        <f>G15*F15</f>
        <v>568</v>
      </c>
      <c r="J15" s="99">
        <f t="shared" si="3"/>
        <v>2</v>
      </c>
      <c r="K15" s="89" t="s">
        <v>15</v>
      </c>
      <c r="L15">
        <v>20</v>
      </c>
      <c r="M15" s="3" t="s">
        <v>16</v>
      </c>
    </row>
    <row r="16" spans="2:13">
      <c r="B16" s="2">
        <v>15</v>
      </c>
      <c r="C16" t="s">
        <v>420</v>
      </c>
      <c r="D16" s="3"/>
      <c r="E16" s="87">
        <v>2</v>
      </c>
      <c r="F16" s="97">
        <f t="shared" si="4"/>
        <v>40</v>
      </c>
      <c r="G16">
        <f>VLOOKUP($C16,[1]약재관리!$A:$J,10,FALSE)</f>
        <v>23.5</v>
      </c>
      <c r="H16" s="4">
        <f t="shared" si="5"/>
        <v>47</v>
      </c>
      <c r="I16" s="5">
        <f t="shared" si="6"/>
        <v>940</v>
      </c>
      <c r="J16" s="99">
        <f t="shared" si="3"/>
        <v>2</v>
      </c>
      <c r="K16" s="89" t="s">
        <v>17</v>
      </c>
      <c r="L16">
        <v>45</v>
      </c>
      <c r="M16" s="3" t="s">
        <v>18</v>
      </c>
    </row>
    <row r="17" spans="2:13" ht="17.25" thickBot="1">
      <c r="B17" s="2">
        <v>16</v>
      </c>
      <c r="C17" t="s">
        <v>421</v>
      </c>
      <c r="D17" s="3"/>
      <c r="E17" s="87">
        <v>2</v>
      </c>
      <c r="F17" s="97">
        <f t="shared" si="4"/>
        <v>40</v>
      </c>
      <c r="G17">
        <f>VLOOKUP($C17,[1]약재관리!$A:$J,10,FALSE)</f>
        <v>14.8</v>
      </c>
      <c r="H17" s="4">
        <f t="shared" si="5"/>
        <v>29.6</v>
      </c>
      <c r="I17" s="5">
        <f t="shared" si="6"/>
        <v>592</v>
      </c>
      <c r="J17" s="99">
        <f t="shared" si="3"/>
        <v>2</v>
      </c>
      <c r="K17" s="13" t="s">
        <v>19</v>
      </c>
      <c r="L17" s="10">
        <v>110</v>
      </c>
      <c r="M17" s="11" t="s">
        <v>20</v>
      </c>
    </row>
    <row r="18" spans="2:13">
      <c r="B18" s="2">
        <v>17</v>
      </c>
      <c r="C18" t="s">
        <v>437</v>
      </c>
      <c r="D18" s="3"/>
      <c r="E18" s="87">
        <v>4</v>
      </c>
      <c r="F18" s="97">
        <f t="shared" si="4"/>
        <v>80</v>
      </c>
      <c r="G18">
        <f>VLOOKUP($C18,[1]약재관리!$A:$J,10,FALSE)</f>
        <v>17.7</v>
      </c>
      <c r="H18" s="4">
        <f t="shared" si="5"/>
        <v>70.8</v>
      </c>
      <c r="I18" s="5">
        <f t="shared" si="6"/>
        <v>1416</v>
      </c>
      <c r="J18" s="99">
        <f t="shared" si="3"/>
        <v>4</v>
      </c>
      <c r="K18" s="90" t="s">
        <v>21</v>
      </c>
      <c r="L18" s="8">
        <f>SUM(E2:E31)</f>
        <v>76</v>
      </c>
      <c r="M18" s="9" t="s">
        <v>22</v>
      </c>
    </row>
    <row r="19" spans="2:13">
      <c r="B19" s="2">
        <v>18</v>
      </c>
      <c r="C19" t="s">
        <v>438</v>
      </c>
      <c r="D19" s="3"/>
      <c r="E19" s="87">
        <v>4</v>
      </c>
      <c r="F19" s="97">
        <f t="shared" si="4"/>
        <v>80</v>
      </c>
      <c r="G19">
        <f>VLOOKUP($C19,[1]약재관리!$A:$J,10,FALSE)</f>
        <v>550</v>
      </c>
      <c r="H19" s="4">
        <f t="shared" si="5"/>
        <v>2200</v>
      </c>
      <c r="I19" s="5">
        <f t="shared" si="6"/>
        <v>44000</v>
      </c>
      <c r="K19" s="89" t="s">
        <v>23</v>
      </c>
      <c r="L19">
        <f>L15*L18</f>
        <v>1520</v>
      </c>
      <c r="M19" s="3" t="s">
        <v>22</v>
      </c>
    </row>
    <row r="20" spans="2:13" ht="17.25" thickBot="1">
      <c r="B20" s="2">
        <v>19</v>
      </c>
      <c r="C20" t="s">
        <v>439</v>
      </c>
      <c r="D20" s="3"/>
      <c r="E20" s="87">
        <v>4</v>
      </c>
      <c r="F20" s="97">
        <f t="shared" si="4"/>
        <v>80</v>
      </c>
      <c r="G20">
        <f>VLOOKUP($C20,[1]약재관리!$A:$J,10,FALSE)</f>
        <v>19.600000000000001</v>
      </c>
      <c r="H20" s="4">
        <f t="shared" si="5"/>
        <v>78.400000000000006</v>
      </c>
      <c r="I20" s="5">
        <f t="shared" si="6"/>
        <v>1568</v>
      </c>
      <c r="K20" s="13" t="s">
        <v>24</v>
      </c>
      <c r="L20" s="10">
        <f>L16*L17+L19</f>
        <v>6470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1520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4094.6</v>
      </c>
      <c r="M30" s="3" t="s">
        <v>33</v>
      </c>
    </row>
    <row r="31" spans="2:13" ht="17.25" thickBot="1">
      <c r="B31" s="12">
        <v>30</v>
      </c>
      <c r="C31" s="13"/>
      <c r="D31" s="11"/>
      <c r="E31" s="93"/>
      <c r="F31" s="98">
        <f t="shared" si="4"/>
        <v>0</v>
      </c>
      <c r="G31" s="10"/>
      <c r="H31" s="14">
        <f t="shared" si="5"/>
        <v>0</v>
      </c>
      <c r="I31" s="15">
        <f t="shared" si="6"/>
        <v>0</v>
      </c>
      <c r="K31" s="13" t="s">
        <v>34</v>
      </c>
      <c r="L31" s="14">
        <f>SUM(I2:I31)</f>
        <v>81892</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2026-01-09T02:21:50Z</cp:lastPrinted>
  <dcterms:created xsi:type="dcterms:W3CDTF">2024-09-12T16:35:01Z</dcterms:created>
  <dcterms:modified xsi:type="dcterms:W3CDTF">2026-03-17T05:17:02Z</dcterms:modified>
  <cp:category/>
  <cp:contentStatus/>
</cp:coreProperties>
</file>