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00" documentId="8_{6EB8DC0A-AB56-415F-A9F3-EA1534264548}" xr6:coauthVersionLast="47" xr6:coauthVersionMax="47" xr10:uidLastSave="{C6AB3EF9-A0DD-444F-9C62-C43E09631DD3}"/>
  <bookViews>
    <workbookView xWindow="-120" yWindow="-120" windowWidth="29040" windowHeight="15720" xr2:uid="{8B9F1886-173A-4475-B0CF-D9F36CE30773}"/>
  </bookViews>
  <sheets>
    <sheet name="영계감조탕(2)" sheetId="8" r:id="rId1"/>
    <sheet name="영감강미신하인탕" sheetId="7" r:id="rId2"/>
    <sheet name="후박칠물탕" sheetId="6" r:id="rId3"/>
    <sheet name="영계감조탕" sheetId="5" r:id="rId4"/>
    <sheet name="영계출감탕" sheetId="4" r:id="rId5"/>
    <sheet name="약재관리" sheetId="3"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8" l="1"/>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F20" i="8"/>
  <c r="I20" i="8" s="1"/>
  <c r="F19" i="8"/>
  <c r="I19" i="8" s="1"/>
  <c r="L18" i="8"/>
  <c r="L19" i="8" s="1"/>
  <c r="L20" i="8" s="1"/>
  <c r="I18" i="8"/>
  <c r="F18" i="8"/>
  <c r="J18" i="8" s="1"/>
  <c r="F17" i="8"/>
  <c r="J17" i="8" s="1"/>
  <c r="H16" i="8"/>
  <c r="F16" i="8"/>
  <c r="J16" i="8" s="1"/>
  <c r="H15" i="8"/>
  <c r="F15" i="8"/>
  <c r="J15" i="8" s="1"/>
  <c r="F14" i="8"/>
  <c r="J14" i="8" s="1"/>
  <c r="F13" i="8"/>
  <c r="J13" i="8" s="1"/>
  <c r="F12" i="8"/>
  <c r="J12" i="8" s="1"/>
  <c r="H11" i="8"/>
  <c r="F11" i="8"/>
  <c r="J11" i="8" s="1"/>
  <c r="J10" i="8"/>
  <c r="I10" i="8"/>
  <c r="F10" i="8"/>
  <c r="H9" i="8"/>
  <c r="F9" i="8"/>
  <c r="J9" i="8" s="1"/>
  <c r="F8" i="8"/>
  <c r="J8" i="8" s="1"/>
  <c r="F7" i="8"/>
  <c r="J7" i="8" s="1"/>
  <c r="F6" i="8"/>
  <c r="J6" i="8" s="1"/>
  <c r="G5" i="8"/>
  <c r="F5" i="8"/>
  <c r="J5" i="8" s="1"/>
  <c r="G4" i="8"/>
  <c r="H4" i="8" s="1"/>
  <c r="F4" i="8"/>
  <c r="J4" i="8" s="1"/>
  <c r="G3" i="8"/>
  <c r="F3" i="8"/>
  <c r="J3" i="8" s="1"/>
  <c r="G2" i="8"/>
  <c r="F2" i="8"/>
  <c r="I17" i="8" l="1"/>
  <c r="I7" i="8"/>
  <c r="I12" i="8"/>
  <c r="I8" i="8"/>
  <c r="I13" i="8"/>
  <c r="I14" i="8"/>
  <c r="I5" i="8"/>
  <c r="I3" i="8"/>
  <c r="I2" i="8"/>
  <c r="I4" i="8"/>
  <c r="I16" i="8"/>
  <c r="L23" i="8"/>
  <c r="I6" i="8"/>
  <c r="H10" i="8"/>
  <c r="H7" i="8"/>
  <c r="I15" i="8"/>
  <c r="H8" i="8"/>
  <c r="I11" i="8"/>
  <c r="H2" i="8"/>
  <c r="I9" i="8"/>
  <c r="H14" i="8"/>
  <c r="H12" i="8"/>
  <c r="H19" i="8"/>
  <c r="J2" i="8"/>
  <c r="H5" i="8"/>
  <c r="H17" i="8"/>
  <c r="H3" i="8"/>
  <c r="H20" i="8"/>
  <c r="H13" i="8"/>
  <c r="H6" i="8"/>
  <c r="H18" i="8"/>
  <c r="L31" i="8" l="1"/>
  <c r="L30" i="8"/>
  <c r="F31" i="7"/>
  <c r="F30" i="7"/>
  <c r="F29" i="7"/>
  <c r="F28" i="7"/>
  <c r="F27" i="7"/>
  <c r="F26" i="7"/>
  <c r="F25" i="7"/>
  <c r="F24" i="7"/>
  <c r="F23" i="7"/>
  <c r="F22" i="7"/>
  <c r="F21" i="7"/>
  <c r="F20" i="7"/>
  <c r="F19" i="7"/>
  <c r="L18" i="7"/>
  <c r="L19" i="7" s="1"/>
  <c r="L20" i="7" s="1"/>
  <c r="F18" i="7"/>
  <c r="F17" i="7"/>
  <c r="F16" i="7"/>
  <c r="F15" i="7"/>
  <c r="F14" i="7"/>
  <c r="F13" i="7"/>
  <c r="F12" i="7"/>
  <c r="F11" i="7"/>
  <c r="F10" i="7"/>
  <c r="F9" i="7"/>
  <c r="G8" i="7"/>
  <c r="H8" i="7" s="1"/>
  <c r="F8" i="7"/>
  <c r="G7" i="7"/>
  <c r="F7" i="7"/>
  <c r="G6" i="7"/>
  <c r="F6" i="7"/>
  <c r="G5" i="7"/>
  <c r="H5" i="7" s="1"/>
  <c r="F5" i="7"/>
  <c r="G4" i="7"/>
  <c r="F4" i="7"/>
  <c r="G3" i="7"/>
  <c r="F3" i="7"/>
  <c r="G2" i="7"/>
  <c r="H2" i="7" s="1"/>
  <c r="F2" i="7"/>
  <c r="I9" i="6"/>
  <c r="H8" i="6"/>
  <c r="H9" i="6"/>
  <c r="G8" i="6"/>
  <c r="G9" i="6"/>
  <c r="G10" i="6"/>
  <c r="I10" i="6" s="1"/>
  <c r="F31" i="6"/>
  <c r="F30" i="6"/>
  <c r="F29" i="6"/>
  <c r="F28" i="6"/>
  <c r="F27" i="6"/>
  <c r="F26" i="6"/>
  <c r="F25" i="6"/>
  <c r="F24" i="6"/>
  <c r="F23" i="6"/>
  <c r="F22" i="6"/>
  <c r="F21" i="6"/>
  <c r="F20" i="6"/>
  <c r="F19" i="6"/>
  <c r="L18" i="6"/>
  <c r="L19" i="6" s="1"/>
  <c r="L20" i="6" s="1"/>
  <c r="F18" i="6"/>
  <c r="F17" i="6"/>
  <c r="F16" i="6"/>
  <c r="F15" i="6"/>
  <c r="F14" i="6"/>
  <c r="F13" i="6"/>
  <c r="F12" i="6"/>
  <c r="F11" i="6"/>
  <c r="F10" i="6"/>
  <c r="F9" i="6"/>
  <c r="F8" i="6"/>
  <c r="I8" i="6" s="1"/>
  <c r="G7" i="6"/>
  <c r="F7" i="6"/>
  <c r="G6" i="6"/>
  <c r="H6" i="6" s="1"/>
  <c r="F6" i="6"/>
  <c r="G5" i="6"/>
  <c r="F5" i="6"/>
  <c r="G4" i="6"/>
  <c r="F4" i="6"/>
  <c r="G3" i="6"/>
  <c r="F3" i="6"/>
  <c r="G2" i="6"/>
  <c r="F2" i="6"/>
  <c r="I7" i="5"/>
  <c r="H7" i="5"/>
  <c r="G7" i="5"/>
  <c r="H6" i="5"/>
  <c r="G6" i="5"/>
  <c r="F31" i="5"/>
  <c r="F30" i="5"/>
  <c r="F29" i="5"/>
  <c r="F28" i="5"/>
  <c r="F27" i="5"/>
  <c r="F26" i="5"/>
  <c r="F25" i="5"/>
  <c r="F24" i="5"/>
  <c r="F23" i="5"/>
  <c r="F22" i="5"/>
  <c r="F21" i="5"/>
  <c r="F20" i="5"/>
  <c r="F19" i="5"/>
  <c r="L18" i="5"/>
  <c r="L19" i="5" s="1"/>
  <c r="L20" i="5" s="1"/>
  <c r="F18" i="5"/>
  <c r="F17" i="5"/>
  <c r="F16" i="5"/>
  <c r="F15" i="5"/>
  <c r="F14" i="5"/>
  <c r="F13" i="5"/>
  <c r="F12" i="5"/>
  <c r="F11" i="5"/>
  <c r="F10" i="5"/>
  <c r="F9" i="5"/>
  <c r="F8" i="5"/>
  <c r="F7" i="5"/>
  <c r="F6" i="5"/>
  <c r="I6" i="5" s="1"/>
  <c r="G5" i="5"/>
  <c r="F5" i="5"/>
  <c r="G4" i="5"/>
  <c r="H4" i="5" s="1"/>
  <c r="F4" i="5"/>
  <c r="G3" i="5"/>
  <c r="F3" i="5"/>
  <c r="G2" i="5"/>
  <c r="F2" i="5"/>
  <c r="I51" i="3"/>
  <c r="H51" i="3"/>
  <c r="G51" i="3"/>
  <c r="F51" i="3"/>
  <c r="I3" i="7" l="1"/>
  <c r="I6" i="7"/>
  <c r="I7" i="7"/>
  <c r="L23" i="7"/>
  <c r="I9" i="7"/>
  <c r="I4" i="7"/>
  <c r="I10" i="7"/>
  <c r="I2" i="7"/>
  <c r="I5" i="7"/>
  <c r="I8" i="7"/>
  <c r="H3" i="7"/>
  <c r="H6" i="7"/>
  <c r="H9" i="7"/>
  <c r="H4" i="7"/>
  <c r="H7" i="7"/>
  <c r="H10" i="7"/>
  <c r="I2" i="6"/>
  <c r="I3" i="6"/>
  <c r="L23" i="6"/>
  <c r="H10" i="6"/>
  <c r="I7" i="6"/>
  <c r="I5" i="6"/>
  <c r="I4" i="6"/>
  <c r="H3" i="6"/>
  <c r="I6" i="6"/>
  <c r="L31" i="6" s="1"/>
  <c r="H4" i="6"/>
  <c r="H7" i="6"/>
  <c r="H2" i="6"/>
  <c r="H5" i="6"/>
  <c r="I5" i="5"/>
  <c r="I3" i="5"/>
  <c r="I2" i="5"/>
  <c r="L23" i="5"/>
  <c r="I4" i="5"/>
  <c r="L31" i="5" s="1"/>
  <c r="H2" i="5"/>
  <c r="H5" i="5"/>
  <c r="H3" i="5"/>
  <c r="G3" i="4"/>
  <c r="G4" i="4"/>
  <c r="H4" i="4" s="1"/>
  <c r="G5" i="4"/>
  <c r="H5" i="4" s="1"/>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0" i="7" l="1"/>
  <c r="L31" i="7"/>
  <c r="L30" i="6"/>
  <c r="L30" i="5"/>
  <c r="L23" i="4"/>
  <c r="I2" i="4"/>
  <c r="I3" i="4"/>
  <c r="H2" i="4"/>
  <c r="H3" i="4"/>
  <c r="I5" i="4"/>
  <c r="I4"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<sst xmlns="http://schemas.openxmlformats.org/spreadsheetml/2006/main" count="792" uniqueCount="430">
  <si>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</si>
  <si>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</si>
  <si>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</si>
  <si>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</si>
  <si>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</si>
  <si>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</si>
  <si>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</si>
  <si>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</si>
  <si>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</si>
  <si>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</si>
  <si>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</si>
  <si>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</si>
  <si>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</si>
  <si>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</si>
  <si>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</si>
  <si>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</si>
  <si>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</si>
  <si>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</si>
  <si>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</si>
  <si>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</si>
  <si>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</si>
  <si>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</si>
  <si>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</si>
  <si>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</si>
  <si>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</si>
  <si>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</si>
  <si>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</si>
  <si>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</si>
  <si>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</si>
  <si>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</si>
  <si>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</si>
  <si>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</si>
  <si>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</si>
  <si>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</si>
  <si>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</si>
  <si>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</si>
  <si>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</si>
  <si>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</si>
  <si>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</si>
  <si>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</si>
  <si>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</si>
  <si>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</si>
  <si>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</si>
  <si>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</si>
  <si>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</si>
  <si>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</si>
  <si>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</si>
  <si>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</si>
  <si>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</si>
  <si>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</si>
  <si>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</si>
  <si>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</si>
  <si>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</si>
  <si>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</si>
  <si>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</si>
  <si>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</si>
  <si>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</si>
  <si>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</si>
  <si>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</si>
  <si>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</si>
  <si>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</si>
  <si>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</si>
  <si>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</si>
  <si>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</si>
  <si>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</si>
  <si>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</si>
  <si>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</si>
  <si>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</si>
  <si>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</si>
  <si>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</si>
  <si>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</si>
  <si>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</si>
  <si>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</si>
  <si>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</si>
  <si>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</si>
  <si>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</si>
  <si>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</si>
  <si>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</si>
  <si>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</si>
  <si>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</si>
  <si>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</si>
  <si>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</si>
  <si>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</si>
  <si>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</si>
  <si>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</si>
  <si>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</si>
  <si>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</si>
  <si>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</si>
  <si>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</si>
  <si>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</si>
  <si>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</si>
  <si>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</si>
  <si>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</si>
  <si>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</si>
  <si>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</si>
  <si>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</si>
  <si>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</si>
  <si>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</si>
  <si>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</si>
  <si>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</si>
  <si>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</si>
  <si>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</si>
  <si>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</si>
  <si>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</si>
  <si>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</si>
  <si>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</si>
  <si>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</si>
  <si>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</si>
  <si>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</si>
  <si>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</si>
  <si>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</si>
  <si>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</si>
  <si>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</si>
  <si>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</si>
  <si>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</si>
  <si>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</si>
  <si>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</si>
  <si>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</si>
  <si>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</si>
  <si>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</si>
  <si>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</si>
  <si>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</si>
  <si>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</si>
  <si>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</si>
  <si>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</si>
  <si>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</si>
  <si>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</si>
  <si>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</si>
  <si>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</si>
  <si>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</si>
  <si>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</si>
  <si>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</si>
  <si>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</si>
  <si>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</si>
  <si>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</si>
  <si>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</si>
  <si>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</si>
  <si>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</si>
  <si>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</si>
  <si>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</si>
  <si>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</si>
  <si>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</si>
  <si>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</si>
  <si>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</si>
  <si>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</si>
  <si>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</si>
  <si>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</si>
  <si>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</si>
  <si>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</si>
  <si>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</si>
  <si>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</si>
  <si>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</si>
  <si>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</si>
  <si>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</si>
  <si>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</si>
  <si>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</si>
  <si>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</si>
  <si>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</si>
  <si>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</si>
  <si>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</si>
  <si>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</si>
  <si>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</si>
  <si>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</si>
  <si>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</si>
  <si>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</si>
  <si>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</si>
  <si>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</si>
  <si>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</si>
  <si>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</si>
  <si>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</si>
  <si>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</si>
  <si>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</si>
  <si>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</si>
  <si>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</si>
  <si>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</si>
  <si>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</si>
  <si>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</si>
  <si>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</si>
  <si>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</si>
  <si>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</si>
  <si>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</si>
  <si>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</si>
  <si>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</si>
  <si>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</si>
  <si>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</si>
  <si>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</si>
  <si>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</si>
  <si>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</si>
  <si>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</si>
  <si>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</si>
  <si>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</si>
  <si>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</si>
  <si>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</si>
  <si>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</si>
  <si>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</si>
  <si>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</si>
  <si>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</si>
  <si>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</si>
  <si>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</si>
  <si>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</si>
  <si>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</si>
  <si>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</si>
  <si>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</si>
  <si>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</si>
  <si>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</si>
  <si>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</si>
  <si>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</si>
  <si>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</si>
  <si>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</si>
  <si>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</si>
  <si>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</si>
  <si>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</si>
  <si>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</si>
  <si>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</si>
  <si>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</si>
  <si>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</si>
  <si>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</si>
  <si>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</si>
  <si>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</si>
  <si>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</si>
  <si>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</si>
  <si>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</si>
  <si>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</si>
  <si>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</si>
  <si>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</si>
  <si>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</si>
  <si>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</si>
  <si>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</si>
  <si>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</si>
  <si>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</si>
  <si>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</si>
  <si>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</si>
  <si>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</si>
  <si>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</si>
  <si>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</si>
  <si>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</si>
  <si>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</si>
  <si>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</si>
  <si>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</si>
  <si>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</si>
  <si>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</si>
  <si>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</si>
  <si>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</si>
  <si>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</si>
  <si>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</si>
  <si>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</si>
  <si>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</si>
  <si>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</si>
  <si>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</si>
  <si>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</si>
  <si>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</si>
  <si>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</si>
  <si>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</si>
  <si>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</si>
  <si>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</si>
  <si>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</si>
  <si>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</si>
  <si>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</si>
  <si>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</si>
  <si>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</si>
  <si>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</si>
  <si>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</si>
  <si>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</si>
  <si>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</si>
  <si>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</si>
  <si>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</si>
  <si>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</si>
  <si>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</si>
  <si>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</si>
  <si>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</si>
  <si>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</si>
  <si>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</si>
  <si>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</si>
  <si>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</si>
  <si>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</si>
  <si>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</si>
  <si>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</si>
  <si>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</si>
  <si>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</si>
  <si>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</si>
  <si>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</si>
  <si>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</si>
  <si>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</si>
  <si>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</si>
  <si>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</si>
  <si>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</si>
  <si>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</si>
  <si>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</si>
  <si>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</si>
  <si>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</si>
  <si>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</si>
  <si>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</si>
  <si>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</si>
  <si>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</si>
  <si>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</si>
  <si>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</si>
  <si>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</si>
  <si>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</si>
  <si>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</si>
  <si>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</si>
  <si>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</si>
  <si>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</si>
  <si>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</si>
  <si>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</si>
  <si>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</si>
  <si>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</si>
  <si>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</si>
  <si>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</si>
  <si>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</si>
  <si>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</si>
  <si>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</si>
  <si>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</si>
  <si>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</si>
  <si>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</si>
  <si>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</si>
  <si>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</si>
  <si>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</si>
  <si>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</si>
  <si>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</si>
  <si>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</si>
  <si>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</si>
  <si>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</si>
  <si>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</si>
  <si>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</si>
  <si>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</si>
  <si>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</si>
  <si>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</si>
  <si>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</si>
  <si>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</si>
  <si>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</si>
  <si>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</si>
  <si>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</si>
  <si>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</si>
  <si>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</si>
  <si>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</si>
  <si>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</si>
  <si>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</si>
  <si>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</si>
  <si>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</si>
  <si>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</si>
  <si>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</si>
  <si>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</si>
  <si>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</si>
  <si>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</si>
  <si>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</si>
  <si>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</si>
  <si>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</si>
  <si>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</si>
  <si>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</si>
  <si>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</si>
  <si>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</si>
  <si>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</si>
  <si>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</si>
  <si>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</si>
  <si>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</si>
  <si>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</si>
  <si>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</si>
  <si>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</si>
  <si>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</si>
  <si>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</si>
  <si>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</si>
  <si>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</si>
  <si>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</si>
  <si>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</si>
  <si>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</si>
  <si>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</si>
  <si>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</si>
  <si>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</si>
  <si>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</si>
  <si>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</si>
  <si>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</si>
  <si>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</si>
  <si>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</si>
  <si>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</si>
  <si>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</si>
  <si>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</si>
  <si>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</si>
  <si>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</si>
  <si>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</si>
  <si>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</si>
  <si>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</si>
  <si>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</si>
  <si>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</si>
  <si>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</si>
  <si>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</si>
  <si>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</si>
  <si>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</si>
  <si>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</si>
  <si>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</si>
  <si>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</si>
  <si>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</si>
  <si>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</si>
  <si>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</si>
  <si>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</si>
  <si>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</si>
  <si>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</si>
  <si>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</si>
  <si>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</si>
  <si>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</si>
  <si>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</si>
  <si>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</si>
  <si>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영계출감탕</t>
    <phoneticPr fontId="5" type="noConversion"/>
  </si>
  <si>
    <t>권지홍</t>
    <phoneticPr fontId="5" type="noConversion"/>
  </si>
  <si>
    <t>F</t>
    <phoneticPr fontId="5" type="noConversion"/>
  </si>
  <si>
    <t>영계출감탕
#두근거림, 내려앉는 느낌, 불면경향</t>
    <phoneticPr fontId="5" type="noConversion"/>
  </si>
  <si>
    <t>복령</t>
    <phoneticPr fontId="5" type="noConversion"/>
  </si>
  <si>
    <t>육계</t>
    <phoneticPr fontId="5" type="noConversion"/>
  </si>
  <si>
    <t>감초</t>
    <phoneticPr fontId="5" type="noConversion"/>
  </si>
  <si>
    <t>창출2</t>
    <phoneticPr fontId="5" type="noConversion"/>
  </si>
  <si>
    <t>영계감조탕</t>
    <phoneticPr fontId="5" type="noConversion"/>
  </si>
  <si>
    <t>영계감조탕
#두근거림, 내려앉는 느낌, 불면경향 -&gt; 개선되었으나 변비</t>
    <phoneticPr fontId="5" type="noConversion"/>
  </si>
  <si>
    <t>대추</t>
    <phoneticPr fontId="5" type="noConversion"/>
  </si>
  <si>
    <t>마자인</t>
    <phoneticPr fontId="5" type="noConversion"/>
  </si>
  <si>
    <t>당귀1</t>
    <phoneticPr fontId="5" type="noConversion"/>
  </si>
  <si>
    <t>후박</t>
    <phoneticPr fontId="5" type="noConversion"/>
  </si>
  <si>
    <t>지실</t>
    <phoneticPr fontId="5" type="noConversion"/>
  </si>
  <si>
    <t>생강</t>
    <phoneticPr fontId="5" type="noConversion"/>
  </si>
  <si>
    <t>대황</t>
    <phoneticPr fontId="5" type="noConversion"/>
  </si>
  <si>
    <t>원육</t>
    <phoneticPr fontId="5" type="noConversion"/>
  </si>
  <si>
    <t>후박칠물탕</t>
    <phoneticPr fontId="5" type="noConversion"/>
  </si>
  <si>
    <t>후박칠물탕 - 대황감량 + 원육 당귀
#두근거림 개선 / 흉부답답함 +변비 + 입면난 호소</t>
    <phoneticPr fontId="5" type="noConversion"/>
  </si>
  <si>
    <t>기침 수양성 객담</t>
    <phoneticPr fontId="5" type="noConversion"/>
  </si>
  <si>
    <t>반하</t>
    <phoneticPr fontId="5" type="noConversion"/>
  </si>
  <si>
    <t>건강</t>
    <phoneticPr fontId="5" type="noConversion"/>
  </si>
  <si>
    <t>오미자</t>
    <phoneticPr fontId="5" type="noConversion"/>
  </si>
  <si>
    <t>세신</t>
    <phoneticPr fontId="5" type="noConversion"/>
  </si>
  <si>
    <t>행인</t>
    <phoneticPr fontId="5" type="noConversion"/>
  </si>
  <si>
    <t>영감강미신하인탕</t>
    <phoneticPr fontId="5" type="noConversion"/>
  </si>
  <si>
    <t>1일당</t>
    <phoneticPr fontId="5" type="noConversion"/>
  </si>
  <si>
    <t>불면(입면난, 이각성) 흉부답답함, 두근거림, 우하지저림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</si>
</sst>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mm&quot;월&quot;\ dd&quot;일&quot;"/>
    <numFmt numFmtId="179" formatCode="_-* #,##0.00_-;\-* #,##0.00_-;_-* &quot;-&quot;?_-;_-@_-"/>
    <numFmt numFmtId="180"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4">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78"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79" fontId="0" fillId="0" borderId="6" xfId="0" applyNumberFormat="1" applyBorder="1" applyAlignment="1">
      <alignment horizontal="center" vertical="center"/>
    </xf>
    <xf numFmtId="180" fontId="0" fillId="0" borderId="5" xfId="0" applyNumberFormat="1" applyBorder="1">
      <alignment vertical="center"/>
    </xf>
    <xf numFmtId="0" fontId="0" fillId="0" borderId="0" xfId="0" applyAlignment="1">
      <alignment horizontal="center" vertical="center"/>
    </xf>
    <xf numFmtId="180" fontId="0" fillId="0" borderId="14" xfId="0" applyNumberFormat="1" applyBorder="1">
      <alignment vertical="center"/>
    </xf>
    <xf numFmtId="180" fontId="0" fillId="0" borderId="0" xfId="0" applyNumberFormat="1">
      <alignment vertical="center"/>
    </xf>
    <xf numFmtId="180" fontId="0" fillId="0" borderId="11" xfId="0" applyNumberFormat="1" applyBorder="1">
      <alignment vertical="center"/>
    </xf>
    <xf numFmtId="180" fontId="0" fillId="0" borderId="8" xfId="0" applyNumberFormat="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9E99-AB20-4A35-99C9-CEBAB3D3447E}">
  <sheetPr>
    <pageSetUpPr fitToPage="1"/>
  </sheetPr>
  <dimension ref="B1:M31"/>
  <sheetViews>
    <sheetView tabSelected="1" workbookViewId="0">
      <selection activeCell="Q19" sqref="Q19"/>
    </sheetView>
  </sheetViews>
  <sheetFormatPr defaultRowHeight="16.5"/>
  <cols>
    <col min="1" max="1" width="2.875" customWidth="1"/>
    <col min="2" max="2" width="7.125" customWidth="1"/>
    <col min="3" max="3" width="10.25" customWidth="1"/>
    <col min="5" max="5" width="9" style="151"/>
    <col min="6" max="6" width="9" style="191"/>
  </cols>
  <sheetData>
    <row r="1" spans="2:13" ht="17.25" thickBot="1">
      <c r="B1" s="1" t="s">
        <v>0</v>
      </c>
      <c r="C1" s="165"/>
      <c r="D1" s="2"/>
      <c r="E1" s="187"/>
      <c r="F1" s="188" t="s">
        <v>4</v>
      </c>
      <c r="G1" s="164" t="s">
        <v>5</v>
      </c>
      <c r="H1" s="165" t="s">
        <v>6</v>
      </c>
      <c r="I1" s="2" t="s">
        <v>7</v>
      </c>
      <c r="J1" s="189" t="s">
        <v>428</v>
      </c>
      <c r="K1" s="170" t="s">
        <v>8</v>
      </c>
      <c r="L1" s="171"/>
      <c r="M1" s="172"/>
    </row>
    <row r="2" spans="2:13">
      <c r="B2" s="3">
        <v>1</v>
      </c>
      <c r="C2" t="s">
        <v>405</v>
      </c>
      <c r="D2" s="4"/>
      <c r="E2" s="151">
        <v>16</v>
      </c>
      <c r="F2" s="190">
        <f>E2*$L$15</f>
        <v>480</v>
      </c>
      <c r="G2">
        <f>VLOOKUP($C2,[1]약재관리!$A:$J,10,FALSE)</f>
        <v>8.6999999999999993</v>
      </c>
      <c r="H2" s="5">
        <f>G2*E2</f>
        <v>139.19999999999999</v>
      </c>
      <c r="I2" s="6">
        <f t="shared" ref="I2:I31" si="0">G2*F2</f>
        <v>4176</v>
      </c>
      <c r="J2" s="191">
        <f>F2/$L$14</f>
        <v>32</v>
      </c>
      <c r="K2" s="7" t="s">
        <v>9</v>
      </c>
      <c r="L2" s="173">
        <v>11</v>
      </c>
      <c r="M2" s="174"/>
    </row>
    <row r="3" spans="2:13">
      <c r="B3" s="3">
        <v>2</v>
      </c>
      <c r="C3" t="s">
        <v>411</v>
      </c>
      <c r="D3" s="4"/>
      <c r="E3" s="151">
        <v>11</v>
      </c>
      <c r="F3" s="192">
        <f t="shared" ref="F3:F31" si="1">E3*$L$15</f>
        <v>330</v>
      </c>
      <c r="G3">
        <f>VLOOKUP($C3,[1]약재관리!$A:$J,10,FALSE)</f>
        <v>21.2</v>
      </c>
      <c r="H3" s="5">
        <f t="shared" ref="H3:H31" si="2">G3*E3</f>
        <v>233.2</v>
      </c>
      <c r="I3" s="6">
        <f t="shared" si="0"/>
        <v>6996</v>
      </c>
      <c r="J3" s="191">
        <f t="shared" ref="J3:J18" si="3">F3/$L$14</f>
        <v>22</v>
      </c>
      <c r="K3" s="8" t="s">
        <v>10</v>
      </c>
      <c r="L3" s="168" t="s">
        <v>409</v>
      </c>
      <c r="M3" s="169"/>
    </row>
    <row r="4" spans="2:13">
      <c r="B4" s="3">
        <v>3</v>
      </c>
      <c r="C4" t="s">
        <v>406</v>
      </c>
      <c r="D4" s="4"/>
      <c r="E4" s="151">
        <v>8</v>
      </c>
      <c r="F4" s="192">
        <f t="shared" si="1"/>
        <v>240</v>
      </c>
      <c r="G4">
        <f>VLOOKUP($C4,[1]약재관리!$A:$J,10,FALSE)</f>
        <v>14.8</v>
      </c>
      <c r="H4" s="5">
        <f t="shared" si="2"/>
        <v>118.4</v>
      </c>
      <c r="I4" s="6">
        <f t="shared" si="0"/>
        <v>3552</v>
      </c>
      <c r="J4" s="191">
        <f t="shared" si="3"/>
        <v>16</v>
      </c>
      <c r="K4" s="8" t="s">
        <v>11</v>
      </c>
      <c r="L4" s="175">
        <v>46148</v>
      </c>
      <c r="M4" s="169"/>
    </row>
    <row r="5" spans="2:13">
      <c r="B5" s="3">
        <v>4</v>
      </c>
      <c r="C5" t="s">
        <v>407</v>
      </c>
      <c r="D5" s="4"/>
      <c r="E5" s="151">
        <v>6</v>
      </c>
      <c r="F5" s="192">
        <f t="shared" si="1"/>
        <v>180</v>
      </c>
      <c r="G5">
        <f>VLOOKUP($C5,[1]약재관리!$A:$J,10,FALSE)</f>
        <v>30</v>
      </c>
      <c r="H5" s="5">
        <f t="shared" si="2"/>
        <v>180</v>
      </c>
      <c r="I5" s="6">
        <f t="shared" si="0"/>
        <v>5400</v>
      </c>
      <c r="J5" s="191">
        <f t="shared" si="3"/>
        <v>12</v>
      </c>
      <c r="K5" s="8" t="s">
        <v>12</v>
      </c>
      <c r="L5" s="168" t="s">
        <v>402</v>
      </c>
      <c r="M5" s="169"/>
    </row>
    <row r="6" spans="2:13">
      <c r="B6" s="3">
        <v>5</v>
      </c>
      <c r="D6" s="4"/>
      <c r="F6" s="192">
        <f t="shared" si="1"/>
        <v>0</v>
      </c>
      <c r="H6" s="5">
        <f t="shared" si="2"/>
        <v>0</v>
      </c>
      <c r="I6" s="6">
        <f t="shared" si="0"/>
        <v>0</v>
      </c>
      <c r="J6" s="191">
        <f t="shared" si="3"/>
        <v>0</v>
      </c>
      <c r="K6" s="8" t="s">
        <v>13</v>
      </c>
      <c r="L6" s="168">
        <v>37</v>
      </c>
      <c r="M6" s="169"/>
    </row>
    <row r="7" spans="2:13" ht="17.25" thickBot="1">
      <c r="B7" s="3">
        <v>6</v>
      </c>
      <c r="D7" s="4"/>
      <c r="F7" s="192">
        <f t="shared" si="1"/>
        <v>0</v>
      </c>
      <c r="H7" s="5">
        <f t="shared" si="2"/>
        <v>0</v>
      </c>
      <c r="I7" s="6">
        <f t="shared" si="0"/>
        <v>0</v>
      </c>
      <c r="J7" s="191">
        <f t="shared" si="3"/>
        <v>0</v>
      </c>
      <c r="K7" s="8" t="s">
        <v>14</v>
      </c>
      <c r="L7" s="176" t="s">
        <v>403</v>
      </c>
      <c r="M7" s="177"/>
    </row>
    <row r="8" spans="2:13" ht="17.25" thickBot="1">
      <c r="B8" s="3">
        <v>7</v>
      </c>
      <c r="D8" s="4"/>
      <c r="F8" s="192">
        <f t="shared" si="1"/>
        <v>0</v>
      </c>
      <c r="H8" s="5">
        <f t="shared" si="2"/>
        <v>0</v>
      </c>
      <c r="I8" s="6">
        <f t="shared" si="0"/>
        <v>0</v>
      </c>
      <c r="J8" s="191">
        <f t="shared" si="3"/>
        <v>0</v>
      </c>
      <c r="K8" s="170" t="s">
        <v>15</v>
      </c>
      <c r="L8" s="171"/>
      <c r="M8" s="172"/>
    </row>
    <row r="9" spans="2:13">
      <c r="B9" s="3">
        <v>8</v>
      </c>
      <c r="D9" s="4"/>
      <c r="F9" s="192">
        <f t="shared" si="1"/>
        <v>0</v>
      </c>
      <c r="H9" s="5">
        <f t="shared" si="2"/>
        <v>0</v>
      </c>
      <c r="I9" s="6">
        <f t="shared" si="0"/>
        <v>0</v>
      </c>
      <c r="J9" s="191">
        <f t="shared" si="3"/>
        <v>0</v>
      </c>
      <c r="K9" s="178" t="s">
        <v>429</v>
      </c>
      <c r="L9" s="179"/>
      <c r="M9" s="180"/>
    </row>
    <row r="10" spans="2:13">
      <c r="B10" s="3">
        <v>9</v>
      </c>
      <c r="D10" s="4"/>
      <c r="F10" s="192">
        <f t="shared" si="1"/>
        <v>0</v>
      </c>
      <c r="H10" s="5">
        <f t="shared" si="2"/>
        <v>0</v>
      </c>
      <c r="I10" s="6">
        <f t="shared" si="0"/>
        <v>0</v>
      </c>
      <c r="J10" s="191">
        <f t="shared" si="3"/>
        <v>0</v>
      </c>
      <c r="K10" s="181"/>
      <c r="L10" s="182"/>
      <c r="M10" s="183"/>
    </row>
    <row r="11" spans="2:13">
      <c r="B11" s="3">
        <v>10</v>
      </c>
      <c r="D11" s="4"/>
      <c r="F11" s="192">
        <f t="shared" si="1"/>
        <v>0</v>
      </c>
      <c r="H11" s="5">
        <f t="shared" si="2"/>
        <v>0</v>
      </c>
      <c r="I11" s="6">
        <f t="shared" si="0"/>
        <v>0</v>
      </c>
      <c r="J11" s="191">
        <f t="shared" si="3"/>
        <v>0</v>
      </c>
      <c r="K11" s="181"/>
      <c r="L11" s="182"/>
      <c r="M11" s="183"/>
    </row>
    <row r="12" spans="2:13">
      <c r="B12" s="3">
        <v>11</v>
      </c>
      <c r="D12" s="4"/>
      <c r="F12" s="192">
        <f t="shared" si="1"/>
        <v>0</v>
      </c>
      <c r="H12" s="5">
        <f t="shared" si="2"/>
        <v>0</v>
      </c>
      <c r="I12" s="6">
        <f t="shared" si="0"/>
        <v>0</v>
      </c>
      <c r="J12" s="191">
        <f t="shared" si="3"/>
        <v>0</v>
      </c>
      <c r="K12" s="181"/>
      <c r="L12" s="182"/>
      <c r="M12" s="183"/>
    </row>
    <row r="13" spans="2:13" ht="17.25" thickBot="1">
      <c r="B13" s="3">
        <v>12</v>
      </c>
      <c r="D13" s="4"/>
      <c r="F13" s="192">
        <f t="shared" si="1"/>
        <v>0</v>
      </c>
      <c r="H13" s="5">
        <f t="shared" si="2"/>
        <v>0</v>
      </c>
      <c r="I13" s="6">
        <f t="shared" si="0"/>
        <v>0</v>
      </c>
      <c r="J13" s="191">
        <f t="shared" si="3"/>
        <v>0</v>
      </c>
      <c r="K13" s="184"/>
      <c r="L13" s="185"/>
      <c r="M13" s="186"/>
    </row>
    <row r="14" spans="2:13">
      <c r="B14" s="3">
        <v>13</v>
      </c>
      <c r="D14" s="4"/>
      <c r="F14" s="192">
        <f t="shared" si="1"/>
        <v>0</v>
      </c>
      <c r="H14" s="5">
        <f>G14*E14</f>
        <v>0</v>
      </c>
      <c r="I14" s="6">
        <f>G14*F14</f>
        <v>0</v>
      </c>
      <c r="J14" s="191">
        <f t="shared" si="3"/>
        <v>0</v>
      </c>
      <c r="K14" s="159" t="s">
        <v>16</v>
      </c>
      <c r="L14" s="9">
        <v>15</v>
      </c>
      <c r="M14" s="10" t="s">
        <v>17</v>
      </c>
    </row>
    <row r="15" spans="2:13">
      <c r="B15" s="3">
        <v>14</v>
      </c>
      <c r="D15" s="4"/>
      <c r="F15" s="192">
        <f t="shared" si="1"/>
        <v>0</v>
      </c>
      <c r="H15" s="5">
        <f>G15*E15</f>
        <v>0</v>
      </c>
      <c r="I15" s="6">
        <f>G15*F15</f>
        <v>0</v>
      </c>
      <c r="J15" s="191">
        <f t="shared" si="3"/>
        <v>0</v>
      </c>
      <c r="K15" s="158" t="s">
        <v>18</v>
      </c>
      <c r="L15">
        <v>30</v>
      </c>
      <c r="M15" s="4" t="s">
        <v>19</v>
      </c>
    </row>
    <row r="16" spans="2:13">
      <c r="B16" s="3">
        <v>15</v>
      </c>
      <c r="D16" s="4"/>
      <c r="F16" s="192">
        <f t="shared" si="1"/>
        <v>0</v>
      </c>
      <c r="H16" s="5">
        <f t="shared" si="2"/>
        <v>0</v>
      </c>
      <c r="I16" s="6">
        <f t="shared" si="0"/>
        <v>0</v>
      </c>
      <c r="J16" s="191">
        <f t="shared" si="3"/>
        <v>0</v>
      </c>
      <c r="K16" s="158" t="s">
        <v>20</v>
      </c>
      <c r="L16">
        <v>30</v>
      </c>
      <c r="M16" s="4" t="s">
        <v>21</v>
      </c>
    </row>
    <row r="17" spans="2:13" ht="17.25" thickBot="1">
      <c r="B17" s="3">
        <v>16</v>
      </c>
      <c r="D17" s="4"/>
      <c r="F17" s="192">
        <f t="shared" si="1"/>
        <v>0</v>
      </c>
      <c r="H17" s="5">
        <f t="shared" si="2"/>
        <v>0</v>
      </c>
      <c r="I17" s="6">
        <f t="shared" si="0"/>
        <v>0</v>
      </c>
      <c r="J17" s="191">
        <f t="shared" si="3"/>
        <v>0</v>
      </c>
      <c r="K17" s="14" t="s">
        <v>22</v>
      </c>
      <c r="L17" s="11">
        <v>110</v>
      </c>
      <c r="M17" s="12" t="s">
        <v>23</v>
      </c>
    </row>
    <row r="18" spans="2:13">
      <c r="B18" s="3">
        <v>17</v>
      </c>
      <c r="D18" s="4"/>
      <c r="F18" s="192">
        <f t="shared" si="1"/>
        <v>0</v>
      </c>
      <c r="H18" s="5">
        <f t="shared" si="2"/>
        <v>0</v>
      </c>
      <c r="I18" s="6">
        <f t="shared" si="0"/>
        <v>0</v>
      </c>
      <c r="J18" s="191">
        <f t="shared" si="3"/>
        <v>0</v>
      </c>
      <c r="K18" s="159" t="s">
        <v>24</v>
      </c>
      <c r="L18" s="9">
        <f>SUM(E2:E31)</f>
        <v>41</v>
      </c>
      <c r="M18" s="10" t="s">
        <v>25</v>
      </c>
    </row>
    <row r="19" spans="2:13">
      <c r="B19" s="3">
        <v>18</v>
      </c>
      <c r="D19" s="4"/>
      <c r="F19" s="192">
        <f t="shared" si="1"/>
        <v>0</v>
      </c>
      <c r="H19" s="5">
        <f t="shared" si="2"/>
        <v>0</v>
      </c>
      <c r="I19" s="6">
        <f t="shared" si="0"/>
        <v>0</v>
      </c>
      <c r="K19" s="158" t="s">
        <v>26</v>
      </c>
      <c r="L19">
        <f>L15*L18</f>
        <v>1230</v>
      </c>
      <c r="M19" s="4" t="s">
        <v>25</v>
      </c>
    </row>
    <row r="20" spans="2:13" ht="17.25" thickBot="1">
      <c r="B20" s="3">
        <v>19</v>
      </c>
      <c r="D20" s="4"/>
      <c r="F20" s="192">
        <f t="shared" si="1"/>
        <v>0</v>
      </c>
      <c r="H20" s="5">
        <f t="shared" si="2"/>
        <v>0</v>
      </c>
      <c r="I20" s="6">
        <f t="shared" si="0"/>
        <v>0</v>
      </c>
      <c r="K20" s="14" t="s">
        <v>27</v>
      </c>
      <c r="L20" s="11">
        <f>L16*L17+L19*1.3+400</f>
        <v>5299</v>
      </c>
      <c r="M20" s="12" t="s">
        <v>23</v>
      </c>
    </row>
    <row r="21" spans="2:13" ht="17.25" thickBot="1">
      <c r="B21" s="3">
        <v>20</v>
      </c>
      <c r="D21" s="4"/>
      <c r="F21" s="192">
        <f t="shared" si="1"/>
        <v>0</v>
      </c>
      <c r="H21" s="5">
        <f t="shared" si="2"/>
        <v>0</v>
      </c>
      <c r="I21" s="6">
        <f t="shared" si="0"/>
        <v>0</v>
      </c>
      <c r="J21" s="158"/>
      <c r="M21" s="161"/>
    </row>
    <row r="22" spans="2:13" ht="17.25" thickBot="1">
      <c r="B22" s="3">
        <v>21</v>
      </c>
      <c r="D22" s="4"/>
      <c r="F22" s="192">
        <f t="shared" si="1"/>
        <v>0</v>
      </c>
      <c r="H22" s="5">
        <f t="shared" si="2"/>
        <v>0</v>
      </c>
      <c r="I22" s="6">
        <f t="shared" si="0"/>
        <v>0</v>
      </c>
      <c r="K22" s="170" t="s">
        <v>390</v>
      </c>
      <c r="L22" s="171"/>
      <c r="M22" s="172"/>
    </row>
    <row r="23" spans="2:13">
      <c r="B23" s="3">
        <v>22</v>
      </c>
      <c r="D23" s="4"/>
      <c r="F23" s="192">
        <f t="shared" si="1"/>
        <v>0</v>
      </c>
      <c r="H23" s="5">
        <f t="shared" si="2"/>
        <v>0</v>
      </c>
      <c r="I23" s="6">
        <f t="shared" si="0"/>
        <v>0</v>
      </c>
      <c r="K23" s="158" t="s">
        <v>384</v>
      </c>
      <c r="L23">
        <f>SUM(F2:F31)</f>
        <v>1230</v>
      </c>
      <c r="M23" s="4" t="s">
        <v>25</v>
      </c>
    </row>
    <row r="24" spans="2:13">
      <c r="B24" s="3">
        <v>23</v>
      </c>
      <c r="D24" s="4"/>
      <c r="F24" s="192">
        <f t="shared" si="1"/>
        <v>0</v>
      </c>
      <c r="H24" s="5">
        <f t="shared" si="2"/>
        <v>0</v>
      </c>
      <c r="I24" s="6">
        <f t="shared" si="0"/>
        <v>0</v>
      </c>
      <c r="K24" s="158" t="s">
        <v>391</v>
      </c>
      <c r="L24">
        <v>5000</v>
      </c>
      <c r="M24" s="4" t="s">
        <v>23</v>
      </c>
    </row>
    <row r="25" spans="2:13">
      <c r="B25" s="3">
        <v>24</v>
      </c>
      <c r="D25" s="4"/>
      <c r="F25" s="192">
        <f t="shared" si="1"/>
        <v>0</v>
      </c>
      <c r="H25" s="5">
        <f t="shared" si="2"/>
        <v>0</v>
      </c>
      <c r="I25" s="6">
        <f t="shared" si="0"/>
        <v>0</v>
      </c>
      <c r="K25" s="158" t="s">
        <v>28</v>
      </c>
      <c r="L25" s="160" t="s">
        <v>386</v>
      </c>
      <c r="M25" s="4" t="s">
        <v>25</v>
      </c>
    </row>
    <row r="26" spans="2:13">
      <c r="B26" s="3">
        <v>25</v>
      </c>
      <c r="D26" s="4"/>
      <c r="F26" s="192">
        <f t="shared" si="1"/>
        <v>0</v>
      </c>
      <c r="H26" s="5">
        <f t="shared" si="2"/>
        <v>0</v>
      </c>
      <c r="I26" s="6">
        <f t="shared" si="0"/>
        <v>0</v>
      </c>
      <c r="K26" s="158" t="s">
        <v>29</v>
      </c>
      <c r="L26" s="160">
        <v>1600</v>
      </c>
      <c r="M26" s="4" t="s">
        <v>25</v>
      </c>
    </row>
    <row r="27" spans="2:13" ht="17.25" thickBot="1">
      <c r="B27" s="3">
        <v>26</v>
      </c>
      <c r="D27" s="4"/>
      <c r="F27" s="192">
        <f t="shared" si="1"/>
        <v>0</v>
      </c>
      <c r="H27" s="5">
        <f t="shared" si="2"/>
        <v>0</v>
      </c>
      <c r="I27" s="6">
        <f t="shared" si="0"/>
        <v>0</v>
      </c>
      <c r="K27" s="14" t="s">
        <v>385</v>
      </c>
      <c r="L27" s="11">
        <v>4</v>
      </c>
      <c r="M27" s="12" t="s">
        <v>25</v>
      </c>
    </row>
    <row r="28" spans="2:13" ht="17.25" thickBot="1">
      <c r="B28" s="3">
        <v>27</v>
      </c>
      <c r="D28" s="4"/>
      <c r="F28" s="192">
        <f t="shared" si="1"/>
        <v>0</v>
      </c>
      <c r="H28" s="5">
        <f t="shared" si="2"/>
        <v>0</v>
      </c>
      <c r="I28" s="6">
        <f t="shared" si="0"/>
        <v>0</v>
      </c>
      <c r="J28" s="158"/>
      <c r="K28" s="11"/>
      <c r="L28" s="11"/>
      <c r="M28" s="161"/>
    </row>
    <row r="29" spans="2:13" ht="17.25" thickBot="1">
      <c r="B29" s="3">
        <v>28</v>
      </c>
      <c r="D29" s="4"/>
      <c r="F29" s="192">
        <f t="shared" si="1"/>
        <v>0</v>
      </c>
      <c r="H29" s="5">
        <f t="shared" si="2"/>
        <v>0</v>
      </c>
      <c r="I29" s="6">
        <f t="shared" si="0"/>
        <v>0</v>
      </c>
      <c r="K29" s="170" t="s">
        <v>389</v>
      </c>
      <c r="L29" s="171"/>
      <c r="M29" s="172"/>
    </row>
    <row r="30" spans="2:13">
      <c r="B30" s="3">
        <v>29</v>
      </c>
      <c r="D30" s="4"/>
      <c r="F30" s="192">
        <f t="shared" si="1"/>
        <v>0</v>
      </c>
      <c r="H30" s="5">
        <f t="shared" si="2"/>
        <v>0</v>
      </c>
      <c r="I30" s="6">
        <f t="shared" si="0"/>
        <v>0</v>
      </c>
      <c r="K30" s="158" t="s">
        <v>28</v>
      </c>
      <c r="L30" s="5">
        <f>SUM(H2:H31)</f>
        <v>670.8</v>
      </c>
      <c r="M30" s="4" t="s">
        <v>388</v>
      </c>
    </row>
    <row r="31" spans="2:13" ht="17.25" thickBot="1">
      <c r="B31" s="13">
        <v>30</v>
      </c>
      <c r="C31" s="14"/>
      <c r="D31" s="12"/>
      <c r="E31" s="163"/>
      <c r="F31" s="193">
        <f t="shared" si="1"/>
        <v>0</v>
      </c>
      <c r="H31" s="15">
        <f t="shared" si="2"/>
        <v>0</v>
      </c>
      <c r="I31" s="16">
        <f t="shared" si="0"/>
        <v>0</v>
      </c>
      <c r="K31" s="14" t="s">
        <v>387</v>
      </c>
      <c r="L31" s="15">
        <f>SUM(I2:I31)</f>
        <v>20124</v>
      </c>
      <c r="M31" s="12" t="s">
        <v>388</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09FC0-5698-4F74-AE21-FB3156CA30A6}">
  <sheetPr>
    <pageSetUpPr fitToPage="1"/>
  </sheetPr>
  <dimension ref="B1:M31"/>
  <sheetViews>
    <sheetView workbookViewId="0">
      <selection activeCell="L2" sqref="L2:M7"/>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422</v>
      </c>
      <c r="D2" s="4"/>
      <c r="E2" s="151">
        <v>12</v>
      </c>
      <c r="F2" s="153">
        <f t="shared" ref="F2:F31" si="0">E2*$L$15</f>
        <v>240</v>
      </c>
      <c r="G2">
        <f>VLOOKUP($C2,약재관리!A:J,10,FALSE)</f>
        <v>53</v>
      </c>
      <c r="H2" s="5">
        <f>G2*E2</f>
        <v>636</v>
      </c>
      <c r="I2" s="157">
        <f>G2*F2</f>
        <v>12720</v>
      </c>
      <c r="K2" s="7" t="s">
        <v>9</v>
      </c>
      <c r="L2" s="173">
        <v>11</v>
      </c>
      <c r="M2" s="174"/>
    </row>
    <row r="3" spans="2:13">
      <c r="B3" s="3">
        <v>2</v>
      </c>
      <c r="C3" t="s">
        <v>405</v>
      </c>
      <c r="D3" s="4"/>
      <c r="E3" s="151">
        <v>8</v>
      </c>
      <c r="F3" s="153">
        <f t="shared" si="0"/>
        <v>160</v>
      </c>
      <c r="G3">
        <f>VLOOKUP($C3,약재관리!A:J,10,FALSE)</f>
        <v>11</v>
      </c>
      <c r="H3" s="5">
        <f t="shared" ref="H3:H10" si="1">G3*E3</f>
        <v>88</v>
      </c>
      <c r="I3" s="6">
        <f t="shared" ref="I3:I10" si="2">G3*F3</f>
        <v>1760</v>
      </c>
      <c r="K3" s="8" t="s">
        <v>10</v>
      </c>
      <c r="L3" s="168" t="s">
        <v>427</v>
      </c>
      <c r="M3" s="169"/>
    </row>
    <row r="4" spans="2:13">
      <c r="B4" s="3">
        <v>3</v>
      </c>
      <c r="C4" t="s">
        <v>407</v>
      </c>
      <c r="D4" s="4"/>
      <c r="E4" s="151">
        <v>6</v>
      </c>
      <c r="F4" s="153">
        <f t="shared" si="0"/>
        <v>120</v>
      </c>
      <c r="G4">
        <f>VLOOKUP($C4,약재관리!A:J,10,FALSE)</f>
        <v>28.3</v>
      </c>
      <c r="H4" s="5">
        <f t="shared" si="1"/>
        <v>169.8</v>
      </c>
      <c r="I4" s="6">
        <f t="shared" si="2"/>
        <v>3396</v>
      </c>
      <c r="K4" s="8" t="s">
        <v>11</v>
      </c>
      <c r="L4" s="175">
        <v>45689</v>
      </c>
      <c r="M4" s="169"/>
    </row>
    <row r="5" spans="2:13">
      <c r="B5" s="3">
        <v>4</v>
      </c>
      <c r="C5" t="s">
        <v>423</v>
      </c>
      <c r="D5" s="4"/>
      <c r="E5" s="151">
        <v>6</v>
      </c>
      <c r="F5" s="153">
        <f t="shared" si="0"/>
        <v>120</v>
      </c>
      <c r="G5">
        <f>VLOOKUP($C5,약재관리!A:J,10,FALSE)</f>
        <v>13.3</v>
      </c>
      <c r="H5" s="5">
        <f t="shared" si="1"/>
        <v>79.800000000000011</v>
      </c>
      <c r="I5" s="6">
        <f t="shared" si="2"/>
        <v>1596</v>
      </c>
      <c r="K5" s="8" t="s">
        <v>12</v>
      </c>
      <c r="L5" s="168" t="s">
        <v>402</v>
      </c>
      <c r="M5" s="169"/>
    </row>
    <row r="6" spans="2:13">
      <c r="B6" s="3">
        <v>5</v>
      </c>
      <c r="C6" t="s">
        <v>424</v>
      </c>
      <c r="D6" s="4"/>
      <c r="E6" s="151">
        <v>6</v>
      </c>
      <c r="F6" s="153">
        <f t="shared" si="0"/>
        <v>120</v>
      </c>
      <c r="G6">
        <f>VLOOKUP($C6,약재관리!A:J,10,FALSE)</f>
        <v>25.2</v>
      </c>
      <c r="H6" s="5">
        <f t="shared" si="1"/>
        <v>151.19999999999999</v>
      </c>
      <c r="I6" s="6">
        <f t="shared" si="2"/>
        <v>3024</v>
      </c>
      <c r="K6" s="8" t="s">
        <v>13</v>
      </c>
      <c r="L6" s="168">
        <v>36</v>
      </c>
      <c r="M6" s="169"/>
    </row>
    <row r="7" spans="2:13" ht="17.25" thickBot="1">
      <c r="B7" s="3">
        <v>6</v>
      </c>
      <c r="C7" t="s">
        <v>425</v>
      </c>
      <c r="D7" s="4"/>
      <c r="E7" s="151">
        <v>6</v>
      </c>
      <c r="F7" s="153">
        <f t="shared" si="0"/>
        <v>120</v>
      </c>
      <c r="G7">
        <f>VLOOKUP($C7,약재관리!A:J,10,FALSE)</f>
        <v>117</v>
      </c>
      <c r="H7" s="5">
        <f t="shared" si="1"/>
        <v>702</v>
      </c>
      <c r="I7" s="6">
        <f t="shared" si="2"/>
        <v>14040</v>
      </c>
      <c r="K7" s="8" t="s">
        <v>14</v>
      </c>
      <c r="L7" s="176" t="s">
        <v>403</v>
      </c>
      <c r="M7" s="177"/>
    </row>
    <row r="8" spans="2:13" ht="17.25" thickBot="1">
      <c r="B8" s="3">
        <v>7</v>
      </c>
      <c r="C8" t="s">
        <v>426</v>
      </c>
      <c r="D8" s="4"/>
      <c r="E8" s="151">
        <v>6</v>
      </c>
      <c r="F8" s="153">
        <f t="shared" si="0"/>
        <v>120</v>
      </c>
      <c r="G8">
        <f>VLOOKUP($C8,약재관리!A:J,10,FALSE)</f>
        <v>10.8</v>
      </c>
      <c r="H8" s="5">
        <f t="shared" si="1"/>
        <v>64.800000000000011</v>
      </c>
      <c r="I8" s="6">
        <f t="shared" si="2"/>
        <v>1296</v>
      </c>
      <c r="K8" s="170" t="s">
        <v>15</v>
      </c>
      <c r="L8" s="171"/>
      <c r="M8" s="172"/>
    </row>
    <row r="9" spans="2:13">
      <c r="B9" s="3">
        <v>8</v>
      </c>
      <c r="D9" s="4"/>
      <c r="F9" s="153">
        <f t="shared" si="0"/>
        <v>0</v>
      </c>
      <c r="H9" s="5">
        <f t="shared" si="1"/>
        <v>0</v>
      </c>
      <c r="I9" s="6">
        <f t="shared" si="2"/>
        <v>0</v>
      </c>
      <c r="K9" s="178" t="s">
        <v>421</v>
      </c>
      <c r="L9" s="179"/>
      <c r="M9" s="180"/>
    </row>
    <row r="10" spans="2:13">
      <c r="B10" s="3">
        <v>9</v>
      </c>
      <c r="D10" s="4"/>
      <c r="F10" s="153">
        <f t="shared" si="0"/>
        <v>0</v>
      </c>
      <c r="H10" s="5">
        <f t="shared" si="1"/>
        <v>0</v>
      </c>
      <c r="I10" s="6">
        <f t="shared" si="2"/>
        <v>0</v>
      </c>
      <c r="K10" s="181"/>
      <c r="L10" s="182"/>
      <c r="M10" s="183"/>
    </row>
    <row r="11" spans="2:13">
      <c r="B11" s="3">
        <v>10</v>
      </c>
      <c r="D11" s="4"/>
      <c r="F11" s="153">
        <f t="shared" si="0"/>
        <v>0</v>
      </c>
      <c r="H11" s="5"/>
      <c r="I11" s="6"/>
      <c r="K11" s="181"/>
      <c r="L11" s="182"/>
      <c r="M11" s="183"/>
    </row>
    <row r="12" spans="2:13">
      <c r="B12" s="3">
        <v>11</v>
      </c>
      <c r="D12" s="4"/>
      <c r="F12" s="153">
        <f t="shared" si="0"/>
        <v>0</v>
      </c>
      <c r="H12" s="5"/>
      <c r="I12" s="6"/>
      <c r="K12" s="181"/>
      <c r="L12" s="182"/>
      <c r="M12" s="183"/>
    </row>
    <row r="13" spans="2:13" ht="17.25" thickBot="1">
      <c r="B13" s="3">
        <v>12</v>
      </c>
      <c r="D13" s="4"/>
      <c r="F13" s="153">
        <f t="shared" si="0"/>
        <v>0</v>
      </c>
      <c r="H13" s="5"/>
      <c r="I13" s="6"/>
      <c r="K13" s="184"/>
      <c r="L13" s="185"/>
      <c r="M13" s="186"/>
    </row>
    <row r="14" spans="2:13">
      <c r="B14" s="3">
        <v>13</v>
      </c>
      <c r="D14" s="4"/>
      <c r="F14" s="153">
        <f t="shared" si="0"/>
        <v>0</v>
      </c>
      <c r="H14" s="5"/>
      <c r="I14" s="6"/>
      <c r="K14" s="159" t="s">
        <v>16</v>
      </c>
      <c r="L14" s="9">
        <v>15</v>
      </c>
      <c r="M14" s="10" t="s">
        <v>17</v>
      </c>
    </row>
    <row r="15" spans="2:13">
      <c r="B15" s="3">
        <v>14</v>
      </c>
      <c r="D15" s="4"/>
      <c r="F15" s="153">
        <f t="shared" si="0"/>
        <v>0</v>
      </c>
      <c r="H15" s="5"/>
      <c r="I15" s="6"/>
      <c r="K15" s="158" t="s">
        <v>18</v>
      </c>
      <c r="L15">
        <v>20</v>
      </c>
      <c r="M15" s="4" t="s">
        <v>19</v>
      </c>
    </row>
    <row r="16" spans="2:13">
      <c r="B16" s="3">
        <v>15</v>
      </c>
      <c r="D16" s="4"/>
      <c r="F16" s="153">
        <f t="shared" si="0"/>
        <v>0</v>
      </c>
      <c r="H16" s="5"/>
      <c r="I16" s="6"/>
      <c r="K16" s="158" t="s">
        <v>20</v>
      </c>
      <c r="L16">
        <v>45</v>
      </c>
      <c r="M16" s="4" t="s">
        <v>21</v>
      </c>
    </row>
    <row r="17" spans="2:13" ht="17.25" thickBot="1">
      <c r="B17" s="3">
        <v>16</v>
      </c>
      <c r="D17" s="4"/>
      <c r="F17" s="153">
        <f t="shared" si="0"/>
        <v>0</v>
      </c>
      <c r="H17" s="5"/>
      <c r="I17" s="6"/>
      <c r="K17" s="14" t="s">
        <v>22</v>
      </c>
      <c r="L17" s="11">
        <v>100</v>
      </c>
      <c r="M17" s="12" t="s">
        <v>23</v>
      </c>
    </row>
    <row r="18" spans="2:13">
      <c r="B18" s="3">
        <v>17</v>
      </c>
      <c r="D18" s="4"/>
      <c r="F18" s="153">
        <f t="shared" si="0"/>
        <v>0</v>
      </c>
      <c r="H18" s="5"/>
      <c r="I18" s="6"/>
      <c r="K18" s="159" t="s">
        <v>24</v>
      </c>
      <c r="L18" s="9">
        <f>SUM(E2:E31)</f>
        <v>50</v>
      </c>
      <c r="M18" s="10" t="s">
        <v>25</v>
      </c>
    </row>
    <row r="19" spans="2:13">
      <c r="B19" s="3">
        <v>18</v>
      </c>
      <c r="D19" s="4"/>
      <c r="F19" s="153">
        <f t="shared" si="0"/>
        <v>0</v>
      </c>
      <c r="H19" s="5"/>
      <c r="I19" s="6"/>
      <c r="K19" s="158" t="s">
        <v>26</v>
      </c>
      <c r="L19">
        <f>L15*L18</f>
        <v>1000</v>
      </c>
      <c r="M19" s="4" t="s">
        <v>25</v>
      </c>
    </row>
    <row r="20" spans="2:13" ht="17.25" thickBot="1">
      <c r="B20" s="3">
        <v>19</v>
      </c>
      <c r="D20" s="4"/>
      <c r="F20" s="153">
        <f t="shared" si="0"/>
        <v>0</v>
      </c>
      <c r="H20" s="5"/>
      <c r="I20" s="6"/>
      <c r="K20" s="14" t="s">
        <v>27</v>
      </c>
      <c r="L20" s="11">
        <f>L16*L17+L19</f>
        <v>5500</v>
      </c>
      <c r="M20" s="12" t="s">
        <v>23</v>
      </c>
    </row>
    <row r="21" spans="2:13" ht="17.25" thickBot="1">
      <c r="B21" s="3">
        <v>20</v>
      </c>
      <c r="D21" s="4"/>
      <c r="F21" s="153">
        <f t="shared" si="0"/>
        <v>0</v>
      </c>
      <c r="H21" s="5"/>
      <c r="I21" s="6"/>
      <c r="J21" s="158"/>
      <c r="M21" s="161"/>
    </row>
    <row r="22" spans="2:13" ht="17.25" thickBot="1">
      <c r="B22" s="3">
        <v>21</v>
      </c>
      <c r="D22" s="4"/>
      <c r="F22" s="153">
        <f t="shared" si="0"/>
        <v>0</v>
      </c>
      <c r="H22" s="5"/>
      <c r="I22" s="6"/>
      <c r="K22" s="170" t="s">
        <v>390</v>
      </c>
      <c r="L22" s="171"/>
      <c r="M22" s="172"/>
    </row>
    <row r="23" spans="2:13">
      <c r="B23" s="3">
        <v>22</v>
      </c>
      <c r="D23" s="4"/>
      <c r="F23" s="153">
        <f t="shared" si="0"/>
        <v>0</v>
      </c>
      <c r="H23" s="5"/>
      <c r="I23" s="6"/>
      <c r="K23" s="158" t="s">
        <v>384</v>
      </c>
      <c r="L23">
        <f>SUM(F2:F31)</f>
        <v>1000</v>
      </c>
      <c r="M23" s="4" t="s">
        <v>25</v>
      </c>
    </row>
    <row r="24" spans="2:13">
      <c r="B24" s="3">
        <v>23</v>
      </c>
      <c r="D24" s="4"/>
      <c r="F24" s="153">
        <f t="shared" si="0"/>
        <v>0</v>
      </c>
      <c r="H24" s="5"/>
      <c r="I24" s="6"/>
      <c r="K24" s="158" t="s">
        <v>391</v>
      </c>
      <c r="L24">
        <v>5000</v>
      </c>
      <c r="M24" s="4" t="s">
        <v>23</v>
      </c>
    </row>
    <row r="25" spans="2:13">
      <c r="B25" s="3">
        <v>24</v>
      </c>
      <c r="D25" s="4"/>
      <c r="F25" s="153">
        <f t="shared" si="0"/>
        <v>0</v>
      </c>
      <c r="H25" s="5"/>
      <c r="I25" s="6"/>
      <c r="K25" s="158" t="s">
        <v>28</v>
      </c>
      <c r="L25" s="160" t="s">
        <v>386</v>
      </c>
      <c r="M25" s="4" t="s">
        <v>25</v>
      </c>
    </row>
    <row r="26" spans="2:13">
      <c r="B26" s="3">
        <v>25</v>
      </c>
      <c r="D26" s="4"/>
      <c r="F26" s="153">
        <f t="shared" si="0"/>
        <v>0</v>
      </c>
      <c r="H26" s="5"/>
      <c r="I26" s="6"/>
      <c r="K26" s="158" t="s">
        <v>29</v>
      </c>
      <c r="L26" s="160">
        <v>1600</v>
      </c>
      <c r="M26" s="4" t="s">
        <v>25</v>
      </c>
    </row>
    <row r="27" spans="2:13" ht="17.25" thickBot="1">
      <c r="B27" s="3">
        <v>26</v>
      </c>
      <c r="D27" s="4"/>
      <c r="F27" s="153">
        <f t="shared" si="0"/>
        <v>0</v>
      </c>
      <c r="H27" s="5"/>
      <c r="I27" s="6"/>
      <c r="K27" s="14" t="s">
        <v>385</v>
      </c>
      <c r="L27" s="11">
        <v>4</v>
      </c>
      <c r="M27" s="12" t="s">
        <v>25</v>
      </c>
    </row>
    <row r="28" spans="2:13" ht="17.25" thickBot="1">
      <c r="B28" s="3">
        <v>27</v>
      </c>
      <c r="D28" s="4"/>
      <c r="F28" s="153">
        <f t="shared" si="0"/>
        <v>0</v>
      </c>
      <c r="H28" s="5"/>
      <c r="I28" s="6"/>
      <c r="J28" s="158"/>
      <c r="K28" s="11"/>
      <c r="L28" s="11"/>
      <c r="M28" s="161"/>
    </row>
    <row r="29" spans="2:13" ht="17.25" thickBot="1">
      <c r="B29" s="3">
        <v>28</v>
      </c>
      <c r="D29" s="4"/>
      <c r="F29" s="153">
        <f t="shared" si="0"/>
        <v>0</v>
      </c>
      <c r="H29" s="5"/>
      <c r="I29" s="6"/>
      <c r="K29" s="170" t="s">
        <v>389</v>
      </c>
      <c r="L29" s="171"/>
      <c r="M29" s="172"/>
    </row>
    <row r="30" spans="2:13">
      <c r="B30" s="3">
        <v>29</v>
      </c>
      <c r="D30" s="4"/>
      <c r="F30" s="153">
        <f t="shared" si="0"/>
        <v>0</v>
      </c>
      <c r="H30" s="5"/>
      <c r="I30" s="6"/>
      <c r="K30" s="158" t="s">
        <v>28</v>
      </c>
      <c r="L30" s="5">
        <f>SUM(H2:H31)</f>
        <v>1891.6</v>
      </c>
      <c r="M30" s="4" t="s">
        <v>388</v>
      </c>
    </row>
    <row r="31" spans="2:13" ht="17.25" thickBot="1">
      <c r="B31" s="13">
        <v>30</v>
      </c>
      <c r="C31" s="14"/>
      <c r="D31" s="12"/>
      <c r="E31" s="163"/>
      <c r="F31" s="154">
        <f t="shared" si="0"/>
        <v>0</v>
      </c>
      <c r="G31" s="14"/>
      <c r="H31" s="15"/>
      <c r="I31" s="16"/>
      <c r="K31" s="14" t="s">
        <v>387</v>
      </c>
      <c r="L31" s="15">
        <f>SUM(I2:I31)</f>
        <v>37832</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EBC2-FAF2-4A67-B862-37321B2E6A84}">
  <sheetPr>
    <pageSetUpPr fitToPage="1"/>
  </sheetPr>
  <dimension ref="B1:M31"/>
  <sheetViews>
    <sheetView workbookViewId="0">
      <selection activeCell="L4" sqref="L4:M4"/>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414</v>
      </c>
      <c r="D2" s="4"/>
      <c r="E2" s="151">
        <v>16</v>
      </c>
      <c r="F2" s="153">
        <f t="shared" ref="F2:F31" si="0">E2*$L$15</f>
        <v>240</v>
      </c>
      <c r="G2">
        <f>VLOOKUP($C2,약재관리!A:J,10,FALSE)</f>
        <v>8.8000000000000007</v>
      </c>
      <c r="H2" s="5">
        <f>G2*E2</f>
        <v>140.80000000000001</v>
      </c>
      <c r="I2" s="157">
        <f>G2*F2</f>
        <v>2112</v>
      </c>
      <c r="K2" s="7" t="s">
        <v>9</v>
      </c>
      <c r="L2" s="173">
        <v>11</v>
      </c>
      <c r="M2" s="174"/>
    </row>
    <row r="3" spans="2:13">
      <c r="B3" s="3">
        <v>2</v>
      </c>
      <c r="C3" t="s">
        <v>415</v>
      </c>
      <c r="D3" s="4"/>
      <c r="E3" s="151">
        <v>10</v>
      </c>
      <c r="F3" s="153">
        <f t="shared" si="0"/>
        <v>150</v>
      </c>
      <c r="G3">
        <f>VLOOKUP($C3,약재관리!A:J,10,FALSE)</f>
        <v>16.7</v>
      </c>
      <c r="H3" s="5">
        <f t="shared" ref="H3:H10" si="1">G3*E3</f>
        <v>167</v>
      </c>
      <c r="I3" s="6">
        <f t="shared" ref="I3:I10" si="2">G3*F3</f>
        <v>2505</v>
      </c>
      <c r="K3" s="8" t="s">
        <v>10</v>
      </c>
      <c r="L3" s="168" t="s">
        <v>419</v>
      </c>
      <c r="M3" s="169"/>
    </row>
    <row r="4" spans="2:13">
      <c r="B4" s="3">
        <v>3</v>
      </c>
      <c r="C4" t="s">
        <v>416</v>
      </c>
      <c r="D4" s="4"/>
      <c r="E4" s="151">
        <v>10</v>
      </c>
      <c r="F4" s="153">
        <f t="shared" si="0"/>
        <v>150</v>
      </c>
      <c r="G4">
        <f>VLOOKUP($C4,약재관리!A:J,10,FALSE)</f>
        <v>18</v>
      </c>
      <c r="H4" s="5">
        <f t="shared" si="1"/>
        <v>180</v>
      </c>
      <c r="I4" s="6">
        <f t="shared" si="2"/>
        <v>2700</v>
      </c>
      <c r="K4" s="8" t="s">
        <v>11</v>
      </c>
      <c r="L4" s="175">
        <v>45596</v>
      </c>
      <c r="M4" s="169"/>
    </row>
    <row r="5" spans="2:13">
      <c r="B5" s="3">
        <v>4</v>
      </c>
      <c r="C5" t="s">
        <v>411</v>
      </c>
      <c r="D5" s="4"/>
      <c r="E5" s="151">
        <v>7</v>
      </c>
      <c r="F5" s="153">
        <f t="shared" si="0"/>
        <v>105</v>
      </c>
      <c r="G5">
        <f>VLOOKUP($C5,약재관리!A:J,10,FALSE)</f>
        <v>20.8</v>
      </c>
      <c r="H5" s="5">
        <f t="shared" si="1"/>
        <v>145.6</v>
      </c>
      <c r="I5" s="6">
        <f t="shared" si="2"/>
        <v>2184</v>
      </c>
      <c r="K5" s="8" t="s">
        <v>12</v>
      </c>
      <c r="L5" s="168" t="s">
        <v>402</v>
      </c>
      <c r="M5" s="169"/>
    </row>
    <row r="6" spans="2:13">
      <c r="B6" s="3">
        <v>5</v>
      </c>
      <c r="C6" t="s">
        <v>417</v>
      </c>
      <c r="D6" s="4"/>
      <c r="E6" s="151">
        <v>4</v>
      </c>
      <c r="F6" s="153">
        <f t="shared" si="0"/>
        <v>60</v>
      </c>
      <c r="G6">
        <f>VLOOKUP($C6,약재관리!A:J,10,FALSE)</f>
        <v>13</v>
      </c>
      <c r="H6" s="5">
        <f t="shared" si="1"/>
        <v>52</v>
      </c>
      <c r="I6" s="6">
        <f t="shared" si="2"/>
        <v>780</v>
      </c>
      <c r="K6" s="8" t="s">
        <v>13</v>
      </c>
      <c r="L6" s="168">
        <v>36</v>
      </c>
      <c r="M6" s="169"/>
    </row>
    <row r="7" spans="2:13" ht="17.25" thickBot="1">
      <c r="B7" s="3">
        <v>6</v>
      </c>
      <c r="C7" t="s">
        <v>407</v>
      </c>
      <c r="D7" s="4"/>
      <c r="E7" s="151">
        <v>6</v>
      </c>
      <c r="F7" s="153">
        <f t="shared" si="0"/>
        <v>90</v>
      </c>
      <c r="G7">
        <f>VLOOKUP($C7,약재관리!A:J,10,FALSE)</f>
        <v>28.3</v>
      </c>
      <c r="H7" s="5">
        <f t="shared" si="1"/>
        <v>169.8</v>
      </c>
      <c r="I7" s="6">
        <f t="shared" si="2"/>
        <v>2547</v>
      </c>
      <c r="K7" s="8" t="s">
        <v>14</v>
      </c>
      <c r="L7" s="176" t="s">
        <v>403</v>
      </c>
      <c r="M7" s="177"/>
    </row>
    <row r="8" spans="2:13" ht="17.25" thickBot="1">
      <c r="B8" s="3">
        <v>7</v>
      </c>
      <c r="C8" t="s">
        <v>406</v>
      </c>
      <c r="D8" s="4"/>
      <c r="E8" s="151">
        <v>4</v>
      </c>
      <c r="F8" s="153">
        <f t="shared" si="0"/>
        <v>60</v>
      </c>
      <c r="G8">
        <f>VLOOKUP($C8,약재관리!A:J,10,FALSE)</f>
        <v>14.8</v>
      </c>
      <c r="H8" s="5">
        <f t="shared" si="1"/>
        <v>59.2</v>
      </c>
      <c r="I8" s="6">
        <f t="shared" si="2"/>
        <v>888</v>
      </c>
      <c r="K8" s="170" t="s">
        <v>15</v>
      </c>
      <c r="L8" s="171"/>
      <c r="M8" s="172"/>
    </row>
    <row r="9" spans="2:13">
      <c r="B9" s="3">
        <v>8</v>
      </c>
      <c r="C9" t="s">
        <v>418</v>
      </c>
      <c r="D9" s="4"/>
      <c r="E9" s="151">
        <v>4</v>
      </c>
      <c r="F9" s="153">
        <f t="shared" si="0"/>
        <v>60</v>
      </c>
      <c r="G9">
        <f>VLOOKUP($C9,약재관리!A:J,10,FALSE)</f>
        <v>19.2</v>
      </c>
      <c r="H9" s="5">
        <f t="shared" si="1"/>
        <v>76.8</v>
      </c>
      <c r="I9" s="6">
        <f t="shared" si="2"/>
        <v>1152</v>
      </c>
      <c r="K9" s="178" t="s">
        <v>420</v>
      </c>
      <c r="L9" s="179"/>
      <c r="M9" s="180"/>
    </row>
    <row r="10" spans="2:13">
      <c r="B10" s="3">
        <v>9</v>
      </c>
      <c r="C10" t="s">
        <v>413</v>
      </c>
      <c r="D10" s="4"/>
      <c r="E10" s="151">
        <v>4</v>
      </c>
      <c r="F10" s="153">
        <f t="shared" si="0"/>
        <v>60</v>
      </c>
      <c r="G10">
        <f>VLOOKUP($C10,약재관리!A:J,10,FALSE)</f>
        <v>25</v>
      </c>
      <c r="H10" s="5">
        <f t="shared" si="1"/>
        <v>100</v>
      </c>
      <c r="I10" s="6">
        <f t="shared" si="2"/>
        <v>1500</v>
      </c>
      <c r="K10" s="181"/>
      <c r="L10" s="182"/>
      <c r="M10" s="183"/>
    </row>
    <row r="11" spans="2:13">
      <c r="B11" s="3">
        <v>10</v>
      </c>
      <c r="D11" s="4"/>
      <c r="F11" s="153">
        <f t="shared" si="0"/>
        <v>0</v>
      </c>
      <c r="H11" s="5"/>
      <c r="I11" s="6"/>
      <c r="K11" s="181"/>
      <c r="L11" s="182"/>
      <c r="M11" s="183"/>
    </row>
    <row r="12" spans="2:13">
      <c r="B12" s="3">
        <v>11</v>
      </c>
      <c r="D12" s="4"/>
      <c r="F12" s="153">
        <f t="shared" si="0"/>
        <v>0</v>
      </c>
      <c r="H12" s="5"/>
      <c r="I12" s="6"/>
      <c r="K12" s="181"/>
      <c r="L12" s="182"/>
      <c r="M12" s="183"/>
    </row>
    <row r="13" spans="2:13" ht="17.25" thickBot="1">
      <c r="B13" s="3">
        <v>12</v>
      </c>
      <c r="D13" s="4"/>
      <c r="F13" s="153">
        <f t="shared" si="0"/>
        <v>0</v>
      </c>
      <c r="H13" s="5"/>
      <c r="I13" s="6"/>
      <c r="K13" s="184"/>
      <c r="L13" s="185"/>
      <c r="M13" s="186"/>
    </row>
    <row r="14" spans="2:13">
      <c r="B14" s="3">
        <v>13</v>
      </c>
      <c r="D14" s="4"/>
      <c r="F14" s="153">
        <f t="shared" si="0"/>
        <v>0</v>
      </c>
      <c r="H14" s="5"/>
      <c r="I14" s="6"/>
      <c r="K14" s="159" t="s">
        <v>16</v>
      </c>
      <c r="L14" s="9">
        <v>15</v>
      </c>
      <c r="M14" s="10" t="s">
        <v>17</v>
      </c>
    </row>
    <row r="15" spans="2:13">
      <c r="B15" s="3">
        <v>14</v>
      </c>
      <c r="D15" s="4"/>
      <c r="F15" s="153">
        <f t="shared" si="0"/>
        <v>0</v>
      </c>
      <c r="H15" s="5"/>
      <c r="I15" s="6"/>
      <c r="K15" s="158" t="s">
        <v>18</v>
      </c>
      <c r="L15">
        <v>15</v>
      </c>
      <c r="M15" s="4" t="s">
        <v>19</v>
      </c>
    </row>
    <row r="16" spans="2:13">
      <c r="B16" s="3">
        <v>15</v>
      </c>
      <c r="D16" s="4"/>
      <c r="F16" s="153">
        <f t="shared" si="0"/>
        <v>0</v>
      </c>
      <c r="H16" s="5"/>
      <c r="I16" s="6"/>
      <c r="K16" s="158" t="s">
        <v>20</v>
      </c>
      <c r="L16">
        <v>45</v>
      </c>
      <c r="M16" s="4" t="s">
        <v>21</v>
      </c>
    </row>
    <row r="17" spans="2:13" ht="17.25" thickBot="1">
      <c r="B17" s="3">
        <v>16</v>
      </c>
      <c r="D17" s="4"/>
      <c r="F17" s="153">
        <f t="shared" si="0"/>
        <v>0</v>
      </c>
      <c r="H17" s="5"/>
      <c r="I17" s="6"/>
      <c r="K17" s="14" t="s">
        <v>22</v>
      </c>
      <c r="L17" s="11">
        <v>100</v>
      </c>
      <c r="M17" s="12" t="s">
        <v>23</v>
      </c>
    </row>
    <row r="18" spans="2:13">
      <c r="B18" s="3">
        <v>17</v>
      </c>
      <c r="D18" s="4"/>
      <c r="F18" s="153">
        <f t="shared" si="0"/>
        <v>0</v>
      </c>
      <c r="H18" s="5"/>
      <c r="I18" s="6"/>
      <c r="K18" s="159" t="s">
        <v>24</v>
      </c>
      <c r="L18" s="9">
        <f>SUM(E2:E31)</f>
        <v>65</v>
      </c>
      <c r="M18" s="10" t="s">
        <v>25</v>
      </c>
    </row>
    <row r="19" spans="2:13">
      <c r="B19" s="3">
        <v>18</v>
      </c>
      <c r="D19" s="4"/>
      <c r="F19" s="153">
        <f t="shared" si="0"/>
        <v>0</v>
      </c>
      <c r="H19" s="5"/>
      <c r="I19" s="6"/>
      <c r="K19" s="158" t="s">
        <v>26</v>
      </c>
      <c r="L19">
        <f>L15*L18</f>
        <v>975</v>
      </c>
      <c r="M19" s="4" t="s">
        <v>25</v>
      </c>
    </row>
    <row r="20" spans="2:13" ht="17.25" thickBot="1">
      <c r="B20" s="3">
        <v>19</v>
      </c>
      <c r="D20" s="4"/>
      <c r="F20" s="153">
        <f t="shared" si="0"/>
        <v>0</v>
      </c>
      <c r="H20" s="5"/>
      <c r="I20" s="6"/>
      <c r="K20" s="14" t="s">
        <v>27</v>
      </c>
      <c r="L20" s="11">
        <f>L16*L17+L19</f>
        <v>5475</v>
      </c>
      <c r="M20" s="12" t="s">
        <v>23</v>
      </c>
    </row>
    <row r="21" spans="2:13" ht="17.25" thickBot="1">
      <c r="B21" s="3">
        <v>20</v>
      </c>
      <c r="D21" s="4"/>
      <c r="F21" s="153">
        <f t="shared" si="0"/>
        <v>0</v>
      </c>
      <c r="H21" s="5"/>
      <c r="I21" s="6"/>
      <c r="J21" s="158"/>
      <c r="M21" s="161"/>
    </row>
    <row r="22" spans="2:13" ht="17.25" thickBot="1">
      <c r="B22" s="3">
        <v>21</v>
      </c>
      <c r="D22" s="4"/>
      <c r="F22" s="153">
        <f t="shared" si="0"/>
        <v>0</v>
      </c>
      <c r="H22" s="5"/>
      <c r="I22" s="6"/>
      <c r="K22" s="170" t="s">
        <v>390</v>
      </c>
      <c r="L22" s="171"/>
      <c r="M22" s="172"/>
    </row>
    <row r="23" spans="2:13">
      <c r="B23" s="3">
        <v>22</v>
      </c>
      <c r="D23" s="4"/>
      <c r="F23" s="153">
        <f t="shared" si="0"/>
        <v>0</v>
      </c>
      <c r="H23" s="5"/>
      <c r="I23" s="6"/>
      <c r="K23" s="158" t="s">
        <v>384</v>
      </c>
      <c r="L23">
        <f>SUM(F2:F31)</f>
        <v>975</v>
      </c>
      <c r="M23" s="4" t="s">
        <v>25</v>
      </c>
    </row>
    <row r="24" spans="2:13">
      <c r="B24" s="3">
        <v>23</v>
      </c>
      <c r="D24" s="4"/>
      <c r="F24" s="153">
        <f t="shared" si="0"/>
        <v>0</v>
      </c>
      <c r="H24" s="5"/>
      <c r="I24" s="6"/>
      <c r="K24" s="158" t="s">
        <v>391</v>
      </c>
      <c r="L24">
        <v>5000</v>
      </c>
      <c r="M24" s="4" t="s">
        <v>23</v>
      </c>
    </row>
    <row r="25" spans="2:13">
      <c r="B25" s="3">
        <v>24</v>
      </c>
      <c r="D25" s="4"/>
      <c r="F25" s="153">
        <f t="shared" si="0"/>
        <v>0</v>
      </c>
      <c r="H25" s="5"/>
      <c r="I25" s="6"/>
      <c r="K25" s="158" t="s">
        <v>28</v>
      </c>
      <c r="L25" s="160" t="s">
        <v>386</v>
      </c>
      <c r="M25" s="4" t="s">
        <v>25</v>
      </c>
    </row>
    <row r="26" spans="2:13">
      <c r="B26" s="3">
        <v>25</v>
      </c>
      <c r="D26" s="4"/>
      <c r="F26" s="153">
        <f t="shared" si="0"/>
        <v>0</v>
      </c>
      <c r="H26" s="5"/>
      <c r="I26" s="6"/>
      <c r="K26" s="158" t="s">
        <v>29</v>
      </c>
      <c r="L26" s="160">
        <v>1600</v>
      </c>
      <c r="M26" s="4" t="s">
        <v>25</v>
      </c>
    </row>
    <row r="27" spans="2:13" ht="17.25" thickBot="1">
      <c r="B27" s="3">
        <v>26</v>
      </c>
      <c r="D27" s="4"/>
      <c r="F27" s="153">
        <f t="shared" si="0"/>
        <v>0</v>
      </c>
      <c r="H27" s="5"/>
      <c r="I27" s="6"/>
      <c r="K27" s="14" t="s">
        <v>385</v>
      </c>
      <c r="L27" s="11">
        <v>4</v>
      </c>
      <c r="M27" s="12" t="s">
        <v>25</v>
      </c>
    </row>
    <row r="28" spans="2:13" ht="17.25" thickBot="1">
      <c r="B28" s="3">
        <v>27</v>
      </c>
      <c r="D28" s="4"/>
      <c r="F28" s="153">
        <f t="shared" si="0"/>
        <v>0</v>
      </c>
      <c r="H28" s="5"/>
      <c r="I28" s="6"/>
      <c r="J28" s="158"/>
      <c r="K28" s="11"/>
      <c r="L28" s="11"/>
      <c r="M28" s="161"/>
    </row>
    <row r="29" spans="2:13" ht="17.25" thickBot="1">
      <c r="B29" s="3">
        <v>28</v>
      </c>
      <c r="D29" s="4"/>
      <c r="F29" s="153">
        <f t="shared" si="0"/>
        <v>0</v>
      </c>
      <c r="H29" s="5"/>
      <c r="I29" s="6"/>
      <c r="K29" s="170" t="s">
        <v>389</v>
      </c>
      <c r="L29" s="171"/>
      <c r="M29" s="172"/>
    </row>
    <row r="30" spans="2:13">
      <c r="B30" s="3">
        <v>29</v>
      </c>
      <c r="D30" s="4"/>
      <c r="F30" s="153">
        <f t="shared" si="0"/>
        <v>0</v>
      </c>
      <c r="H30" s="5"/>
      <c r="I30" s="6"/>
      <c r="K30" s="158" t="s">
        <v>28</v>
      </c>
      <c r="L30" s="5">
        <f>SUM(H2:H31)</f>
        <v>1091.2</v>
      </c>
      <c r="M30" s="4" t="s">
        <v>388</v>
      </c>
    </row>
    <row r="31" spans="2:13" ht="17.25" thickBot="1">
      <c r="B31" s="13">
        <v>30</v>
      </c>
      <c r="C31" s="14"/>
      <c r="D31" s="12"/>
      <c r="E31" s="163"/>
      <c r="F31" s="154">
        <f t="shared" si="0"/>
        <v>0</v>
      </c>
      <c r="G31" s="14"/>
      <c r="H31" s="15"/>
      <c r="I31" s="16"/>
      <c r="K31" s="14" t="s">
        <v>387</v>
      </c>
      <c r="L31" s="15">
        <f>SUM(I2:I31)</f>
        <v>16368</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DF77-07F1-4FB5-BE66-CF9864D016FA}">
  <sheetPr>
    <pageSetUpPr fitToPage="1"/>
  </sheetPr>
  <dimension ref="B1:M31"/>
  <sheetViews>
    <sheetView workbookViewId="0">
      <selection activeCell="L4" sqref="L4:M4"/>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405</v>
      </c>
      <c r="D2" s="4"/>
      <c r="E2" s="151">
        <v>16</v>
      </c>
      <c r="F2" s="153">
        <f t="shared" ref="F2:F31" si="0">E2*$L$15</f>
        <v>480</v>
      </c>
      <c r="G2">
        <f>VLOOKUP($C2,약재관리!A:J,10,FALSE)</f>
        <v>11</v>
      </c>
      <c r="H2" s="5">
        <f>G2*E2</f>
        <v>176</v>
      </c>
      <c r="I2" s="157">
        <f>G2*F2</f>
        <v>5280</v>
      </c>
      <c r="K2" s="7" t="s">
        <v>9</v>
      </c>
      <c r="L2" s="173">
        <v>11</v>
      </c>
      <c r="M2" s="174"/>
    </row>
    <row r="3" spans="2:13">
      <c r="B3" s="3">
        <v>2</v>
      </c>
      <c r="C3" t="s">
        <v>406</v>
      </c>
      <c r="D3" s="4"/>
      <c r="E3" s="151">
        <v>8</v>
      </c>
      <c r="F3" s="153">
        <f t="shared" si="0"/>
        <v>240</v>
      </c>
      <c r="G3">
        <f>VLOOKUP($C3,약재관리!A:J,10,FALSE)</f>
        <v>14.8</v>
      </c>
      <c r="H3" s="5">
        <f t="shared" ref="H3:H7" si="1">G3*E3</f>
        <v>118.4</v>
      </c>
      <c r="I3" s="6">
        <f t="shared" ref="I3:I7" si="2">G3*F3</f>
        <v>3552</v>
      </c>
      <c r="K3" s="8" t="s">
        <v>10</v>
      </c>
      <c r="L3" s="168" t="s">
        <v>409</v>
      </c>
      <c r="M3" s="169"/>
    </row>
    <row r="4" spans="2:13">
      <c r="B4" s="3">
        <v>3</v>
      </c>
      <c r="C4" t="s">
        <v>411</v>
      </c>
      <c r="D4" s="4"/>
      <c r="E4" s="151">
        <v>11</v>
      </c>
      <c r="F4" s="153">
        <f t="shared" si="0"/>
        <v>330</v>
      </c>
      <c r="G4">
        <f>VLOOKUP($C4,약재관리!A:J,10,FALSE)</f>
        <v>20.8</v>
      </c>
      <c r="H4" s="5">
        <f t="shared" si="1"/>
        <v>228.8</v>
      </c>
      <c r="I4" s="6">
        <f t="shared" si="2"/>
        <v>6864</v>
      </c>
      <c r="K4" s="8" t="s">
        <v>11</v>
      </c>
      <c r="L4" s="175">
        <v>45596</v>
      </c>
      <c r="M4" s="169"/>
    </row>
    <row r="5" spans="2:13">
      <c r="B5" s="3">
        <v>4</v>
      </c>
      <c r="C5" t="s">
        <v>407</v>
      </c>
      <c r="D5" s="4"/>
      <c r="E5" s="151">
        <v>6</v>
      </c>
      <c r="F5" s="153">
        <f t="shared" si="0"/>
        <v>180</v>
      </c>
      <c r="G5">
        <f>VLOOKUP($C5,약재관리!A:J,10,FALSE)</f>
        <v>28.3</v>
      </c>
      <c r="H5" s="5">
        <f t="shared" si="1"/>
        <v>169.8</v>
      </c>
      <c r="I5" s="6">
        <f t="shared" si="2"/>
        <v>5094</v>
      </c>
      <c r="K5" s="8" t="s">
        <v>12</v>
      </c>
      <c r="L5" s="168" t="s">
        <v>402</v>
      </c>
      <c r="M5" s="169"/>
    </row>
    <row r="6" spans="2:13">
      <c r="B6" s="3">
        <v>5</v>
      </c>
      <c r="C6" t="s">
        <v>412</v>
      </c>
      <c r="D6" s="4"/>
      <c r="E6" s="151">
        <v>3</v>
      </c>
      <c r="F6" s="153">
        <f t="shared" si="0"/>
        <v>90</v>
      </c>
      <c r="G6">
        <f>VLOOKUP($C6,약재관리!A:J,10,FALSE)</f>
        <v>8</v>
      </c>
      <c r="H6" s="5">
        <f t="shared" si="1"/>
        <v>24</v>
      </c>
      <c r="I6" s="6">
        <f t="shared" si="2"/>
        <v>720</v>
      </c>
      <c r="K6" s="8" t="s">
        <v>13</v>
      </c>
      <c r="L6" s="168">
        <v>36</v>
      </c>
      <c r="M6" s="169"/>
    </row>
    <row r="7" spans="2:13" ht="17.25" thickBot="1">
      <c r="B7" s="3">
        <v>6</v>
      </c>
      <c r="C7" t="s">
        <v>413</v>
      </c>
      <c r="D7" s="4"/>
      <c r="E7" s="151">
        <v>4</v>
      </c>
      <c r="F7" s="153">
        <f t="shared" si="0"/>
        <v>120</v>
      </c>
      <c r="G7">
        <f>VLOOKUP($C7,약재관리!A:J,10,FALSE)</f>
        <v>25</v>
      </c>
      <c r="H7" s="5">
        <f t="shared" si="1"/>
        <v>100</v>
      </c>
      <c r="I7" s="6">
        <f t="shared" si="2"/>
        <v>3000</v>
      </c>
      <c r="K7" s="8" t="s">
        <v>14</v>
      </c>
      <c r="L7" s="176" t="s">
        <v>403</v>
      </c>
      <c r="M7" s="177"/>
    </row>
    <row r="8" spans="2:13" ht="17.25" thickBot="1">
      <c r="B8" s="3">
        <v>7</v>
      </c>
      <c r="D8" s="4"/>
      <c r="F8" s="153">
        <f t="shared" si="0"/>
        <v>0</v>
      </c>
      <c r="H8" s="5"/>
      <c r="I8" s="6"/>
      <c r="K8" s="170" t="s">
        <v>15</v>
      </c>
      <c r="L8" s="171"/>
      <c r="M8" s="172"/>
    </row>
    <row r="9" spans="2:13">
      <c r="B9" s="3">
        <v>8</v>
      </c>
      <c r="D9" s="4"/>
      <c r="F9" s="153">
        <f t="shared" si="0"/>
        <v>0</v>
      </c>
      <c r="H9" s="5"/>
      <c r="I9" s="6"/>
      <c r="K9" s="178" t="s">
        <v>410</v>
      </c>
      <c r="L9" s="179"/>
      <c r="M9" s="180"/>
    </row>
    <row r="10" spans="2:13">
      <c r="B10" s="3">
        <v>9</v>
      </c>
      <c r="D10" s="4"/>
      <c r="F10" s="153">
        <f t="shared" si="0"/>
        <v>0</v>
      </c>
      <c r="H10" s="5"/>
      <c r="I10" s="6"/>
      <c r="K10" s="181"/>
      <c r="L10" s="182"/>
      <c r="M10" s="183"/>
    </row>
    <row r="11" spans="2:13">
      <c r="B11" s="3">
        <v>10</v>
      </c>
      <c r="D11" s="4"/>
      <c r="F11" s="153">
        <f t="shared" si="0"/>
        <v>0</v>
      </c>
      <c r="H11" s="5"/>
      <c r="I11" s="6"/>
      <c r="K11" s="181"/>
      <c r="L11" s="182"/>
      <c r="M11" s="183"/>
    </row>
    <row r="12" spans="2:13">
      <c r="B12" s="3">
        <v>11</v>
      </c>
      <c r="D12" s="4"/>
      <c r="F12" s="153">
        <f t="shared" si="0"/>
        <v>0</v>
      </c>
      <c r="H12" s="5"/>
      <c r="I12" s="6"/>
      <c r="K12" s="181"/>
      <c r="L12" s="182"/>
      <c r="M12" s="183"/>
    </row>
    <row r="13" spans="2:13" ht="17.25" thickBot="1">
      <c r="B13" s="3">
        <v>12</v>
      </c>
      <c r="D13" s="4"/>
      <c r="F13" s="153">
        <f t="shared" si="0"/>
        <v>0</v>
      </c>
      <c r="H13" s="5"/>
      <c r="I13" s="6"/>
      <c r="K13" s="184"/>
      <c r="L13" s="185"/>
      <c r="M13" s="186"/>
    </row>
    <row r="14" spans="2:13">
      <c r="B14" s="3">
        <v>13</v>
      </c>
      <c r="D14" s="4"/>
      <c r="F14" s="153">
        <f t="shared" si="0"/>
        <v>0</v>
      </c>
      <c r="H14" s="5"/>
      <c r="I14" s="6"/>
      <c r="K14" s="159" t="s">
        <v>16</v>
      </c>
      <c r="L14" s="9">
        <v>15</v>
      </c>
      <c r="M14" s="10" t="s">
        <v>17</v>
      </c>
    </row>
    <row r="15" spans="2:13">
      <c r="B15" s="3">
        <v>14</v>
      </c>
      <c r="D15" s="4"/>
      <c r="F15" s="153">
        <f t="shared" si="0"/>
        <v>0</v>
      </c>
      <c r="H15" s="5"/>
      <c r="I15" s="6"/>
      <c r="K15" s="158" t="s">
        <v>18</v>
      </c>
      <c r="L15">
        <v>30</v>
      </c>
      <c r="M15" s="4" t="s">
        <v>19</v>
      </c>
    </row>
    <row r="16" spans="2:13">
      <c r="B16" s="3">
        <v>15</v>
      </c>
      <c r="D16" s="4"/>
      <c r="F16" s="153">
        <f t="shared" si="0"/>
        <v>0</v>
      </c>
      <c r="H16" s="5"/>
      <c r="I16" s="6"/>
      <c r="K16" s="158" t="s">
        <v>20</v>
      </c>
      <c r="L16">
        <v>45</v>
      </c>
      <c r="M16" s="4" t="s">
        <v>21</v>
      </c>
    </row>
    <row r="17" spans="2:13" ht="17.25" thickBot="1">
      <c r="B17" s="3">
        <v>16</v>
      </c>
      <c r="D17" s="4"/>
      <c r="F17" s="153">
        <f t="shared" si="0"/>
        <v>0</v>
      </c>
      <c r="H17" s="5"/>
      <c r="I17" s="6"/>
      <c r="K17" s="14" t="s">
        <v>22</v>
      </c>
      <c r="L17" s="11">
        <v>100</v>
      </c>
      <c r="M17" s="12" t="s">
        <v>23</v>
      </c>
    </row>
    <row r="18" spans="2:13">
      <c r="B18" s="3">
        <v>17</v>
      </c>
      <c r="D18" s="4"/>
      <c r="F18" s="153">
        <f t="shared" si="0"/>
        <v>0</v>
      </c>
      <c r="H18" s="5"/>
      <c r="I18" s="6"/>
      <c r="K18" s="159" t="s">
        <v>24</v>
      </c>
      <c r="L18" s="9">
        <f>SUM(E2:E31)</f>
        <v>48</v>
      </c>
      <c r="M18" s="10" t="s">
        <v>25</v>
      </c>
    </row>
    <row r="19" spans="2:13">
      <c r="B19" s="3">
        <v>18</v>
      </c>
      <c r="D19" s="4"/>
      <c r="F19" s="153">
        <f t="shared" si="0"/>
        <v>0</v>
      </c>
      <c r="H19" s="5"/>
      <c r="I19" s="6"/>
      <c r="K19" s="158" t="s">
        <v>26</v>
      </c>
      <c r="L19">
        <f>L15*L18</f>
        <v>1440</v>
      </c>
      <c r="M19" s="4" t="s">
        <v>25</v>
      </c>
    </row>
    <row r="20" spans="2:13" ht="17.25" thickBot="1">
      <c r="B20" s="3">
        <v>19</v>
      </c>
      <c r="D20" s="4"/>
      <c r="F20" s="153">
        <f t="shared" si="0"/>
        <v>0</v>
      </c>
      <c r="H20" s="5"/>
      <c r="I20" s="6"/>
      <c r="K20" s="14" t="s">
        <v>27</v>
      </c>
      <c r="L20" s="11">
        <f>L16*L17+L19</f>
        <v>5940</v>
      </c>
      <c r="M20" s="12" t="s">
        <v>23</v>
      </c>
    </row>
    <row r="21" spans="2:13" ht="17.25" thickBot="1">
      <c r="B21" s="3">
        <v>20</v>
      </c>
      <c r="D21" s="4"/>
      <c r="F21" s="153">
        <f t="shared" si="0"/>
        <v>0</v>
      </c>
      <c r="H21" s="5"/>
      <c r="I21" s="6"/>
      <c r="J21" s="158"/>
      <c r="M21" s="161"/>
    </row>
    <row r="22" spans="2:13" ht="17.25" thickBot="1">
      <c r="B22" s="3">
        <v>21</v>
      </c>
      <c r="D22" s="4"/>
      <c r="F22" s="153">
        <f t="shared" si="0"/>
        <v>0</v>
      </c>
      <c r="H22" s="5"/>
      <c r="I22" s="6"/>
      <c r="K22" s="170" t="s">
        <v>390</v>
      </c>
      <c r="L22" s="171"/>
      <c r="M22" s="172"/>
    </row>
    <row r="23" spans="2:13">
      <c r="B23" s="3">
        <v>22</v>
      </c>
      <c r="D23" s="4"/>
      <c r="F23" s="153">
        <f t="shared" si="0"/>
        <v>0</v>
      </c>
      <c r="H23" s="5"/>
      <c r="I23" s="6"/>
      <c r="K23" s="158" t="s">
        <v>384</v>
      </c>
      <c r="L23">
        <f>SUM(F2:F31)</f>
        <v>1440</v>
      </c>
      <c r="M23" s="4" t="s">
        <v>25</v>
      </c>
    </row>
    <row r="24" spans="2:13">
      <c r="B24" s="3">
        <v>23</v>
      </c>
      <c r="D24" s="4"/>
      <c r="F24" s="153">
        <f t="shared" si="0"/>
        <v>0</v>
      </c>
      <c r="H24" s="5"/>
      <c r="I24" s="6"/>
      <c r="K24" s="158" t="s">
        <v>391</v>
      </c>
      <c r="L24">
        <v>5000</v>
      </c>
      <c r="M24" s="4" t="s">
        <v>23</v>
      </c>
    </row>
    <row r="25" spans="2:13">
      <c r="B25" s="3">
        <v>24</v>
      </c>
      <c r="D25" s="4"/>
      <c r="F25" s="153">
        <f t="shared" si="0"/>
        <v>0</v>
      </c>
      <c r="H25" s="5"/>
      <c r="I25" s="6"/>
      <c r="K25" s="158" t="s">
        <v>28</v>
      </c>
      <c r="L25" s="160" t="s">
        <v>386</v>
      </c>
      <c r="M25" s="4" t="s">
        <v>25</v>
      </c>
    </row>
    <row r="26" spans="2:13">
      <c r="B26" s="3">
        <v>25</v>
      </c>
      <c r="D26" s="4"/>
      <c r="F26" s="153">
        <f t="shared" si="0"/>
        <v>0</v>
      </c>
      <c r="H26" s="5"/>
      <c r="I26" s="6"/>
      <c r="K26" s="158" t="s">
        <v>29</v>
      </c>
      <c r="L26" s="160">
        <v>1600</v>
      </c>
      <c r="M26" s="4" t="s">
        <v>25</v>
      </c>
    </row>
    <row r="27" spans="2:13" ht="17.25" thickBot="1">
      <c r="B27" s="3">
        <v>26</v>
      </c>
      <c r="D27" s="4"/>
      <c r="F27" s="153">
        <f t="shared" si="0"/>
        <v>0</v>
      </c>
      <c r="H27" s="5"/>
      <c r="I27" s="6"/>
      <c r="K27" s="14" t="s">
        <v>385</v>
      </c>
      <c r="L27" s="11">
        <v>4</v>
      </c>
      <c r="M27" s="12" t="s">
        <v>25</v>
      </c>
    </row>
    <row r="28" spans="2:13" ht="17.25" thickBot="1">
      <c r="B28" s="3">
        <v>27</v>
      </c>
      <c r="D28" s="4"/>
      <c r="F28" s="153">
        <f t="shared" si="0"/>
        <v>0</v>
      </c>
      <c r="H28" s="5"/>
      <c r="I28" s="6"/>
      <c r="J28" s="158"/>
      <c r="K28" s="11"/>
      <c r="L28" s="11"/>
      <c r="M28" s="161"/>
    </row>
    <row r="29" spans="2:13" ht="17.25" thickBot="1">
      <c r="B29" s="3">
        <v>28</v>
      </c>
      <c r="D29" s="4"/>
      <c r="F29" s="153">
        <f t="shared" si="0"/>
        <v>0</v>
      </c>
      <c r="H29" s="5"/>
      <c r="I29" s="6"/>
      <c r="K29" s="170" t="s">
        <v>389</v>
      </c>
      <c r="L29" s="171"/>
      <c r="M29" s="172"/>
    </row>
    <row r="30" spans="2:13">
      <c r="B30" s="3">
        <v>29</v>
      </c>
      <c r="D30" s="4"/>
      <c r="F30" s="153">
        <f t="shared" si="0"/>
        <v>0</v>
      </c>
      <c r="H30" s="5"/>
      <c r="I30" s="6"/>
      <c r="K30" s="158" t="s">
        <v>28</v>
      </c>
      <c r="L30" s="5">
        <f>SUM(H2:H31)</f>
        <v>817</v>
      </c>
      <c r="M30" s="4" t="s">
        <v>388</v>
      </c>
    </row>
    <row r="31" spans="2:13" ht="17.25" thickBot="1">
      <c r="B31" s="13">
        <v>30</v>
      </c>
      <c r="C31" s="14"/>
      <c r="D31" s="12"/>
      <c r="E31" s="163"/>
      <c r="F31" s="154">
        <f t="shared" si="0"/>
        <v>0</v>
      </c>
      <c r="G31" s="14"/>
      <c r="H31" s="15"/>
      <c r="I31" s="16"/>
      <c r="K31" s="14" t="s">
        <v>387</v>
      </c>
      <c r="L31" s="15">
        <f>SUM(I2:I31)</f>
        <v>24510</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405</v>
      </c>
      <c r="D2" s="4"/>
      <c r="E2" s="151">
        <v>8</v>
      </c>
      <c r="F2" s="153">
        <f t="shared" ref="F2:F31" si="0">E2*$L$15</f>
        <v>240</v>
      </c>
      <c r="G2">
        <f>VLOOKUP($C2,약재관리!A:J,10,FALSE)</f>
        <v>11</v>
      </c>
      <c r="H2" s="5">
        <f>G2*E2</f>
        <v>88</v>
      </c>
      <c r="I2" s="157">
        <f>G2*F2</f>
        <v>2640</v>
      </c>
      <c r="K2" s="7" t="s">
        <v>9</v>
      </c>
      <c r="L2" s="173">
        <v>11</v>
      </c>
      <c r="M2" s="174"/>
    </row>
    <row r="3" spans="2:13">
      <c r="B3" s="3">
        <v>2</v>
      </c>
      <c r="C3" t="s">
        <v>406</v>
      </c>
      <c r="D3" s="4"/>
      <c r="E3" s="151">
        <v>6</v>
      </c>
      <c r="F3" s="153">
        <f t="shared" si="0"/>
        <v>180</v>
      </c>
      <c r="G3">
        <f>VLOOKUP($C3,약재관리!A:J,10,FALSE)</f>
        <v>14.8</v>
      </c>
      <c r="H3" s="5">
        <f t="shared" ref="H3:H5" si="1">G3*E3</f>
        <v>88.800000000000011</v>
      </c>
      <c r="I3" s="6">
        <f t="shared" ref="I3:I5" si="2">G3*F3</f>
        <v>2664</v>
      </c>
      <c r="K3" s="8" t="s">
        <v>10</v>
      </c>
      <c r="L3" s="168" t="s">
        <v>401</v>
      </c>
      <c r="M3" s="169"/>
    </row>
    <row r="4" spans="2:13">
      <c r="B4" s="3">
        <v>3</v>
      </c>
      <c r="C4" t="s">
        <v>408</v>
      </c>
      <c r="D4" s="4"/>
      <c r="E4" s="151">
        <v>6</v>
      </c>
      <c r="F4" s="153">
        <f t="shared" si="0"/>
        <v>180</v>
      </c>
      <c r="G4">
        <f>VLOOKUP($C4,약재관리!A:J,10,FALSE)</f>
        <v>24</v>
      </c>
      <c r="H4" s="5">
        <f t="shared" si="1"/>
        <v>144</v>
      </c>
      <c r="I4" s="6">
        <f t="shared" si="2"/>
        <v>4320</v>
      </c>
      <c r="K4" s="8" t="s">
        <v>11</v>
      </c>
      <c r="L4" s="175">
        <v>45559</v>
      </c>
      <c r="M4" s="169"/>
    </row>
    <row r="5" spans="2:13">
      <c r="B5" s="3">
        <v>4</v>
      </c>
      <c r="C5" t="s">
        <v>407</v>
      </c>
      <c r="D5" s="4"/>
      <c r="E5" s="151">
        <v>4</v>
      </c>
      <c r="F5" s="153">
        <f t="shared" si="0"/>
        <v>120</v>
      </c>
      <c r="G5">
        <f>VLOOKUP($C5,약재관리!A:J,10,FALSE)</f>
        <v>28.3</v>
      </c>
      <c r="H5" s="5">
        <f t="shared" si="1"/>
        <v>113.2</v>
      </c>
      <c r="I5" s="6">
        <f t="shared" si="2"/>
        <v>3396</v>
      </c>
      <c r="K5" s="8" t="s">
        <v>12</v>
      </c>
      <c r="L5" s="168" t="s">
        <v>402</v>
      </c>
      <c r="M5" s="169"/>
    </row>
    <row r="6" spans="2:13">
      <c r="B6" s="3">
        <v>5</v>
      </c>
      <c r="D6" s="4"/>
      <c r="F6" s="153">
        <f t="shared" si="0"/>
        <v>0</v>
      </c>
      <c r="H6" s="5"/>
      <c r="I6" s="6"/>
      <c r="K6" s="8" t="s">
        <v>13</v>
      </c>
      <c r="L6" s="168">
        <v>36</v>
      </c>
      <c r="M6" s="169"/>
    </row>
    <row r="7" spans="2:13" ht="17.25" thickBot="1">
      <c r="B7" s="3">
        <v>6</v>
      </c>
      <c r="D7" s="4"/>
      <c r="F7" s="153">
        <f t="shared" si="0"/>
        <v>0</v>
      </c>
      <c r="H7" s="5"/>
      <c r="I7" s="6"/>
      <c r="K7" s="8" t="s">
        <v>14</v>
      </c>
      <c r="L7" s="176" t="s">
        <v>403</v>
      </c>
      <c r="M7" s="177"/>
    </row>
    <row r="8" spans="2:13" ht="17.25" thickBot="1">
      <c r="B8" s="3">
        <v>7</v>
      </c>
      <c r="D8" s="4"/>
      <c r="F8" s="153">
        <f t="shared" si="0"/>
        <v>0</v>
      </c>
      <c r="H8" s="5"/>
      <c r="I8" s="6"/>
      <c r="K8" s="170" t="s">
        <v>15</v>
      </c>
      <c r="L8" s="171"/>
      <c r="M8" s="172"/>
    </row>
    <row r="9" spans="2:13">
      <c r="B9" s="3">
        <v>8</v>
      </c>
      <c r="D9" s="4"/>
      <c r="F9" s="153">
        <f t="shared" si="0"/>
        <v>0</v>
      </c>
      <c r="H9" s="5"/>
      <c r="I9" s="6"/>
      <c r="K9" s="178" t="s">
        <v>404</v>
      </c>
      <c r="L9" s="179"/>
      <c r="M9" s="180"/>
    </row>
    <row r="10" spans="2:13">
      <c r="B10" s="3">
        <v>9</v>
      </c>
      <c r="D10" s="4"/>
      <c r="F10" s="153">
        <f t="shared" si="0"/>
        <v>0</v>
      </c>
      <c r="H10" s="5"/>
      <c r="I10" s="6"/>
      <c r="K10" s="181"/>
      <c r="L10" s="182"/>
      <c r="M10" s="183"/>
    </row>
    <row r="11" spans="2:13">
      <c r="B11" s="3">
        <v>10</v>
      </c>
      <c r="D11" s="4"/>
      <c r="F11" s="153">
        <f t="shared" si="0"/>
        <v>0</v>
      </c>
      <c r="H11" s="5"/>
      <c r="I11" s="6"/>
      <c r="K11" s="181"/>
      <c r="L11" s="182"/>
      <c r="M11" s="183"/>
    </row>
    <row r="12" spans="2:13">
      <c r="B12" s="3">
        <v>11</v>
      </c>
      <c r="D12" s="4"/>
      <c r="F12" s="153">
        <f t="shared" si="0"/>
        <v>0</v>
      </c>
      <c r="H12" s="5"/>
      <c r="I12" s="6"/>
      <c r="K12" s="181"/>
      <c r="L12" s="182"/>
      <c r="M12" s="183"/>
    </row>
    <row r="13" spans="2:13" ht="17.25" thickBot="1">
      <c r="B13" s="3">
        <v>12</v>
      </c>
      <c r="D13" s="4"/>
      <c r="F13" s="153">
        <f t="shared" si="0"/>
        <v>0</v>
      </c>
      <c r="H13" s="5"/>
      <c r="I13" s="6"/>
      <c r="K13" s="184"/>
      <c r="L13" s="185"/>
      <c r="M13" s="186"/>
    </row>
    <row r="14" spans="2:13">
      <c r="B14" s="3">
        <v>13</v>
      </c>
      <c r="D14" s="4"/>
      <c r="F14" s="153">
        <f t="shared" si="0"/>
        <v>0</v>
      </c>
      <c r="H14" s="5"/>
      <c r="I14" s="6"/>
      <c r="K14" s="159" t="s">
        <v>16</v>
      </c>
      <c r="L14" s="9">
        <v>15</v>
      </c>
      <c r="M14" s="10" t="s">
        <v>17</v>
      </c>
    </row>
    <row r="15" spans="2:13">
      <c r="B15" s="3">
        <v>14</v>
      </c>
      <c r="D15" s="4"/>
      <c r="F15" s="153">
        <f t="shared" si="0"/>
        <v>0</v>
      </c>
      <c r="H15" s="5"/>
      <c r="I15" s="6"/>
      <c r="K15" s="158" t="s">
        <v>18</v>
      </c>
      <c r="L15">
        <v>30</v>
      </c>
      <c r="M15" s="4" t="s">
        <v>19</v>
      </c>
    </row>
    <row r="16" spans="2:13">
      <c r="B16" s="3">
        <v>15</v>
      </c>
      <c r="D16" s="4"/>
      <c r="F16" s="153">
        <f t="shared" si="0"/>
        <v>0</v>
      </c>
      <c r="H16" s="5"/>
      <c r="I16" s="6"/>
      <c r="K16" s="158" t="s">
        <v>20</v>
      </c>
      <c r="L16">
        <v>45</v>
      </c>
      <c r="M16" s="4" t="s">
        <v>21</v>
      </c>
    </row>
    <row r="17" spans="2:13" ht="17.25" thickBot="1">
      <c r="B17" s="3">
        <v>16</v>
      </c>
      <c r="D17" s="4"/>
      <c r="F17" s="153">
        <f t="shared" si="0"/>
        <v>0</v>
      </c>
      <c r="H17" s="5"/>
      <c r="I17" s="6"/>
      <c r="K17" s="14" t="s">
        <v>22</v>
      </c>
      <c r="L17" s="11">
        <v>100</v>
      </c>
      <c r="M17" s="12" t="s">
        <v>23</v>
      </c>
    </row>
    <row r="18" spans="2:13">
      <c r="B18" s="3">
        <v>17</v>
      </c>
      <c r="D18" s="4"/>
      <c r="F18" s="153">
        <f t="shared" si="0"/>
        <v>0</v>
      </c>
      <c r="H18" s="5"/>
      <c r="I18" s="6"/>
      <c r="K18" s="159" t="s">
        <v>24</v>
      </c>
      <c r="L18" s="9">
        <f>SUM(E2:E31)</f>
        <v>24</v>
      </c>
      <c r="M18" s="10" t="s">
        <v>25</v>
      </c>
    </row>
    <row r="19" spans="2:13">
      <c r="B19" s="3">
        <v>18</v>
      </c>
      <c r="D19" s="4"/>
      <c r="F19" s="153">
        <f t="shared" si="0"/>
        <v>0</v>
      </c>
      <c r="H19" s="5"/>
      <c r="I19" s="6"/>
      <c r="K19" s="158" t="s">
        <v>26</v>
      </c>
      <c r="L19">
        <f>L15*L18</f>
        <v>720</v>
      </c>
      <c r="M19" s="4" t="s">
        <v>25</v>
      </c>
    </row>
    <row r="20" spans="2:13" ht="17.25" thickBot="1">
      <c r="B20" s="3">
        <v>19</v>
      </c>
      <c r="D20" s="4"/>
      <c r="F20" s="153">
        <f t="shared" si="0"/>
        <v>0</v>
      </c>
      <c r="H20" s="5"/>
      <c r="I20" s="6"/>
      <c r="K20" s="14" t="s">
        <v>27</v>
      </c>
      <c r="L20" s="11">
        <f>L16*L17+L19</f>
        <v>5220</v>
      </c>
      <c r="M20" s="12" t="s">
        <v>23</v>
      </c>
    </row>
    <row r="21" spans="2:13" ht="17.25" thickBot="1">
      <c r="B21" s="3">
        <v>20</v>
      </c>
      <c r="D21" s="4"/>
      <c r="F21" s="153">
        <f t="shared" si="0"/>
        <v>0</v>
      </c>
      <c r="H21" s="5"/>
      <c r="I21" s="6"/>
      <c r="J21" s="158"/>
      <c r="M21" s="161"/>
    </row>
    <row r="22" spans="2:13" ht="17.25" thickBot="1">
      <c r="B22" s="3">
        <v>21</v>
      </c>
      <c r="D22" s="4"/>
      <c r="F22" s="153">
        <f t="shared" si="0"/>
        <v>0</v>
      </c>
      <c r="H22" s="5"/>
      <c r="I22" s="6"/>
      <c r="K22" s="170" t="s">
        <v>390</v>
      </c>
      <c r="L22" s="171"/>
      <c r="M22" s="172"/>
    </row>
    <row r="23" spans="2:13">
      <c r="B23" s="3">
        <v>22</v>
      </c>
      <c r="D23" s="4"/>
      <c r="F23" s="153">
        <f t="shared" si="0"/>
        <v>0</v>
      </c>
      <c r="H23" s="5"/>
      <c r="I23" s="6"/>
      <c r="K23" s="158" t="s">
        <v>384</v>
      </c>
      <c r="L23">
        <f>SUM(F2:F31)</f>
        <v>720</v>
      </c>
      <c r="M23" s="4" t="s">
        <v>25</v>
      </c>
    </row>
    <row r="24" spans="2:13">
      <c r="B24" s="3">
        <v>23</v>
      </c>
      <c r="D24" s="4"/>
      <c r="F24" s="153">
        <f t="shared" si="0"/>
        <v>0</v>
      </c>
      <c r="H24" s="5"/>
      <c r="I24" s="6"/>
      <c r="K24" s="158" t="s">
        <v>391</v>
      </c>
      <c r="L24">
        <v>5000</v>
      </c>
      <c r="M24" s="4" t="s">
        <v>23</v>
      </c>
    </row>
    <row r="25" spans="2:13">
      <c r="B25" s="3">
        <v>24</v>
      </c>
      <c r="D25" s="4"/>
      <c r="F25" s="153">
        <f t="shared" si="0"/>
        <v>0</v>
      </c>
      <c r="H25" s="5"/>
      <c r="I25" s="6"/>
      <c r="K25" s="158" t="s">
        <v>28</v>
      </c>
      <c r="L25" s="160" t="s">
        <v>386</v>
      </c>
      <c r="M25" s="4" t="s">
        <v>25</v>
      </c>
    </row>
    <row r="26" spans="2:13">
      <c r="B26" s="3">
        <v>25</v>
      </c>
      <c r="D26" s="4"/>
      <c r="F26" s="153">
        <f t="shared" si="0"/>
        <v>0</v>
      </c>
      <c r="H26" s="5"/>
      <c r="I26" s="6"/>
      <c r="K26" s="158" t="s">
        <v>29</v>
      </c>
      <c r="L26" s="160">
        <v>1600</v>
      </c>
      <c r="M26" s="4" t="s">
        <v>25</v>
      </c>
    </row>
    <row r="27" spans="2:13" ht="17.25" thickBot="1">
      <c r="B27" s="3">
        <v>26</v>
      </c>
      <c r="D27" s="4"/>
      <c r="F27" s="153">
        <f t="shared" si="0"/>
        <v>0</v>
      </c>
      <c r="H27" s="5"/>
      <c r="I27" s="6"/>
      <c r="K27" s="14" t="s">
        <v>385</v>
      </c>
      <c r="L27" s="11">
        <v>4</v>
      </c>
      <c r="M27" s="12" t="s">
        <v>25</v>
      </c>
    </row>
    <row r="28" spans="2:13" ht="17.25" thickBot="1">
      <c r="B28" s="3">
        <v>27</v>
      </c>
      <c r="D28" s="4"/>
      <c r="F28" s="153">
        <f t="shared" si="0"/>
        <v>0</v>
      </c>
      <c r="H28" s="5"/>
      <c r="I28" s="6"/>
      <c r="J28" s="158"/>
      <c r="K28" s="11"/>
      <c r="L28" s="11"/>
      <c r="M28" s="161"/>
    </row>
    <row r="29" spans="2:13" ht="17.25" thickBot="1">
      <c r="B29" s="3">
        <v>28</v>
      </c>
      <c r="D29" s="4"/>
      <c r="F29" s="153">
        <f t="shared" si="0"/>
        <v>0</v>
      </c>
      <c r="H29" s="5"/>
      <c r="I29" s="6"/>
      <c r="K29" s="170" t="s">
        <v>389</v>
      </c>
      <c r="L29" s="171"/>
      <c r="M29" s="172"/>
    </row>
    <row r="30" spans="2:13">
      <c r="B30" s="3">
        <v>29</v>
      </c>
      <c r="D30" s="4"/>
      <c r="F30" s="153">
        <f t="shared" si="0"/>
        <v>0</v>
      </c>
      <c r="H30" s="5"/>
      <c r="I30" s="6"/>
      <c r="K30" s="158" t="s">
        <v>28</v>
      </c>
      <c r="L30" s="5">
        <f>SUM(H2:H31)</f>
        <v>434</v>
      </c>
      <c r="M30" s="4" t="s">
        <v>388</v>
      </c>
    </row>
    <row r="31" spans="2:13" ht="17.25" thickBot="1">
      <c r="B31" s="13">
        <v>30</v>
      </c>
      <c r="C31" s="14"/>
      <c r="D31" s="12"/>
      <c r="E31" s="163"/>
      <c r="F31" s="154">
        <f t="shared" si="0"/>
        <v>0</v>
      </c>
      <c r="G31" s="14"/>
      <c r="H31" s="15"/>
      <c r="I31" s="16"/>
      <c r="K31" s="14" t="s">
        <v>387</v>
      </c>
      <c r="L31" s="15">
        <f>SUM(I2:I31)</f>
        <v>13020</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45558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영계감조탕(2)</vt:lpstr>
      <vt:lpstr>영감강미신하인탕</vt:lpstr>
      <vt:lpstr>후박칠물탕</vt:lpstr>
      <vt:lpstr>영계감조탕</vt:lpstr>
      <vt:lpstr>영계출감탕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2026-05-06T10:17:00Z</cp:lastPrinted>
  <dcterms:created xsi:type="dcterms:W3CDTF">2024-09-12T16:35:01Z</dcterms:created>
  <dcterms:modified xsi:type="dcterms:W3CDTF">2026-05-06T10:17:54Z</dcterms:modified>
</cp:coreProperties>
</file>