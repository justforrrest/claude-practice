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6" documentId="8_{DAA171FA-2B0A-4AEE-8386-B7C87100936F}" xr6:coauthVersionLast="47" xr6:coauthVersionMax="47" xr10:uidLastSave="{521199C8-A30A-4780-A815-79AFBEFBC995}"/>
  <bookViews>
    <workbookView xWindow="13560" yWindow="30" windowWidth="15240" windowHeight="1545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5" l="1"/>
  <c r="F31" i="5"/>
  <c r="I31" i="5" s="1"/>
  <c r="H30" i="5"/>
  <c r="F30" i="5"/>
  <c r="I30" i="5" s="1"/>
  <c r="H29" i="5"/>
  <c r="F29" i="5"/>
  <c r="I29" i="5" s="1"/>
  <c r="I28" i="5"/>
  <c r="H28" i="5"/>
  <c r="F28" i="5"/>
  <c r="H27" i="5"/>
  <c r="F27" i="5"/>
  <c r="I27" i="5" s="1"/>
  <c r="H26" i="5"/>
  <c r="F26" i="5"/>
  <c r="I26" i="5" s="1"/>
  <c r="H25" i="5"/>
  <c r="F25" i="5"/>
  <c r="I25" i="5" s="1"/>
  <c r="I24" i="5"/>
  <c r="H24" i="5"/>
  <c r="F24" i="5"/>
  <c r="H23" i="5"/>
  <c r="F23" i="5"/>
  <c r="I23" i="5" s="1"/>
  <c r="H22" i="5"/>
  <c r="F22" i="5"/>
  <c r="I22" i="5" s="1"/>
  <c r="G21" i="5"/>
  <c r="I21" i="5" s="1"/>
  <c r="F21" i="5"/>
  <c r="G20" i="5"/>
  <c r="I20" i="5" s="1"/>
  <c r="F20" i="5"/>
  <c r="G19" i="5"/>
  <c r="I19" i="5" s="1"/>
  <c r="F19" i="5"/>
  <c r="L18" i="5"/>
  <c r="L19" i="5" s="1"/>
  <c r="L20" i="5" s="1"/>
  <c r="G18" i="5"/>
  <c r="I18" i="5" s="1"/>
  <c r="F18" i="5"/>
  <c r="G17" i="5"/>
  <c r="I17" i="5" s="1"/>
  <c r="F17" i="5"/>
  <c r="G16" i="5"/>
  <c r="I16" i="5" s="1"/>
  <c r="F16" i="5"/>
  <c r="G15" i="5"/>
  <c r="I15" i="5" s="1"/>
  <c r="F15" i="5"/>
  <c r="G14" i="5"/>
  <c r="I14" i="5" s="1"/>
  <c r="F14" i="5"/>
  <c r="G13" i="5"/>
  <c r="H13" i="5" s="1"/>
  <c r="F13" i="5"/>
  <c r="G12" i="5"/>
  <c r="I12" i="5" s="1"/>
  <c r="F12" i="5"/>
  <c r="G11" i="5"/>
  <c r="I11" i="5" s="1"/>
  <c r="F11" i="5"/>
  <c r="G10" i="5"/>
  <c r="I10" i="5" s="1"/>
  <c r="F10" i="5"/>
  <c r="G9" i="5"/>
  <c r="I9" i="5" s="1"/>
  <c r="F9" i="5"/>
  <c r="G8" i="5"/>
  <c r="I8" i="5" s="1"/>
  <c r="F8" i="5"/>
  <c r="G7" i="5"/>
  <c r="I7" i="5" s="1"/>
  <c r="F7" i="5"/>
  <c r="G6" i="5"/>
  <c r="I6" i="5" s="1"/>
  <c r="F6" i="5"/>
  <c r="G5" i="5"/>
  <c r="I5" i="5" s="1"/>
  <c r="F5" i="5"/>
  <c r="G4" i="5"/>
  <c r="I4" i="5" s="1"/>
  <c r="F4" i="5"/>
  <c r="G3" i="5"/>
  <c r="I3" i="5" s="1"/>
  <c r="F3" i="5"/>
  <c r="G2" i="5"/>
  <c r="I2" i="5" s="1"/>
  <c r="F2" i="5"/>
  <c r="L23" i="5" s="1"/>
  <c r="G173" i="3"/>
  <c r="H21" i="4"/>
  <c r="F20" i="4"/>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G18" i="4"/>
  <c r="G19" i="4"/>
  <c r="G20" i="4"/>
  <c r="H20" i="4" s="1"/>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19" i="4"/>
  <c r="F18" i="4"/>
  <c r="F17" i="4"/>
  <c r="F16" i="4"/>
  <c r="F15" i="4"/>
  <c r="F14" i="4"/>
  <c r="F13" i="4"/>
  <c r="G2" i="4"/>
  <c r="F2"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H21" i="5" l="1"/>
  <c r="H4" i="5"/>
  <c r="H7" i="5"/>
  <c r="H10" i="5"/>
  <c r="H16" i="5"/>
  <c r="I13" i="5"/>
  <c r="L31" i="5" s="1"/>
  <c r="H19" i="5"/>
  <c r="H2" i="5"/>
  <c r="H5" i="5"/>
  <c r="H8" i="5"/>
  <c r="H11" i="5"/>
  <c r="H14" i="5"/>
  <c r="H17" i="5"/>
  <c r="H20" i="5"/>
  <c r="H3" i="5"/>
  <c r="H6" i="5"/>
  <c r="H9" i="5"/>
  <c r="H12" i="5"/>
  <c r="H15" i="5"/>
  <c r="H18" i="5"/>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5" l="1"/>
  <c r="L30" i="4"/>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<sst xmlns="http://schemas.openxmlformats.org/spreadsheetml/2006/main" count="636" uniqueCount="417">
  <si>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</si>
  <si>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</si>
  <si>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</si>
  <si>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</si>
  <si>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</si>
  <si>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</si>
  <si>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</si>
  <si>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</si>
  <si>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</si>
  <si>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</si>
  <si>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</si>
  <si>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</si>
  <si>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</si>
  <si>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</si>
  <si>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</si>
  <si>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</si>
  <si>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</si>
  <si>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</si>
  <si>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</si>
  <si>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</si>
  <si>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</si>
  <si>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</si>
  <si>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</si>
  <si>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</si>
  <si>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</si>
  <si>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</si>
  <si>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</si>
  <si>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</si>
  <si>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</si>
  <si>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</si>
  <si>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</si>
  <si>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</si>
  <si>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</si>
  <si>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</si>
  <si>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</si>
  <si>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</si>
  <si>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</si>
  <si>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</si>
  <si>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</si>
  <si>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</si>
  <si>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</si>
  <si>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</si>
  <si>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</si>
  <si>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</si>
  <si>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</si>
  <si>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</si>
  <si>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</si>
  <si>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</si>
  <si>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</si>
  <si>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</si>
  <si>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</si>
  <si>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</si>
  <si>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</si>
  <si>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</si>
  <si>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</si>
  <si>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</si>
  <si>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</si>
  <si>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</si>
  <si>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</si>
  <si>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</si>
  <si>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</si>
  <si>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</si>
  <si>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</si>
  <si>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</si>
  <si>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</si>
  <si>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</si>
  <si>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</si>
  <si>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</si>
  <si>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</si>
  <si>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</si>
  <si>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</si>
  <si>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</si>
  <si>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</si>
  <si>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</si>
  <si>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</si>
  <si>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</si>
  <si>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</si>
  <si>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</si>
  <si>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</si>
  <si>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</si>
  <si>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</si>
  <si>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</si>
  <si>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</si>
  <si>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</si>
  <si>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</si>
  <si>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</si>
  <si>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</si>
  <si>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</si>
  <si>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</si>
  <si>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</si>
  <si>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</si>
  <si>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</si>
  <si>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</si>
  <si>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</si>
  <si>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</si>
  <si>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</si>
  <si>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</si>
  <si>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</si>
  <si>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</si>
  <si>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</si>
  <si>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</si>
  <si>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</si>
  <si>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</si>
  <si>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</si>
  <si>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</si>
  <si>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</si>
  <si>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</si>
  <si>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</si>
  <si>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</si>
  <si>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</si>
  <si>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</si>
  <si>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</si>
  <si>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</si>
  <si>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</si>
  <si>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</si>
  <si>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</si>
  <si>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</si>
  <si>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</si>
  <si>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</si>
  <si>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</si>
  <si>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</si>
  <si>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</si>
  <si>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</si>
  <si>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</si>
  <si>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</si>
  <si>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</si>
  <si>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</si>
  <si>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</si>
  <si>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</si>
  <si>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</si>
  <si>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</si>
  <si>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</si>
  <si>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</si>
  <si>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</si>
  <si>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</si>
  <si>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</si>
  <si>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</si>
  <si>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</si>
  <si>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</si>
  <si>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</si>
  <si>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</si>
  <si>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</si>
  <si>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</si>
  <si>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</si>
  <si>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</si>
  <si>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</si>
  <si>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</si>
  <si>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</si>
  <si>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</si>
  <si>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</si>
  <si>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</si>
  <si>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</si>
  <si>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</si>
  <si>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</si>
  <si>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</si>
  <si>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</si>
  <si>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</si>
  <si>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</si>
  <si>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</si>
  <si>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</si>
  <si>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</si>
  <si>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</si>
  <si>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</si>
  <si>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</si>
  <si>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</si>
  <si>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</si>
  <si>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</si>
  <si>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</si>
  <si>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</si>
  <si>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</si>
  <si>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</si>
  <si>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</si>
  <si>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</si>
  <si>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</si>
  <si>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</si>
  <si>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</si>
  <si>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</si>
  <si>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</si>
  <si>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</si>
  <si>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</si>
  <si>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</si>
  <si>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</si>
  <si>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</si>
  <si>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</si>
  <si>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</si>
  <si>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</si>
  <si>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</si>
  <si>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</si>
  <si>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</si>
  <si>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</si>
  <si>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</si>
  <si>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</si>
  <si>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</si>
  <si>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</si>
  <si>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</si>
  <si>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</si>
  <si>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</si>
  <si>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</si>
  <si>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</si>
  <si>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</si>
  <si>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</si>
  <si>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</si>
  <si>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</si>
  <si>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</si>
  <si>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</si>
  <si>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</si>
  <si>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</si>
  <si>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</si>
  <si>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</si>
  <si>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</si>
  <si>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</si>
  <si>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</si>
  <si>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</si>
  <si>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</si>
  <si>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</si>
  <si>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</si>
  <si>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</si>
  <si>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</si>
  <si>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</si>
  <si>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</si>
  <si>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</si>
  <si>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</si>
  <si>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</si>
  <si>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</si>
  <si>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</si>
  <si>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</si>
  <si>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</si>
  <si>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</si>
  <si>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</si>
  <si>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</si>
  <si>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</si>
  <si>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</si>
  <si>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</si>
  <si>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</si>
  <si>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</si>
  <si>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</si>
  <si>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</si>
  <si>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</si>
  <si>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</si>
  <si>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</si>
  <si>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</si>
  <si>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</si>
  <si>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</si>
  <si>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</si>
  <si>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</si>
  <si>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</si>
  <si>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</si>
  <si>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</si>
  <si>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</si>
  <si>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</si>
  <si>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</si>
  <si>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</si>
  <si>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</si>
  <si>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</si>
  <si>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</si>
  <si>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</si>
  <si>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</si>
  <si>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</si>
  <si>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</si>
  <si>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</si>
  <si>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</si>
  <si>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</si>
  <si>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</si>
  <si>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</si>
  <si>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</si>
  <si>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</si>
  <si>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</si>
  <si>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</si>
  <si>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</si>
  <si>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</si>
  <si>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</si>
  <si>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</si>
  <si>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</si>
  <si>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</si>
  <si>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</si>
  <si>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</si>
  <si>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</si>
  <si>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</si>
  <si>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</si>
  <si>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</si>
  <si>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</si>
  <si>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</si>
  <si>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</si>
  <si>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</si>
  <si>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</si>
  <si>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</si>
  <si>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</si>
  <si>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</si>
  <si>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</si>
  <si>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</si>
  <si>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</si>
  <si>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</si>
  <si>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</si>
  <si>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</si>
  <si>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</si>
  <si>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</si>
  <si>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</si>
  <si>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</si>
  <si>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</si>
  <si>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</si>
  <si>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</si>
  <si>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</si>
  <si>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</si>
  <si>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</si>
  <si>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</si>
  <si>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</si>
  <si>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</si>
  <si>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</si>
  <si>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</si>
  <si>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</si>
  <si>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</si>
  <si>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</si>
  <si>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</si>
  <si>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</si>
  <si>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</si>
  <si>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</si>
  <si>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</si>
  <si>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</si>
  <si>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</si>
  <si>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</si>
  <si>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</si>
  <si>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</si>
  <si>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</si>
  <si>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</si>
  <si>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</si>
  <si>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</si>
  <si>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</si>
  <si>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</si>
  <si>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</si>
  <si>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</si>
  <si>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</si>
  <si>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</si>
  <si>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</si>
  <si>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</si>
  <si>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</si>
  <si>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</si>
  <si>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</si>
  <si>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</si>
  <si>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</si>
  <si>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</si>
  <si>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</si>
  <si>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</si>
  <si>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</si>
  <si>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</si>
  <si>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</si>
  <si>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</si>
  <si>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</si>
  <si>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</si>
  <si>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</si>
  <si>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</si>
  <si>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</si>
  <si>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</si>
  <si>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</si>
  <si>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</si>
  <si>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</si>
  <si>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</si>
  <si>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</si>
  <si>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</si>
  <si>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</si>
  <si>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</si>
  <si>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</si>
  <si>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</si>
  <si>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</si>
  <si>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</si>
  <si>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</si>
  <si>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</si>
  <si>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</si>
  <si>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</si>
  <si>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</si>
  <si>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</si>
  <si>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</si>
  <si>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</si>
  <si>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</si>
  <si>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</si>
  <si>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</si>
  <si>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</si>
  <si>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</si>
  <si>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</si>
  <si>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</si>
  <si>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</si>
  <si>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</si>
  <si>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</si>
  <si>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</si>
  <si>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</si>
  <si>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</si>
  <si>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</si>
  <si>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</si>
  <si>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</si>
  <si>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</si>
  <si>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</si>
  <si>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</si>
  <si>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</si>
  <si>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</si>
  <si>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</si>
  <si>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백작약</t>
    <phoneticPr fontId="5" type="noConversion"/>
  </si>
  <si>
    <t>오가피</t>
    <phoneticPr fontId="5" type="noConversion"/>
  </si>
  <si>
    <t>속단</t>
    <phoneticPr fontId="5" type="noConversion"/>
  </si>
  <si>
    <t>창출2</t>
    <phoneticPr fontId="5" type="noConversion"/>
  </si>
  <si>
    <t>위령선</t>
    <phoneticPr fontId="5" type="noConversion"/>
  </si>
  <si>
    <t>감초</t>
    <phoneticPr fontId="5" type="noConversion"/>
  </si>
  <si>
    <t>숙지황</t>
    <phoneticPr fontId="5" type="noConversion"/>
  </si>
  <si>
    <t>황기</t>
    <phoneticPr fontId="5" type="noConversion"/>
  </si>
  <si>
    <t>당귀1</t>
    <phoneticPr fontId="5" type="noConversion"/>
  </si>
  <si>
    <t>오약</t>
    <phoneticPr fontId="5" type="noConversion"/>
  </si>
  <si>
    <t>우슬</t>
    <phoneticPr fontId="5" type="noConversion"/>
  </si>
  <si>
    <t>두충</t>
    <phoneticPr fontId="5" type="noConversion"/>
  </si>
  <si>
    <t>강활2</t>
    <phoneticPr fontId="5" type="noConversion"/>
  </si>
  <si>
    <t>자소엽</t>
    <phoneticPr fontId="5" type="noConversion"/>
  </si>
  <si>
    <t>모과</t>
    <phoneticPr fontId="5" type="noConversion"/>
  </si>
  <si>
    <t>빈랑</t>
    <phoneticPr fontId="5" type="noConversion"/>
  </si>
  <si>
    <t>향부자</t>
    <phoneticPr fontId="5" type="noConversion"/>
  </si>
  <si>
    <t>진피1</t>
    <phoneticPr fontId="5" type="noConversion"/>
  </si>
  <si>
    <t>현호색</t>
    <phoneticPr fontId="5" type="noConversion"/>
  </si>
  <si>
    <t>사물합빈소산</t>
    <phoneticPr fontId="5" type="noConversion"/>
  </si>
  <si>
    <t>상비약</t>
    <phoneticPr fontId="5" type="noConversion"/>
  </si>
  <si>
    <t>천오</t>
    <phoneticPr fontId="5" type="noConversion"/>
  </si>
  <si>
    <t>신흥천오제</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</si>
</sst>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_-* #,##0.0_-;\-* #,##0.0_-;_-* &quot;-&quot;?_-;_-@_-"/>
    <numFmt numFmtId="177"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77"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CA38-1E72-4ACB-8C51-00A374479D64}">
  <sheetPr>
    <pageSetUpPr fitToPage="1"/>
  </sheetPr>
  <dimension ref="B1:M31"/>
  <sheetViews>
    <sheetView tabSelected="1" workbookViewId="0">
      <selection activeCell="C13" sqref="C13"/>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394</v>
      </c>
      <c r="D2" s="4"/>
      <c r="E2" s="153">
        <v>20</v>
      </c>
      <c r="F2" s="155">
        <f t="shared" ref="F2:F31" si="0">E2*$L$15</f>
        <v>400</v>
      </c>
      <c r="G2">
        <f>VLOOKUP($C2,약재관리!A:J,10,FALSE)</f>
        <v>15.3</v>
      </c>
      <c r="H2" s="5">
        <f>G2*E2</f>
        <v>306</v>
      </c>
      <c r="I2" s="159">
        <f>G2*F2</f>
        <v>6120</v>
      </c>
      <c r="K2" s="7" t="s">
        <v>9</v>
      </c>
      <c r="L2" s="173">
        <v>5</v>
      </c>
      <c r="M2" s="174"/>
    </row>
    <row r="3" spans="2:13">
      <c r="B3" s="3">
        <v>2</v>
      </c>
      <c r="C3" t="s">
        <v>395</v>
      </c>
      <c r="D3" s="4"/>
      <c r="E3" s="153">
        <v>10</v>
      </c>
      <c r="F3" s="155">
        <f t="shared" si="0"/>
        <v>200</v>
      </c>
      <c r="G3">
        <f>VLOOKUP($C3,약재관리!A:J,10,FALSE)</f>
        <v>20</v>
      </c>
      <c r="H3" s="5">
        <f t="shared" ref="H3:H31" si="1">G3*E3</f>
        <v>200</v>
      </c>
      <c r="I3" s="6">
        <f t="shared" ref="I3:I31" si="2">G3*F3</f>
        <v>4000</v>
      </c>
      <c r="K3" s="8" t="s">
        <v>10</v>
      </c>
      <c r="L3" s="168" t="s">
        <v>413</v>
      </c>
      <c r="M3" s="169"/>
    </row>
    <row r="4" spans="2:13">
      <c r="B4" s="3">
        <v>3</v>
      </c>
      <c r="C4" t="s">
        <v>396</v>
      </c>
      <c r="D4" s="4"/>
      <c r="E4" s="153">
        <v>10</v>
      </c>
      <c r="F4" s="155">
        <f t="shared" si="0"/>
        <v>200</v>
      </c>
      <c r="G4">
        <f>VLOOKUP($C4,약재관리!A:J,10,FALSE)</f>
        <v>11.7</v>
      </c>
      <c r="H4" s="5">
        <f t="shared" si="1"/>
        <v>117</v>
      </c>
      <c r="I4" s="6">
        <f t="shared" si="2"/>
        <v>2340</v>
      </c>
      <c r="K4" s="8" t="s">
        <v>11</v>
      </c>
      <c r="L4" s="175">
        <v>45800</v>
      </c>
      <c r="M4" s="169"/>
    </row>
    <row r="5" spans="2:13">
      <c r="B5" s="3">
        <v>4</v>
      </c>
      <c r="C5" t="s">
        <v>398</v>
      </c>
      <c r="D5" s="4"/>
      <c r="E5" s="153">
        <v>5</v>
      </c>
      <c r="F5" s="155">
        <f t="shared" si="0"/>
        <v>100</v>
      </c>
      <c r="G5">
        <f>VLOOKUP($C5,약재관리!A:J,10,FALSE)</f>
        <v>0</v>
      </c>
      <c r="H5" s="5">
        <f t="shared" si="1"/>
        <v>0</v>
      </c>
      <c r="I5" s="6">
        <f t="shared" si="2"/>
        <v>0</v>
      </c>
      <c r="K5" s="8" t="s">
        <v>12</v>
      </c>
      <c r="L5" s="168" t="s">
        <v>414</v>
      </c>
      <c r="M5" s="169"/>
    </row>
    <row r="6" spans="2:13">
      <c r="B6" s="3">
        <v>5</v>
      </c>
      <c r="C6" t="s">
        <v>397</v>
      </c>
      <c r="D6" s="4"/>
      <c r="E6" s="153">
        <v>5</v>
      </c>
      <c r="F6" s="155">
        <f t="shared" si="0"/>
        <v>100</v>
      </c>
      <c r="G6">
        <f>VLOOKUP($C6,약재관리!A:J,10,FALSE)</f>
        <v>24</v>
      </c>
      <c r="H6" s="5">
        <f t="shared" si="1"/>
        <v>120</v>
      </c>
      <c r="I6" s="6">
        <f t="shared" si="2"/>
        <v>2400</v>
      </c>
      <c r="K6" s="8" t="s">
        <v>13</v>
      </c>
      <c r="L6" s="168"/>
      <c r="M6" s="169"/>
    </row>
    <row r="7" spans="2:13" ht="17.25" thickBot="1">
      <c r="B7" s="3">
        <v>6</v>
      </c>
      <c r="C7" t="s">
        <v>399</v>
      </c>
      <c r="D7" s="4"/>
      <c r="E7" s="153">
        <v>5</v>
      </c>
      <c r="F7" s="155">
        <f t="shared" si="0"/>
        <v>100</v>
      </c>
      <c r="G7">
        <f>VLOOKUP($C7,약재관리!A:J,10,FALSE)</f>
        <v>28.3</v>
      </c>
      <c r="H7" s="5">
        <f t="shared" si="1"/>
        <v>141.5</v>
      </c>
      <c r="I7" s="6">
        <f t="shared" si="2"/>
        <v>2830</v>
      </c>
      <c r="K7" s="8" t="s">
        <v>14</v>
      </c>
      <c r="L7" s="176"/>
      <c r="M7" s="177"/>
    </row>
    <row r="8" spans="2:13" ht="17.25" thickBot="1">
      <c r="B8" s="3">
        <v>7</v>
      </c>
      <c r="C8" t="s">
        <v>402</v>
      </c>
      <c r="D8" s="4"/>
      <c r="E8" s="153">
        <v>3.5</v>
      </c>
      <c r="F8" s="155">
        <f t="shared" si="0"/>
        <v>70</v>
      </c>
      <c r="G8">
        <f>VLOOKUP($C8,약재관리!A:J,10,FALSE)</f>
        <v>25</v>
      </c>
      <c r="H8" s="5">
        <f t="shared" si="1"/>
        <v>87.5</v>
      </c>
      <c r="I8" s="6">
        <f t="shared" si="2"/>
        <v>1750</v>
      </c>
      <c r="K8" s="170" t="s">
        <v>15</v>
      </c>
      <c r="L8" s="171"/>
      <c r="M8" s="172"/>
    </row>
    <row r="9" spans="2:13">
      <c r="B9" s="3">
        <v>8</v>
      </c>
      <c r="C9" t="s">
        <v>400</v>
      </c>
      <c r="D9" s="4"/>
      <c r="E9" s="153">
        <v>3.5</v>
      </c>
      <c r="F9" s="155">
        <f t="shared" si="0"/>
        <v>70</v>
      </c>
      <c r="G9">
        <f>VLOOKUP($C9,약재관리!A:J,10,FALSE)</f>
        <v>20</v>
      </c>
      <c r="H9" s="5">
        <f t="shared" si="1"/>
        <v>70</v>
      </c>
      <c r="I9" s="6">
        <f t="shared" si="2"/>
        <v>1400</v>
      </c>
      <c r="K9" s="178"/>
      <c r="L9" s="179"/>
      <c r="M9" s="180"/>
    </row>
    <row r="10" spans="2:13">
      <c r="B10" s="3">
        <v>9</v>
      </c>
      <c r="C10" t="s">
        <v>401</v>
      </c>
      <c r="D10" s="4"/>
      <c r="E10" s="153">
        <v>3.5</v>
      </c>
      <c r="F10" s="155">
        <f t="shared" si="0"/>
        <v>70</v>
      </c>
      <c r="G10">
        <f>VLOOKUP($C10,약재관리!A:J,10,FALSE)</f>
        <v>22</v>
      </c>
      <c r="H10" s="5">
        <f t="shared" si="1"/>
        <v>77</v>
      </c>
      <c r="I10" s="6">
        <f t="shared" si="2"/>
        <v>1540</v>
      </c>
      <c r="K10" s="181"/>
      <c r="L10" s="182"/>
      <c r="M10" s="183"/>
    </row>
    <row r="11" spans="2:13">
      <c r="B11" s="3">
        <v>10</v>
      </c>
      <c r="C11" t="s">
        <v>403</v>
      </c>
      <c r="D11" s="4"/>
      <c r="E11" s="153">
        <v>3.5</v>
      </c>
      <c r="F11" s="155">
        <f t="shared" si="0"/>
        <v>70</v>
      </c>
      <c r="G11">
        <f>VLOOKUP($C11,약재관리!A:J,10,FALSE)</f>
        <v>9.1999999999999993</v>
      </c>
      <c r="H11" s="5">
        <f t="shared" si="1"/>
        <v>32.199999999999996</v>
      </c>
      <c r="I11" s="6">
        <f t="shared" si="2"/>
        <v>644</v>
      </c>
      <c r="K11" s="181"/>
      <c r="L11" s="182"/>
      <c r="M11" s="183"/>
    </row>
    <row r="12" spans="2:13">
      <c r="B12" s="3">
        <v>11</v>
      </c>
      <c r="C12" t="s">
        <v>404</v>
      </c>
      <c r="D12" s="4"/>
      <c r="E12" s="153">
        <v>3.5</v>
      </c>
      <c r="F12" s="155">
        <f t="shared" si="0"/>
        <v>70</v>
      </c>
      <c r="G12">
        <f>VLOOKUP($C12,약재관리!A:J,10,FALSE)</f>
        <v>17.7</v>
      </c>
      <c r="H12" s="5">
        <f t="shared" si="1"/>
        <v>61.949999999999996</v>
      </c>
      <c r="I12" s="6">
        <f t="shared" si="2"/>
        <v>1239</v>
      </c>
      <c r="K12" s="181"/>
      <c r="L12" s="182"/>
      <c r="M12" s="183"/>
    </row>
    <row r="13" spans="2:13" ht="17.25" thickBot="1">
      <c r="B13" s="3">
        <v>12</v>
      </c>
      <c r="C13" t="s">
        <v>405</v>
      </c>
      <c r="D13" s="4"/>
      <c r="E13" s="153">
        <v>3.5</v>
      </c>
      <c r="F13" s="155">
        <f t="shared" si="0"/>
        <v>70</v>
      </c>
      <c r="G13">
        <f>VLOOKUP($C13,약재관리!A:J,10,FALSE)</f>
        <v>10.8</v>
      </c>
      <c r="H13" s="5">
        <f t="shared" si="1"/>
        <v>37.800000000000004</v>
      </c>
      <c r="I13" s="6">
        <f t="shared" si="2"/>
        <v>756</v>
      </c>
      <c r="K13" s="184"/>
      <c r="L13" s="185"/>
      <c r="M13" s="186"/>
    </row>
    <row r="14" spans="2:13">
      <c r="B14" s="3">
        <v>13</v>
      </c>
      <c r="C14" t="s">
        <v>406</v>
      </c>
      <c r="D14" s="4"/>
      <c r="E14" s="153">
        <v>3.5</v>
      </c>
      <c r="F14" s="155">
        <f t="shared" si="0"/>
        <v>70</v>
      </c>
      <c r="G14">
        <f>VLOOKUP($C14,약재관리!A:J,10,FALSE)</f>
        <v>38.799999999999997</v>
      </c>
      <c r="H14" s="5">
        <f t="shared" si="1"/>
        <v>135.79999999999998</v>
      </c>
      <c r="I14" s="6">
        <f t="shared" si="2"/>
        <v>2716</v>
      </c>
      <c r="K14" s="161" t="s">
        <v>16</v>
      </c>
      <c r="L14" s="9">
        <v>15</v>
      </c>
      <c r="M14" s="10" t="s">
        <v>17</v>
      </c>
    </row>
    <row r="15" spans="2:13">
      <c r="B15" s="3">
        <v>14</v>
      </c>
      <c r="C15" t="s">
        <v>407</v>
      </c>
      <c r="D15" s="4"/>
      <c r="E15" s="153">
        <v>3.5</v>
      </c>
      <c r="F15" s="155">
        <f t="shared" si="0"/>
        <v>70</v>
      </c>
      <c r="G15">
        <f>VLOOKUP($C15,약재관리!A:J,10,FALSE)</f>
        <v>12</v>
      </c>
      <c r="H15" s="5">
        <f t="shared" si="1"/>
        <v>42</v>
      </c>
      <c r="I15" s="6">
        <f t="shared" si="2"/>
        <v>840</v>
      </c>
      <c r="K15" s="160" t="s">
        <v>18</v>
      </c>
      <c r="L15">
        <v>20</v>
      </c>
      <c r="M15" s="4" t="s">
        <v>19</v>
      </c>
    </row>
    <row r="16" spans="2:13">
      <c r="B16" s="3">
        <v>15</v>
      </c>
      <c r="C16" t="s">
        <v>408</v>
      </c>
      <c r="D16" s="4"/>
      <c r="E16" s="153">
        <v>3.5</v>
      </c>
      <c r="F16" s="155">
        <f t="shared" si="0"/>
        <v>70</v>
      </c>
      <c r="G16">
        <f>VLOOKUP($C16,약재관리!A:J,10,FALSE)</f>
        <v>11.7</v>
      </c>
      <c r="H16" s="5">
        <f t="shared" si="1"/>
        <v>40.949999999999996</v>
      </c>
      <c r="I16" s="6">
        <f t="shared" si="2"/>
        <v>819</v>
      </c>
      <c r="K16" s="160" t="s">
        <v>20</v>
      </c>
      <c r="L16">
        <v>45</v>
      </c>
      <c r="M16" s="4" t="s">
        <v>21</v>
      </c>
    </row>
    <row r="17" spans="2:13" ht="17.25" thickBot="1">
      <c r="B17" s="3">
        <v>16</v>
      </c>
      <c r="C17" t="s">
        <v>409</v>
      </c>
      <c r="D17" s="4"/>
      <c r="E17" s="153">
        <v>3.5</v>
      </c>
      <c r="F17" s="155">
        <f t="shared" si="0"/>
        <v>70</v>
      </c>
      <c r="G17">
        <f>VLOOKUP($C17,약재관리!A:J,10,FALSE)</f>
        <v>8.3000000000000007</v>
      </c>
      <c r="H17" s="5">
        <f t="shared" si="1"/>
        <v>29.050000000000004</v>
      </c>
      <c r="I17" s="6">
        <f t="shared" si="2"/>
        <v>581</v>
      </c>
      <c r="K17" s="14" t="s">
        <v>22</v>
      </c>
      <c r="L17" s="11">
        <v>100</v>
      </c>
      <c r="M17" s="12" t="s">
        <v>23</v>
      </c>
    </row>
    <row r="18" spans="2:13">
      <c r="B18" s="3">
        <v>17</v>
      </c>
      <c r="C18" t="s">
        <v>411</v>
      </c>
      <c r="D18" s="4"/>
      <c r="E18" s="153">
        <v>3.5</v>
      </c>
      <c r="F18" s="155">
        <f t="shared" si="0"/>
        <v>70</v>
      </c>
      <c r="G18">
        <f>VLOOKUP($C18,약재관리!A:J,10,FALSE)</f>
        <v>10.5</v>
      </c>
      <c r="H18" s="5">
        <f t="shared" si="1"/>
        <v>36.75</v>
      </c>
      <c r="I18" s="6">
        <f t="shared" si="2"/>
        <v>735</v>
      </c>
      <c r="K18" s="161" t="s">
        <v>24</v>
      </c>
      <c r="L18" s="9">
        <f>SUM(E2:E31)</f>
        <v>102.5</v>
      </c>
      <c r="M18" s="10" t="s">
        <v>25</v>
      </c>
    </row>
    <row r="19" spans="2:13">
      <c r="B19" s="3">
        <v>18</v>
      </c>
      <c r="C19" t="s">
        <v>410</v>
      </c>
      <c r="D19" s="4"/>
      <c r="E19" s="153">
        <v>3.5</v>
      </c>
      <c r="F19" s="155">
        <f t="shared" si="0"/>
        <v>70</v>
      </c>
      <c r="G19">
        <f>VLOOKUP($C19,약재관리!A:J,10,FALSE)</f>
        <v>14.7</v>
      </c>
      <c r="H19" s="5">
        <f t="shared" si="1"/>
        <v>51.449999999999996</v>
      </c>
      <c r="I19" s="6">
        <f t="shared" si="2"/>
        <v>1029</v>
      </c>
      <c r="K19" s="160" t="s">
        <v>26</v>
      </c>
      <c r="L19">
        <f>L15*L18</f>
        <v>2050</v>
      </c>
      <c r="M19" s="4" t="s">
        <v>25</v>
      </c>
    </row>
    <row r="20" spans="2:13" ht="17.25" thickBot="1">
      <c r="B20" s="3">
        <v>19</v>
      </c>
      <c r="C20" t="s">
        <v>412</v>
      </c>
      <c r="D20" s="4"/>
      <c r="E20" s="153">
        <v>3.5</v>
      </c>
      <c r="F20" s="155">
        <f t="shared" si="0"/>
        <v>70</v>
      </c>
      <c r="G20">
        <f>VLOOKUP($C20,약재관리!A:J,10,FALSE)</f>
        <v>46.7</v>
      </c>
      <c r="H20" s="5">
        <f t="shared" si="1"/>
        <v>163.45000000000002</v>
      </c>
      <c r="I20" s="6">
        <f t="shared" si="2"/>
        <v>3269</v>
      </c>
      <c r="K20" s="14" t="s">
        <v>27</v>
      </c>
      <c r="L20" s="11">
        <f>L16*L17+L19</f>
        <v>6550</v>
      </c>
      <c r="M20" s="12" t="s">
        <v>23</v>
      </c>
    </row>
    <row r="21" spans="2:13" ht="17.25" thickBot="1">
      <c r="B21" s="3">
        <v>20</v>
      </c>
      <c r="C21" t="s">
        <v>415</v>
      </c>
      <c r="D21" s="4"/>
      <c r="E21" s="153">
        <v>2</v>
      </c>
      <c r="F21" s="155">
        <f t="shared" si="0"/>
        <v>40</v>
      </c>
      <c r="G21">
        <f>VLOOKUP($C21,약재관리!A:J,10,FALSE)</f>
        <v>22</v>
      </c>
      <c r="H21" s="5">
        <f t="shared" si="1"/>
        <v>44</v>
      </c>
      <c r="I21" s="6">
        <f t="shared" si="2"/>
        <v>880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2050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1794.4</v>
      </c>
      <c r="M30" s="4" t="s">
        <v>390</v>
      </c>
    </row>
    <row r="31" spans="2:13" ht="17.25" thickBot="1">
      <c r="B31" s="13">
        <v>30</v>
      </c>
      <c r="C31" s="14"/>
      <c r="D31" s="12"/>
      <c r="E31" s="165"/>
      <c r="F31" s="156">
        <f t="shared" si="0"/>
        <v>0</v>
      </c>
      <c r="G31" s="14"/>
      <c r="H31" s="15">
        <f t="shared" si="1"/>
        <v>0</v>
      </c>
      <c r="I31" s="16">
        <f t="shared" si="2"/>
        <v>0</v>
      </c>
      <c r="K31" s="14" t="s">
        <v>389</v>
      </c>
      <c r="L31" s="15">
        <f>SUM(I2:I31)</f>
        <v>35888</v>
      </c>
      <c r="M31" s="12" t="s">
        <v>390</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4" sqref="L4:M4"/>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394</v>
      </c>
      <c r="D2" s="4"/>
      <c r="E2" s="153">
        <v>20</v>
      </c>
      <c r="F2" s="155">
        <f t="shared" ref="F2:F31" si="0">E2*$L$15</f>
        <v>400</v>
      </c>
      <c r="G2">
        <f>VLOOKUP($C2,약재관리!A:J,10,FALSE)</f>
        <v>15.3</v>
      </c>
      <c r="H2" s="5">
        <f>G2*E2</f>
        <v>306</v>
      </c>
      <c r="I2" s="159">
        <f>G2*F2</f>
        <v>6120</v>
      </c>
      <c r="K2" s="7" t="s">
        <v>9</v>
      </c>
      <c r="L2" s="173">
        <v>5</v>
      </c>
      <c r="M2" s="174"/>
    </row>
    <row r="3" spans="2:13">
      <c r="B3" s="3">
        <v>2</v>
      </c>
      <c r="C3" t="s">
        <v>395</v>
      </c>
      <c r="D3" s="4"/>
      <c r="E3" s="153">
        <v>10</v>
      </c>
      <c r="F3" s="155">
        <f t="shared" si="0"/>
        <v>200</v>
      </c>
      <c r="G3">
        <f>VLOOKUP($C3,약재관리!A:J,10,FALSE)</f>
        <v>20</v>
      </c>
      <c r="H3" s="5">
        <f t="shared" ref="H3:H31" si="1">G3*E3</f>
        <v>200</v>
      </c>
      <c r="I3" s="6">
        <f t="shared" ref="I3:I31" si="2">G3*F3</f>
        <v>4000</v>
      </c>
      <c r="K3" s="8" t="s">
        <v>10</v>
      </c>
      <c r="L3" s="168" t="s">
        <v>413</v>
      </c>
      <c r="M3" s="169"/>
    </row>
    <row r="4" spans="2:13">
      <c r="B4" s="3">
        <v>3</v>
      </c>
      <c r="C4" t="s">
        <v>396</v>
      </c>
      <c r="D4" s="4"/>
      <c r="E4" s="153">
        <v>10</v>
      </c>
      <c r="F4" s="155">
        <f t="shared" si="0"/>
        <v>200</v>
      </c>
      <c r="G4">
        <f>VLOOKUP($C4,약재관리!A:J,10,FALSE)</f>
        <v>11.7</v>
      </c>
      <c r="H4" s="5">
        <f t="shared" si="1"/>
        <v>117</v>
      </c>
      <c r="I4" s="6">
        <f t="shared" si="2"/>
        <v>2340</v>
      </c>
      <c r="K4" s="8" t="s">
        <v>11</v>
      </c>
      <c r="L4" s="175">
        <v>45548</v>
      </c>
      <c r="M4" s="169"/>
    </row>
    <row r="5" spans="2:13">
      <c r="B5" s="3">
        <v>4</v>
      </c>
      <c r="C5" t="s">
        <v>398</v>
      </c>
      <c r="D5" s="4"/>
      <c r="E5" s="153">
        <v>5</v>
      </c>
      <c r="F5" s="155">
        <f t="shared" si="0"/>
        <v>100</v>
      </c>
      <c r="G5">
        <f>VLOOKUP($C5,약재관리!A:J,10,FALSE)</f>
        <v>0</v>
      </c>
      <c r="H5" s="5">
        <f t="shared" si="1"/>
        <v>0</v>
      </c>
      <c r="I5" s="6">
        <f t="shared" si="2"/>
        <v>0</v>
      </c>
      <c r="K5" s="8" t="s">
        <v>12</v>
      </c>
      <c r="L5" s="168" t="s">
        <v>414</v>
      </c>
      <c r="M5" s="169"/>
    </row>
    <row r="6" spans="2:13">
      <c r="B6" s="3">
        <v>5</v>
      </c>
      <c r="C6" t="s">
        <v>397</v>
      </c>
      <c r="D6" s="4"/>
      <c r="E6" s="153">
        <v>5</v>
      </c>
      <c r="F6" s="155">
        <f t="shared" si="0"/>
        <v>100</v>
      </c>
      <c r="G6">
        <f>VLOOKUP($C6,약재관리!A:J,10,FALSE)</f>
        <v>24</v>
      </c>
      <c r="H6" s="5">
        <f t="shared" si="1"/>
        <v>120</v>
      </c>
      <c r="I6" s="6">
        <f t="shared" si="2"/>
        <v>2400</v>
      </c>
      <c r="K6" s="8" t="s">
        <v>13</v>
      </c>
      <c r="L6" s="168"/>
      <c r="M6" s="169"/>
    </row>
    <row r="7" spans="2:13" ht="17.25" thickBot="1">
      <c r="B7" s="3">
        <v>6</v>
      </c>
      <c r="C7" t="s">
        <v>399</v>
      </c>
      <c r="D7" s="4"/>
      <c r="E7" s="153">
        <v>5</v>
      </c>
      <c r="F7" s="155">
        <f t="shared" si="0"/>
        <v>100</v>
      </c>
      <c r="G7">
        <f>VLOOKUP($C7,약재관리!A:J,10,FALSE)</f>
        <v>28.3</v>
      </c>
      <c r="H7" s="5">
        <f t="shared" si="1"/>
        <v>141.5</v>
      </c>
      <c r="I7" s="6">
        <f t="shared" si="2"/>
        <v>2830</v>
      </c>
      <c r="K7" s="8" t="s">
        <v>14</v>
      </c>
      <c r="L7" s="176"/>
      <c r="M7" s="177"/>
    </row>
    <row r="8" spans="2:13" ht="17.25" thickBot="1">
      <c r="B8" s="3">
        <v>7</v>
      </c>
      <c r="C8" t="s">
        <v>402</v>
      </c>
      <c r="D8" s="4"/>
      <c r="E8" s="153">
        <v>3.5</v>
      </c>
      <c r="F8" s="155">
        <f t="shared" si="0"/>
        <v>70</v>
      </c>
      <c r="G8">
        <f>VLOOKUP($C8,약재관리!A:J,10,FALSE)</f>
        <v>25</v>
      </c>
      <c r="H8" s="5">
        <f t="shared" si="1"/>
        <v>87.5</v>
      </c>
      <c r="I8" s="6">
        <f t="shared" si="2"/>
        <v>1750</v>
      </c>
      <c r="K8" s="170" t="s">
        <v>15</v>
      </c>
      <c r="L8" s="171"/>
      <c r="M8" s="172"/>
    </row>
    <row r="9" spans="2:13">
      <c r="B9" s="3">
        <v>8</v>
      </c>
      <c r="C9" t="s">
        <v>400</v>
      </c>
      <c r="D9" s="4"/>
      <c r="E9" s="153">
        <v>3.5</v>
      </c>
      <c r="F9" s="155">
        <f t="shared" si="0"/>
        <v>70</v>
      </c>
      <c r="G9">
        <f>VLOOKUP($C9,약재관리!A:J,10,FALSE)</f>
        <v>20</v>
      </c>
      <c r="H9" s="5">
        <f t="shared" si="1"/>
        <v>70</v>
      </c>
      <c r="I9" s="6">
        <f t="shared" si="2"/>
        <v>1400</v>
      </c>
      <c r="K9" s="178"/>
      <c r="L9" s="179"/>
      <c r="M9" s="180"/>
    </row>
    <row r="10" spans="2:13">
      <c r="B10" s="3">
        <v>9</v>
      </c>
      <c r="C10" t="s">
        <v>401</v>
      </c>
      <c r="D10" s="4"/>
      <c r="E10" s="153">
        <v>3.5</v>
      </c>
      <c r="F10" s="155">
        <f t="shared" si="0"/>
        <v>70</v>
      </c>
      <c r="G10">
        <f>VLOOKUP($C10,약재관리!A:J,10,FALSE)</f>
        <v>22</v>
      </c>
      <c r="H10" s="5">
        <f t="shared" si="1"/>
        <v>77</v>
      </c>
      <c r="I10" s="6">
        <f t="shared" si="2"/>
        <v>1540</v>
      </c>
      <c r="K10" s="181"/>
      <c r="L10" s="182"/>
      <c r="M10" s="183"/>
    </row>
    <row r="11" spans="2:13">
      <c r="B11" s="3">
        <v>10</v>
      </c>
      <c r="C11" t="s">
        <v>403</v>
      </c>
      <c r="D11" s="4"/>
      <c r="E11" s="153">
        <v>3.5</v>
      </c>
      <c r="F11" s="155">
        <f t="shared" si="0"/>
        <v>70</v>
      </c>
      <c r="G11">
        <f>VLOOKUP($C11,약재관리!A:J,10,FALSE)</f>
        <v>9.1999999999999993</v>
      </c>
      <c r="H11" s="5">
        <f t="shared" si="1"/>
        <v>32.199999999999996</v>
      </c>
      <c r="I11" s="6">
        <f t="shared" si="2"/>
        <v>644</v>
      </c>
      <c r="K11" s="181"/>
      <c r="L11" s="182"/>
      <c r="M11" s="183"/>
    </row>
    <row r="12" spans="2:13">
      <c r="B12" s="3">
        <v>11</v>
      </c>
      <c r="C12" t="s">
        <v>404</v>
      </c>
      <c r="D12" s="4"/>
      <c r="E12" s="153">
        <v>3.5</v>
      </c>
      <c r="F12" s="155">
        <f t="shared" si="0"/>
        <v>70</v>
      </c>
      <c r="G12">
        <f>VLOOKUP($C12,약재관리!A:J,10,FALSE)</f>
        <v>17.7</v>
      </c>
      <c r="H12" s="5">
        <f t="shared" si="1"/>
        <v>61.949999999999996</v>
      </c>
      <c r="I12" s="6">
        <f t="shared" si="2"/>
        <v>1239</v>
      </c>
      <c r="K12" s="181"/>
      <c r="L12" s="182"/>
      <c r="M12" s="183"/>
    </row>
    <row r="13" spans="2:13" ht="17.25" thickBot="1">
      <c r="B13" s="3">
        <v>12</v>
      </c>
      <c r="C13" t="s">
        <v>405</v>
      </c>
      <c r="D13" s="4"/>
      <c r="E13" s="153">
        <v>3.5</v>
      </c>
      <c r="F13" s="155">
        <f t="shared" si="0"/>
        <v>70</v>
      </c>
      <c r="G13">
        <f>VLOOKUP($C13,약재관리!A:J,10,FALSE)</f>
        <v>10.8</v>
      </c>
      <c r="H13" s="5">
        <f t="shared" si="1"/>
        <v>37.800000000000004</v>
      </c>
      <c r="I13" s="6">
        <f t="shared" si="2"/>
        <v>756</v>
      </c>
      <c r="K13" s="184"/>
      <c r="L13" s="185"/>
      <c r="M13" s="186"/>
    </row>
    <row r="14" spans="2:13">
      <c r="B14" s="3">
        <v>13</v>
      </c>
      <c r="C14" t="s">
        <v>406</v>
      </c>
      <c r="D14" s="4"/>
      <c r="E14" s="153">
        <v>3.5</v>
      </c>
      <c r="F14" s="155">
        <f t="shared" si="0"/>
        <v>70</v>
      </c>
      <c r="G14">
        <f>VLOOKUP($C14,약재관리!A:J,10,FALSE)</f>
        <v>38.799999999999997</v>
      </c>
      <c r="H14" s="5">
        <f t="shared" si="1"/>
        <v>135.79999999999998</v>
      </c>
      <c r="I14" s="6">
        <f t="shared" si="2"/>
        <v>2716</v>
      </c>
      <c r="K14" s="161" t="s">
        <v>16</v>
      </c>
      <c r="L14" s="9">
        <v>15</v>
      </c>
      <c r="M14" s="10" t="s">
        <v>17</v>
      </c>
    </row>
    <row r="15" spans="2:13">
      <c r="B15" s="3">
        <v>14</v>
      </c>
      <c r="C15" t="s">
        <v>407</v>
      </c>
      <c r="D15" s="4"/>
      <c r="E15" s="153">
        <v>3.5</v>
      </c>
      <c r="F15" s="155">
        <f t="shared" si="0"/>
        <v>70</v>
      </c>
      <c r="G15">
        <f>VLOOKUP($C15,약재관리!A:J,10,FALSE)</f>
        <v>12</v>
      </c>
      <c r="H15" s="5">
        <f t="shared" si="1"/>
        <v>42</v>
      </c>
      <c r="I15" s="6">
        <f t="shared" si="2"/>
        <v>840</v>
      </c>
      <c r="K15" s="160" t="s">
        <v>18</v>
      </c>
      <c r="L15">
        <v>20</v>
      </c>
      <c r="M15" s="4" t="s">
        <v>19</v>
      </c>
    </row>
    <row r="16" spans="2:13">
      <c r="B16" s="3">
        <v>15</v>
      </c>
      <c r="C16" t="s">
        <v>408</v>
      </c>
      <c r="D16" s="4"/>
      <c r="E16" s="153">
        <v>3.5</v>
      </c>
      <c r="F16" s="155">
        <f t="shared" si="0"/>
        <v>70</v>
      </c>
      <c r="G16">
        <f>VLOOKUP($C16,약재관리!A:J,10,FALSE)</f>
        <v>11.7</v>
      </c>
      <c r="H16" s="5">
        <f t="shared" si="1"/>
        <v>40.949999999999996</v>
      </c>
      <c r="I16" s="6">
        <f t="shared" si="2"/>
        <v>819</v>
      </c>
      <c r="K16" s="160" t="s">
        <v>20</v>
      </c>
      <c r="L16">
        <v>45</v>
      </c>
      <c r="M16" s="4" t="s">
        <v>21</v>
      </c>
    </row>
    <row r="17" spans="2:13" ht="17.25" thickBot="1">
      <c r="B17" s="3">
        <v>16</v>
      </c>
      <c r="C17" t="s">
        <v>409</v>
      </c>
      <c r="D17" s="4"/>
      <c r="E17" s="153">
        <v>3.5</v>
      </c>
      <c r="F17" s="155">
        <f t="shared" si="0"/>
        <v>70</v>
      </c>
      <c r="G17">
        <f>VLOOKUP($C17,약재관리!A:J,10,FALSE)</f>
        <v>8.3000000000000007</v>
      </c>
      <c r="H17" s="5">
        <f t="shared" si="1"/>
        <v>29.050000000000004</v>
      </c>
      <c r="I17" s="6">
        <f t="shared" si="2"/>
        <v>581</v>
      </c>
      <c r="K17" s="14" t="s">
        <v>22</v>
      </c>
      <c r="L17" s="11">
        <v>100</v>
      </c>
      <c r="M17" s="12" t="s">
        <v>23</v>
      </c>
    </row>
    <row r="18" spans="2:13">
      <c r="B18" s="3">
        <v>17</v>
      </c>
      <c r="C18" t="s">
        <v>411</v>
      </c>
      <c r="D18" s="4"/>
      <c r="E18" s="153">
        <v>3.5</v>
      </c>
      <c r="F18" s="155">
        <f t="shared" si="0"/>
        <v>70</v>
      </c>
      <c r="G18">
        <f>VLOOKUP($C18,약재관리!A:J,10,FALSE)</f>
        <v>10.5</v>
      </c>
      <c r="H18" s="5">
        <f t="shared" si="1"/>
        <v>36.75</v>
      </c>
      <c r="I18" s="6">
        <f t="shared" si="2"/>
        <v>735</v>
      </c>
      <c r="K18" s="161" t="s">
        <v>24</v>
      </c>
      <c r="L18" s="9">
        <f>SUM(E2:E31)</f>
        <v>100.5</v>
      </c>
      <c r="M18" s="10" t="s">
        <v>25</v>
      </c>
    </row>
    <row r="19" spans="2:13">
      <c r="B19" s="3">
        <v>18</v>
      </c>
      <c r="C19" t="s">
        <v>410</v>
      </c>
      <c r="D19" s="4"/>
      <c r="E19" s="153">
        <v>3.5</v>
      </c>
      <c r="F19" s="155">
        <f t="shared" si="0"/>
        <v>70</v>
      </c>
      <c r="G19">
        <f>VLOOKUP($C19,약재관리!A:J,10,FALSE)</f>
        <v>14.7</v>
      </c>
      <c r="H19" s="5">
        <f t="shared" si="1"/>
        <v>51.449999999999996</v>
      </c>
      <c r="I19" s="6">
        <f t="shared" si="2"/>
        <v>1029</v>
      </c>
      <c r="K19" s="160" t="s">
        <v>26</v>
      </c>
      <c r="L19">
        <f>L15*L18</f>
        <v>2010</v>
      </c>
      <c r="M19" s="4" t="s">
        <v>25</v>
      </c>
    </row>
    <row r="20" spans="2:13" ht="17.25" thickBot="1">
      <c r="B20" s="3">
        <v>19</v>
      </c>
      <c r="C20" t="s">
        <v>412</v>
      </c>
      <c r="D20" s="4"/>
      <c r="E20" s="153">
        <v>3.5</v>
      </c>
      <c r="F20" s="155">
        <f t="shared" si="0"/>
        <v>70</v>
      </c>
      <c r="G20">
        <f>VLOOKUP($C20,약재관리!A:J,10,FALSE)</f>
        <v>46.7</v>
      </c>
      <c r="H20" s="5">
        <f t="shared" si="1"/>
        <v>163.45000000000002</v>
      </c>
      <c r="I20" s="6">
        <f t="shared" si="2"/>
        <v>3269</v>
      </c>
      <c r="K20" s="14" t="s">
        <v>27</v>
      </c>
      <c r="L20" s="11">
        <f>L16*L17+L19</f>
        <v>6510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2010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1750.4</v>
      </c>
      <c r="M30" s="4" t="s">
        <v>390</v>
      </c>
    </row>
    <row r="31" spans="2:13" ht="17.25" thickBot="1">
      <c r="B31" s="13">
        <v>30</v>
      </c>
      <c r="C31" s="14"/>
      <c r="D31" s="12"/>
      <c r="E31" s="165"/>
      <c r="F31" s="156">
        <f t="shared" si="0"/>
        <v>0</v>
      </c>
      <c r="G31" s="14"/>
      <c r="H31" s="15">
        <f t="shared" si="1"/>
        <v>0</v>
      </c>
      <c r="I31" s="16">
        <f t="shared" si="2"/>
        <v>0</v>
      </c>
      <c r="K31" s="14" t="s">
        <v>389</v>
      </c>
      <c r="L31" s="15">
        <f>SUM(I2:I31)</f>
        <v>35008</v>
      </c>
      <c r="M31" s="12" t="s">
        <v>390</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1"/>
  <sheetViews>
    <sheetView topLeftCell="B156" zoomScaleNormal="100" workbookViewId="0">
      <selection activeCell="D175" sqref="D175"/>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28"/>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c r="C8" s="51">
        <v>20500</v>
      </c>
      <c r="D8" s="51">
        <v>24000</v>
      </c>
      <c r="E8" s="52"/>
      <c r="F8" s="53">
        <f t="shared" si="3"/>
        <v>0</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6400</v>
      </c>
      <c r="C22" s="51">
        <v>5600</v>
      </c>
      <c r="D22" s="51"/>
      <c r="E22" s="52"/>
      <c r="F22" s="53">
        <f t="shared" si="3"/>
        <v>12.8</v>
      </c>
      <c r="G22" s="54">
        <f t="shared" si="5"/>
        <v>11.2</v>
      </c>
      <c r="H22" s="54">
        <f t="shared" si="1"/>
        <v>0</v>
      </c>
      <c r="I22" s="55">
        <f t="shared" si="2"/>
        <v>0</v>
      </c>
      <c r="J22" s="56">
        <v>12.8</v>
      </c>
      <c r="K22" s="57"/>
      <c r="L22" s="58"/>
      <c r="M22" s="58"/>
      <c r="N22" s="59"/>
    </row>
    <row r="23" spans="1:14" ht="15.75" customHeight="1">
      <c r="A23" s="50" t="s">
        <v>81</v>
      </c>
      <c r="B23" s="51"/>
      <c r="C23" s="51">
        <v>3500</v>
      </c>
      <c r="D23" s="51"/>
      <c r="E23" s="52"/>
      <c r="F23" s="53">
        <f t="shared" si="3"/>
        <v>0</v>
      </c>
      <c r="G23" s="54">
        <f t="shared" si="5"/>
        <v>7</v>
      </c>
      <c r="H23" s="54">
        <f t="shared" si="1"/>
        <v>0</v>
      </c>
      <c r="I23" s="55">
        <f t="shared" si="2"/>
        <v>0</v>
      </c>
      <c r="J23" s="56">
        <v>7</v>
      </c>
      <c r="K23" s="57"/>
      <c r="L23" s="58"/>
      <c r="M23" s="58"/>
      <c r="N23" s="59"/>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8100</v>
      </c>
      <c r="F26" s="53">
        <f t="shared" si="3"/>
        <v>29.8</v>
      </c>
      <c r="G26" s="54">
        <f>C26/500</f>
        <v>17.399999999999999</v>
      </c>
      <c r="H26" s="54">
        <f t="shared" si="1"/>
        <v>15</v>
      </c>
      <c r="I26" s="68">
        <f t="shared" si="2"/>
        <v>13.5</v>
      </c>
      <c r="J26" s="56">
        <v>13.5</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c r="D51" s="51"/>
      <c r="E51" s="52"/>
      <c r="F51" s="53">
        <f t="shared" si="9"/>
        <v>0</v>
      </c>
      <c r="G51" s="54">
        <f>C51/500</f>
        <v>0</v>
      </c>
      <c r="H51" s="54">
        <f t="shared" si="10"/>
        <v>0</v>
      </c>
      <c r="I51" s="55">
        <f t="shared" si="10"/>
        <v>0</v>
      </c>
      <c r="K51" s="57"/>
      <c r="L51" s="58"/>
      <c r="M51" s="58"/>
      <c r="N51" s="59"/>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7"/>
      <c r="L71" s="58"/>
      <c r="M71" s="58"/>
      <c r="N71" s="157"/>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9000</v>
      </c>
      <c r="C74" s="51">
        <v>9000</v>
      </c>
      <c r="D74" s="51">
        <v>15000</v>
      </c>
      <c r="E74" s="52">
        <v>9200</v>
      </c>
      <c r="F74" s="53">
        <f t="shared" si="15"/>
        <v>18</v>
      </c>
      <c r="G74" s="54">
        <f t="shared" si="12"/>
        <v>18</v>
      </c>
      <c r="H74" s="54">
        <f t="shared" si="14"/>
        <v>25</v>
      </c>
      <c r="I74" s="68">
        <f t="shared" si="13"/>
        <v>15.333333333333334</v>
      </c>
      <c r="J74" s="56">
        <v>15.3</v>
      </c>
      <c r="K74" s="94"/>
      <c r="L74" s="58" t="s">
        <v>175</v>
      </c>
      <c r="M74" s="58"/>
      <c r="N74" s="59" t="s">
        <v>44</v>
      </c>
    </row>
    <row r="75" spans="1:14" ht="15.75" customHeight="1">
      <c r="A75" s="50" t="s">
        <v>176</v>
      </c>
      <c r="B75" s="51"/>
      <c r="C75" s="51">
        <v>13000</v>
      </c>
      <c r="D75" s="51">
        <v>15000</v>
      </c>
      <c r="E75" s="52">
        <v>16300</v>
      </c>
      <c r="F75" s="53">
        <f t="shared" si="15"/>
        <v>0</v>
      </c>
      <c r="G75" s="54">
        <f t="shared" si="12"/>
        <v>26</v>
      </c>
      <c r="H75" s="60">
        <f t="shared" si="14"/>
        <v>25</v>
      </c>
      <c r="I75" s="55">
        <f t="shared" si="13"/>
        <v>27.166666666666668</v>
      </c>
      <c r="J75" s="56">
        <v>27.2</v>
      </c>
      <c r="K75" s="57"/>
      <c r="L75" s="58"/>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384</v>
      </c>
      <c r="B81" s="51">
        <v>9900</v>
      </c>
      <c r="C81" s="51">
        <v>5500</v>
      </c>
      <c r="D81" s="51">
        <v>7000</v>
      </c>
      <c r="E81" s="52">
        <v>6600</v>
      </c>
      <c r="F81" s="53">
        <f t="shared" si="15"/>
        <v>19.8</v>
      </c>
      <c r="G81" s="54">
        <f t="shared" ref="G81:G98" si="16">C81/500</f>
        <v>11</v>
      </c>
      <c r="H81" s="54">
        <f t="shared" si="14"/>
        <v>11.666666666666666</v>
      </c>
      <c r="I81" s="68">
        <f t="shared" si="13"/>
        <v>11</v>
      </c>
      <c r="J81" s="56">
        <v>11</v>
      </c>
      <c r="K81" s="158"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385</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26600</v>
      </c>
      <c r="D116" s="51">
        <v>38000</v>
      </c>
      <c r="E116" s="52">
        <v>42700</v>
      </c>
      <c r="F116" s="53">
        <f t="shared" si="19"/>
        <v>0</v>
      </c>
      <c r="G116" s="60">
        <f t="shared" si="22"/>
        <v>53.2</v>
      </c>
      <c r="H116" s="54">
        <f t="shared" si="21"/>
        <v>63.333333333333336</v>
      </c>
      <c r="I116" s="55">
        <f t="shared" si="23"/>
        <v>71.166666666666671</v>
      </c>
      <c r="J116" s="56">
        <v>53.2</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c r="F118" s="53">
        <f t="shared" si="19"/>
        <v>0</v>
      </c>
      <c r="G118" s="54">
        <f t="shared" si="22"/>
        <v>16.399999999999999</v>
      </c>
      <c r="H118" s="54">
        <f t="shared" si="21"/>
        <v>20</v>
      </c>
      <c r="I118" s="55">
        <f t="shared" si="23"/>
        <v>0</v>
      </c>
      <c r="J118" s="56">
        <v>20</v>
      </c>
      <c r="K118" s="57"/>
      <c r="L118" s="58"/>
      <c r="M118" s="58"/>
      <c r="N118" s="59"/>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101" t="s">
        <v>259</v>
      </c>
      <c r="M129" s="102"/>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3" si="26">D147/600</f>
        <v>26.666666666666668</v>
      </c>
      <c r="I147" s="55">
        <f t="shared" ref="I147:I183" si="27">E147/600</f>
        <v>27.5</v>
      </c>
      <c r="J147" s="56">
        <v>27.5</v>
      </c>
      <c r="K147" s="57"/>
      <c r="L147" s="58" t="s">
        <v>65</v>
      </c>
      <c r="M147" s="58"/>
      <c r="N147" s="59" t="s">
        <v>286</v>
      </c>
    </row>
    <row r="148" spans="1:14" ht="15" customHeight="1">
      <c r="A148" s="103"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3"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3"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3"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3"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3"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3"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3"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3"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3"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3"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3"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3"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10.5</v>
      </c>
      <c r="K161" s="96"/>
      <c r="L161" s="97" t="s">
        <v>304</v>
      </c>
      <c r="M161" s="85" t="s">
        <v>305</v>
      </c>
      <c r="N161" s="95" t="s">
        <v>306</v>
      </c>
    </row>
    <row r="162" spans="1:14" ht="15" customHeight="1">
      <c r="A162" s="103"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4"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5"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6"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6" t="s">
        <v>311</v>
      </c>
      <c r="B166" s="51">
        <v>31900</v>
      </c>
      <c r="C166" s="51"/>
      <c r="D166" s="51">
        <v>17000</v>
      </c>
      <c r="E166" s="52">
        <v>25800</v>
      </c>
      <c r="F166" s="53">
        <f t="shared" ref="F166:F183"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6" t="s">
        <v>315</v>
      </c>
      <c r="B167" s="51"/>
      <c r="C167" s="51">
        <v>12000</v>
      </c>
      <c r="D167" s="51"/>
      <c r="E167" s="52">
        <v>13400</v>
      </c>
      <c r="F167" s="53">
        <f t="shared" si="29"/>
        <v>0</v>
      </c>
      <c r="G167" s="107">
        <f t="shared" si="28"/>
        <v>24</v>
      </c>
      <c r="H167" s="54">
        <f t="shared" si="26"/>
        <v>0</v>
      </c>
      <c r="I167" s="68">
        <f t="shared" si="27"/>
        <v>22.333333333333332</v>
      </c>
      <c r="J167" s="56">
        <v>24</v>
      </c>
      <c r="K167" s="57"/>
      <c r="L167" s="84" t="s">
        <v>50</v>
      </c>
      <c r="M167" s="58"/>
      <c r="N167" s="59" t="s">
        <v>84</v>
      </c>
    </row>
    <row r="168" spans="1:14" ht="15" customHeight="1">
      <c r="A168" s="106"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4" si="30">C169/500</f>
        <v>0</v>
      </c>
      <c r="H169" s="54">
        <f t="shared" si="26"/>
        <v>0</v>
      </c>
      <c r="I169" s="55">
        <f t="shared" si="27"/>
        <v>20.833333333333332</v>
      </c>
      <c r="J169" s="56">
        <v>20.8</v>
      </c>
      <c r="K169" s="57"/>
      <c r="L169" s="58"/>
      <c r="M169" s="58"/>
      <c r="N169" s="59" t="s">
        <v>42</v>
      </c>
    </row>
    <row r="170" spans="1:14" ht="15" customHeight="1">
      <c r="A170" s="106"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6"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6"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6" t="s">
        <v>415</v>
      </c>
      <c r="B173" s="51"/>
      <c r="C173" s="51">
        <v>11000</v>
      </c>
      <c r="D173" s="51"/>
      <c r="E173" s="52"/>
      <c r="F173" s="53"/>
      <c r="G173" s="54">
        <f t="shared" si="30"/>
        <v>22</v>
      </c>
      <c r="H173" s="54"/>
      <c r="I173" s="55"/>
      <c r="J173" s="56">
        <v>22</v>
      </c>
      <c r="K173" s="57"/>
      <c r="L173" s="58" t="s">
        <v>416</v>
      </c>
      <c r="M173" s="58"/>
      <c r="N173" s="59"/>
    </row>
    <row r="174" spans="1:14" ht="15" customHeight="1">
      <c r="A174" s="106" t="s">
        <v>324</v>
      </c>
      <c r="B174" s="51"/>
      <c r="C174" s="51"/>
      <c r="D174" s="51"/>
      <c r="E174" s="52"/>
      <c r="F174" s="53">
        <f t="shared" si="29"/>
        <v>0</v>
      </c>
      <c r="G174" s="54">
        <f t="shared" si="30"/>
        <v>0</v>
      </c>
      <c r="H174" s="54">
        <f t="shared" si="26"/>
        <v>0</v>
      </c>
      <c r="I174" s="55">
        <f t="shared" si="27"/>
        <v>0</v>
      </c>
      <c r="K174" s="57"/>
      <c r="L174" s="58"/>
      <c r="M174" s="58"/>
      <c r="N174" s="59"/>
    </row>
    <row r="175" spans="1:14" ht="15" customHeight="1">
      <c r="A175" s="106" t="s">
        <v>325</v>
      </c>
      <c r="B175" s="51"/>
      <c r="C175" s="51">
        <v>11300</v>
      </c>
      <c r="D175" s="51"/>
      <c r="E175" s="52">
        <v>14200</v>
      </c>
      <c r="F175" s="53">
        <f t="shared" si="29"/>
        <v>0</v>
      </c>
      <c r="G175" s="54">
        <f t="shared" si="30"/>
        <v>22.6</v>
      </c>
      <c r="H175" s="54">
        <f t="shared" si="26"/>
        <v>0</v>
      </c>
      <c r="I175" s="55">
        <f t="shared" si="27"/>
        <v>23.666666666666668</v>
      </c>
      <c r="J175" s="56">
        <v>22.6</v>
      </c>
      <c r="K175" s="57"/>
      <c r="L175" s="58" t="s">
        <v>42</v>
      </c>
      <c r="M175" s="58"/>
      <c r="N175" s="59" t="s">
        <v>42</v>
      </c>
    </row>
    <row r="176" spans="1:14" ht="15" customHeight="1">
      <c r="A176" s="106" t="s">
        <v>326</v>
      </c>
      <c r="B176" s="51"/>
      <c r="C176" s="51"/>
      <c r="D176" s="51">
        <v>8500</v>
      </c>
      <c r="E176" s="52"/>
      <c r="F176" s="53">
        <f t="shared" si="29"/>
        <v>0</v>
      </c>
      <c r="G176" s="54">
        <f t="shared" si="30"/>
        <v>0</v>
      </c>
      <c r="H176" s="54">
        <f t="shared" si="26"/>
        <v>14.166666666666666</v>
      </c>
      <c r="I176" s="55">
        <f t="shared" si="27"/>
        <v>0</v>
      </c>
      <c r="J176" s="56">
        <v>14.2</v>
      </c>
      <c r="K176" s="57"/>
      <c r="L176" s="58"/>
      <c r="M176" s="58"/>
      <c r="N176" s="59"/>
    </row>
    <row r="177" spans="1:14" ht="15" customHeight="1">
      <c r="A177" s="106" t="s">
        <v>327</v>
      </c>
      <c r="B177" s="51"/>
      <c r="C177" s="51">
        <v>3300</v>
      </c>
      <c r="D177" s="51">
        <v>5800</v>
      </c>
      <c r="E177" s="52">
        <v>4400</v>
      </c>
      <c r="F177" s="53">
        <f t="shared" si="29"/>
        <v>0</v>
      </c>
      <c r="G177" s="54">
        <f t="shared" si="30"/>
        <v>6.6</v>
      </c>
      <c r="H177" s="54">
        <f t="shared" si="26"/>
        <v>9.6666666666666661</v>
      </c>
      <c r="I177" s="55">
        <f t="shared" si="27"/>
        <v>7.333333333333333</v>
      </c>
      <c r="J177" s="56">
        <v>7.3</v>
      </c>
      <c r="K177" s="57"/>
      <c r="L177" s="58"/>
      <c r="M177" s="58" t="s">
        <v>328</v>
      </c>
      <c r="N177" s="59" t="s">
        <v>84</v>
      </c>
    </row>
    <row r="178" spans="1:14" ht="15" customHeight="1">
      <c r="A178" s="106" t="s">
        <v>329</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6" t="s">
        <v>330</v>
      </c>
      <c r="B179" s="51"/>
      <c r="C179" s="51"/>
      <c r="D179" s="51"/>
      <c r="E179" s="52"/>
      <c r="F179" s="53">
        <f t="shared" si="29"/>
        <v>0</v>
      </c>
      <c r="G179" s="54">
        <f t="shared" si="30"/>
        <v>0</v>
      </c>
      <c r="H179" s="54">
        <f t="shared" si="26"/>
        <v>0</v>
      </c>
      <c r="I179" s="55">
        <f t="shared" si="27"/>
        <v>0</v>
      </c>
      <c r="K179" s="57"/>
      <c r="L179" s="58"/>
      <c r="M179" s="58"/>
      <c r="N179" s="59"/>
    </row>
    <row r="180" spans="1:14" ht="15" customHeight="1">
      <c r="A180" s="106" t="s">
        <v>331</v>
      </c>
      <c r="B180" s="51"/>
      <c r="C180" s="51">
        <v>5800</v>
      </c>
      <c r="D180" s="51">
        <v>7000</v>
      </c>
      <c r="E180" s="52"/>
      <c r="F180" s="53">
        <f t="shared" si="29"/>
        <v>0</v>
      </c>
      <c r="G180" s="54">
        <f t="shared" si="30"/>
        <v>11.6</v>
      </c>
      <c r="H180" s="54">
        <f t="shared" si="26"/>
        <v>11.666666666666666</v>
      </c>
      <c r="I180" s="55">
        <f t="shared" si="27"/>
        <v>0</v>
      </c>
      <c r="J180" s="56">
        <v>11.7</v>
      </c>
      <c r="K180" s="57"/>
      <c r="L180" s="58" t="s">
        <v>274</v>
      </c>
      <c r="M180" s="58"/>
      <c r="N180" s="59"/>
    </row>
    <row r="181" spans="1:14" ht="15" customHeight="1">
      <c r="A181" s="106" t="s">
        <v>332</v>
      </c>
      <c r="B181" s="51"/>
      <c r="C181" s="51"/>
      <c r="D181" s="51"/>
      <c r="E181" s="52"/>
      <c r="F181" s="53">
        <f t="shared" si="29"/>
        <v>0</v>
      </c>
      <c r="G181" s="54">
        <f t="shared" si="30"/>
        <v>0</v>
      </c>
      <c r="H181" s="54">
        <f t="shared" si="26"/>
        <v>0</v>
      </c>
      <c r="I181" s="55">
        <f t="shared" si="27"/>
        <v>0</v>
      </c>
      <c r="K181" s="57"/>
      <c r="L181" s="58"/>
      <c r="M181" s="58"/>
      <c r="N181" s="59"/>
    </row>
    <row r="182" spans="1:14" ht="15" customHeight="1" thickBot="1">
      <c r="A182" s="108" t="s">
        <v>333</v>
      </c>
      <c r="B182" s="69">
        <v>10800</v>
      </c>
      <c r="C182" s="69">
        <v>10500</v>
      </c>
      <c r="D182" s="69">
        <v>7500</v>
      </c>
      <c r="E182" s="70">
        <v>12800</v>
      </c>
      <c r="F182" s="71">
        <f t="shared" si="29"/>
        <v>21.6</v>
      </c>
      <c r="G182" s="72">
        <f t="shared" si="30"/>
        <v>21</v>
      </c>
      <c r="H182" s="72">
        <f t="shared" si="26"/>
        <v>12.5</v>
      </c>
      <c r="I182" s="88">
        <f t="shared" si="27"/>
        <v>21.333333333333332</v>
      </c>
      <c r="J182" s="74">
        <v>21.3</v>
      </c>
      <c r="K182" s="109"/>
      <c r="L182" s="76" t="s">
        <v>42</v>
      </c>
      <c r="M182" s="77"/>
      <c r="N182" s="90" t="s">
        <v>190</v>
      </c>
    </row>
    <row r="183" spans="1:14" ht="15" customHeight="1">
      <c r="A183" s="110" t="s">
        <v>334</v>
      </c>
      <c r="B183" s="111"/>
      <c r="C183" s="111">
        <v>11800</v>
      </c>
      <c r="D183" s="111">
        <v>14000</v>
      </c>
      <c r="E183" s="112">
        <v>14200</v>
      </c>
      <c r="F183" s="113">
        <f t="shared" si="29"/>
        <v>0</v>
      </c>
      <c r="G183" s="114">
        <f t="shared" si="30"/>
        <v>23.6</v>
      </c>
      <c r="H183" s="114">
        <f t="shared" si="26"/>
        <v>23.333333333333332</v>
      </c>
      <c r="I183" s="115">
        <f t="shared" si="27"/>
        <v>23.666666666666668</v>
      </c>
      <c r="J183" s="116">
        <v>23.7</v>
      </c>
      <c r="K183" s="117"/>
      <c r="L183" s="118" t="s">
        <v>42</v>
      </c>
      <c r="M183" s="119" t="s">
        <v>62</v>
      </c>
      <c r="N183" s="120" t="s">
        <v>44</v>
      </c>
    </row>
    <row r="184" spans="1:14" ht="15" customHeight="1">
      <c r="A184" s="121" t="s">
        <v>335</v>
      </c>
      <c r="B184" s="122"/>
      <c r="C184" s="51">
        <v>5500</v>
      </c>
      <c r="D184" s="51"/>
      <c r="E184" s="52"/>
      <c r="F184" s="123"/>
      <c r="G184" s="54">
        <f t="shared" si="30"/>
        <v>11</v>
      </c>
      <c r="H184" s="54"/>
      <c r="I184" s="55"/>
      <c r="J184" s="56">
        <v>11</v>
      </c>
      <c r="K184" s="124"/>
      <c r="L184" s="58" t="s">
        <v>336</v>
      </c>
      <c r="M184" s="125"/>
      <c r="N184" s="126"/>
    </row>
    <row r="185" spans="1:14" ht="15" customHeight="1" thickBot="1">
      <c r="A185" s="104" t="s">
        <v>337</v>
      </c>
      <c r="B185" s="127"/>
      <c r="C185" s="128">
        <v>10000</v>
      </c>
      <c r="D185" s="128">
        <v>10000</v>
      </c>
      <c r="E185" s="129"/>
      <c r="F185" s="130">
        <f t="shared" ref="F185:F205" si="31">B185/500</f>
        <v>0</v>
      </c>
      <c r="G185" s="131">
        <f t="shared" ref="G185:I187" si="32">C185/600</f>
        <v>16.666666666666668</v>
      </c>
      <c r="H185" s="131">
        <f t="shared" si="32"/>
        <v>16.666666666666668</v>
      </c>
      <c r="I185" s="132">
        <f t="shared" si="32"/>
        <v>0</v>
      </c>
      <c r="J185" s="133"/>
      <c r="K185" s="134"/>
      <c r="L185" s="135" t="s">
        <v>105</v>
      </c>
      <c r="M185" s="136" t="s">
        <v>338</v>
      </c>
      <c r="N185" s="137"/>
    </row>
    <row r="186" spans="1:14" ht="15" customHeight="1">
      <c r="A186" s="105" t="s">
        <v>339</v>
      </c>
      <c r="B186" s="39"/>
      <c r="C186" s="39">
        <v>4700</v>
      </c>
      <c r="D186" s="39">
        <v>5500</v>
      </c>
      <c r="E186" s="40">
        <v>4700</v>
      </c>
      <c r="F186" s="41">
        <f t="shared" si="31"/>
        <v>0</v>
      </c>
      <c r="G186" s="42">
        <f t="shared" si="32"/>
        <v>7.833333333333333</v>
      </c>
      <c r="H186" s="42">
        <f t="shared" si="32"/>
        <v>9.1666666666666661</v>
      </c>
      <c r="I186" s="81">
        <f t="shared" si="32"/>
        <v>7.833333333333333</v>
      </c>
      <c r="J186" s="44">
        <v>9.1999999999999993</v>
      </c>
      <c r="K186" s="45"/>
      <c r="L186" s="46" t="s">
        <v>340</v>
      </c>
      <c r="M186" s="47" t="s">
        <v>341</v>
      </c>
      <c r="N186" s="48" t="s">
        <v>342</v>
      </c>
    </row>
    <row r="187" spans="1:14" ht="15" customHeight="1">
      <c r="A187" s="106" t="s">
        <v>343</v>
      </c>
      <c r="B187" s="51"/>
      <c r="C187" s="51">
        <v>21000</v>
      </c>
      <c r="D187" s="51">
        <v>25500</v>
      </c>
      <c r="E187" s="52">
        <v>25400</v>
      </c>
      <c r="F187" s="53">
        <f t="shared" si="31"/>
        <v>0</v>
      </c>
      <c r="G187" s="60">
        <f t="shared" si="32"/>
        <v>35</v>
      </c>
      <c r="H187" s="54">
        <f t="shared" si="32"/>
        <v>42.5</v>
      </c>
      <c r="I187" s="55">
        <f t="shared" si="32"/>
        <v>42.333333333333336</v>
      </c>
      <c r="J187" s="56">
        <v>35</v>
      </c>
      <c r="K187" s="57"/>
      <c r="L187" s="58" t="s">
        <v>344</v>
      </c>
      <c r="M187" s="58"/>
      <c r="N187" s="59" t="s">
        <v>84</v>
      </c>
    </row>
    <row r="188" spans="1:14" ht="15" customHeight="1">
      <c r="A188" s="106" t="s">
        <v>345</v>
      </c>
      <c r="B188" s="51"/>
      <c r="C188" s="51">
        <v>14000</v>
      </c>
      <c r="D188" s="51">
        <v>18000</v>
      </c>
      <c r="E188" s="52"/>
      <c r="F188" s="53">
        <f t="shared" si="31"/>
        <v>0</v>
      </c>
      <c r="G188" s="54">
        <f>C188/500</f>
        <v>28</v>
      </c>
      <c r="H188" s="54">
        <f t="shared" ref="H188:I193" si="33">D188/600</f>
        <v>30</v>
      </c>
      <c r="I188" s="55">
        <f t="shared" si="33"/>
        <v>0</v>
      </c>
      <c r="J188" s="56">
        <v>30</v>
      </c>
      <c r="K188" s="57"/>
      <c r="L188" s="58"/>
      <c r="M188" s="58"/>
      <c r="N188" s="59"/>
    </row>
    <row r="189" spans="1:14" ht="15" customHeight="1">
      <c r="A189" s="106" t="s">
        <v>346</v>
      </c>
      <c r="B189" s="51"/>
      <c r="C189" s="51"/>
      <c r="D189" s="51"/>
      <c r="E189" s="52"/>
      <c r="F189" s="53">
        <f t="shared" si="31"/>
        <v>0</v>
      </c>
      <c r="G189" s="54">
        <f>C189/500</f>
        <v>0</v>
      </c>
      <c r="H189" s="54">
        <f t="shared" si="33"/>
        <v>0</v>
      </c>
      <c r="I189" s="55">
        <f t="shared" si="33"/>
        <v>0</v>
      </c>
      <c r="K189" s="57"/>
      <c r="L189" s="58"/>
      <c r="M189" s="58"/>
      <c r="N189" s="59"/>
    </row>
    <row r="190" spans="1:14" ht="15" customHeight="1" thickBot="1">
      <c r="A190" s="108" t="s">
        <v>347</v>
      </c>
      <c r="B190" s="69"/>
      <c r="C190" s="69">
        <v>5200</v>
      </c>
      <c r="D190" s="69"/>
      <c r="E190" s="70">
        <v>5600</v>
      </c>
      <c r="F190" s="71">
        <f t="shared" si="31"/>
        <v>0</v>
      </c>
      <c r="G190" s="87">
        <f>C190/600</f>
        <v>8.6666666666666661</v>
      </c>
      <c r="H190" s="72">
        <f t="shared" si="33"/>
        <v>0</v>
      </c>
      <c r="I190" s="88">
        <f t="shared" si="33"/>
        <v>9.3333333333333339</v>
      </c>
      <c r="J190" s="74">
        <v>8.6999999999999993</v>
      </c>
      <c r="K190" s="89"/>
      <c r="L190" s="76" t="s">
        <v>348</v>
      </c>
      <c r="M190" s="76"/>
      <c r="N190" s="90" t="s">
        <v>349</v>
      </c>
    </row>
    <row r="191" spans="1:14" ht="15" customHeight="1">
      <c r="A191" s="110" t="s">
        <v>350</v>
      </c>
      <c r="B191" s="39"/>
      <c r="C191" s="39">
        <v>4000</v>
      </c>
      <c r="D191" s="39">
        <v>5500</v>
      </c>
      <c r="E191" s="40">
        <v>5100</v>
      </c>
      <c r="F191" s="41">
        <f t="shared" si="31"/>
        <v>0</v>
      </c>
      <c r="G191" s="42">
        <f t="shared" ref="G191:G205" si="34">C191/500</f>
        <v>8</v>
      </c>
      <c r="H191" s="42">
        <f t="shared" si="33"/>
        <v>9.1666666666666661</v>
      </c>
      <c r="I191" s="81">
        <f t="shared" si="33"/>
        <v>8.5</v>
      </c>
      <c r="J191" s="44">
        <v>8</v>
      </c>
      <c r="K191" s="45"/>
      <c r="L191" s="46" t="s">
        <v>50</v>
      </c>
      <c r="M191" s="46"/>
      <c r="N191" s="48"/>
    </row>
    <row r="192" spans="1:14" ht="15" customHeight="1">
      <c r="A192" s="103" t="s">
        <v>351</v>
      </c>
      <c r="B192" s="51"/>
      <c r="C192" s="51">
        <v>5900</v>
      </c>
      <c r="D192" s="51">
        <v>6500</v>
      </c>
      <c r="E192" s="52"/>
      <c r="F192" s="53">
        <f t="shared" si="31"/>
        <v>0</v>
      </c>
      <c r="G192" s="54">
        <f t="shared" si="34"/>
        <v>11.8</v>
      </c>
      <c r="H192" s="54">
        <f t="shared" si="33"/>
        <v>10.833333333333334</v>
      </c>
      <c r="I192" s="55">
        <f t="shared" si="33"/>
        <v>0</v>
      </c>
      <c r="J192" s="56">
        <v>10.8</v>
      </c>
      <c r="K192" s="57"/>
      <c r="L192" s="58"/>
      <c r="M192" s="67" t="s">
        <v>352</v>
      </c>
      <c r="N192" s="59"/>
    </row>
    <row r="193" spans="1:14" ht="15" customHeight="1">
      <c r="A193" s="103" t="s">
        <v>353</v>
      </c>
      <c r="B193" s="51"/>
      <c r="C193" s="51">
        <v>7600</v>
      </c>
      <c r="D193" s="51">
        <v>9500</v>
      </c>
      <c r="E193" s="52">
        <v>8800</v>
      </c>
      <c r="F193" s="53">
        <f t="shared" si="31"/>
        <v>0</v>
      </c>
      <c r="G193" s="54">
        <f t="shared" si="34"/>
        <v>15.2</v>
      </c>
      <c r="H193" s="54">
        <f t="shared" si="33"/>
        <v>15.833333333333334</v>
      </c>
      <c r="I193" s="68">
        <f t="shared" si="33"/>
        <v>14.666666666666666</v>
      </c>
      <c r="J193" s="56">
        <v>14.7</v>
      </c>
      <c r="K193" s="57"/>
      <c r="L193" s="61" t="s">
        <v>42</v>
      </c>
      <c r="M193" s="67" t="s">
        <v>354</v>
      </c>
      <c r="N193" s="59" t="s">
        <v>42</v>
      </c>
    </row>
    <row r="194" spans="1:14" ht="15" customHeight="1">
      <c r="A194" s="103" t="s">
        <v>355</v>
      </c>
      <c r="B194" s="51"/>
      <c r="C194" s="51"/>
      <c r="D194" s="51"/>
      <c r="E194" s="52">
        <v>39000</v>
      </c>
      <c r="F194" s="53">
        <f t="shared" si="31"/>
        <v>0</v>
      </c>
      <c r="G194" s="54">
        <f t="shared" si="34"/>
        <v>0</v>
      </c>
      <c r="H194" s="54">
        <f>D194/600</f>
        <v>0</v>
      </c>
      <c r="I194" s="55">
        <f>E194/1000</f>
        <v>39</v>
      </c>
      <c r="J194" s="56">
        <v>39</v>
      </c>
      <c r="K194" s="57"/>
      <c r="L194" s="58"/>
      <c r="M194" s="58"/>
      <c r="N194" s="59" t="s">
        <v>356</v>
      </c>
    </row>
    <row r="195" spans="1:14" ht="15" customHeight="1">
      <c r="A195" s="103" t="s">
        <v>357</v>
      </c>
      <c r="B195" s="51"/>
      <c r="C195" s="51">
        <v>12000</v>
      </c>
      <c r="D195" s="51">
        <v>6000</v>
      </c>
      <c r="E195" s="52"/>
      <c r="F195" s="53">
        <f t="shared" si="31"/>
        <v>0</v>
      </c>
      <c r="G195" s="54">
        <f t="shared" si="34"/>
        <v>24</v>
      </c>
      <c r="H195" s="54">
        <f>D195/600</f>
        <v>10</v>
      </c>
      <c r="I195" s="55">
        <f t="shared" ref="I195:I205" si="35">E195/600</f>
        <v>0</v>
      </c>
      <c r="J195" s="56">
        <v>24</v>
      </c>
      <c r="K195" s="57"/>
      <c r="L195" s="58" t="s">
        <v>358</v>
      </c>
      <c r="M195" s="58" t="s">
        <v>254</v>
      </c>
      <c r="N195" s="59"/>
    </row>
    <row r="196" spans="1:14" ht="15" customHeight="1">
      <c r="A196" s="103" t="s">
        <v>359</v>
      </c>
      <c r="B196" s="51"/>
      <c r="C196" s="51">
        <v>23000</v>
      </c>
      <c r="D196" s="51">
        <v>28000</v>
      </c>
      <c r="E196" s="52"/>
      <c r="F196" s="53">
        <f t="shared" si="31"/>
        <v>0</v>
      </c>
      <c r="G196" s="54">
        <f t="shared" si="34"/>
        <v>46</v>
      </c>
      <c r="H196" s="54">
        <f>D196/600</f>
        <v>46.666666666666664</v>
      </c>
      <c r="I196" s="55">
        <f t="shared" si="35"/>
        <v>0</v>
      </c>
      <c r="J196" s="56">
        <v>46.7</v>
      </c>
      <c r="K196" s="57"/>
      <c r="L196" s="58"/>
      <c r="M196" s="67"/>
      <c r="N196" s="59"/>
    </row>
    <row r="197" spans="1:14" ht="15" customHeight="1">
      <c r="A197" s="103" t="s">
        <v>360</v>
      </c>
      <c r="B197" s="51"/>
      <c r="C197" s="51">
        <v>9600</v>
      </c>
      <c r="D197" s="51"/>
      <c r="E197" s="52"/>
      <c r="F197" s="53">
        <f t="shared" si="31"/>
        <v>0</v>
      </c>
      <c r="G197" s="54">
        <f t="shared" si="34"/>
        <v>19.2</v>
      </c>
      <c r="H197" s="54">
        <f>D197/600</f>
        <v>0</v>
      </c>
      <c r="I197" s="55">
        <f t="shared" si="35"/>
        <v>0</v>
      </c>
      <c r="J197" s="56">
        <v>19.2</v>
      </c>
      <c r="K197" s="57"/>
      <c r="L197" s="58" t="s">
        <v>297</v>
      </c>
      <c r="M197" s="58"/>
      <c r="N197" s="59"/>
    </row>
    <row r="198" spans="1:14" ht="15" customHeight="1">
      <c r="A198" s="103" t="s">
        <v>361</v>
      </c>
      <c r="B198" s="51"/>
      <c r="C198" s="51">
        <v>20500</v>
      </c>
      <c r="D198" s="51">
        <v>30000</v>
      </c>
      <c r="E198" s="52">
        <v>26500</v>
      </c>
      <c r="F198" s="53">
        <f t="shared" si="31"/>
        <v>0</v>
      </c>
      <c r="G198" s="54">
        <f t="shared" si="34"/>
        <v>41</v>
      </c>
      <c r="H198" s="54">
        <f>D198/600</f>
        <v>50</v>
      </c>
      <c r="I198" s="55">
        <f t="shared" si="35"/>
        <v>44.166666666666664</v>
      </c>
      <c r="J198" s="56">
        <v>44.2</v>
      </c>
      <c r="K198" s="57"/>
      <c r="L198" s="58" t="s">
        <v>362</v>
      </c>
      <c r="M198" s="67" t="s">
        <v>363</v>
      </c>
      <c r="N198" s="59" t="s">
        <v>65</v>
      </c>
    </row>
    <row r="199" spans="1:14" ht="15" customHeight="1">
      <c r="A199" s="103" t="s">
        <v>364</v>
      </c>
      <c r="B199" s="51"/>
      <c r="C199" s="51"/>
      <c r="D199" s="51">
        <v>8500</v>
      </c>
      <c r="E199" s="52"/>
      <c r="F199" s="53">
        <f t="shared" si="31"/>
        <v>0</v>
      </c>
      <c r="G199" s="54">
        <f t="shared" si="34"/>
        <v>0</v>
      </c>
      <c r="H199" s="54">
        <f>D199/1000</f>
        <v>8.5</v>
      </c>
      <c r="I199" s="55">
        <f t="shared" si="35"/>
        <v>0</v>
      </c>
      <c r="K199" s="57"/>
      <c r="L199" s="58"/>
      <c r="M199" s="67" t="s">
        <v>365</v>
      </c>
      <c r="N199" s="59"/>
    </row>
    <row r="200" spans="1:14" ht="15" customHeight="1">
      <c r="A200" s="103" t="s">
        <v>366</v>
      </c>
      <c r="B200" s="51"/>
      <c r="C200" s="51">
        <v>9000</v>
      </c>
      <c r="D200" s="51">
        <v>9000</v>
      </c>
      <c r="E200" s="52">
        <v>13500</v>
      </c>
      <c r="F200" s="53">
        <f t="shared" si="31"/>
        <v>0</v>
      </c>
      <c r="G200" s="54">
        <f t="shared" si="34"/>
        <v>18</v>
      </c>
      <c r="H200" s="54">
        <f t="shared" ref="H200:H205" si="36">D200/600</f>
        <v>15</v>
      </c>
      <c r="I200" s="68">
        <f t="shared" si="35"/>
        <v>22.5</v>
      </c>
      <c r="J200" s="56">
        <v>22.5</v>
      </c>
      <c r="K200" s="57"/>
      <c r="L200" s="58"/>
      <c r="M200" s="67"/>
      <c r="N200" s="59" t="s">
        <v>367</v>
      </c>
    </row>
    <row r="201" spans="1:14" ht="15" customHeight="1">
      <c r="A201" s="103" t="s">
        <v>368</v>
      </c>
      <c r="B201" s="51"/>
      <c r="C201" s="51">
        <v>11000</v>
      </c>
      <c r="D201" s="51">
        <v>24000</v>
      </c>
      <c r="E201" s="52">
        <v>14300</v>
      </c>
      <c r="F201" s="53">
        <f t="shared" si="31"/>
        <v>0</v>
      </c>
      <c r="G201" s="60">
        <f t="shared" si="34"/>
        <v>22</v>
      </c>
      <c r="H201" s="54">
        <f t="shared" si="36"/>
        <v>40</v>
      </c>
      <c r="I201" s="68">
        <f t="shared" si="35"/>
        <v>23.833333333333332</v>
      </c>
      <c r="J201" s="56">
        <v>22</v>
      </c>
      <c r="K201" s="57"/>
      <c r="L201" s="61" t="s">
        <v>369</v>
      </c>
      <c r="M201" s="67" t="s">
        <v>370</v>
      </c>
      <c r="N201" s="59" t="s">
        <v>371</v>
      </c>
    </row>
    <row r="202" spans="1:14" ht="15" customHeight="1">
      <c r="A202" s="103" t="s">
        <v>372</v>
      </c>
      <c r="B202" s="51"/>
      <c r="C202" s="51">
        <v>68400</v>
      </c>
      <c r="D202" s="51">
        <v>68000</v>
      </c>
      <c r="E202" s="52">
        <v>80600</v>
      </c>
      <c r="F202" s="53">
        <f t="shared" si="31"/>
        <v>0</v>
      </c>
      <c r="G202" s="54">
        <f t="shared" si="34"/>
        <v>136.80000000000001</v>
      </c>
      <c r="H202" s="60">
        <f t="shared" si="36"/>
        <v>113.33333333333333</v>
      </c>
      <c r="I202" s="55">
        <f t="shared" si="35"/>
        <v>134.33333333333334</v>
      </c>
      <c r="J202" s="56">
        <v>134.30000000000001</v>
      </c>
      <c r="K202" s="57"/>
      <c r="L202" s="58" t="s">
        <v>373</v>
      </c>
      <c r="M202" s="85" t="s">
        <v>374</v>
      </c>
      <c r="N202" s="59" t="s">
        <v>375</v>
      </c>
    </row>
    <row r="203" spans="1:14" ht="15" customHeight="1">
      <c r="A203" s="103" t="s">
        <v>376</v>
      </c>
      <c r="B203" s="51"/>
      <c r="C203" s="51">
        <v>12800</v>
      </c>
      <c r="D203" s="51">
        <v>9500</v>
      </c>
      <c r="E203" s="52">
        <v>16600</v>
      </c>
      <c r="F203" s="53">
        <f t="shared" si="31"/>
        <v>0</v>
      </c>
      <c r="G203" s="54">
        <f t="shared" si="34"/>
        <v>25.6</v>
      </c>
      <c r="H203" s="54">
        <f t="shared" si="36"/>
        <v>15.833333333333334</v>
      </c>
      <c r="I203" s="55">
        <f t="shared" si="35"/>
        <v>27.666666666666668</v>
      </c>
      <c r="J203" s="56">
        <v>27.7</v>
      </c>
      <c r="K203" s="57"/>
      <c r="L203" s="58"/>
      <c r="M203" s="67" t="s">
        <v>377</v>
      </c>
      <c r="N203" s="59" t="s">
        <v>378</v>
      </c>
    </row>
    <row r="204" spans="1:14" ht="15" customHeight="1">
      <c r="A204" s="103" t="s">
        <v>379</v>
      </c>
      <c r="B204" s="51"/>
      <c r="C204" s="51"/>
      <c r="D204" s="51">
        <v>9500</v>
      </c>
      <c r="E204" s="52"/>
      <c r="F204" s="53">
        <f t="shared" si="31"/>
        <v>0</v>
      </c>
      <c r="G204" s="54">
        <f t="shared" si="34"/>
        <v>0</v>
      </c>
      <c r="H204" s="54">
        <f t="shared" si="36"/>
        <v>15.833333333333334</v>
      </c>
      <c r="I204" s="55">
        <f t="shared" si="35"/>
        <v>0</v>
      </c>
      <c r="K204" s="57"/>
      <c r="L204" s="58"/>
      <c r="M204" s="58"/>
      <c r="N204" s="59"/>
    </row>
    <row r="205" spans="1:14" ht="15" customHeight="1" thickBot="1">
      <c r="A205" s="104" t="s">
        <v>380</v>
      </c>
      <c r="B205" s="69"/>
      <c r="C205" s="69">
        <v>4500</v>
      </c>
      <c r="D205" s="69">
        <v>4500</v>
      </c>
      <c r="E205" s="70">
        <v>5300</v>
      </c>
      <c r="F205" s="138">
        <f t="shared" si="31"/>
        <v>0</v>
      </c>
      <c r="G205" s="72">
        <f t="shared" si="34"/>
        <v>9</v>
      </c>
      <c r="H205" s="72">
        <f t="shared" si="36"/>
        <v>7.5</v>
      </c>
      <c r="I205" s="139">
        <f t="shared" si="35"/>
        <v>8.8333333333333339</v>
      </c>
      <c r="J205" s="74">
        <v>8.8000000000000007</v>
      </c>
      <c r="K205" s="89"/>
      <c r="L205" s="76" t="s">
        <v>381</v>
      </c>
      <c r="M205" s="77" t="s">
        <v>382</v>
      </c>
      <c r="N205" s="90" t="s">
        <v>383</v>
      </c>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A2370" s="140"/>
      <c r="B2370" s="141"/>
      <c r="C2370" s="141"/>
      <c r="D2370" s="141"/>
      <c r="E2370" s="141"/>
      <c r="F2370" s="142"/>
      <c r="G2370" s="142"/>
      <c r="H2370" s="142"/>
      <c r="I2370" s="142"/>
      <c r="J2370" s="143"/>
      <c r="K2370" s="144"/>
      <c r="L2370" s="144"/>
      <c r="M2370" s="144"/>
      <c r="N2370" s="144"/>
    </row>
    <row r="2371" spans="1:14" ht="15" customHeight="1">
      <c r="J2371" s="150"/>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2025-05-23T00:20:06Z</cp:lastPrinted>
  <dcterms:created xsi:type="dcterms:W3CDTF">2024-09-12T16:35:01Z</dcterms:created>
  <dcterms:modified xsi:type="dcterms:W3CDTF">2025-05-23T00:21:23Z</dcterms:modified>
</cp:coreProperties>
</file>