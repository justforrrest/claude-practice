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11" documentId="8_{6EB8DC0A-AB56-415F-A9F3-EA1534264548}" xr6:coauthVersionLast="47" xr6:coauthVersionMax="47" xr10:uidLastSave="{E1183277-B059-4970-924F-E719FD612E47}"/>
  <bookViews>
    <workbookView xWindow="-120" yWindow="-120" windowWidth="29040" windowHeight="15720" xr2:uid="{8B9F1886-173A-4475-B0CF-D9F36CE30773}"/>
  </bookViews>
  <sheets>
    <sheet name="통사요방합삼출건비탕"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F31" i="5"/>
  <c r="I31" i="5" s="1"/>
  <c r="H30" i="5"/>
  <c r="F30" i="5"/>
  <c r="I30" i="5" s="1"/>
  <c r="H29" i="5"/>
  <c r="F29" i="5"/>
  <c r="I29" i="5" s="1"/>
  <c r="I28" i="5"/>
  <c r="H28" i="5"/>
  <c r="F28" i="5"/>
  <c r="H27" i="5"/>
  <c r="F27" i="5"/>
  <c r="I27" i="5" s="1"/>
  <c r="I26" i="5"/>
  <c r="H26" i="5"/>
  <c r="F26" i="5"/>
  <c r="H25" i="5"/>
  <c r="F25" i="5"/>
  <c r="I25" i="5" s="1"/>
  <c r="I24" i="5"/>
  <c r="H24" i="5"/>
  <c r="F24" i="5"/>
  <c r="H23" i="5"/>
  <c r="F23" i="5"/>
  <c r="I23" i="5" s="1"/>
  <c r="H22" i="5"/>
  <c r="F22" i="5"/>
  <c r="I22" i="5" s="1"/>
  <c r="H21" i="5"/>
  <c r="F21" i="5"/>
  <c r="I21" i="5" s="1"/>
  <c r="H20" i="5"/>
  <c r="F20" i="5"/>
  <c r="I20" i="5" s="1"/>
  <c r="I19" i="5"/>
  <c r="H19" i="5"/>
  <c r="F19" i="5"/>
  <c r="L18" i="5"/>
  <c r="L19" i="5" s="1"/>
  <c r="L20" i="5" s="1"/>
  <c r="G18" i="5"/>
  <c r="I18" i="5" s="1"/>
  <c r="F18" i="5"/>
  <c r="G17" i="5"/>
  <c r="I17" i="5" s="1"/>
  <c r="F17" i="5"/>
  <c r="G16" i="5"/>
  <c r="I16" i="5" s="1"/>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H7" i="5" s="1"/>
  <c r="F7" i="5"/>
  <c r="G6" i="5"/>
  <c r="I6" i="5" s="1"/>
  <c r="F6" i="5"/>
  <c r="G5" i="5"/>
  <c r="I5" i="5" s="1"/>
  <c r="F5" i="5"/>
  <c r="G4" i="5"/>
  <c r="I4" i="5" s="1"/>
  <c r="F4" i="5"/>
  <c r="G3" i="5"/>
  <c r="I3" i="5" s="1"/>
  <c r="F3" i="5"/>
  <c r="G2" i="5"/>
  <c r="I2" i="5" s="1"/>
  <c r="F2" i="5"/>
  <c r="L23" i="5" s="1"/>
  <c r="F2" i="4"/>
  <c r="I51" i="3"/>
  <c r="H51" i="3"/>
  <c r="G51" i="3"/>
  <c r="F51" i="3"/>
  <c r="H3" i="5" l="1"/>
  <c r="H6" i="5"/>
  <c r="H9" i="5"/>
  <c r="H12" i="5"/>
  <c r="H15" i="5"/>
  <c r="H18" i="5"/>
  <c r="H13" i="5"/>
  <c r="H4" i="5"/>
  <c r="I7" i="5"/>
  <c r="L31" i="5" s="1"/>
  <c r="H10" i="5"/>
  <c r="H16" i="5"/>
  <c r="H2" i="5"/>
  <c r="H5" i="5"/>
  <c r="H8" i="5"/>
  <c r="H11" i="5"/>
  <c r="H14" i="5"/>
  <c r="H17" i="5"/>
  <c r="G3" i="4"/>
  <c r="G4" i="4"/>
  <c r="H4" i="4" s="1"/>
  <c r="G5" i="4"/>
  <c r="H5" i="4" s="1"/>
  <c r="G6" i="4"/>
  <c r="H6" i="4" s="1"/>
  <c r="G7" i="4"/>
  <c r="H7" i="4" s="1"/>
  <c r="G8" i="4"/>
  <c r="H8" i="4" s="1"/>
  <c r="G9" i="4"/>
  <c r="G10" i="4"/>
  <c r="G11" i="4"/>
  <c r="G12" i="4"/>
  <c r="H12" i="4" s="1"/>
  <c r="G13" i="4"/>
  <c r="H13" i="4" s="1"/>
  <c r="G14" i="4"/>
  <c r="H14" i="4" s="1"/>
  <c r="G15" i="4"/>
  <c r="H15" i="4" s="1"/>
  <c r="H16" i="4"/>
  <c r="H20" i="4"/>
  <c r="H21" i="4"/>
  <c r="H22" i="4"/>
  <c r="H23"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5" l="1"/>
  <c r="I25" i="4"/>
  <c r="I10" i="4"/>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<sst xmlns="http://schemas.openxmlformats.org/spreadsheetml/2006/main" count="649" uniqueCount="426">
  <si>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</si>
  <si>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</si>
  <si>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</si>
  <si>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</si>
  <si>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</si>
  <si>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</si>
  <si>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</si>
  <si>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</si>
  <si>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</si>
  <si>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</si>
  <si>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</si>
  <si>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</si>
  <si>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</si>
  <si>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</si>
  <si>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</si>
  <si>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</si>
  <si>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</si>
  <si>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</si>
  <si>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</si>
  <si>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</si>
  <si>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</si>
  <si>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</si>
  <si>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</si>
  <si>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</si>
  <si>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</si>
  <si>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</si>
  <si>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</si>
  <si>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</si>
  <si>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</si>
  <si>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</si>
  <si>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</si>
  <si>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</si>
  <si>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</si>
  <si>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</si>
  <si>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</si>
  <si>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</si>
  <si>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</si>
  <si>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</si>
  <si>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</si>
  <si>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</si>
  <si>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</si>
  <si>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</si>
  <si>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</si>
  <si>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</si>
  <si>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</si>
  <si>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</si>
  <si>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</si>
  <si>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</si>
  <si>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</si>
  <si>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</si>
  <si>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</si>
  <si>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</si>
  <si>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</si>
  <si>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</si>
  <si>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</si>
  <si>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</si>
  <si>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</si>
  <si>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</si>
  <si>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</si>
  <si>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</si>
  <si>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</si>
  <si>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</si>
  <si>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</si>
  <si>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</si>
  <si>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</si>
  <si>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</si>
  <si>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</si>
  <si>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</si>
  <si>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</si>
  <si>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</si>
  <si>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</si>
  <si>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</si>
  <si>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</si>
  <si>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</si>
  <si>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</si>
  <si>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</si>
  <si>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</si>
  <si>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</si>
  <si>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</si>
  <si>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</si>
  <si>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</si>
  <si>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</si>
  <si>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</si>
  <si>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</si>
  <si>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</si>
  <si>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</si>
  <si>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</si>
  <si>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</si>
  <si>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</si>
  <si>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</si>
  <si>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</si>
  <si>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</si>
  <si>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</si>
  <si>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</si>
  <si>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</si>
  <si>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</si>
  <si>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</si>
  <si>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</si>
  <si>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</si>
  <si>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</si>
  <si>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</si>
  <si>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</si>
  <si>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</si>
  <si>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</si>
  <si>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</si>
  <si>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</si>
  <si>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</si>
  <si>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</si>
  <si>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</si>
  <si>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</si>
  <si>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</si>
  <si>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</si>
  <si>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</si>
  <si>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</si>
  <si>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</si>
  <si>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</si>
  <si>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</si>
  <si>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</si>
  <si>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</si>
  <si>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</si>
  <si>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</si>
  <si>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</si>
  <si>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</si>
  <si>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</si>
  <si>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</si>
  <si>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</si>
  <si>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</si>
  <si>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</si>
  <si>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</si>
  <si>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</si>
  <si>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</si>
  <si>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</si>
  <si>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</si>
  <si>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</si>
  <si>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</si>
  <si>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</si>
  <si>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</si>
  <si>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</si>
  <si>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</si>
  <si>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</si>
  <si>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</si>
  <si>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</si>
  <si>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</si>
  <si>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</si>
  <si>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</si>
  <si>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</si>
  <si>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</si>
  <si>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</si>
  <si>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</si>
  <si>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</si>
  <si>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</si>
  <si>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</si>
  <si>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</si>
  <si>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</si>
  <si>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</si>
  <si>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</si>
  <si>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</si>
  <si>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</si>
  <si>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</si>
  <si>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</si>
  <si>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</si>
  <si>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</si>
  <si>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</si>
  <si>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</si>
  <si>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</si>
  <si>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</si>
  <si>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</si>
  <si>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</si>
  <si>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</si>
  <si>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</si>
  <si>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</si>
  <si>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</si>
  <si>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</si>
  <si>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</si>
  <si>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</si>
  <si>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</si>
  <si>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</si>
  <si>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</si>
  <si>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</si>
  <si>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</si>
  <si>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</si>
  <si>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</si>
  <si>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</si>
  <si>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</si>
  <si>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</si>
  <si>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</si>
  <si>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</si>
  <si>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</si>
  <si>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</si>
  <si>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</si>
  <si>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</si>
  <si>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</si>
  <si>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</si>
  <si>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</si>
  <si>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</si>
  <si>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</si>
  <si>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</si>
  <si>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</si>
  <si>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</si>
  <si>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</si>
  <si>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</si>
  <si>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</si>
  <si>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</si>
  <si>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</si>
  <si>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</si>
  <si>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</si>
  <si>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</si>
  <si>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</si>
  <si>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</si>
  <si>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</si>
  <si>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</si>
  <si>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</si>
  <si>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</si>
  <si>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</si>
  <si>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</si>
  <si>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</si>
  <si>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</si>
  <si>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</si>
  <si>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</si>
  <si>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</si>
  <si>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</si>
  <si>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</si>
  <si>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</si>
  <si>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</si>
  <si>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</si>
  <si>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</si>
  <si>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</si>
  <si>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</si>
  <si>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</si>
  <si>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</si>
  <si>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</si>
  <si>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</si>
  <si>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</si>
  <si>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</si>
  <si>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</si>
  <si>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</si>
  <si>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</si>
  <si>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</si>
  <si>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</si>
  <si>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</si>
  <si>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</si>
  <si>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</si>
  <si>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</si>
  <si>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</si>
  <si>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</si>
  <si>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</si>
  <si>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</si>
  <si>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</si>
  <si>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</si>
  <si>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</si>
  <si>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</si>
  <si>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</si>
  <si>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</si>
  <si>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</si>
  <si>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</si>
  <si>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</si>
  <si>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</si>
  <si>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</si>
  <si>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</si>
  <si>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</si>
  <si>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</si>
  <si>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</si>
  <si>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</si>
  <si>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</si>
  <si>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</si>
  <si>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</si>
  <si>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</si>
  <si>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</si>
  <si>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</si>
  <si>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</si>
  <si>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</si>
  <si>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</si>
  <si>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</si>
  <si>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</si>
  <si>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</si>
  <si>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</si>
  <si>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</si>
  <si>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</si>
  <si>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</si>
  <si>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</si>
  <si>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</si>
  <si>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</si>
  <si>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</si>
  <si>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</si>
  <si>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</si>
  <si>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</si>
  <si>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</si>
  <si>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</si>
  <si>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</si>
  <si>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</si>
  <si>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</si>
  <si>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</si>
  <si>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</si>
  <si>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</si>
  <si>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</si>
  <si>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</si>
  <si>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</si>
  <si>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</si>
  <si>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</si>
  <si>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</si>
  <si>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</si>
  <si>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</si>
  <si>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</si>
  <si>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</si>
  <si>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</si>
  <si>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</si>
  <si>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</si>
  <si>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</si>
  <si>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</si>
  <si>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</si>
  <si>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</si>
  <si>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</si>
  <si>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</si>
  <si>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</si>
  <si>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</si>
  <si>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</si>
  <si>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</si>
  <si>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</si>
  <si>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</si>
  <si>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</si>
  <si>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</si>
  <si>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</si>
  <si>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</si>
  <si>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</si>
  <si>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</si>
  <si>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</si>
  <si>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</si>
  <si>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</si>
  <si>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</si>
  <si>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</si>
  <si>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</si>
  <si>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</si>
  <si>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</si>
  <si>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</si>
  <si>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</si>
  <si>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</si>
  <si>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</si>
  <si>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</si>
  <si>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</si>
  <si>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</si>
  <si>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</si>
  <si>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</si>
  <si>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</si>
  <si>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</si>
  <si>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</si>
  <si>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</si>
  <si>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</si>
  <si>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</si>
  <si>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</si>
  <si>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</si>
  <si>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</si>
  <si>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</si>
  <si>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</si>
  <si>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</si>
  <si>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</si>
  <si>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</si>
  <si>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</si>
  <si>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</si>
  <si>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</si>
  <si>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</si>
  <si>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</si>
  <si>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</si>
  <si>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</si>
  <si>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</si>
  <si>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</si>
  <si>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</si>
  <si>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</si>
  <si>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</si>
  <si>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</si>
  <si>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</si>
  <si>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</si>
  <si>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</si>
  <si>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</si>
  <si>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</si>
  <si>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</si>
  <si>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</si>
  <si>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</si>
  <si>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</si>
  <si>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</si>
  <si>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</si>
  <si>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</si>
  <si>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</si>
  <si>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</si>
  <si>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</si>
  <si>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</si>
  <si>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</si>
  <si>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</si>
  <si>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</si>
  <si>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</si>
  <si>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</si>
  <si>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</si>
  <si>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</si>
  <si>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</si>
  <si>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</si>
  <si>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</si>
  <si>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</si>
  <si>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</si>
  <si>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</si>
  <si>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</si>
  <si>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</si>
  <si>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</si>
  <si>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인삼</t>
    <phoneticPr fontId="5" type="noConversion"/>
  </si>
  <si>
    <t>감초</t>
    <phoneticPr fontId="5" type="noConversion"/>
  </si>
  <si>
    <t>황련</t>
    <phoneticPr fontId="5" type="noConversion"/>
  </si>
  <si>
    <t>백작약</t>
    <phoneticPr fontId="5" type="noConversion"/>
  </si>
  <si>
    <t>백출</t>
    <phoneticPr fontId="5" type="noConversion"/>
  </si>
  <si>
    <t>후박</t>
    <phoneticPr fontId="5" type="noConversion"/>
  </si>
  <si>
    <t>목향</t>
    <phoneticPr fontId="5" type="noConversion"/>
  </si>
  <si>
    <t>향부자</t>
    <phoneticPr fontId="5" type="noConversion"/>
  </si>
  <si>
    <t>초</t>
    <phoneticPr fontId="5" type="noConversion"/>
  </si>
  <si>
    <t>복령</t>
    <phoneticPr fontId="5" type="noConversion"/>
  </si>
  <si>
    <t>진피1</t>
    <phoneticPr fontId="5" type="noConversion"/>
  </si>
  <si>
    <t>방풍1</t>
    <phoneticPr fontId="5" type="noConversion"/>
  </si>
  <si>
    <t>곽향1</t>
    <phoneticPr fontId="5" type="noConversion"/>
  </si>
  <si>
    <t>승마</t>
    <phoneticPr fontId="5" type="noConversion"/>
  </si>
  <si>
    <t>통사요방 가감방</t>
    <phoneticPr fontId="5" type="noConversion"/>
  </si>
  <si>
    <t>자</t>
    <phoneticPr fontId="5" type="noConversion"/>
  </si>
  <si>
    <t>녹용</t>
    <phoneticPr fontId="5" type="noConversion"/>
  </si>
  <si>
    <t>통사요방 + 후박 곽향 목향 인삼 자감초
+ 황련 향부자 승마 + 녹용</t>
    <phoneticPr fontId="5" type="noConversion"/>
  </si>
  <si>
    <t>한채윤</t>
    <phoneticPr fontId="5" type="noConversion"/>
  </si>
  <si>
    <t>F</t>
    <phoneticPr fontId="5" type="noConversion"/>
  </si>
  <si>
    <t>l</t>
    <phoneticPr fontId="5" type="noConversion"/>
  </si>
  <si>
    <t>생강</t>
    <phoneticPr fontId="5" type="noConversion"/>
  </si>
  <si>
    <t>대추</t>
    <phoneticPr fontId="5" type="noConversion"/>
  </si>
  <si>
    <t>교이</t>
    <phoneticPr fontId="5" type="noConversion"/>
  </si>
  <si>
    <t>통사요방 + 후박 곽향 목향 인삼 자감초
+ 황련 향부자 승마 + 녹용
+ 생강 대추 교이</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</si>
</sst>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9204-5B8F-4EAE-B55D-895D29C1DBAC}">
  <sheetPr>
    <pageSetUpPr fitToPage="1"/>
  </sheetPr>
  <dimension ref="B1:M31"/>
  <sheetViews>
    <sheetView tabSelected="1" workbookViewId="0">
      <selection activeCell="O11" sqref="O11"/>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404</v>
      </c>
      <c r="D2" s="4" t="s">
        <v>409</v>
      </c>
      <c r="E2" s="151">
        <v>6</v>
      </c>
      <c r="F2" s="166">
        <f>E2*$L$15</f>
        <v>192</v>
      </c>
      <c r="G2">
        <f>VLOOKUP($C2,약재관리!A:J,10,FALSE)</f>
        <v>19.600000000000001</v>
      </c>
      <c r="H2" s="5">
        <f>G2*E2</f>
        <v>117.60000000000001</v>
      </c>
      <c r="I2" s="154">
        <f>G2*F2</f>
        <v>3763.2000000000003</v>
      </c>
      <c r="K2" s="7" t="s">
        <v>9</v>
      </c>
      <c r="L2" s="174">
        <v>18</v>
      </c>
      <c r="M2" s="175"/>
    </row>
    <row r="3" spans="2:13">
      <c r="B3" s="3">
        <v>2</v>
      </c>
      <c r="C3" t="s">
        <v>405</v>
      </c>
      <c r="D3" s="4" t="s">
        <v>409</v>
      </c>
      <c r="E3" s="151">
        <v>6</v>
      </c>
      <c r="F3" s="166">
        <f t="shared" ref="F3:F31" si="0">E3*$L$15</f>
        <v>192</v>
      </c>
      <c r="G3">
        <f>VLOOKUP($C3,약재관리!A:J,10,FALSE)</f>
        <v>28.3</v>
      </c>
      <c r="H3" s="5">
        <f t="shared" ref="H3:H31" si="1">G3*E3</f>
        <v>169.8</v>
      </c>
      <c r="I3" s="6">
        <f t="shared" ref="I3:I31" si="2">G3*F3</f>
        <v>5433.6</v>
      </c>
      <c r="K3" s="8" t="s">
        <v>10</v>
      </c>
      <c r="L3" s="169" t="s">
        <v>415</v>
      </c>
      <c r="M3" s="170"/>
    </row>
    <row r="4" spans="2:13">
      <c r="B4" s="3">
        <v>3</v>
      </c>
      <c r="C4" t="s">
        <v>410</v>
      </c>
      <c r="D4" s="4"/>
      <c r="E4" s="151">
        <v>8</v>
      </c>
      <c r="F4" s="166">
        <f t="shared" si="0"/>
        <v>256</v>
      </c>
      <c r="G4">
        <f>VLOOKUP($C4,약재관리!A:J,10,FALSE)</f>
        <v>11</v>
      </c>
      <c r="H4" s="5">
        <f t="shared" si="1"/>
        <v>88</v>
      </c>
      <c r="I4" s="6">
        <f t="shared" si="2"/>
        <v>2816</v>
      </c>
      <c r="K4" s="8" t="s">
        <v>11</v>
      </c>
      <c r="L4" s="176">
        <v>45600</v>
      </c>
      <c r="M4" s="170"/>
    </row>
    <row r="5" spans="2:13">
      <c r="B5" s="3">
        <v>4</v>
      </c>
      <c r="C5" t="s">
        <v>411</v>
      </c>
      <c r="D5" s="4"/>
      <c r="E5" s="151">
        <v>4</v>
      </c>
      <c r="F5" s="166">
        <f t="shared" si="0"/>
        <v>128</v>
      </c>
      <c r="G5">
        <f>VLOOKUP($C5,약재관리!A:J,10,FALSE)</f>
        <v>17.600000000000001</v>
      </c>
      <c r="H5" s="5">
        <f t="shared" si="1"/>
        <v>70.400000000000006</v>
      </c>
      <c r="I5" s="6">
        <f t="shared" si="2"/>
        <v>2252.8000000000002</v>
      </c>
      <c r="K5" s="8" t="s">
        <v>12</v>
      </c>
      <c r="L5" s="169" t="s">
        <v>419</v>
      </c>
      <c r="M5" s="170"/>
    </row>
    <row r="6" spans="2:13">
      <c r="B6" s="3">
        <v>5</v>
      </c>
      <c r="C6" t="s">
        <v>412</v>
      </c>
      <c r="D6" s="4"/>
      <c r="E6" s="151">
        <v>4</v>
      </c>
      <c r="F6" s="166">
        <f t="shared" si="0"/>
        <v>128</v>
      </c>
      <c r="G6">
        <f>VLOOKUP($C6,약재관리!A:J,10,FALSE)</f>
        <v>15.7</v>
      </c>
      <c r="H6" s="5">
        <f t="shared" si="1"/>
        <v>62.8</v>
      </c>
      <c r="I6" s="6">
        <f t="shared" si="2"/>
        <v>2009.6</v>
      </c>
      <c r="K6" s="8" t="s">
        <v>13</v>
      </c>
      <c r="L6" s="169">
        <v>10</v>
      </c>
      <c r="M6" s="170"/>
    </row>
    <row r="7" spans="2:13" ht="17.25" thickBot="1">
      <c r="B7" s="3">
        <v>6</v>
      </c>
      <c r="C7" t="s">
        <v>406</v>
      </c>
      <c r="D7" s="4"/>
      <c r="E7" s="151">
        <v>4</v>
      </c>
      <c r="F7" s="166">
        <f t="shared" si="0"/>
        <v>128</v>
      </c>
      <c r="G7">
        <f>VLOOKUP($C7,약재관리!A:J,10,FALSE)</f>
        <v>8.8000000000000007</v>
      </c>
      <c r="H7" s="5">
        <f t="shared" si="1"/>
        <v>35.200000000000003</v>
      </c>
      <c r="I7" s="6">
        <f t="shared" si="2"/>
        <v>1126.4000000000001</v>
      </c>
      <c r="K7" s="8" t="s">
        <v>14</v>
      </c>
      <c r="L7" s="177" t="s">
        <v>420</v>
      </c>
      <c r="M7" s="178"/>
    </row>
    <row r="8" spans="2:13" ht="17.25" thickBot="1">
      <c r="B8" s="3">
        <v>7</v>
      </c>
      <c r="C8" t="s">
        <v>402</v>
      </c>
      <c r="D8" s="4" t="s">
        <v>416</v>
      </c>
      <c r="E8" s="151">
        <v>4</v>
      </c>
      <c r="F8" s="166">
        <f t="shared" si="0"/>
        <v>128</v>
      </c>
      <c r="G8">
        <f>VLOOKUP($C8,약재관리!A:J,10,FALSE)</f>
        <v>28.3</v>
      </c>
      <c r="H8" s="5">
        <f t="shared" si="1"/>
        <v>113.2</v>
      </c>
      <c r="I8" s="6">
        <f t="shared" si="2"/>
        <v>3622.4</v>
      </c>
      <c r="K8" s="171" t="s">
        <v>15</v>
      </c>
      <c r="L8" s="172"/>
      <c r="M8" s="173"/>
    </row>
    <row r="9" spans="2:13">
      <c r="B9" s="3">
        <v>8</v>
      </c>
      <c r="C9" t="s">
        <v>413</v>
      </c>
      <c r="D9" s="4"/>
      <c r="E9" s="151">
        <v>4</v>
      </c>
      <c r="F9" s="166">
        <f t="shared" si="0"/>
        <v>128</v>
      </c>
      <c r="G9">
        <f>VLOOKUP($C9,약재관리!A:J,10,FALSE)</f>
        <v>13.8</v>
      </c>
      <c r="H9" s="5">
        <f t="shared" si="1"/>
        <v>55.2</v>
      </c>
      <c r="I9" s="6">
        <f t="shared" si="2"/>
        <v>1766.4</v>
      </c>
      <c r="K9" s="179" t="s">
        <v>425</v>
      </c>
      <c r="L9" s="180"/>
      <c r="M9" s="181"/>
    </row>
    <row r="10" spans="2:13">
      <c r="B10" s="3">
        <v>9</v>
      </c>
      <c r="C10" t="s">
        <v>407</v>
      </c>
      <c r="D10" s="4"/>
      <c r="E10" s="151">
        <v>2</v>
      </c>
      <c r="F10" s="166">
        <f t="shared" si="0"/>
        <v>64</v>
      </c>
      <c r="G10">
        <f>VLOOKUP($C10,약재관리!A:J,10,FALSE)</f>
        <v>9.8000000000000007</v>
      </c>
      <c r="H10" s="5">
        <f t="shared" si="1"/>
        <v>19.600000000000001</v>
      </c>
      <c r="I10" s="6">
        <f t="shared" si="2"/>
        <v>627.20000000000005</v>
      </c>
      <c r="K10" s="182"/>
      <c r="L10" s="183"/>
      <c r="M10" s="184"/>
    </row>
    <row r="11" spans="2:13">
      <c r="B11" s="3">
        <v>10</v>
      </c>
      <c r="C11" t="s">
        <v>401</v>
      </c>
      <c r="D11" s="4"/>
      <c r="E11" s="151">
        <v>2</v>
      </c>
      <c r="F11" s="166">
        <f t="shared" si="0"/>
        <v>64</v>
      </c>
      <c r="G11">
        <f>VLOOKUP($C11,약재관리!A:J,10,FALSE)</f>
        <v>90</v>
      </c>
      <c r="H11" s="5">
        <f t="shared" si="1"/>
        <v>180</v>
      </c>
      <c r="I11" s="6">
        <f t="shared" si="2"/>
        <v>5760</v>
      </c>
      <c r="K11" s="182"/>
      <c r="L11" s="183"/>
      <c r="M11" s="184"/>
    </row>
    <row r="12" spans="2:13">
      <c r="B12" s="3">
        <v>11</v>
      </c>
      <c r="C12" t="s">
        <v>408</v>
      </c>
      <c r="D12" s="4"/>
      <c r="E12" s="151">
        <v>8</v>
      </c>
      <c r="F12" s="166">
        <f t="shared" si="0"/>
        <v>256</v>
      </c>
      <c r="G12">
        <f>VLOOKUP($C12,약재관리!A:J,10,FALSE)</f>
        <v>14.4</v>
      </c>
      <c r="H12" s="5">
        <f t="shared" si="1"/>
        <v>115.2</v>
      </c>
      <c r="I12" s="6">
        <f t="shared" si="2"/>
        <v>3686.4</v>
      </c>
      <c r="K12" s="182"/>
      <c r="L12" s="183"/>
      <c r="M12" s="184"/>
    </row>
    <row r="13" spans="2:13" ht="17.25" thickBot="1">
      <c r="B13" s="3">
        <v>12</v>
      </c>
      <c r="C13" t="s">
        <v>403</v>
      </c>
      <c r="D13" s="4"/>
      <c r="E13" s="151">
        <v>2</v>
      </c>
      <c r="F13" s="166">
        <f t="shared" si="0"/>
        <v>64</v>
      </c>
      <c r="G13">
        <f>VLOOKUP($C13,약재관리!A:J,10,FALSE)</f>
        <v>134.30000000000001</v>
      </c>
      <c r="H13" s="5">
        <f t="shared" si="1"/>
        <v>268.60000000000002</v>
      </c>
      <c r="I13" s="6">
        <f t="shared" si="2"/>
        <v>8595.2000000000007</v>
      </c>
      <c r="K13" s="185"/>
      <c r="L13" s="186"/>
      <c r="M13" s="187"/>
    </row>
    <row r="14" spans="2:13">
      <c r="B14" s="3">
        <v>13</v>
      </c>
      <c r="C14" t="s">
        <v>414</v>
      </c>
      <c r="D14" s="4"/>
      <c r="E14" s="151">
        <v>2</v>
      </c>
      <c r="F14" s="166">
        <f t="shared" si="0"/>
        <v>64</v>
      </c>
      <c r="G14">
        <f>VLOOKUP($C14,약재관리!A:J,10,FALSE)</f>
        <v>34.700000000000003</v>
      </c>
      <c r="H14" s="5">
        <f t="shared" si="1"/>
        <v>69.400000000000006</v>
      </c>
      <c r="I14" s="6">
        <f t="shared" si="2"/>
        <v>2220.8000000000002</v>
      </c>
      <c r="K14" s="156" t="s">
        <v>16</v>
      </c>
      <c r="L14" s="9">
        <v>40</v>
      </c>
      <c r="M14" s="10" t="s">
        <v>17</v>
      </c>
    </row>
    <row r="15" spans="2:13">
      <c r="B15" s="3">
        <v>14</v>
      </c>
      <c r="C15" t="s">
        <v>417</v>
      </c>
      <c r="D15" s="4"/>
      <c r="E15" s="151">
        <v>2</v>
      </c>
      <c r="F15" s="166">
        <f t="shared" si="0"/>
        <v>64</v>
      </c>
      <c r="G15">
        <f>VLOOKUP($C15,약재관리!A:J,10,FALSE)</f>
        <v>463.3</v>
      </c>
      <c r="H15" s="5">
        <f t="shared" si="1"/>
        <v>926.6</v>
      </c>
      <c r="I15" s="6">
        <f t="shared" si="2"/>
        <v>29651.200000000001</v>
      </c>
      <c r="K15" s="155" t="s">
        <v>18</v>
      </c>
      <c r="L15">
        <v>32</v>
      </c>
      <c r="M15" s="4" t="s">
        <v>19</v>
      </c>
    </row>
    <row r="16" spans="2:13">
      <c r="B16" s="3">
        <v>15</v>
      </c>
      <c r="C16" t="s">
        <v>422</v>
      </c>
      <c r="D16" s="4"/>
      <c r="E16" s="151">
        <v>3</v>
      </c>
      <c r="F16" s="166">
        <f t="shared" si="0"/>
        <v>96</v>
      </c>
      <c r="G16">
        <f>VLOOKUP($C16,약재관리!A:J,10,FALSE)</f>
        <v>18</v>
      </c>
      <c r="H16" s="5">
        <f t="shared" si="1"/>
        <v>54</v>
      </c>
      <c r="I16" s="6">
        <f t="shared" si="2"/>
        <v>1728</v>
      </c>
      <c r="K16" s="155" t="s">
        <v>20</v>
      </c>
      <c r="L16">
        <v>90</v>
      </c>
      <c r="M16" s="4" t="s">
        <v>21</v>
      </c>
    </row>
    <row r="17" spans="2:13" ht="17.25" thickBot="1">
      <c r="B17" s="3">
        <v>16</v>
      </c>
      <c r="C17" t="s">
        <v>423</v>
      </c>
      <c r="D17" s="4"/>
      <c r="E17" s="151">
        <v>3</v>
      </c>
      <c r="F17" s="166">
        <f t="shared" si="0"/>
        <v>96</v>
      </c>
      <c r="G17">
        <f>VLOOKUP($C17,약재관리!A:J,10,FALSE)</f>
        <v>20.8</v>
      </c>
      <c r="H17" s="5">
        <f t="shared" si="1"/>
        <v>62.400000000000006</v>
      </c>
      <c r="I17" s="6">
        <f t="shared" si="2"/>
        <v>1996.8000000000002</v>
      </c>
      <c r="K17" s="14" t="s">
        <v>22</v>
      </c>
      <c r="L17" s="11">
        <v>100</v>
      </c>
      <c r="M17" s="12" t="s">
        <v>23</v>
      </c>
    </row>
    <row r="18" spans="2:13">
      <c r="B18" s="3">
        <v>17</v>
      </c>
      <c r="C18" t="s">
        <v>424</v>
      </c>
      <c r="D18" s="4"/>
      <c r="E18" s="151">
        <v>10</v>
      </c>
      <c r="F18" s="166">
        <f t="shared" si="0"/>
        <v>320</v>
      </c>
      <c r="G18" t="e">
        <f>VLOOKUP($C18,약재관리!A:J,10,FALSE)</f>
        <v>#N/A</v>
      </c>
      <c r="H18" s="5" t="e">
        <f t="shared" si="1"/>
        <v>#N/A</v>
      </c>
      <c r="I18" s="6" t="e">
        <f t="shared" si="2"/>
        <v>#N/A</v>
      </c>
      <c r="K18" s="156" t="s">
        <v>24</v>
      </c>
      <c r="L18" s="9">
        <f>SUM(E2:E31)</f>
        <v>74</v>
      </c>
      <c r="M18" s="10" t="s">
        <v>25</v>
      </c>
    </row>
    <row r="19" spans="2:13">
      <c r="B19" s="3">
        <v>18</v>
      </c>
      <c r="D19" s="4"/>
      <c r="F19" s="166">
        <f t="shared" si="0"/>
        <v>0</v>
      </c>
      <c r="H19" s="5">
        <f t="shared" si="1"/>
        <v>0</v>
      </c>
      <c r="I19" s="6">
        <f t="shared" si="2"/>
        <v>0</v>
      </c>
      <c r="K19" s="155" t="s">
        <v>26</v>
      </c>
      <c r="L19">
        <f>L15*L18</f>
        <v>2368</v>
      </c>
      <c r="M19" s="4" t="s">
        <v>25</v>
      </c>
    </row>
    <row r="20" spans="2:13" ht="17.25" thickBot="1">
      <c r="B20" s="3">
        <v>19</v>
      </c>
      <c r="D20" s="4"/>
      <c r="F20" s="166">
        <f t="shared" si="0"/>
        <v>0</v>
      </c>
      <c r="H20" s="5">
        <f t="shared" si="1"/>
        <v>0</v>
      </c>
      <c r="I20" s="6">
        <f t="shared" si="2"/>
        <v>0</v>
      </c>
      <c r="K20" s="14" t="s">
        <v>27</v>
      </c>
      <c r="L20" s="11">
        <f>L16*L17+L19</f>
        <v>11368</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2368</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t="e">
        <f>SUM(H2:H31)</f>
        <v>#N/A</v>
      </c>
      <c r="M30" s="4" t="s">
        <v>388</v>
      </c>
    </row>
    <row r="31" spans="2:13" ht="17.25" thickBot="1">
      <c r="B31" s="13">
        <v>30</v>
      </c>
      <c r="C31" s="14"/>
      <c r="D31" s="12"/>
      <c r="E31" s="159"/>
      <c r="F31" s="167">
        <f t="shared" si="0"/>
        <v>0</v>
      </c>
      <c r="G31" s="14"/>
      <c r="H31" s="15">
        <f t="shared" si="1"/>
        <v>0</v>
      </c>
      <c r="I31" s="16">
        <f t="shared" si="2"/>
        <v>0</v>
      </c>
      <c r="K31" s="14" t="s">
        <v>387</v>
      </c>
      <c r="L31" s="15" t="e">
        <f>SUM(I2:I31)</f>
        <v>#N/A</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62"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O31"/>
  <sheetViews>
    <sheetView workbookViewId="0">
      <selection activeCell="G16" sqref="G16:G18"/>
    </sheetView>
  </sheetViews>
  <sheetFormatPr defaultRowHeight="16.5"/>
  <cols>
    <col min="1" max="1" width="2.875" customWidth="1"/>
    <col min="2" max="2" width="7.125" customWidth="1"/>
    <col min="3" max="3" width="10.25" customWidth="1"/>
    <col min="5" max="5" width="9" style="151"/>
    <col min="6" max="6" width="9" style="168"/>
  </cols>
  <sheetData>
    <row r="1" spans="2:15" ht="17.25" thickBot="1">
      <c r="B1" s="1" t="s">
        <v>0</v>
      </c>
      <c r="C1" s="161" t="s">
        <v>1</v>
      </c>
      <c r="D1" s="2" t="s">
        <v>2</v>
      </c>
      <c r="E1" s="164" t="s">
        <v>3</v>
      </c>
      <c r="F1" s="165" t="s">
        <v>4</v>
      </c>
      <c r="G1" s="160" t="s">
        <v>5</v>
      </c>
      <c r="H1" s="161" t="s">
        <v>6</v>
      </c>
      <c r="I1" s="2" t="s">
        <v>7</v>
      </c>
      <c r="K1" s="171" t="s">
        <v>8</v>
      </c>
      <c r="L1" s="172"/>
      <c r="M1" s="173"/>
    </row>
    <row r="2" spans="2:15">
      <c r="B2" s="3">
        <v>1</v>
      </c>
      <c r="C2" t="s">
        <v>404</v>
      </c>
      <c r="D2" s="4" t="s">
        <v>409</v>
      </c>
      <c r="E2" s="151">
        <v>6</v>
      </c>
      <c r="F2" s="166">
        <f>E2*$L$15</f>
        <v>96</v>
      </c>
      <c r="G2">
        <f>VLOOKUP($C2,약재관리!A:J,10,FALSE)</f>
        <v>19.600000000000001</v>
      </c>
      <c r="H2" s="5">
        <f>G2*E2</f>
        <v>117.60000000000001</v>
      </c>
      <c r="I2" s="154">
        <f>G2*F2</f>
        <v>1881.6000000000001</v>
      </c>
      <c r="K2" s="7" t="s">
        <v>9</v>
      </c>
      <c r="L2" s="174">
        <v>18</v>
      </c>
      <c r="M2" s="175"/>
    </row>
    <row r="3" spans="2:15">
      <c r="B3" s="3">
        <v>2</v>
      </c>
      <c r="C3" t="s">
        <v>405</v>
      </c>
      <c r="D3" s="4" t="s">
        <v>409</v>
      </c>
      <c r="E3" s="151">
        <v>6</v>
      </c>
      <c r="F3" s="166">
        <f t="shared" ref="F3:F31" si="0">E3*$L$15</f>
        <v>96</v>
      </c>
      <c r="G3">
        <f>VLOOKUP($C3,약재관리!A:J,10,FALSE)</f>
        <v>28.3</v>
      </c>
      <c r="H3" s="5">
        <f t="shared" ref="H3:H31" si="1">G3*E3</f>
        <v>169.8</v>
      </c>
      <c r="I3" s="6">
        <f t="shared" ref="I3:I31" si="2">G3*F3</f>
        <v>2716.8</v>
      </c>
      <c r="K3" s="8" t="s">
        <v>10</v>
      </c>
      <c r="L3" s="169" t="s">
        <v>415</v>
      </c>
      <c r="M3" s="170"/>
    </row>
    <row r="4" spans="2:15">
      <c r="B4" s="3">
        <v>3</v>
      </c>
      <c r="C4" t="s">
        <v>410</v>
      </c>
      <c r="D4" s="4"/>
      <c r="E4" s="151">
        <v>8</v>
      </c>
      <c r="F4" s="166">
        <f t="shared" si="0"/>
        <v>128</v>
      </c>
      <c r="G4">
        <f>VLOOKUP($C4,약재관리!A:J,10,FALSE)</f>
        <v>11</v>
      </c>
      <c r="H4" s="5">
        <f t="shared" si="1"/>
        <v>88</v>
      </c>
      <c r="I4" s="6">
        <f t="shared" si="2"/>
        <v>1408</v>
      </c>
      <c r="K4" s="8" t="s">
        <v>11</v>
      </c>
      <c r="L4" s="176">
        <v>45569</v>
      </c>
      <c r="M4" s="170"/>
    </row>
    <row r="5" spans="2:15">
      <c r="B5" s="3">
        <v>4</v>
      </c>
      <c r="C5" t="s">
        <v>411</v>
      </c>
      <c r="D5" s="4"/>
      <c r="E5" s="151">
        <v>4</v>
      </c>
      <c r="F5" s="166">
        <f t="shared" si="0"/>
        <v>64</v>
      </c>
      <c r="G5">
        <f>VLOOKUP($C5,약재관리!A:J,10,FALSE)</f>
        <v>17.600000000000001</v>
      </c>
      <c r="H5" s="5">
        <f t="shared" si="1"/>
        <v>70.400000000000006</v>
      </c>
      <c r="I5" s="6">
        <f t="shared" si="2"/>
        <v>1126.4000000000001</v>
      </c>
      <c r="K5" s="8" t="s">
        <v>12</v>
      </c>
      <c r="L5" s="169" t="s">
        <v>419</v>
      </c>
      <c r="M5" s="170"/>
    </row>
    <row r="6" spans="2:15">
      <c r="B6" s="3">
        <v>5</v>
      </c>
      <c r="C6" t="s">
        <v>412</v>
      </c>
      <c r="D6" s="4"/>
      <c r="E6" s="151">
        <v>4</v>
      </c>
      <c r="F6" s="166">
        <f t="shared" si="0"/>
        <v>64</v>
      </c>
      <c r="G6">
        <f>VLOOKUP($C6,약재관리!A:J,10,FALSE)</f>
        <v>15.7</v>
      </c>
      <c r="H6" s="5">
        <f t="shared" si="1"/>
        <v>62.8</v>
      </c>
      <c r="I6" s="6">
        <f t="shared" si="2"/>
        <v>1004.8</v>
      </c>
      <c r="K6" s="8" t="s">
        <v>13</v>
      </c>
      <c r="L6" s="169">
        <v>10</v>
      </c>
      <c r="M6" s="170"/>
    </row>
    <row r="7" spans="2:15" ht="17.25" thickBot="1">
      <c r="B7" s="3">
        <v>6</v>
      </c>
      <c r="C7" t="s">
        <v>406</v>
      </c>
      <c r="D7" s="4"/>
      <c r="E7" s="151">
        <v>4</v>
      </c>
      <c r="F7" s="166">
        <f t="shared" si="0"/>
        <v>64</v>
      </c>
      <c r="G7">
        <f>VLOOKUP($C7,약재관리!A:J,10,FALSE)</f>
        <v>8.8000000000000007</v>
      </c>
      <c r="H7" s="5">
        <f t="shared" si="1"/>
        <v>35.200000000000003</v>
      </c>
      <c r="I7" s="6">
        <f t="shared" si="2"/>
        <v>563.20000000000005</v>
      </c>
      <c r="K7" s="8" t="s">
        <v>14</v>
      </c>
      <c r="L7" s="177" t="s">
        <v>420</v>
      </c>
      <c r="M7" s="178"/>
    </row>
    <row r="8" spans="2:15" ht="17.25" thickBot="1">
      <c r="B8" s="3">
        <v>7</v>
      </c>
      <c r="C8" t="s">
        <v>402</v>
      </c>
      <c r="D8" s="4" t="s">
        <v>416</v>
      </c>
      <c r="E8" s="151">
        <v>4</v>
      </c>
      <c r="F8" s="166">
        <f t="shared" si="0"/>
        <v>64</v>
      </c>
      <c r="G8">
        <f>VLOOKUP($C8,약재관리!A:J,10,FALSE)</f>
        <v>28.3</v>
      </c>
      <c r="H8" s="5">
        <f t="shared" si="1"/>
        <v>113.2</v>
      </c>
      <c r="I8" s="6">
        <f t="shared" si="2"/>
        <v>1811.2</v>
      </c>
      <c r="K8" s="171" t="s">
        <v>15</v>
      </c>
      <c r="L8" s="172"/>
      <c r="M8" s="173"/>
    </row>
    <row r="9" spans="2:15">
      <c r="B9" s="3">
        <v>8</v>
      </c>
      <c r="C9" t="s">
        <v>413</v>
      </c>
      <c r="D9" s="4"/>
      <c r="E9" s="151">
        <v>4</v>
      </c>
      <c r="F9" s="166">
        <f t="shared" si="0"/>
        <v>64</v>
      </c>
      <c r="G9">
        <f>VLOOKUP($C9,약재관리!A:J,10,FALSE)</f>
        <v>13.8</v>
      </c>
      <c r="H9" s="5">
        <f t="shared" si="1"/>
        <v>55.2</v>
      </c>
      <c r="I9" s="6">
        <f t="shared" si="2"/>
        <v>883.2</v>
      </c>
      <c r="K9" s="179" t="s">
        <v>418</v>
      </c>
      <c r="L9" s="180"/>
      <c r="M9" s="181"/>
    </row>
    <row r="10" spans="2:15">
      <c r="B10" s="3">
        <v>9</v>
      </c>
      <c r="C10" t="s">
        <v>407</v>
      </c>
      <c r="D10" s="4"/>
      <c r="E10" s="151">
        <v>2</v>
      </c>
      <c r="F10" s="166">
        <f t="shared" si="0"/>
        <v>32</v>
      </c>
      <c r="G10">
        <f>VLOOKUP($C10,약재관리!A:J,10,FALSE)</f>
        <v>9.8000000000000007</v>
      </c>
      <c r="H10" s="5">
        <f t="shared" si="1"/>
        <v>19.600000000000001</v>
      </c>
      <c r="I10" s="6">
        <f t="shared" si="2"/>
        <v>313.60000000000002</v>
      </c>
      <c r="K10" s="182"/>
      <c r="L10" s="183"/>
      <c r="M10" s="184"/>
    </row>
    <row r="11" spans="2:15">
      <c r="B11" s="3">
        <v>10</v>
      </c>
      <c r="C11" t="s">
        <v>401</v>
      </c>
      <c r="D11" s="4"/>
      <c r="E11" s="151">
        <v>2</v>
      </c>
      <c r="F11" s="166">
        <f t="shared" si="0"/>
        <v>32</v>
      </c>
      <c r="G11">
        <f>VLOOKUP($C11,약재관리!A:J,10,FALSE)</f>
        <v>90</v>
      </c>
      <c r="H11" s="5">
        <f t="shared" si="1"/>
        <v>180</v>
      </c>
      <c r="I11" s="6">
        <f t="shared" si="2"/>
        <v>2880</v>
      </c>
      <c r="K11" s="182"/>
      <c r="L11" s="183"/>
      <c r="M11" s="184"/>
      <c r="O11" t="s">
        <v>421</v>
      </c>
    </row>
    <row r="12" spans="2:15">
      <c r="B12" s="3">
        <v>11</v>
      </c>
      <c r="C12" t="s">
        <v>408</v>
      </c>
      <c r="D12" s="4"/>
      <c r="E12" s="151">
        <v>8</v>
      </c>
      <c r="F12" s="166">
        <f t="shared" si="0"/>
        <v>128</v>
      </c>
      <c r="G12">
        <f>VLOOKUP($C12,약재관리!A:J,10,FALSE)</f>
        <v>14.4</v>
      </c>
      <c r="H12" s="5">
        <f t="shared" si="1"/>
        <v>115.2</v>
      </c>
      <c r="I12" s="6">
        <f t="shared" si="2"/>
        <v>1843.2</v>
      </c>
      <c r="K12" s="182"/>
      <c r="L12" s="183"/>
      <c r="M12" s="184"/>
    </row>
    <row r="13" spans="2:15" ht="17.25" thickBot="1">
      <c r="B13" s="3">
        <v>12</v>
      </c>
      <c r="C13" t="s">
        <v>403</v>
      </c>
      <c r="D13" s="4"/>
      <c r="E13" s="151">
        <v>2</v>
      </c>
      <c r="F13" s="166">
        <f t="shared" si="0"/>
        <v>32</v>
      </c>
      <c r="G13">
        <f>VLOOKUP($C13,약재관리!A:J,10,FALSE)</f>
        <v>134.30000000000001</v>
      </c>
      <c r="H13" s="5">
        <f t="shared" si="1"/>
        <v>268.60000000000002</v>
      </c>
      <c r="I13" s="6">
        <f t="shared" si="2"/>
        <v>4297.6000000000004</v>
      </c>
      <c r="K13" s="185"/>
      <c r="L13" s="186"/>
      <c r="M13" s="187"/>
    </row>
    <row r="14" spans="2:15">
      <c r="B14" s="3">
        <v>13</v>
      </c>
      <c r="C14" t="s">
        <v>414</v>
      </c>
      <c r="D14" s="4"/>
      <c r="E14" s="151">
        <v>2</v>
      </c>
      <c r="F14" s="166">
        <f t="shared" si="0"/>
        <v>32</v>
      </c>
      <c r="G14">
        <f>VLOOKUP($C14,약재관리!A:J,10,FALSE)</f>
        <v>34.700000000000003</v>
      </c>
      <c r="H14" s="5">
        <f t="shared" si="1"/>
        <v>69.400000000000006</v>
      </c>
      <c r="I14" s="6">
        <f t="shared" si="2"/>
        <v>1110.4000000000001</v>
      </c>
      <c r="K14" s="156" t="s">
        <v>16</v>
      </c>
      <c r="L14" s="9">
        <v>20</v>
      </c>
      <c r="M14" s="10" t="s">
        <v>17</v>
      </c>
    </row>
    <row r="15" spans="2:15">
      <c r="B15" s="3">
        <v>14</v>
      </c>
      <c r="C15" t="s">
        <v>417</v>
      </c>
      <c r="D15" s="4"/>
      <c r="E15" s="151">
        <v>2</v>
      </c>
      <c r="F15" s="166">
        <f t="shared" si="0"/>
        <v>32</v>
      </c>
      <c r="G15">
        <f>VLOOKUP($C15,약재관리!A:J,10,FALSE)</f>
        <v>463.3</v>
      </c>
      <c r="H15" s="5">
        <f t="shared" si="1"/>
        <v>926.6</v>
      </c>
      <c r="I15" s="6">
        <f t="shared" si="2"/>
        <v>14825.6</v>
      </c>
      <c r="K15" s="155" t="s">
        <v>18</v>
      </c>
      <c r="L15">
        <v>16</v>
      </c>
      <c r="M15" s="4" t="s">
        <v>19</v>
      </c>
    </row>
    <row r="16" spans="2:15">
      <c r="B16" s="3">
        <v>15</v>
      </c>
      <c r="D16" s="4"/>
      <c r="F16" s="166">
        <f t="shared" si="0"/>
        <v>0</v>
      </c>
      <c r="H16" s="5">
        <f t="shared" si="1"/>
        <v>0</v>
      </c>
      <c r="I16" s="6">
        <f t="shared" si="2"/>
        <v>0</v>
      </c>
      <c r="K16" s="155" t="s">
        <v>20</v>
      </c>
      <c r="L16">
        <v>45</v>
      </c>
      <c r="M16" s="4" t="s">
        <v>21</v>
      </c>
    </row>
    <row r="17" spans="2:13" ht="17.25" thickBot="1">
      <c r="B17" s="3">
        <v>16</v>
      </c>
      <c r="D17" s="4"/>
      <c r="F17" s="166">
        <f t="shared" si="0"/>
        <v>0</v>
      </c>
      <c r="H17" s="5">
        <f t="shared" si="1"/>
        <v>0</v>
      </c>
      <c r="I17" s="6">
        <f t="shared" si="2"/>
        <v>0</v>
      </c>
      <c r="K17" s="14" t="s">
        <v>22</v>
      </c>
      <c r="L17" s="11">
        <v>100</v>
      </c>
      <c r="M17" s="12" t="s">
        <v>23</v>
      </c>
    </row>
    <row r="18" spans="2:13">
      <c r="B18" s="3">
        <v>17</v>
      </c>
      <c r="D18" s="4"/>
      <c r="F18" s="166">
        <f t="shared" si="0"/>
        <v>0</v>
      </c>
      <c r="H18" s="5">
        <f t="shared" si="1"/>
        <v>0</v>
      </c>
      <c r="I18" s="6">
        <f t="shared" si="2"/>
        <v>0</v>
      </c>
      <c r="K18" s="156" t="s">
        <v>24</v>
      </c>
      <c r="L18" s="9">
        <f>SUM(E2:E31)</f>
        <v>58</v>
      </c>
      <c r="M18" s="10" t="s">
        <v>25</v>
      </c>
    </row>
    <row r="19" spans="2:13">
      <c r="B19" s="3">
        <v>18</v>
      </c>
      <c r="D19" s="4"/>
      <c r="F19" s="166">
        <f t="shared" si="0"/>
        <v>0</v>
      </c>
      <c r="H19" s="5">
        <f t="shared" si="1"/>
        <v>0</v>
      </c>
      <c r="I19" s="6">
        <f t="shared" si="2"/>
        <v>0</v>
      </c>
      <c r="K19" s="155" t="s">
        <v>26</v>
      </c>
      <c r="L19">
        <f>L15*L18</f>
        <v>928</v>
      </c>
      <c r="M19" s="4" t="s">
        <v>25</v>
      </c>
    </row>
    <row r="20" spans="2:13" ht="17.25" thickBot="1">
      <c r="B20" s="3">
        <v>19</v>
      </c>
      <c r="D20" s="4"/>
      <c r="F20" s="166">
        <f t="shared" si="0"/>
        <v>0</v>
      </c>
      <c r="H20" s="5">
        <f t="shared" si="1"/>
        <v>0</v>
      </c>
      <c r="I20" s="6">
        <f t="shared" si="2"/>
        <v>0</v>
      </c>
      <c r="K20" s="14" t="s">
        <v>27</v>
      </c>
      <c r="L20" s="11">
        <f>L16*L17+L19</f>
        <v>5428</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928</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2291.6000000000004</v>
      </c>
      <c r="M30" s="4" t="s">
        <v>388</v>
      </c>
    </row>
    <row r="31" spans="2:13" ht="17.25" thickBot="1">
      <c r="B31" s="13">
        <v>30</v>
      </c>
      <c r="C31" s="14"/>
      <c r="D31" s="12"/>
      <c r="E31" s="159"/>
      <c r="F31" s="167">
        <f t="shared" si="0"/>
        <v>0</v>
      </c>
      <c r="G31" s="14"/>
      <c r="H31" s="15">
        <f t="shared" si="1"/>
        <v>0</v>
      </c>
      <c r="I31" s="16">
        <f t="shared" si="2"/>
        <v>0</v>
      </c>
      <c r="K31" s="14" t="s">
        <v>387</v>
      </c>
      <c r="L31" s="15">
        <f>SUM(I2:I31)</f>
        <v>36665.600000000006</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62"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75" zoomScaleNormal="100" workbookViewId="0">
      <selection activeCell="A22" sqref="A22"/>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3">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2"/>
      <c r="L71" s="58"/>
      <c r="M71" s="58"/>
      <c r="N71" s="152"/>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3"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2">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통사요방합삼출건비탕</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2024-11-04T06:37:15Z</cp:lastPrinted>
  <dcterms:created xsi:type="dcterms:W3CDTF">2024-09-12T16:35:01Z</dcterms:created>
  <dcterms:modified xsi:type="dcterms:W3CDTF">2024-11-04T06:39:30Z</dcterms:modified>
</cp:coreProperties>
</file>