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46" documentId="8_{6EB8DC0A-AB56-415F-A9F3-EA1534264548}" xr6:coauthVersionLast="47" xr6:coauthVersionMax="47" xr10:uidLastSave="{19DBCE9A-17FB-4CF9-9DBF-F73397B776A7}"/>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6" l="1"/>
  <c r="F31" i="6"/>
  <c r="I31" i="6" s="1"/>
  <c r="H30" i="6"/>
  <c r="F30" i="6"/>
  <c r="I30" i="6" s="1"/>
  <c r="H29" i="6"/>
  <c r="F29" i="6"/>
  <c r="I29" i="6" s="1"/>
  <c r="H28" i="6"/>
  <c r="F28" i="6"/>
  <c r="I28" i="6" s="1"/>
  <c r="I27" i="6"/>
  <c r="H27" i="6"/>
  <c r="F27" i="6"/>
  <c r="I26" i="6"/>
  <c r="H26" i="6"/>
  <c r="F26" i="6"/>
  <c r="I25" i="6"/>
  <c r="H25" i="6"/>
  <c r="F25" i="6"/>
  <c r="H24" i="6"/>
  <c r="F24" i="6"/>
  <c r="I24" i="6" s="1"/>
  <c r="I23" i="6"/>
  <c r="H23" i="6"/>
  <c r="F23" i="6"/>
  <c r="H22" i="6"/>
  <c r="F22" i="6"/>
  <c r="I22" i="6" s="1"/>
  <c r="H21" i="6"/>
  <c r="F21" i="6"/>
  <c r="I21" i="6" s="1"/>
  <c r="H20" i="6"/>
  <c r="F20" i="6"/>
  <c r="I20" i="6" s="1"/>
  <c r="I19" i="6"/>
  <c r="H19" i="6"/>
  <c r="F19" i="6"/>
  <c r="L18" i="6"/>
  <c r="L19" i="6" s="1"/>
  <c r="L20" i="6" s="1"/>
  <c r="H18" i="6"/>
  <c r="F18" i="6"/>
  <c r="I18" i="6" s="1"/>
  <c r="H17" i="6"/>
  <c r="F17" i="6"/>
  <c r="I17" i="6" s="1"/>
  <c r="I16" i="6"/>
  <c r="H16" i="6"/>
  <c r="F16" i="6"/>
  <c r="H15" i="6"/>
  <c r="F15" i="6"/>
  <c r="I15" i="6" s="1"/>
  <c r="H14" i="6"/>
  <c r="F14" i="6"/>
  <c r="I14" i="6" s="1"/>
  <c r="H13" i="6"/>
  <c r="F13" i="6"/>
  <c r="I13" i="6" s="1"/>
  <c r="I12" i="6"/>
  <c r="H12" i="6"/>
  <c r="F12" i="6"/>
  <c r="H11" i="6"/>
  <c r="F11" i="6"/>
  <c r="I11" i="6" s="1"/>
  <c r="G10" i="6"/>
  <c r="I10" i="6" s="1"/>
  <c r="F10" i="6"/>
  <c r="G9" i="6"/>
  <c r="I9" i="6" s="1"/>
  <c r="F9" i="6"/>
  <c r="G8" i="6"/>
  <c r="I8" i="6" s="1"/>
  <c r="F8" i="6"/>
  <c r="G7" i="6"/>
  <c r="I7" i="6" s="1"/>
  <c r="F7" i="6"/>
  <c r="G6" i="6"/>
  <c r="H6" i="6" s="1"/>
  <c r="F6" i="6"/>
  <c r="G5" i="6"/>
  <c r="I5" i="6" s="1"/>
  <c r="F5" i="6"/>
  <c r="G4" i="6"/>
  <c r="I4" i="6" s="1"/>
  <c r="F4" i="6"/>
  <c r="G3" i="6"/>
  <c r="I3" i="6" s="1"/>
  <c r="F3" i="6"/>
  <c r="G2" i="6"/>
  <c r="I2" i="6" s="1"/>
  <c r="F2" i="6"/>
  <c r="H57" i="5"/>
  <c r="I86" i="5"/>
  <c r="I53" i="5"/>
  <c r="I54" i="5"/>
  <c r="I127" i="5"/>
  <c r="G142" i="5"/>
  <c r="I145" i="5"/>
  <c r="H145" i="5"/>
  <c r="G145" i="5"/>
  <c r="F145" i="5"/>
  <c r="G171" i="5"/>
  <c r="G3" i="4"/>
  <c r="G4" i="4"/>
  <c r="G5" i="4"/>
  <c r="G6" i="4"/>
  <c r="G7" i="4"/>
  <c r="G8" i="4"/>
  <c r="G9" i="4"/>
  <c r="G10"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H4" i="6" l="1"/>
  <c r="H7" i="6"/>
  <c r="H10" i="6"/>
  <c r="H2" i="6"/>
  <c r="H5" i="6"/>
  <c r="H8" i="6"/>
  <c r="H3" i="6"/>
  <c r="H9" i="6"/>
  <c r="I6" i="6"/>
  <c r="L31" i="6" s="1"/>
  <c r="L23" i="6"/>
  <c r="F2" i="4"/>
  <c r="L30" i="6" l="1"/>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<sst xmlns="http://schemas.openxmlformats.org/spreadsheetml/2006/main" count="647" uniqueCount="425">
  <si>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</si>
  <si>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</si>
  <si>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</si>
  <si>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</si>
  <si>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</si>
  <si>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</si>
  <si>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</si>
  <si>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</si>
  <si>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</si>
  <si>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</si>
  <si>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</si>
  <si>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</si>
  <si>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</si>
  <si>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</si>
  <si>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</si>
  <si>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</si>
  <si>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</si>
  <si>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</si>
  <si>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</si>
  <si>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</si>
  <si>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</si>
  <si>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</si>
  <si>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</si>
  <si>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</si>
  <si>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</si>
  <si>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</si>
  <si>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</si>
  <si>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</si>
  <si>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</si>
  <si>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</si>
  <si>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</si>
  <si>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</si>
  <si>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</si>
  <si>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</si>
  <si>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</si>
  <si>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</si>
  <si>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</si>
  <si>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</si>
  <si>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</si>
  <si>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</si>
  <si>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</si>
  <si>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</si>
  <si>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</si>
  <si>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</si>
  <si>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</si>
  <si>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</si>
  <si>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</si>
  <si>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</si>
  <si>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</si>
  <si>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</si>
  <si>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</si>
  <si>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</si>
  <si>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</si>
  <si>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</si>
  <si>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</si>
  <si>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</si>
  <si>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</si>
  <si>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</si>
  <si>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</si>
  <si>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</si>
  <si>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</si>
  <si>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</si>
  <si>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</si>
  <si>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</si>
  <si>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</si>
  <si>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</si>
  <si>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</si>
  <si>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</si>
  <si>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</si>
  <si>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</si>
  <si>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</si>
  <si>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</si>
  <si>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</si>
  <si>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</si>
  <si>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</si>
  <si>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</si>
  <si>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</si>
  <si>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</si>
  <si>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</si>
  <si>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</si>
  <si>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</si>
  <si>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</si>
  <si>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</si>
  <si>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</si>
  <si>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</si>
  <si>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</si>
  <si>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</si>
  <si>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</si>
  <si>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</si>
  <si>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</si>
  <si>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</si>
  <si>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</si>
  <si>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</si>
  <si>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</si>
  <si>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</si>
  <si>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</si>
  <si>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</si>
  <si>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</si>
  <si>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</si>
  <si>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</si>
  <si>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</si>
  <si>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</si>
  <si>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</si>
  <si>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</si>
  <si>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</si>
  <si>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</si>
  <si>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</si>
  <si>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</si>
  <si>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</si>
  <si>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</si>
  <si>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</si>
  <si>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</si>
  <si>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</si>
  <si>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</si>
  <si>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</si>
  <si>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</si>
  <si>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</si>
  <si>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</si>
  <si>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</si>
  <si>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</si>
  <si>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</si>
  <si>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</si>
  <si>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</si>
  <si>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</si>
  <si>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</si>
  <si>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</si>
  <si>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</si>
  <si>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</si>
  <si>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</si>
  <si>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</si>
  <si>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</si>
  <si>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</si>
  <si>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</si>
  <si>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</si>
  <si>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</si>
  <si>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</si>
  <si>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</si>
  <si>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</si>
  <si>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</si>
  <si>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</si>
  <si>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</si>
  <si>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</si>
  <si>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</si>
  <si>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</si>
  <si>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</si>
  <si>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</si>
  <si>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</si>
  <si>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</si>
  <si>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</si>
  <si>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</si>
  <si>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</si>
  <si>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</si>
  <si>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</si>
  <si>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</si>
  <si>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</si>
  <si>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</si>
  <si>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</si>
  <si>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</si>
  <si>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</si>
  <si>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</si>
  <si>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</si>
  <si>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</si>
  <si>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</si>
  <si>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</si>
  <si>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</si>
  <si>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</si>
  <si>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</si>
  <si>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</si>
  <si>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</si>
  <si>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</si>
  <si>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</si>
  <si>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</si>
  <si>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</si>
  <si>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</si>
  <si>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</si>
  <si>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</si>
  <si>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</si>
  <si>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</si>
  <si>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</si>
  <si>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</si>
  <si>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</si>
  <si>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</si>
  <si>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</si>
  <si>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</si>
  <si>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</si>
  <si>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</si>
  <si>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</si>
  <si>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</si>
  <si>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</si>
  <si>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</si>
  <si>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</si>
  <si>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</si>
  <si>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</si>
  <si>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</si>
  <si>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</si>
  <si>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</si>
  <si>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</si>
  <si>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</si>
  <si>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</si>
  <si>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</si>
  <si>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</si>
  <si>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</si>
  <si>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</si>
  <si>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</si>
  <si>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</si>
  <si>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</si>
  <si>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</si>
  <si>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</si>
  <si>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</si>
  <si>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</si>
  <si>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</si>
  <si>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</si>
  <si>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</si>
  <si>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</si>
  <si>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</si>
  <si>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</si>
  <si>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</si>
  <si>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</si>
  <si>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</si>
  <si>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</si>
  <si>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</si>
  <si>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</si>
  <si>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</si>
  <si>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</si>
  <si>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</si>
  <si>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</si>
  <si>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</si>
  <si>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</si>
  <si>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</si>
  <si>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</si>
  <si>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</si>
  <si>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</si>
  <si>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</si>
  <si>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</si>
  <si>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</si>
  <si>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</si>
  <si>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</si>
  <si>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</si>
  <si>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</si>
  <si>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</si>
  <si>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</si>
  <si>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</si>
  <si>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</si>
  <si>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</si>
  <si>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</si>
  <si>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</si>
  <si>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</si>
  <si>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</si>
  <si>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</si>
  <si>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</si>
  <si>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</si>
  <si>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</si>
  <si>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</si>
  <si>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</si>
  <si>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</si>
  <si>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</si>
  <si>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</si>
  <si>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</si>
  <si>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</si>
  <si>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</si>
  <si>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</si>
  <si>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</si>
  <si>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</si>
  <si>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</si>
  <si>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</si>
  <si>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</si>
  <si>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</si>
  <si>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</si>
  <si>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</si>
  <si>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</si>
  <si>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</si>
  <si>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</si>
  <si>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</si>
  <si>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</si>
  <si>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</si>
  <si>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</si>
  <si>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</si>
  <si>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</si>
  <si>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</si>
  <si>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</si>
  <si>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</si>
  <si>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</si>
  <si>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</si>
  <si>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</si>
  <si>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</si>
  <si>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</si>
  <si>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</si>
  <si>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</si>
  <si>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</si>
  <si>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</si>
  <si>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</si>
  <si>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</si>
  <si>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</si>
  <si>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</si>
  <si>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</si>
  <si>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</si>
  <si>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</si>
  <si>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</si>
  <si>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</si>
  <si>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</si>
  <si>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</si>
  <si>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</si>
  <si>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</si>
  <si>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</si>
  <si>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</si>
  <si>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</si>
  <si>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</si>
  <si>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</si>
  <si>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</si>
  <si>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</si>
  <si>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</si>
  <si>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</si>
  <si>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</si>
  <si>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</si>
  <si>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</si>
  <si>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</si>
  <si>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</si>
  <si>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</si>
  <si>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</si>
  <si>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</si>
  <si>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</si>
  <si>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</si>
  <si>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</si>
  <si>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</si>
  <si>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</si>
  <si>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</si>
  <si>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</si>
  <si>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</si>
  <si>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</si>
  <si>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</si>
  <si>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</si>
  <si>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</si>
  <si>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</si>
  <si>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</si>
  <si>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</si>
  <si>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</si>
  <si>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</si>
  <si>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</si>
  <si>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</si>
  <si>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</si>
  <si>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</si>
  <si>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</si>
  <si>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</si>
  <si>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</si>
  <si>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</si>
  <si>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</si>
  <si>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</si>
  <si>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</si>
  <si>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</si>
  <si>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</si>
  <si>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</si>
  <si>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</si>
  <si>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</si>
  <si>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</si>
  <si>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</si>
  <si>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</si>
  <si>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</si>
  <si>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</si>
  <si>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</si>
  <si>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</si>
  <si>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</si>
  <si>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</si>
  <si>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</si>
  <si>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</si>
  <si>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</si>
  <si>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</si>
  <si>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</si>
  <si>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</si>
  <si>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</si>
  <si>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</si>
  <si>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</si>
  <si>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</si>
  <si>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</si>
  <si>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</si>
  <si>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</si>
  <si>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</si>
  <si>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</si>
  <si>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</si>
  <si>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</si>
  <si>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</si>
  <si>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</si>
  <si>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</si>
  <si>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</si>
  <si>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</si>
  <si>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</si>
  <si>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</si>
  <si>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</si>
  <si>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</si>
  <si>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</si>
  <si>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</si>
  <si>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</si>
  <si>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</si>
  <si>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</si>
  <si>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</si>
  <si>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</si>
  <si>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</si>
  <si>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</si>
  <si>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</si>
  <si>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</si>
  <si>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</si>
  <si>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</si>
  <si>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</si>
  <si>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</si>
  <si>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</si>
  <si>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</si>
  <si>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</si>
  <si>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</si>
  <si>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</si>
  <si>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</si>
  <si>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</si>
  <si>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</si>
  <si>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</si>
  <si>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</si>
  <si>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우슬</t>
    <phoneticPr fontId="5" type="noConversion"/>
  </si>
  <si>
    <t>육종용</t>
    <phoneticPr fontId="5" type="noConversion"/>
  </si>
  <si>
    <t>지각</t>
    <phoneticPr fontId="5" type="noConversion"/>
  </si>
  <si>
    <t>승마</t>
    <phoneticPr fontId="5" type="noConversion"/>
  </si>
  <si>
    <t>빈랑</t>
    <phoneticPr fontId="5" type="noConversion"/>
  </si>
  <si>
    <t>마자인</t>
    <phoneticPr fontId="5" type="noConversion"/>
  </si>
  <si>
    <t>인삼</t>
    <phoneticPr fontId="5" type="noConversion"/>
  </si>
  <si>
    <t>택사1</t>
    <phoneticPr fontId="5" type="noConversion"/>
  </si>
  <si>
    <t>당귀1</t>
    <phoneticPr fontId="5" type="noConversion"/>
  </si>
  <si>
    <t>제천음가감</t>
    <phoneticPr fontId="5" type="noConversion"/>
  </si>
  <si>
    <t>김진수</t>
    <phoneticPr fontId="5" type="noConversion"/>
  </si>
  <si>
    <t>M</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</si>
</sst>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42D3E-090D-4BEB-BC78-EB88522F02BD}">
  <sheetPr>
    <pageSetUpPr fitToPage="1"/>
  </sheetPr>
  <dimension ref="B1:M31"/>
  <sheetViews>
    <sheetView tabSelected="1" workbookViewId="0">
      <selection activeCell="T24" sqref="T2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421</v>
      </c>
      <c r="D2" s="3"/>
      <c r="E2" s="87">
        <v>20</v>
      </c>
      <c r="F2" s="98">
        <f>E2*$L$15</f>
        <v>400</v>
      </c>
      <c r="G2">
        <f>VLOOKUP($C2,약재관리!A:J,10,FALSE)</f>
        <v>27.2</v>
      </c>
      <c r="H2" s="4">
        <f>G2*E2</f>
        <v>544</v>
      </c>
      <c r="I2" s="89">
        <f>G2*F2</f>
        <v>10880</v>
      </c>
      <c r="K2" s="6" t="s">
        <v>9</v>
      </c>
      <c r="L2" s="153">
        <v>113</v>
      </c>
      <c r="M2" s="154"/>
    </row>
    <row r="3" spans="2:13">
      <c r="B3" s="2">
        <v>2</v>
      </c>
      <c r="C3" t="s">
        <v>413</v>
      </c>
      <c r="D3" s="3"/>
      <c r="E3" s="87">
        <v>12</v>
      </c>
      <c r="F3" s="98">
        <f t="shared" ref="F3:F31" si="0">E3*$L$15</f>
        <v>240</v>
      </c>
      <c r="G3">
        <f>VLOOKUP($C3,약재관리!A:J,10,FALSE)</f>
        <v>17.7</v>
      </c>
      <c r="H3" s="4">
        <f t="shared" ref="H3:H31" si="1">G3*E3</f>
        <v>212.39999999999998</v>
      </c>
      <c r="I3" s="5">
        <f t="shared" ref="I3:I31" si="2">G3*F3</f>
        <v>4248</v>
      </c>
      <c r="K3" s="7" t="s">
        <v>10</v>
      </c>
      <c r="L3" s="148" t="s">
        <v>422</v>
      </c>
      <c r="M3" s="149"/>
    </row>
    <row r="4" spans="2:13">
      <c r="B4" s="2">
        <v>3</v>
      </c>
      <c r="C4" t="s">
        <v>414</v>
      </c>
      <c r="D4" s="3"/>
      <c r="E4" s="87">
        <v>8</v>
      </c>
      <c r="F4" s="98">
        <f t="shared" si="0"/>
        <v>160</v>
      </c>
      <c r="G4">
        <f>VLOOKUP($C4,약재관리!A:J,10,FALSE)</f>
        <v>22</v>
      </c>
      <c r="H4" s="4">
        <f t="shared" si="1"/>
        <v>176</v>
      </c>
      <c r="I4" s="5">
        <f t="shared" si="2"/>
        <v>3520</v>
      </c>
      <c r="K4" s="7" t="s">
        <v>11</v>
      </c>
      <c r="L4" s="155">
        <v>45839</v>
      </c>
      <c r="M4" s="149"/>
    </row>
    <row r="5" spans="2:13">
      <c r="B5" s="2">
        <v>4</v>
      </c>
      <c r="C5" t="s">
        <v>420</v>
      </c>
      <c r="D5" s="3"/>
      <c r="E5" s="87">
        <v>6</v>
      </c>
      <c r="F5" s="98">
        <f t="shared" si="0"/>
        <v>120</v>
      </c>
      <c r="G5">
        <f>VLOOKUP($C5,약재관리!A:J,10,FALSE)</f>
        <v>23.7</v>
      </c>
      <c r="H5" s="4">
        <f t="shared" si="1"/>
        <v>142.19999999999999</v>
      </c>
      <c r="I5" s="5">
        <f t="shared" si="2"/>
        <v>2844</v>
      </c>
      <c r="K5" s="7" t="s">
        <v>12</v>
      </c>
      <c r="L5" s="148" t="s">
        <v>423</v>
      </c>
      <c r="M5" s="149"/>
    </row>
    <row r="6" spans="2:13">
      <c r="B6" s="2">
        <v>5</v>
      </c>
      <c r="C6" t="s">
        <v>415</v>
      </c>
      <c r="D6" s="3"/>
      <c r="E6" s="87">
        <v>4</v>
      </c>
      <c r="F6" s="98">
        <f t="shared" si="0"/>
        <v>80</v>
      </c>
      <c r="G6">
        <f>VLOOKUP($C6,약재관리!A:J,10,FALSE)</f>
        <v>10</v>
      </c>
      <c r="H6" s="4">
        <f t="shared" si="1"/>
        <v>40</v>
      </c>
      <c r="I6" s="5">
        <f t="shared" si="2"/>
        <v>800</v>
      </c>
      <c r="K6" s="7" t="s">
        <v>13</v>
      </c>
      <c r="L6" s="148" t="s">
        <v>424</v>
      </c>
      <c r="M6" s="149"/>
    </row>
    <row r="7" spans="2:13" ht="17.25" thickBot="1">
      <c r="B7" s="2">
        <v>6</v>
      </c>
      <c r="C7" t="s">
        <v>416</v>
      </c>
      <c r="D7" s="3"/>
      <c r="E7" s="87">
        <v>2</v>
      </c>
      <c r="F7" s="98">
        <f t="shared" si="0"/>
        <v>40</v>
      </c>
      <c r="G7">
        <f>VLOOKUP($C7,약재관리!A:J,10,FALSE)</f>
        <v>31</v>
      </c>
      <c r="H7" s="4">
        <f t="shared" si="1"/>
        <v>62</v>
      </c>
      <c r="I7" s="5">
        <f t="shared" si="2"/>
        <v>1240</v>
      </c>
      <c r="K7" s="7" t="s">
        <v>14</v>
      </c>
      <c r="L7" s="156"/>
      <c r="M7" s="157"/>
    </row>
    <row r="8" spans="2:13" ht="17.25" thickBot="1">
      <c r="B8" s="2">
        <v>7</v>
      </c>
      <c r="C8" t="s">
        <v>417</v>
      </c>
      <c r="D8" s="3"/>
      <c r="E8" s="87">
        <v>6</v>
      </c>
      <c r="F8" s="98">
        <f t="shared" si="0"/>
        <v>120</v>
      </c>
      <c r="G8">
        <f>VLOOKUP($C8,약재관리!A:J,10,FALSE)</f>
        <v>8.3000000000000007</v>
      </c>
      <c r="H8" s="4">
        <f t="shared" si="1"/>
        <v>49.800000000000004</v>
      </c>
      <c r="I8" s="5">
        <f t="shared" si="2"/>
        <v>996.00000000000011</v>
      </c>
      <c r="K8" s="150" t="s">
        <v>15</v>
      </c>
      <c r="L8" s="151"/>
      <c r="M8" s="152"/>
    </row>
    <row r="9" spans="2:13">
      <c r="B9" s="2">
        <v>8</v>
      </c>
      <c r="C9" t="s">
        <v>418</v>
      </c>
      <c r="D9" s="3"/>
      <c r="E9" s="87">
        <v>4</v>
      </c>
      <c r="F9" s="98">
        <f t="shared" si="0"/>
        <v>80</v>
      </c>
      <c r="G9">
        <f>VLOOKUP($C9,약재관리!A:J,10,FALSE)</f>
        <v>8</v>
      </c>
      <c r="H9" s="4">
        <f t="shared" si="1"/>
        <v>32</v>
      </c>
      <c r="I9" s="5">
        <f t="shared" si="2"/>
        <v>640</v>
      </c>
      <c r="K9" s="158"/>
      <c r="L9" s="159"/>
      <c r="M9" s="160"/>
    </row>
    <row r="10" spans="2:13">
      <c r="B10" s="2">
        <v>9</v>
      </c>
      <c r="C10" t="s">
        <v>419</v>
      </c>
      <c r="D10" s="3"/>
      <c r="E10" s="87">
        <v>4</v>
      </c>
      <c r="F10" s="98">
        <f t="shared" si="0"/>
        <v>80</v>
      </c>
      <c r="G10">
        <f>VLOOKUP($C10,약재관리!A:J,10,FALSE)</f>
        <v>108.3</v>
      </c>
      <c r="H10" s="4">
        <f t="shared" si="1"/>
        <v>433.2</v>
      </c>
      <c r="I10" s="5">
        <f t="shared" si="2"/>
        <v>8664</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66</v>
      </c>
      <c r="M18" s="9" t="s">
        <v>25</v>
      </c>
    </row>
    <row r="19" spans="2:13">
      <c r="B19" s="2">
        <v>18</v>
      </c>
      <c r="D19" s="3"/>
      <c r="F19" s="98">
        <f t="shared" si="0"/>
        <v>0</v>
      </c>
      <c r="H19" s="4">
        <f t="shared" si="1"/>
        <v>0</v>
      </c>
      <c r="I19" s="5">
        <f t="shared" si="2"/>
        <v>0</v>
      </c>
      <c r="K19" s="90" t="s">
        <v>26</v>
      </c>
      <c r="L19">
        <f>L15*L18</f>
        <v>1320</v>
      </c>
      <c r="M19" s="3" t="s">
        <v>25</v>
      </c>
    </row>
    <row r="20" spans="2:13" ht="17.25" thickBot="1">
      <c r="B20" s="2">
        <v>19</v>
      </c>
      <c r="D20" s="3"/>
      <c r="F20" s="98">
        <f t="shared" si="0"/>
        <v>0</v>
      </c>
      <c r="H20" s="4">
        <f t="shared" si="1"/>
        <v>0</v>
      </c>
      <c r="I20" s="5">
        <f t="shared" si="2"/>
        <v>0</v>
      </c>
      <c r="K20" s="13" t="s">
        <v>27</v>
      </c>
      <c r="L20" s="10">
        <f>L16*L17+L19</f>
        <v>6270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1320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1691.6</v>
      </c>
      <c r="M30" s="3" t="s">
        <v>36</v>
      </c>
    </row>
    <row r="31" spans="2:13" ht="17.25" thickBot="1">
      <c r="B31" s="12">
        <v>30</v>
      </c>
      <c r="C31" s="13"/>
      <c r="D31" s="11"/>
      <c r="E31" s="94"/>
      <c r="F31" s="99">
        <f t="shared" si="0"/>
        <v>0</v>
      </c>
      <c r="G31" s="10"/>
      <c r="H31" s="14">
        <f t="shared" si="1"/>
        <v>0</v>
      </c>
      <c r="I31" s="15">
        <f t="shared" si="2"/>
        <v>0</v>
      </c>
      <c r="K31" s="13" t="s">
        <v>37</v>
      </c>
      <c r="L31" s="14">
        <f>SUM(I2:I31)</f>
        <v>33832</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I14" sqref="I1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421</v>
      </c>
      <c r="D2" s="3"/>
      <c r="E2" s="87">
        <v>20</v>
      </c>
      <c r="F2" s="98">
        <f>E2*$L$15</f>
        <v>400</v>
      </c>
      <c r="G2">
        <f>VLOOKUP($C2,약재관리!A:J,10,FALSE)</f>
        <v>27.2</v>
      </c>
      <c r="H2" s="4">
        <f>G2*E2</f>
        <v>544</v>
      </c>
      <c r="I2" s="89">
        <f>G2*F2</f>
        <v>10880</v>
      </c>
      <c r="K2" s="6" t="s">
        <v>9</v>
      </c>
      <c r="L2" s="153">
        <v>113</v>
      </c>
      <c r="M2" s="154"/>
    </row>
    <row r="3" spans="2:13">
      <c r="B3" s="2">
        <v>2</v>
      </c>
      <c r="C3" t="s">
        <v>413</v>
      </c>
      <c r="D3" s="3"/>
      <c r="E3" s="87">
        <v>12</v>
      </c>
      <c r="F3" s="98">
        <f t="shared" ref="F3:F31" si="0">E3*$L$15</f>
        <v>240</v>
      </c>
      <c r="G3">
        <f>VLOOKUP($C3,약재관리!A:J,10,FALSE)</f>
        <v>17.7</v>
      </c>
      <c r="H3" s="4">
        <f t="shared" ref="H3:H31" si="1">G3*E3</f>
        <v>212.39999999999998</v>
      </c>
      <c r="I3" s="5">
        <f t="shared" ref="I3:I31" si="2">G3*F3</f>
        <v>4248</v>
      </c>
      <c r="K3" s="7" t="s">
        <v>10</v>
      </c>
      <c r="L3" s="148" t="s">
        <v>422</v>
      </c>
      <c r="M3" s="149"/>
    </row>
    <row r="4" spans="2:13">
      <c r="B4" s="2">
        <v>3</v>
      </c>
      <c r="C4" t="s">
        <v>414</v>
      </c>
      <c r="D4" s="3"/>
      <c r="E4" s="87">
        <v>8</v>
      </c>
      <c r="F4" s="98">
        <f t="shared" si="0"/>
        <v>160</v>
      </c>
      <c r="G4">
        <f>VLOOKUP($C4,약재관리!A:J,10,FALSE)</f>
        <v>22</v>
      </c>
      <c r="H4" s="4">
        <f t="shared" si="1"/>
        <v>176</v>
      </c>
      <c r="I4" s="5">
        <f t="shared" si="2"/>
        <v>3520</v>
      </c>
      <c r="K4" s="7" t="s">
        <v>11</v>
      </c>
      <c r="L4" s="155">
        <v>45825</v>
      </c>
      <c r="M4" s="149"/>
    </row>
    <row r="5" spans="2:13">
      <c r="B5" s="2">
        <v>4</v>
      </c>
      <c r="C5" t="s">
        <v>420</v>
      </c>
      <c r="D5" s="3"/>
      <c r="E5" s="87">
        <v>6</v>
      </c>
      <c r="F5" s="98">
        <f t="shared" si="0"/>
        <v>120</v>
      </c>
      <c r="G5">
        <f>VLOOKUP($C5,약재관리!A:J,10,FALSE)</f>
        <v>23.7</v>
      </c>
      <c r="H5" s="4">
        <f t="shared" si="1"/>
        <v>142.19999999999999</v>
      </c>
      <c r="I5" s="5">
        <f t="shared" si="2"/>
        <v>2844</v>
      </c>
      <c r="K5" s="7" t="s">
        <v>12</v>
      </c>
      <c r="L5" s="148" t="s">
        <v>423</v>
      </c>
      <c r="M5" s="149"/>
    </row>
    <row r="6" spans="2:13">
      <c r="B6" s="2">
        <v>5</v>
      </c>
      <c r="C6" t="s">
        <v>415</v>
      </c>
      <c r="D6" s="3"/>
      <c r="E6" s="87">
        <v>4</v>
      </c>
      <c r="F6" s="98">
        <f t="shared" si="0"/>
        <v>80</v>
      </c>
      <c r="G6">
        <f>VLOOKUP($C6,약재관리!A:J,10,FALSE)</f>
        <v>10</v>
      </c>
      <c r="H6" s="4">
        <f t="shared" si="1"/>
        <v>40</v>
      </c>
      <c r="I6" s="5">
        <f t="shared" si="2"/>
        <v>800</v>
      </c>
      <c r="K6" s="7" t="s">
        <v>13</v>
      </c>
      <c r="L6" s="148" t="s">
        <v>424</v>
      </c>
      <c r="M6" s="149"/>
    </row>
    <row r="7" spans="2:13" ht="17.25" thickBot="1">
      <c r="B7" s="2">
        <v>6</v>
      </c>
      <c r="C7" t="s">
        <v>416</v>
      </c>
      <c r="D7" s="3"/>
      <c r="E7" s="87">
        <v>2</v>
      </c>
      <c r="F7" s="98">
        <f t="shared" si="0"/>
        <v>40</v>
      </c>
      <c r="G7">
        <f>VLOOKUP($C7,약재관리!A:J,10,FALSE)</f>
        <v>31</v>
      </c>
      <c r="H7" s="4">
        <f t="shared" si="1"/>
        <v>62</v>
      </c>
      <c r="I7" s="5">
        <f t="shared" si="2"/>
        <v>1240</v>
      </c>
      <c r="K7" s="7" t="s">
        <v>14</v>
      </c>
      <c r="L7" s="156"/>
      <c r="M7" s="157"/>
    </row>
    <row r="8" spans="2:13" ht="17.25" thickBot="1">
      <c r="B8" s="2">
        <v>7</v>
      </c>
      <c r="C8" t="s">
        <v>417</v>
      </c>
      <c r="D8" s="3"/>
      <c r="E8" s="87">
        <v>6</v>
      </c>
      <c r="F8" s="98">
        <f t="shared" si="0"/>
        <v>120</v>
      </c>
      <c r="G8">
        <f>VLOOKUP($C8,약재관리!A:J,10,FALSE)</f>
        <v>8.3000000000000007</v>
      </c>
      <c r="H8" s="4">
        <f t="shared" si="1"/>
        <v>49.800000000000004</v>
      </c>
      <c r="I8" s="5">
        <f t="shared" si="2"/>
        <v>996.00000000000011</v>
      </c>
      <c r="K8" s="150" t="s">
        <v>15</v>
      </c>
      <c r="L8" s="151"/>
      <c r="M8" s="152"/>
    </row>
    <row r="9" spans="2:13">
      <c r="B9" s="2">
        <v>8</v>
      </c>
      <c r="C9" t="s">
        <v>418</v>
      </c>
      <c r="D9" s="3"/>
      <c r="E9" s="87">
        <v>4</v>
      </c>
      <c r="F9" s="98">
        <f t="shared" si="0"/>
        <v>80</v>
      </c>
      <c r="G9">
        <f>VLOOKUP($C9,약재관리!A:J,10,FALSE)</f>
        <v>8</v>
      </c>
      <c r="H9" s="4">
        <f t="shared" si="1"/>
        <v>32</v>
      </c>
      <c r="I9" s="5">
        <f t="shared" si="2"/>
        <v>640</v>
      </c>
      <c r="K9" s="158"/>
      <c r="L9" s="159"/>
      <c r="M9" s="160"/>
    </row>
    <row r="10" spans="2:13">
      <c r="B10" s="2">
        <v>9</v>
      </c>
      <c r="C10" t="s">
        <v>419</v>
      </c>
      <c r="D10" s="3"/>
      <c r="E10" s="87">
        <v>4</v>
      </c>
      <c r="F10" s="98">
        <f t="shared" si="0"/>
        <v>80</v>
      </c>
      <c r="G10">
        <f>VLOOKUP($C10,약재관리!A:J,10,FALSE)</f>
        <v>108.3</v>
      </c>
      <c r="H10" s="4">
        <f t="shared" si="1"/>
        <v>433.2</v>
      </c>
      <c r="I10" s="5">
        <f t="shared" si="2"/>
        <v>8664</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66</v>
      </c>
      <c r="M18" s="9" t="s">
        <v>25</v>
      </c>
    </row>
    <row r="19" spans="2:13">
      <c r="B19" s="2">
        <v>18</v>
      </c>
      <c r="D19" s="3"/>
      <c r="F19" s="98">
        <f t="shared" si="0"/>
        <v>0</v>
      </c>
      <c r="H19" s="4">
        <f t="shared" si="1"/>
        <v>0</v>
      </c>
      <c r="I19" s="5">
        <f t="shared" si="2"/>
        <v>0</v>
      </c>
      <c r="K19" s="90" t="s">
        <v>26</v>
      </c>
      <c r="L19">
        <f>L15*L18</f>
        <v>1320</v>
      </c>
      <c r="M19" s="3" t="s">
        <v>25</v>
      </c>
    </row>
    <row r="20" spans="2:13" ht="17.25" thickBot="1">
      <c r="B20" s="2">
        <v>19</v>
      </c>
      <c r="D20" s="3"/>
      <c r="F20" s="98">
        <f t="shared" si="0"/>
        <v>0</v>
      </c>
      <c r="H20" s="4">
        <f t="shared" si="1"/>
        <v>0</v>
      </c>
      <c r="I20" s="5">
        <f t="shared" si="2"/>
        <v>0</v>
      </c>
      <c r="K20" s="13" t="s">
        <v>27</v>
      </c>
      <c r="L20" s="10">
        <f>L16*L17+L19</f>
        <v>6270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1320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1691.6</v>
      </c>
      <c r="M30" s="3" t="s">
        <v>36</v>
      </c>
    </row>
    <row r="31" spans="2:13" ht="17.25" thickBot="1">
      <c r="B31" s="12">
        <v>30</v>
      </c>
      <c r="C31" s="13"/>
      <c r="D31" s="11"/>
      <c r="E31" s="94"/>
      <c r="F31" s="99">
        <f t="shared" si="0"/>
        <v>0</v>
      </c>
      <c r="G31" s="10"/>
      <c r="H31" s="14">
        <f t="shared" si="1"/>
        <v>0</v>
      </c>
      <c r="I31" s="15">
        <f t="shared" si="2"/>
        <v>0</v>
      </c>
      <c r="K31" s="13" t="s">
        <v>37</v>
      </c>
      <c r="L31" s="14">
        <f>SUM(I2:I31)</f>
        <v>33832</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5" zoomScaleNormal="100" workbookViewId="0">
      <selection activeCell="J199" sqref="J199"/>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2025-07-01T01:36:18Z</cp:lastPrinted>
  <dcterms:created xsi:type="dcterms:W3CDTF">2024-09-12T16:35:01Z</dcterms:created>
  <dcterms:modified xsi:type="dcterms:W3CDTF">2025-07-01T01:36:23Z</dcterms:modified>
  <cp:category/>
  <cp:contentStatus/>
</cp:coreProperties>
</file>