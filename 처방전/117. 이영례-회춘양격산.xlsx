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064" documentId="8_{6EB8DC0A-AB56-415F-A9F3-EA1534264548}" xr6:coauthVersionLast="47" xr6:coauthVersionMax="47" xr10:uidLastSave="{39D447ED-1CCF-4F65-88FC-F1817D670600}"/>
  <bookViews>
    <workbookView xWindow="3510" yWindow="30" windowWidth="15270" windowHeight="15450" xr2:uid="{8B9F1886-173A-4475-B0CF-D9F36CE30773}"/>
  </bookViews>
  <sheets>
    <sheet name="도적강기탕 6차" sheetId="12" r:id="rId1"/>
    <sheet name="도적강기탕 5차" sheetId="11" r:id="rId2"/>
    <sheet name="도적강기탕4.5차" sheetId="10" r:id="rId3"/>
    <sheet name="도적강기탕4차" sheetId="9" r:id="rId4"/>
    <sheet name="양격산화탕3차" sheetId="8" r:id="rId5"/>
    <sheet name="양격산화탕2차" sheetId="7" r:id="rId6"/>
    <sheet name="양격산화탕(1.5차)" sheetId="6" r:id="rId7"/>
    <sheet name="양격산(1차)" sheetId="4" r:id="rId8"/>
    <sheet name="약재관리" sheetId="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2" l="1"/>
  <c r="H19" i="12" s="1"/>
  <c r="G17" i="12"/>
  <c r="G18" i="12"/>
  <c r="H18" i="12" s="1"/>
  <c r="H31" i="12"/>
  <c r="F31" i="12"/>
  <c r="I31" i="12" s="1"/>
  <c r="I30" i="12"/>
  <c r="H30" i="12"/>
  <c r="F30" i="12"/>
  <c r="H29" i="12"/>
  <c r="F29" i="12"/>
  <c r="I29" i="12" s="1"/>
  <c r="H28" i="12"/>
  <c r="F28" i="12"/>
  <c r="I28" i="12" s="1"/>
  <c r="H27" i="12"/>
  <c r="F27" i="12"/>
  <c r="I27" i="12" s="1"/>
  <c r="I26" i="12"/>
  <c r="H26" i="12"/>
  <c r="F26" i="12"/>
  <c r="I25" i="12"/>
  <c r="H25" i="12"/>
  <c r="F25" i="12"/>
  <c r="H24" i="12"/>
  <c r="F24" i="12"/>
  <c r="I24" i="12" s="1"/>
  <c r="H23" i="12"/>
  <c r="F23" i="12"/>
  <c r="I23" i="12" s="1"/>
  <c r="H22" i="12"/>
  <c r="F22" i="12"/>
  <c r="I22" i="12" s="1"/>
  <c r="H21" i="12"/>
  <c r="F21" i="12"/>
  <c r="I21" i="12" s="1"/>
  <c r="H20" i="12"/>
  <c r="F20" i="12"/>
  <c r="I20" i="12" s="1"/>
  <c r="F19" i="12"/>
  <c r="L18" i="12"/>
  <c r="L19" i="12" s="1"/>
  <c r="L20" i="12" s="1"/>
  <c r="F18" i="12"/>
  <c r="H17" i="12"/>
  <c r="F17" i="12"/>
  <c r="I17" i="12" s="1"/>
  <c r="G16" i="12"/>
  <c r="I16" i="12" s="1"/>
  <c r="F16" i="12"/>
  <c r="G15" i="12"/>
  <c r="I15" i="12" s="1"/>
  <c r="F15" i="12"/>
  <c r="G14" i="12"/>
  <c r="I14" i="12" s="1"/>
  <c r="F14" i="12"/>
  <c r="G13" i="12"/>
  <c r="I13" i="12" s="1"/>
  <c r="F13" i="12"/>
  <c r="G12" i="12"/>
  <c r="H12" i="12" s="1"/>
  <c r="F12" i="12"/>
  <c r="G11" i="12"/>
  <c r="I11" i="12" s="1"/>
  <c r="F11" i="12"/>
  <c r="G10" i="12"/>
  <c r="I10" i="12" s="1"/>
  <c r="F10" i="12"/>
  <c r="G9" i="12"/>
  <c r="H9" i="12" s="1"/>
  <c r="F9" i="12"/>
  <c r="G8" i="12"/>
  <c r="H8" i="12" s="1"/>
  <c r="F8" i="12"/>
  <c r="G7" i="12"/>
  <c r="I7" i="12" s="1"/>
  <c r="F7" i="12"/>
  <c r="G6" i="12"/>
  <c r="H6" i="12" s="1"/>
  <c r="F6" i="12"/>
  <c r="G5" i="12"/>
  <c r="I5" i="12" s="1"/>
  <c r="F5" i="12"/>
  <c r="G4" i="12"/>
  <c r="I4" i="12" s="1"/>
  <c r="F4" i="12"/>
  <c r="G3" i="12"/>
  <c r="I3" i="12" s="1"/>
  <c r="F3" i="12"/>
  <c r="G2" i="12"/>
  <c r="I2" i="12" s="1"/>
  <c r="F2" i="12"/>
  <c r="G16" i="11"/>
  <c r="H16" i="11" s="1"/>
  <c r="I31" i="11"/>
  <c r="H31" i="11"/>
  <c r="F31" i="11"/>
  <c r="H30" i="11"/>
  <c r="F30" i="11"/>
  <c r="I30" i="11" s="1"/>
  <c r="H29" i="11"/>
  <c r="F29" i="11"/>
  <c r="I29" i="11" s="1"/>
  <c r="H28" i="11"/>
  <c r="F28" i="11"/>
  <c r="I28" i="11" s="1"/>
  <c r="H27" i="11"/>
  <c r="F27" i="11"/>
  <c r="I27" i="11" s="1"/>
  <c r="I26" i="11"/>
  <c r="H26" i="11"/>
  <c r="F26" i="11"/>
  <c r="H25" i="11"/>
  <c r="F25" i="11"/>
  <c r="I25" i="11" s="1"/>
  <c r="H24" i="11"/>
  <c r="F24" i="11"/>
  <c r="I24" i="11" s="1"/>
  <c r="H23" i="11"/>
  <c r="F23" i="11"/>
  <c r="I23" i="11" s="1"/>
  <c r="H22" i="11"/>
  <c r="F22" i="11"/>
  <c r="I22" i="11" s="1"/>
  <c r="H21" i="11"/>
  <c r="F21" i="11"/>
  <c r="I21" i="11" s="1"/>
  <c r="H20" i="11"/>
  <c r="F20" i="11"/>
  <c r="I20" i="11" s="1"/>
  <c r="H19" i="11"/>
  <c r="F19" i="11"/>
  <c r="I19" i="11" s="1"/>
  <c r="L18" i="11"/>
  <c r="L19" i="11" s="1"/>
  <c r="L20" i="11" s="1"/>
  <c r="H18" i="11"/>
  <c r="F18" i="11"/>
  <c r="I18" i="11" s="1"/>
  <c r="H17" i="11"/>
  <c r="F17" i="11"/>
  <c r="I17" i="11" s="1"/>
  <c r="F16" i="11"/>
  <c r="G15" i="11"/>
  <c r="F15" i="11"/>
  <c r="G14" i="11"/>
  <c r="F14" i="11"/>
  <c r="G13" i="11"/>
  <c r="I13" i="11" s="1"/>
  <c r="F13" i="11"/>
  <c r="G12" i="11"/>
  <c r="I12" i="11" s="1"/>
  <c r="F12" i="11"/>
  <c r="G11" i="11"/>
  <c r="I11" i="11" s="1"/>
  <c r="F11" i="11"/>
  <c r="G10" i="11"/>
  <c r="F10" i="11"/>
  <c r="G9" i="11"/>
  <c r="F9" i="11"/>
  <c r="G8" i="11"/>
  <c r="F8" i="11"/>
  <c r="G7" i="11"/>
  <c r="I7" i="11" s="1"/>
  <c r="F7" i="11"/>
  <c r="G6" i="11"/>
  <c r="I6" i="11" s="1"/>
  <c r="F6" i="11"/>
  <c r="G5" i="11"/>
  <c r="I5" i="11" s="1"/>
  <c r="F5" i="11"/>
  <c r="G4" i="11"/>
  <c r="F4" i="11"/>
  <c r="G3" i="11"/>
  <c r="F3" i="11"/>
  <c r="G2" i="11"/>
  <c r="F2" i="11"/>
  <c r="G14" i="10"/>
  <c r="H14" i="10" s="1"/>
  <c r="G15" i="10"/>
  <c r="H15" i="10" s="1"/>
  <c r="I31" i="10"/>
  <c r="H31" i="10"/>
  <c r="F31" i="10"/>
  <c r="H30" i="10"/>
  <c r="F30" i="10"/>
  <c r="I30" i="10" s="1"/>
  <c r="H29" i="10"/>
  <c r="F29" i="10"/>
  <c r="I29" i="10" s="1"/>
  <c r="I28" i="10"/>
  <c r="H28" i="10"/>
  <c r="F28" i="10"/>
  <c r="H27" i="10"/>
  <c r="F27" i="10"/>
  <c r="I27" i="10" s="1"/>
  <c r="I26" i="10"/>
  <c r="H26" i="10"/>
  <c r="F26" i="10"/>
  <c r="H25" i="10"/>
  <c r="F25" i="10"/>
  <c r="I25" i="10" s="1"/>
  <c r="I24" i="10"/>
  <c r="H24" i="10"/>
  <c r="F24" i="10"/>
  <c r="H23" i="10"/>
  <c r="F23" i="10"/>
  <c r="I23" i="10" s="1"/>
  <c r="H22" i="10"/>
  <c r="F22" i="10"/>
  <c r="I22" i="10" s="1"/>
  <c r="H21" i="10"/>
  <c r="F21" i="10"/>
  <c r="I21" i="10" s="1"/>
  <c r="H20" i="10"/>
  <c r="F20" i="10"/>
  <c r="I20" i="10" s="1"/>
  <c r="I19" i="10"/>
  <c r="H19" i="10"/>
  <c r="F19" i="10"/>
  <c r="L18" i="10"/>
  <c r="L19" i="10" s="1"/>
  <c r="L20" i="10" s="1"/>
  <c r="H18" i="10"/>
  <c r="F18" i="10"/>
  <c r="I18" i="10" s="1"/>
  <c r="H17" i="10"/>
  <c r="F17" i="10"/>
  <c r="I17" i="10" s="1"/>
  <c r="H16" i="10"/>
  <c r="F16" i="10"/>
  <c r="I16" i="10" s="1"/>
  <c r="F15" i="10"/>
  <c r="F14" i="10"/>
  <c r="G13" i="10"/>
  <c r="I13" i="10" s="1"/>
  <c r="F13" i="10"/>
  <c r="G12" i="10"/>
  <c r="I12" i="10" s="1"/>
  <c r="F12" i="10"/>
  <c r="G11" i="10"/>
  <c r="I11" i="10" s="1"/>
  <c r="F11" i="10"/>
  <c r="G10" i="10"/>
  <c r="I10" i="10" s="1"/>
  <c r="F10" i="10"/>
  <c r="G9" i="10"/>
  <c r="I9" i="10" s="1"/>
  <c r="F9" i="10"/>
  <c r="G8" i="10"/>
  <c r="I8" i="10" s="1"/>
  <c r="F8" i="10"/>
  <c r="G7" i="10"/>
  <c r="I7" i="10" s="1"/>
  <c r="F7" i="10"/>
  <c r="G6" i="10"/>
  <c r="I6" i="10" s="1"/>
  <c r="F6" i="10"/>
  <c r="G5" i="10"/>
  <c r="I5" i="10" s="1"/>
  <c r="F5" i="10"/>
  <c r="G4" i="10"/>
  <c r="I4" i="10" s="1"/>
  <c r="F4" i="10"/>
  <c r="G3" i="10"/>
  <c r="I3" i="10" s="1"/>
  <c r="F3" i="10"/>
  <c r="G2" i="10"/>
  <c r="I2" i="10" s="1"/>
  <c r="F2" i="10"/>
  <c r="H31" i="9"/>
  <c r="F31" i="9"/>
  <c r="I31" i="9" s="1"/>
  <c r="H30" i="9"/>
  <c r="F30" i="9"/>
  <c r="I30" i="9" s="1"/>
  <c r="H29" i="9"/>
  <c r="F29" i="9"/>
  <c r="I29" i="9" s="1"/>
  <c r="H28" i="9"/>
  <c r="F28" i="9"/>
  <c r="I28" i="9" s="1"/>
  <c r="H27" i="9"/>
  <c r="F27" i="9"/>
  <c r="I27" i="9" s="1"/>
  <c r="H26" i="9"/>
  <c r="F26" i="9"/>
  <c r="I26" i="9" s="1"/>
  <c r="H25" i="9"/>
  <c r="F25" i="9"/>
  <c r="I25" i="9" s="1"/>
  <c r="H24" i="9"/>
  <c r="F24" i="9"/>
  <c r="I24" i="9" s="1"/>
  <c r="H23" i="9"/>
  <c r="F23" i="9"/>
  <c r="I23" i="9" s="1"/>
  <c r="H22" i="9"/>
  <c r="F22" i="9"/>
  <c r="I22" i="9" s="1"/>
  <c r="H21" i="9"/>
  <c r="F21" i="9"/>
  <c r="I21" i="9" s="1"/>
  <c r="H20" i="9"/>
  <c r="F20" i="9"/>
  <c r="I20" i="9" s="1"/>
  <c r="H19" i="9"/>
  <c r="F19" i="9"/>
  <c r="I19" i="9" s="1"/>
  <c r="L18" i="9"/>
  <c r="L19" i="9" s="1"/>
  <c r="L20" i="9" s="1"/>
  <c r="H18" i="9"/>
  <c r="F18" i="9"/>
  <c r="I18" i="9" s="1"/>
  <c r="H17" i="9"/>
  <c r="F17" i="9"/>
  <c r="I17" i="9" s="1"/>
  <c r="H16" i="9"/>
  <c r="F16" i="9"/>
  <c r="I16" i="9" s="1"/>
  <c r="H15" i="9"/>
  <c r="F15" i="9"/>
  <c r="H14" i="9"/>
  <c r="F14" i="9"/>
  <c r="I14" i="9" s="1"/>
  <c r="G13" i="9"/>
  <c r="F13" i="9"/>
  <c r="G12" i="9"/>
  <c r="F12" i="9"/>
  <c r="G11" i="9"/>
  <c r="F11" i="9"/>
  <c r="G10" i="9"/>
  <c r="F10" i="9"/>
  <c r="G9" i="9"/>
  <c r="F9" i="9"/>
  <c r="G8" i="9"/>
  <c r="F8" i="9"/>
  <c r="G7" i="9"/>
  <c r="F7" i="9"/>
  <c r="G6" i="9"/>
  <c r="F6" i="9"/>
  <c r="G5" i="9"/>
  <c r="F5" i="9"/>
  <c r="G4" i="9"/>
  <c r="F4" i="9"/>
  <c r="G3" i="9"/>
  <c r="F3" i="9"/>
  <c r="G2" i="9"/>
  <c r="F2" i="9"/>
  <c r="H31" i="8"/>
  <c r="F31" i="8"/>
  <c r="I31" i="8" s="1"/>
  <c r="H30" i="8"/>
  <c r="F30" i="8"/>
  <c r="I30" i="8" s="1"/>
  <c r="H29" i="8"/>
  <c r="F29" i="8"/>
  <c r="I29" i="8" s="1"/>
  <c r="H28" i="8"/>
  <c r="F28" i="8"/>
  <c r="I28" i="8" s="1"/>
  <c r="H27" i="8"/>
  <c r="F27" i="8"/>
  <c r="I27" i="8" s="1"/>
  <c r="I26" i="8"/>
  <c r="H26" i="8"/>
  <c r="F26" i="8"/>
  <c r="H25" i="8"/>
  <c r="F25" i="8"/>
  <c r="I25" i="8" s="1"/>
  <c r="H24" i="8"/>
  <c r="F24" i="8"/>
  <c r="I24" i="8" s="1"/>
  <c r="H23" i="8"/>
  <c r="F23" i="8"/>
  <c r="I23" i="8" s="1"/>
  <c r="H22" i="8"/>
  <c r="F22" i="8"/>
  <c r="I22" i="8" s="1"/>
  <c r="I21" i="8"/>
  <c r="H21" i="8"/>
  <c r="F21" i="8"/>
  <c r="H20" i="8"/>
  <c r="F20" i="8"/>
  <c r="I20" i="8" s="1"/>
  <c r="H19" i="8"/>
  <c r="F19" i="8"/>
  <c r="I19" i="8" s="1"/>
  <c r="L18" i="8"/>
  <c r="L19" i="8" s="1"/>
  <c r="L20" i="8" s="1"/>
  <c r="H18" i="8"/>
  <c r="F18" i="8"/>
  <c r="I18" i="8" s="1"/>
  <c r="H17" i="8"/>
  <c r="F17" i="8"/>
  <c r="I17" i="8" s="1"/>
  <c r="H16" i="8"/>
  <c r="F16" i="8"/>
  <c r="I16" i="8" s="1"/>
  <c r="H15" i="8"/>
  <c r="F15" i="8"/>
  <c r="I15" i="8" s="1"/>
  <c r="H14" i="8"/>
  <c r="F14" i="8"/>
  <c r="I14" i="8" s="1"/>
  <c r="G13" i="8"/>
  <c r="F13" i="8"/>
  <c r="G12" i="8"/>
  <c r="F12" i="8"/>
  <c r="G11" i="8"/>
  <c r="F11" i="8"/>
  <c r="G10" i="8"/>
  <c r="F10" i="8"/>
  <c r="G9" i="8"/>
  <c r="I9" i="8" s="1"/>
  <c r="F9" i="8"/>
  <c r="G8" i="8"/>
  <c r="H8" i="8" s="1"/>
  <c r="F8" i="8"/>
  <c r="G7" i="8"/>
  <c r="F7" i="8"/>
  <c r="G6" i="8"/>
  <c r="F6" i="8"/>
  <c r="G5" i="8"/>
  <c r="I5" i="8" s="1"/>
  <c r="F5" i="8"/>
  <c r="G4" i="8"/>
  <c r="I4" i="8" s="1"/>
  <c r="F4" i="8"/>
  <c r="G3" i="8"/>
  <c r="I3" i="8" s="1"/>
  <c r="F3" i="8"/>
  <c r="G2" i="8"/>
  <c r="F2" i="8"/>
  <c r="G14" i="7"/>
  <c r="H14" i="7" s="1"/>
  <c r="H31" i="7"/>
  <c r="F31" i="7"/>
  <c r="I31" i="7" s="1"/>
  <c r="H30" i="7"/>
  <c r="F30" i="7"/>
  <c r="I30" i="7" s="1"/>
  <c r="H29" i="7"/>
  <c r="F29" i="7"/>
  <c r="I29" i="7" s="1"/>
  <c r="H28" i="7"/>
  <c r="F28" i="7"/>
  <c r="I28" i="7" s="1"/>
  <c r="H27" i="7"/>
  <c r="F27" i="7"/>
  <c r="I27" i="7" s="1"/>
  <c r="H26" i="7"/>
  <c r="F26" i="7"/>
  <c r="I26" i="7" s="1"/>
  <c r="H25" i="7"/>
  <c r="F25" i="7"/>
  <c r="I25" i="7" s="1"/>
  <c r="H24" i="7"/>
  <c r="F24" i="7"/>
  <c r="I24" i="7" s="1"/>
  <c r="H23" i="7"/>
  <c r="F23" i="7"/>
  <c r="I23" i="7" s="1"/>
  <c r="H22" i="7"/>
  <c r="F22" i="7"/>
  <c r="I22" i="7" s="1"/>
  <c r="H21" i="7"/>
  <c r="F21" i="7"/>
  <c r="I21" i="7" s="1"/>
  <c r="H20" i="7"/>
  <c r="F20" i="7"/>
  <c r="I20" i="7" s="1"/>
  <c r="H19" i="7"/>
  <c r="F19" i="7"/>
  <c r="I19" i="7" s="1"/>
  <c r="L18" i="7"/>
  <c r="L19" i="7" s="1"/>
  <c r="L20" i="7" s="1"/>
  <c r="I18" i="7"/>
  <c r="H18" i="7"/>
  <c r="F18" i="7"/>
  <c r="H17" i="7"/>
  <c r="F17" i="7"/>
  <c r="I17" i="7" s="1"/>
  <c r="H16" i="7"/>
  <c r="F16" i="7"/>
  <c r="I16" i="7" s="1"/>
  <c r="H15" i="7"/>
  <c r="F15" i="7"/>
  <c r="I15" i="7" s="1"/>
  <c r="F14" i="7"/>
  <c r="G13" i="7"/>
  <c r="F13" i="7"/>
  <c r="G12" i="7"/>
  <c r="H12" i="7" s="1"/>
  <c r="F12" i="7"/>
  <c r="G11" i="7"/>
  <c r="H11" i="7" s="1"/>
  <c r="F11" i="7"/>
  <c r="G10" i="7"/>
  <c r="F10" i="7"/>
  <c r="G9" i="7"/>
  <c r="H9" i="7" s="1"/>
  <c r="F9" i="7"/>
  <c r="G8" i="7"/>
  <c r="F8" i="7"/>
  <c r="G7" i="7"/>
  <c r="F7" i="7"/>
  <c r="G6" i="7"/>
  <c r="H6" i="7" s="1"/>
  <c r="F6" i="7"/>
  <c r="G5" i="7"/>
  <c r="F5" i="7"/>
  <c r="G4" i="7"/>
  <c r="F4" i="7"/>
  <c r="G3" i="7"/>
  <c r="F3" i="7"/>
  <c r="G2" i="7"/>
  <c r="F2" i="7"/>
  <c r="G13" i="6"/>
  <c r="G10" i="6"/>
  <c r="G11" i="6"/>
  <c r="G12" i="6"/>
  <c r="I31" i="6"/>
  <c r="H31" i="6"/>
  <c r="F31" i="6"/>
  <c r="I30" i="6"/>
  <c r="H30" i="6"/>
  <c r="F30" i="6"/>
  <c r="H29" i="6"/>
  <c r="F29" i="6"/>
  <c r="I29" i="6" s="1"/>
  <c r="H28" i="6"/>
  <c r="F28" i="6"/>
  <c r="I28" i="6" s="1"/>
  <c r="H27" i="6"/>
  <c r="F27" i="6"/>
  <c r="I27" i="6" s="1"/>
  <c r="I26" i="6"/>
  <c r="H26" i="6"/>
  <c r="F26" i="6"/>
  <c r="H25" i="6"/>
  <c r="F25" i="6"/>
  <c r="I25" i="6" s="1"/>
  <c r="H24" i="6"/>
  <c r="F24" i="6"/>
  <c r="I24" i="6" s="1"/>
  <c r="H23" i="6"/>
  <c r="F23" i="6"/>
  <c r="I23" i="6" s="1"/>
  <c r="H22" i="6"/>
  <c r="F22" i="6"/>
  <c r="I22" i="6" s="1"/>
  <c r="H21" i="6"/>
  <c r="F21" i="6"/>
  <c r="I21" i="6" s="1"/>
  <c r="I20" i="6"/>
  <c r="H20" i="6"/>
  <c r="F20" i="6"/>
  <c r="I19" i="6"/>
  <c r="H19" i="6"/>
  <c r="F19" i="6"/>
  <c r="L18" i="6"/>
  <c r="L19" i="6" s="1"/>
  <c r="L20" i="6" s="1"/>
  <c r="H18" i="6"/>
  <c r="F18" i="6"/>
  <c r="I18" i="6" s="1"/>
  <c r="H17" i="6"/>
  <c r="F17" i="6"/>
  <c r="I17" i="6" s="1"/>
  <c r="H16" i="6"/>
  <c r="F16" i="6"/>
  <c r="I16" i="6" s="1"/>
  <c r="I15" i="6"/>
  <c r="F15" i="6"/>
  <c r="I14" i="6"/>
  <c r="F14" i="6"/>
  <c r="F13" i="6"/>
  <c r="F12" i="6"/>
  <c r="F11" i="6"/>
  <c r="H10" i="6"/>
  <c r="F10" i="6"/>
  <c r="I10" i="6" s="1"/>
  <c r="G9" i="6"/>
  <c r="F9" i="6"/>
  <c r="G8" i="6"/>
  <c r="F8" i="6"/>
  <c r="G7" i="6"/>
  <c r="F7" i="6"/>
  <c r="G6" i="6"/>
  <c r="F6" i="6"/>
  <c r="G5" i="6"/>
  <c r="F5" i="6"/>
  <c r="G4" i="6"/>
  <c r="F4" i="6"/>
  <c r="G3" i="6"/>
  <c r="F3" i="6"/>
  <c r="G2" i="6"/>
  <c r="F2" i="6"/>
  <c r="G15" i="4"/>
  <c r="G14" i="4"/>
  <c r="I137" i="5"/>
  <c r="H57" i="5"/>
  <c r="I86" i="5"/>
  <c r="I53" i="5"/>
  <c r="I54" i="5"/>
  <c r="I127" i="5"/>
  <c r="G142" i="5"/>
  <c r="I145" i="5"/>
  <c r="H145" i="5"/>
  <c r="G145" i="5"/>
  <c r="F145" i="5"/>
  <c r="G171" i="5"/>
  <c r="G3" i="4"/>
  <c r="G4" i="4"/>
  <c r="G5" i="4"/>
  <c r="G6" i="4"/>
  <c r="G7" i="4"/>
  <c r="G8" i="4"/>
  <c r="G9" i="4"/>
  <c r="G11" i="4"/>
  <c r="G12" i="4"/>
  <c r="G13"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9" i="12" l="1"/>
  <c r="I18" i="12"/>
  <c r="L23" i="12"/>
  <c r="H2" i="12"/>
  <c r="H5" i="12"/>
  <c r="H11" i="12"/>
  <c r="H14" i="12"/>
  <c r="I8" i="12"/>
  <c r="H3" i="12"/>
  <c r="H15" i="12"/>
  <c r="I6" i="12"/>
  <c r="L31" i="12" s="1"/>
  <c r="I9" i="12"/>
  <c r="I12" i="12"/>
  <c r="H4" i="12"/>
  <c r="H7" i="12"/>
  <c r="H10" i="12"/>
  <c r="H13" i="12"/>
  <c r="H16" i="12"/>
  <c r="I16" i="11"/>
  <c r="L23" i="11"/>
  <c r="I14" i="11"/>
  <c r="I8" i="11"/>
  <c r="I9" i="11"/>
  <c r="I4" i="11"/>
  <c r="I10" i="11"/>
  <c r="I2" i="11"/>
  <c r="I3" i="11"/>
  <c r="I15" i="11"/>
  <c r="L31" i="11"/>
  <c r="H2" i="11"/>
  <c r="H5" i="11"/>
  <c r="H8" i="11"/>
  <c r="H11" i="11"/>
  <c r="H14" i="11"/>
  <c r="H3" i="11"/>
  <c r="H6" i="11"/>
  <c r="H9" i="11"/>
  <c r="H12" i="11"/>
  <c r="H15" i="11"/>
  <c r="H4" i="11"/>
  <c r="H7" i="11"/>
  <c r="H10" i="11"/>
  <c r="H13" i="11"/>
  <c r="I14" i="10"/>
  <c r="I15" i="10"/>
  <c r="L23" i="10"/>
  <c r="L31" i="10"/>
  <c r="H2" i="10"/>
  <c r="H5" i="10"/>
  <c r="H8" i="10"/>
  <c r="H11" i="10"/>
  <c r="H3" i="10"/>
  <c r="H6" i="10"/>
  <c r="H9" i="10"/>
  <c r="H12" i="10"/>
  <c r="H4" i="10"/>
  <c r="H7" i="10"/>
  <c r="H10" i="10"/>
  <c r="H13" i="10"/>
  <c r="I9" i="9"/>
  <c r="I6" i="9"/>
  <c r="I12" i="9"/>
  <c r="I8" i="9"/>
  <c r="I7" i="9"/>
  <c r="I5" i="9"/>
  <c r="I13" i="9"/>
  <c r="I11" i="9"/>
  <c r="I4" i="9"/>
  <c r="I10" i="9"/>
  <c r="I3" i="9"/>
  <c r="L23" i="9"/>
  <c r="I2" i="9"/>
  <c r="H2" i="9"/>
  <c r="H5" i="9"/>
  <c r="H8" i="9"/>
  <c r="H11" i="9"/>
  <c r="I15" i="9"/>
  <c r="H3" i="9"/>
  <c r="H6" i="9"/>
  <c r="H9" i="9"/>
  <c r="H12" i="9"/>
  <c r="H4" i="9"/>
  <c r="H7" i="9"/>
  <c r="H10" i="9"/>
  <c r="H13" i="9"/>
  <c r="I11" i="8"/>
  <c r="I2" i="8"/>
  <c r="L23" i="8"/>
  <c r="I13" i="8"/>
  <c r="I7" i="8"/>
  <c r="I6" i="8"/>
  <c r="I12" i="8"/>
  <c r="I10" i="8"/>
  <c r="H2" i="8"/>
  <c r="H5" i="8"/>
  <c r="H11" i="8"/>
  <c r="I8" i="8"/>
  <c r="L31" i="8" s="1"/>
  <c r="H3" i="8"/>
  <c r="H6" i="8"/>
  <c r="H9" i="8"/>
  <c r="H12" i="8"/>
  <c r="H4" i="8"/>
  <c r="H7" i="8"/>
  <c r="H10" i="8"/>
  <c r="H13" i="8"/>
  <c r="I8" i="7"/>
  <c r="I13" i="7"/>
  <c r="I7" i="7"/>
  <c r="I3" i="7"/>
  <c r="I4" i="7"/>
  <c r="I10" i="7"/>
  <c r="I5" i="7"/>
  <c r="I14" i="7"/>
  <c r="L23" i="7"/>
  <c r="I2" i="7"/>
  <c r="I11" i="7"/>
  <c r="H2" i="7"/>
  <c r="H5" i="7"/>
  <c r="H8" i="7"/>
  <c r="H3" i="7"/>
  <c r="I6" i="7"/>
  <c r="I9" i="7"/>
  <c r="I12" i="7"/>
  <c r="H4" i="7"/>
  <c r="H7" i="7"/>
  <c r="H10" i="7"/>
  <c r="H13" i="7"/>
  <c r="I13" i="6"/>
  <c r="I12" i="6"/>
  <c r="I11" i="6"/>
  <c r="I9" i="6"/>
  <c r="I8" i="6"/>
  <c r="I7" i="6"/>
  <c r="I6" i="6"/>
  <c r="I5" i="6"/>
  <c r="I4" i="6"/>
  <c r="I3" i="6"/>
  <c r="I2" i="6"/>
  <c r="L23" i="6"/>
  <c r="H11" i="6"/>
  <c r="H14" i="6"/>
  <c r="H2" i="6"/>
  <c r="H5" i="6"/>
  <c r="H8" i="6"/>
  <c r="H12" i="6"/>
  <c r="H15" i="6"/>
  <c r="H3" i="6"/>
  <c r="H6" i="6"/>
  <c r="H9" i="6"/>
  <c r="H13" i="6"/>
  <c r="H4" i="6"/>
  <c r="H7" i="6"/>
  <c r="F2" i="4"/>
  <c r="L30" i="12" l="1"/>
  <c r="L30" i="11"/>
  <c r="L30" i="10"/>
  <c r="L31" i="9"/>
  <c r="L30" i="9"/>
  <c r="L30" i="8"/>
  <c r="L31" i="7"/>
  <c r="L30" i="7"/>
  <c r="L31" i="6"/>
  <c r="L30" i="6"/>
  <c r="H4" i="4"/>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<sst xmlns="http://schemas.openxmlformats.org/spreadsheetml/2006/main" count="1053" uniqueCount="456">
  <si>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</si>
  <si>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</si>
  <si>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</si>
  <si>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</si>
  <si>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</si>
  <si>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</si>
  <si>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</si>
  <si>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</si>
  <si>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</si>
  <si>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</si>
  <si>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</si>
  <si>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</si>
  <si>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</si>
  <si>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</si>
  <si>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</si>
  <si>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</si>
  <si>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</si>
  <si>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</si>
  <si>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</si>
  <si>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</si>
  <si>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</si>
  <si>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</si>
  <si>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</si>
  <si>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</si>
  <si>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</si>
  <si>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</si>
  <si>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</si>
  <si>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</si>
  <si>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</si>
  <si>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</si>
  <si>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</si>
  <si>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</si>
  <si>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</si>
  <si>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</si>
  <si>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</si>
  <si>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</si>
  <si>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</si>
  <si>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</si>
  <si>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</si>
  <si>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</si>
  <si>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</si>
  <si>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</si>
  <si>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</si>
  <si>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</si>
  <si>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</si>
  <si>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</si>
  <si>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</si>
  <si>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</si>
  <si>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</si>
  <si>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</si>
  <si>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</si>
  <si>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</si>
  <si>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</si>
  <si>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</si>
  <si>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</si>
  <si>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</si>
  <si>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</si>
  <si>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</si>
  <si>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</si>
  <si>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</si>
  <si>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</si>
  <si>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</si>
  <si>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</si>
  <si>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</si>
  <si>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</si>
  <si>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</si>
  <si>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</si>
  <si>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</si>
  <si>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</si>
  <si>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</si>
  <si>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</si>
  <si>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</si>
  <si>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</si>
  <si>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</si>
  <si>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</si>
  <si>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</si>
  <si>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</si>
  <si>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</si>
  <si>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</si>
  <si>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</si>
  <si>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</si>
  <si>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</si>
  <si>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</si>
  <si>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</si>
  <si>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</si>
  <si>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</si>
  <si>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</si>
  <si>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</si>
  <si>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</si>
  <si>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</si>
  <si>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</si>
  <si>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</si>
  <si>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</si>
  <si>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</si>
  <si>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</si>
  <si>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</si>
  <si>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</si>
  <si>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</si>
  <si>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</si>
  <si>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</si>
  <si>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</si>
  <si>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</si>
  <si>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</si>
  <si>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</si>
  <si>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</si>
  <si>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</si>
  <si>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</si>
  <si>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</si>
  <si>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</si>
  <si>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</si>
  <si>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</si>
  <si>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</si>
  <si>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</si>
  <si>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</si>
  <si>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</si>
  <si>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</si>
  <si>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</si>
  <si>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</si>
  <si>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</si>
  <si>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</si>
  <si>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</si>
  <si>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</si>
  <si>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</si>
  <si>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</si>
  <si>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</si>
  <si>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</si>
  <si>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</si>
  <si>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</si>
  <si>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</si>
  <si>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</si>
  <si>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</si>
  <si>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</si>
  <si>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</si>
  <si>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</si>
  <si>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</si>
  <si>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</si>
  <si>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</si>
  <si>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</si>
  <si>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</si>
  <si>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</si>
  <si>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</si>
  <si>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</si>
  <si>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</si>
  <si>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</si>
  <si>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</si>
  <si>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</si>
  <si>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</si>
  <si>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</si>
  <si>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</si>
  <si>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</si>
  <si>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</si>
  <si>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</si>
  <si>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</si>
  <si>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</si>
  <si>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</si>
  <si>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</si>
  <si>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</si>
  <si>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</si>
  <si>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</si>
  <si>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</si>
  <si>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</si>
  <si>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</si>
  <si>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</si>
  <si>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</si>
  <si>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</si>
  <si>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</si>
  <si>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</si>
  <si>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</si>
  <si>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</si>
  <si>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</si>
  <si>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</si>
  <si>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</si>
  <si>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</si>
  <si>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</si>
  <si>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</si>
  <si>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</si>
  <si>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</si>
  <si>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</si>
  <si>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</si>
  <si>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</si>
  <si>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</si>
  <si>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</si>
  <si>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</si>
  <si>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</si>
  <si>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</si>
  <si>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</si>
  <si>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</si>
  <si>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</si>
  <si>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</si>
  <si>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</si>
  <si>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</si>
  <si>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</si>
  <si>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</si>
  <si>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</si>
  <si>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</si>
  <si>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</si>
  <si>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</si>
  <si>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</si>
  <si>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</si>
  <si>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</si>
  <si>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</si>
  <si>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</si>
  <si>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</si>
  <si>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</si>
  <si>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</si>
  <si>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</si>
  <si>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</si>
  <si>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</si>
  <si>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</si>
  <si>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</si>
  <si>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</si>
  <si>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</si>
  <si>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</si>
  <si>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</si>
  <si>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</si>
  <si>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</si>
  <si>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</si>
  <si>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</si>
  <si>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</si>
  <si>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</si>
  <si>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</si>
  <si>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</si>
  <si>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</si>
  <si>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</si>
  <si>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</si>
  <si>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</si>
  <si>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</si>
  <si>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</si>
  <si>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</si>
  <si>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</si>
  <si>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</si>
  <si>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</si>
  <si>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</si>
  <si>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</si>
  <si>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</si>
  <si>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</si>
  <si>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</si>
  <si>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</si>
  <si>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</si>
  <si>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</si>
  <si>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</si>
  <si>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</si>
  <si>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</si>
  <si>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</si>
  <si>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</si>
  <si>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</si>
  <si>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</si>
  <si>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</si>
  <si>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</si>
  <si>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</si>
  <si>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</si>
  <si>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</si>
  <si>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</si>
  <si>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</si>
  <si>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</si>
  <si>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</si>
  <si>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</si>
  <si>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</si>
  <si>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</si>
  <si>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</si>
  <si>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</si>
  <si>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</si>
  <si>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</si>
  <si>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</si>
  <si>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</si>
  <si>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</si>
  <si>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</si>
  <si>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</si>
  <si>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</si>
  <si>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</si>
  <si>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</si>
  <si>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</si>
  <si>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</si>
  <si>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</si>
  <si>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</si>
  <si>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</si>
  <si>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</si>
  <si>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</si>
  <si>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</si>
  <si>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</si>
  <si>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</si>
  <si>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</si>
  <si>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</si>
  <si>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</si>
  <si>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</si>
  <si>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</si>
  <si>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</si>
  <si>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</si>
  <si>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</si>
  <si>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</si>
  <si>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</si>
  <si>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</si>
  <si>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</si>
  <si>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</si>
  <si>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</si>
  <si>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</si>
  <si>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</si>
  <si>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</si>
  <si>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</si>
  <si>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</si>
  <si>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</si>
  <si>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</si>
  <si>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</si>
  <si>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</si>
  <si>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</si>
  <si>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</si>
  <si>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</si>
  <si>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</si>
  <si>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</si>
  <si>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</si>
  <si>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</si>
  <si>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</si>
  <si>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</si>
  <si>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</si>
  <si>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</si>
  <si>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</si>
  <si>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</si>
  <si>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</si>
  <si>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</si>
  <si>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</si>
  <si>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</si>
  <si>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</si>
  <si>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</si>
  <si>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</si>
  <si>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</si>
  <si>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</si>
  <si>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</si>
  <si>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</si>
  <si>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</si>
  <si>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</si>
  <si>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</si>
  <si>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</si>
  <si>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</si>
  <si>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</si>
  <si>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</si>
  <si>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</si>
  <si>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</si>
  <si>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</si>
  <si>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</si>
  <si>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</si>
  <si>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</si>
  <si>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</si>
  <si>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</si>
  <si>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</si>
  <si>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</si>
  <si>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</si>
  <si>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</si>
  <si>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</si>
  <si>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</si>
  <si>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</si>
  <si>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</si>
  <si>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</si>
  <si>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</si>
  <si>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</si>
  <si>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</si>
  <si>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</si>
  <si>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</si>
  <si>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</si>
  <si>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</si>
  <si>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</si>
  <si>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</si>
  <si>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</si>
  <si>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</si>
  <si>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</si>
  <si>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</si>
  <si>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</si>
  <si>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</si>
  <si>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</si>
  <si>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</si>
  <si>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</si>
  <si>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</si>
  <si>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</si>
  <si>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</si>
  <si>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</si>
  <si>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</si>
  <si>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</si>
  <si>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</si>
  <si>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</si>
  <si>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</si>
  <si>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</si>
  <si>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</si>
  <si>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</si>
  <si>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</si>
  <si>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</si>
  <si>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</si>
  <si>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</si>
  <si>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</si>
  <si>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</si>
  <si>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</si>
  <si>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</si>
  <si>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</si>
  <si>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</si>
  <si>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</si>
  <si>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</si>
  <si>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</si>
  <si>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</si>
  <si>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</si>
  <si>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</si>
  <si>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</si>
  <si>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</si>
  <si>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</si>
  <si>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</si>
  <si>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</si>
  <si>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</si>
  <si>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</si>
  <si>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</si>
  <si>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</si>
  <si>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</si>
  <si>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</si>
  <si>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</si>
  <si>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</si>
  <si>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</si>
  <si>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</si>
  <si>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</si>
  <si>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연교</t>
    <phoneticPr fontId="5" type="noConversion"/>
  </si>
  <si>
    <t>대황</t>
    <phoneticPr fontId="5" type="noConversion"/>
  </si>
  <si>
    <t>망초</t>
    <phoneticPr fontId="5" type="noConversion"/>
  </si>
  <si>
    <t>감초</t>
    <phoneticPr fontId="5" type="noConversion"/>
  </si>
  <si>
    <t>박하</t>
    <phoneticPr fontId="5" type="noConversion"/>
  </si>
  <si>
    <t>황금</t>
    <phoneticPr fontId="5" type="noConversion"/>
  </si>
  <si>
    <t>치자</t>
    <phoneticPr fontId="5" type="noConversion"/>
  </si>
  <si>
    <t>죽엽</t>
    <phoneticPr fontId="5" type="noConversion"/>
  </si>
  <si>
    <t>승마</t>
    <phoneticPr fontId="5" type="noConversion"/>
  </si>
  <si>
    <t>석고</t>
    <phoneticPr fontId="5" type="noConversion"/>
  </si>
  <si>
    <t>지모</t>
    <phoneticPr fontId="5" type="noConversion"/>
  </si>
  <si>
    <t>황련</t>
    <phoneticPr fontId="5" type="noConversion"/>
  </si>
  <si>
    <t>목단피</t>
    <phoneticPr fontId="5" type="noConversion"/>
  </si>
  <si>
    <t>봉밀</t>
    <phoneticPr fontId="5" type="noConversion"/>
  </si>
  <si>
    <t>양격산</t>
    <phoneticPr fontId="5" type="noConversion"/>
  </si>
  <si>
    <t>이영례</t>
    <phoneticPr fontId="5" type="noConversion"/>
  </si>
  <si>
    <t>F</t>
    <phoneticPr fontId="5" type="noConversion"/>
  </si>
  <si>
    <t>양격산 + 목단피 황련</t>
    <phoneticPr fontId="5" type="noConversion"/>
  </si>
  <si>
    <t>양격산화탕</t>
    <phoneticPr fontId="5" type="noConversion"/>
  </si>
  <si>
    <t>생지황</t>
    <phoneticPr fontId="5" type="noConversion"/>
  </si>
  <si>
    <t>형개</t>
    <phoneticPr fontId="5" type="noConversion"/>
  </si>
  <si>
    <t>방풍1</t>
    <phoneticPr fontId="5" type="noConversion"/>
  </si>
  <si>
    <t>당귀1</t>
    <phoneticPr fontId="5" type="noConversion"/>
  </si>
  <si>
    <t>백작약</t>
    <phoneticPr fontId="5" type="noConversion"/>
  </si>
  <si>
    <t xml:space="preserve">양격산화탕-인동+목단피 당귀 작약 승마
</t>
    <phoneticPr fontId="5" type="noConversion"/>
  </si>
  <si>
    <t>맥문동</t>
    <phoneticPr fontId="5" type="noConversion"/>
  </si>
  <si>
    <t>복령</t>
    <phoneticPr fontId="5" type="noConversion"/>
  </si>
  <si>
    <t xml:space="preserve">양격산화탕-인동+목단피 맥문동 승마 복령 황련
1일 2-3회 활변 -&gt; 생지황 감량, 황련2, 복령 
</t>
    <phoneticPr fontId="5" type="noConversion"/>
  </si>
  <si>
    <t xml:space="preserve">양격산화탕-인동+목단피 당귀 작약 승마
(1.5차 약에서 생지황 목단피 당귀 백작약 감량)
</t>
    <phoneticPr fontId="5" type="noConversion"/>
  </si>
  <si>
    <t>도적강기탕</t>
    <phoneticPr fontId="5" type="noConversion"/>
  </si>
  <si>
    <t>목통</t>
    <phoneticPr fontId="5" type="noConversion"/>
  </si>
  <si>
    <t>현삼</t>
    <phoneticPr fontId="5" type="noConversion"/>
  </si>
  <si>
    <t>과루인</t>
    <phoneticPr fontId="5" type="noConversion"/>
  </si>
  <si>
    <t>전호</t>
    <phoneticPr fontId="5" type="noConversion"/>
  </si>
  <si>
    <t>독활</t>
    <phoneticPr fontId="5" type="noConversion"/>
  </si>
  <si>
    <t>강활1</t>
    <phoneticPr fontId="5" type="noConversion"/>
  </si>
  <si>
    <t>택사1</t>
    <phoneticPr fontId="5" type="noConversion"/>
  </si>
  <si>
    <t>형방도적산+복령 택사</t>
    <phoneticPr fontId="5" type="noConversion"/>
  </si>
  <si>
    <t>후하</t>
    <phoneticPr fontId="5" type="noConversion"/>
  </si>
  <si>
    <t>형방도적산+복령 택사+박하 연교</t>
    <phoneticPr fontId="5" type="noConversion"/>
  </si>
  <si>
    <t>형방도적산+복령 택사+박하 연교 죽엽</t>
    <phoneticPr fontId="5" type="noConversion"/>
  </si>
  <si>
    <t>형방도적산+복령 택사+박하 연교 죽엽 + 대황 망초 황련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</si>
</sst>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761C0-A197-4012-8800-F559257AB88B}">
  <sheetPr>
    <pageSetUpPr fitToPage="1"/>
  </sheetPr>
  <dimension ref="B1:M31"/>
  <sheetViews>
    <sheetView tabSelected="1" workbookViewId="0">
      <selection activeCell="D17" sqref="D1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433</v>
      </c>
      <c r="D2" s="3"/>
      <c r="E2" s="87">
        <v>12</v>
      </c>
      <c r="F2" s="98">
        <f>E2*$L$15</f>
        <v>240</v>
      </c>
      <c r="G2">
        <f>VLOOKUP($C2,약재관리!A:J,10,FALSE)</f>
        <v>17.399999999999999</v>
      </c>
      <c r="H2" s="4">
        <f>G2*E2</f>
        <v>208.79999999999998</v>
      </c>
      <c r="I2" s="89">
        <f>G2*F2</f>
        <v>4176</v>
      </c>
      <c r="K2" s="6" t="s">
        <v>9</v>
      </c>
      <c r="L2" s="153">
        <v>117</v>
      </c>
      <c r="M2" s="154"/>
    </row>
    <row r="3" spans="2:13">
      <c r="B3" s="2">
        <v>2</v>
      </c>
      <c r="C3" t="s">
        <v>444</v>
      </c>
      <c r="D3" s="3"/>
      <c r="E3" s="87">
        <v>6</v>
      </c>
      <c r="F3" s="98">
        <f t="shared" ref="F3:F31" si="0">E3*$L$15</f>
        <v>120</v>
      </c>
      <c r="G3">
        <f>VLOOKUP($C3,약재관리!A:J,10,FALSE)</f>
        <v>10.7</v>
      </c>
      <c r="H3" s="4">
        <f t="shared" ref="H3:H31" si="1">G3*E3</f>
        <v>64.199999999999989</v>
      </c>
      <c r="I3" s="5">
        <f t="shared" ref="I3:I31" si="2">G3*F3</f>
        <v>1284</v>
      </c>
      <c r="K3" s="7" t="s">
        <v>10</v>
      </c>
      <c r="L3" s="148" t="s">
        <v>443</v>
      </c>
      <c r="M3" s="149"/>
    </row>
    <row r="4" spans="2:13">
      <c r="B4" s="2">
        <v>3</v>
      </c>
      <c r="C4" t="s">
        <v>445</v>
      </c>
      <c r="D4" s="3"/>
      <c r="E4" s="87">
        <v>6</v>
      </c>
      <c r="F4" s="98">
        <f t="shared" si="0"/>
        <v>120</v>
      </c>
      <c r="G4">
        <f>VLOOKUP($C4,약재관리!A:J,10,FALSE)</f>
        <v>24</v>
      </c>
      <c r="H4" s="4">
        <f t="shared" si="1"/>
        <v>144</v>
      </c>
      <c r="I4" s="5">
        <f t="shared" si="2"/>
        <v>2880</v>
      </c>
      <c r="K4" s="7" t="s">
        <v>11</v>
      </c>
      <c r="L4" s="155">
        <v>45919</v>
      </c>
      <c r="M4" s="149"/>
    </row>
    <row r="5" spans="2:13">
      <c r="B5" s="2">
        <v>4</v>
      </c>
      <c r="C5" t="s">
        <v>446</v>
      </c>
      <c r="D5" s="3"/>
      <c r="E5" s="87">
        <v>6</v>
      </c>
      <c r="F5" s="98">
        <f t="shared" si="0"/>
        <v>120</v>
      </c>
      <c r="G5">
        <f>VLOOKUP($C5,약재관리!A:J,10,FALSE)</f>
        <v>10.8</v>
      </c>
      <c r="H5" s="4">
        <f t="shared" si="1"/>
        <v>64.800000000000011</v>
      </c>
      <c r="I5" s="5">
        <f t="shared" si="2"/>
        <v>1296</v>
      </c>
      <c r="K5" s="7" t="s">
        <v>12</v>
      </c>
      <c r="L5" s="148" t="s">
        <v>429</v>
      </c>
      <c r="M5" s="149"/>
    </row>
    <row r="6" spans="2:13">
      <c r="B6" s="2">
        <v>5</v>
      </c>
      <c r="C6" t="s">
        <v>447</v>
      </c>
      <c r="D6" s="3"/>
      <c r="E6" s="87">
        <v>4</v>
      </c>
      <c r="F6" s="98">
        <f t="shared" si="0"/>
        <v>80</v>
      </c>
      <c r="G6">
        <f>VLOOKUP($C6,약재관리!A:J,10,FALSE)</f>
        <v>23</v>
      </c>
      <c r="H6" s="4">
        <f t="shared" si="1"/>
        <v>92</v>
      </c>
      <c r="I6" s="5">
        <f t="shared" si="2"/>
        <v>1840</v>
      </c>
      <c r="K6" s="7" t="s">
        <v>13</v>
      </c>
      <c r="L6" s="148" t="s">
        <v>430</v>
      </c>
      <c r="M6" s="149"/>
    </row>
    <row r="7" spans="2:13" ht="17.25" thickBot="1">
      <c r="B7" s="2">
        <v>6</v>
      </c>
      <c r="C7" t="s">
        <v>434</v>
      </c>
      <c r="D7" s="3"/>
      <c r="E7" s="87">
        <v>4</v>
      </c>
      <c r="F7" s="98">
        <f t="shared" si="0"/>
        <v>80</v>
      </c>
      <c r="G7">
        <f>VLOOKUP($C7,약재관리!A:J,10,FALSE)</f>
        <v>17.600000000000001</v>
      </c>
      <c r="H7" s="4">
        <f t="shared" si="1"/>
        <v>70.400000000000006</v>
      </c>
      <c r="I7" s="5">
        <f t="shared" si="2"/>
        <v>1408</v>
      </c>
      <c r="K7" s="7" t="s">
        <v>14</v>
      </c>
      <c r="L7" s="156">
        <v>71</v>
      </c>
      <c r="M7" s="157"/>
    </row>
    <row r="8" spans="2:13" ht="17.25" thickBot="1">
      <c r="B8" s="2">
        <v>7</v>
      </c>
      <c r="C8" t="s">
        <v>435</v>
      </c>
      <c r="D8" s="3"/>
      <c r="E8" s="87">
        <v>4</v>
      </c>
      <c r="F8" s="98">
        <f t="shared" si="0"/>
        <v>80</v>
      </c>
      <c r="G8">
        <f>VLOOKUP($C8,약재관리!A:J,10,FALSE)</f>
        <v>13.2</v>
      </c>
      <c r="H8" s="4">
        <f t="shared" si="1"/>
        <v>52.8</v>
      </c>
      <c r="I8" s="5">
        <f t="shared" si="2"/>
        <v>1056</v>
      </c>
      <c r="K8" s="150" t="s">
        <v>15</v>
      </c>
      <c r="L8" s="151"/>
      <c r="M8" s="152"/>
    </row>
    <row r="9" spans="2:13">
      <c r="B9" s="2">
        <v>8</v>
      </c>
      <c r="C9" t="s">
        <v>449</v>
      </c>
      <c r="D9" s="3"/>
      <c r="E9" s="87">
        <v>4</v>
      </c>
      <c r="F9" s="98">
        <f t="shared" si="0"/>
        <v>80</v>
      </c>
      <c r="G9">
        <f>VLOOKUP($C9,약재관리!A:J,10,FALSE)</f>
        <v>40</v>
      </c>
      <c r="H9" s="4">
        <f t="shared" si="1"/>
        <v>160</v>
      </c>
      <c r="I9" s="5">
        <f t="shared" si="2"/>
        <v>3200</v>
      </c>
      <c r="K9" s="158" t="s">
        <v>455</v>
      </c>
      <c r="L9" s="159"/>
      <c r="M9" s="160"/>
    </row>
    <row r="10" spans="2:13">
      <c r="B10" s="2">
        <v>9</v>
      </c>
      <c r="C10" t="s">
        <v>448</v>
      </c>
      <c r="D10" s="3"/>
      <c r="E10" s="87">
        <v>4</v>
      </c>
      <c r="F10" s="98">
        <f t="shared" si="0"/>
        <v>80</v>
      </c>
      <c r="G10">
        <f>VLOOKUP($C10,약재관리!A:J,10,FALSE)</f>
        <v>31.2</v>
      </c>
      <c r="H10" s="4">
        <f t="shared" si="1"/>
        <v>124.8</v>
      </c>
      <c r="I10" s="5">
        <f t="shared" si="2"/>
        <v>2496</v>
      </c>
      <c r="K10" s="161"/>
      <c r="L10" s="162"/>
      <c r="M10" s="163"/>
    </row>
    <row r="11" spans="2:13">
      <c r="B11" s="2">
        <v>10</v>
      </c>
      <c r="C11" t="s">
        <v>426</v>
      </c>
      <c r="D11" s="3"/>
      <c r="E11" s="87">
        <v>4</v>
      </c>
      <c r="F11" s="98">
        <f t="shared" si="0"/>
        <v>80</v>
      </c>
      <c r="G11">
        <f>VLOOKUP($C11,약재관리!A:J,10,FALSE)</f>
        <v>28</v>
      </c>
      <c r="H11" s="4">
        <f t="shared" si="1"/>
        <v>112</v>
      </c>
      <c r="I11" s="5">
        <f t="shared" si="2"/>
        <v>2240</v>
      </c>
      <c r="K11" s="161"/>
      <c r="L11" s="162"/>
      <c r="M11" s="163"/>
    </row>
    <row r="12" spans="2:13">
      <c r="B12" s="2">
        <v>11</v>
      </c>
      <c r="C12" t="s">
        <v>440</v>
      </c>
      <c r="D12" s="3"/>
      <c r="E12" s="87">
        <v>4</v>
      </c>
      <c r="F12" s="98">
        <f t="shared" si="0"/>
        <v>80</v>
      </c>
      <c r="G12">
        <f>VLOOKUP($C12,약재관리!A:J,10,FALSE)</f>
        <v>9.8000000000000007</v>
      </c>
      <c r="H12" s="4">
        <f t="shared" si="1"/>
        <v>39.200000000000003</v>
      </c>
      <c r="I12" s="5">
        <f t="shared" si="2"/>
        <v>784</v>
      </c>
      <c r="K12" s="161"/>
      <c r="L12" s="162"/>
      <c r="M12" s="163"/>
    </row>
    <row r="13" spans="2:13" ht="17.25" thickBot="1">
      <c r="B13" s="2">
        <v>12</v>
      </c>
      <c r="C13" t="s">
        <v>450</v>
      </c>
      <c r="D13" s="3"/>
      <c r="E13" s="87">
        <v>4</v>
      </c>
      <c r="F13" s="98">
        <f t="shared" si="0"/>
        <v>80</v>
      </c>
      <c r="G13">
        <f>VLOOKUP($C13,약재관리!A:J,10,FALSE)</f>
        <v>23.7</v>
      </c>
      <c r="H13" s="4">
        <f t="shared" si="1"/>
        <v>94.8</v>
      </c>
      <c r="I13" s="5">
        <f t="shared" si="2"/>
        <v>1896</v>
      </c>
      <c r="K13" s="164"/>
      <c r="L13" s="165"/>
      <c r="M13" s="166"/>
    </row>
    <row r="14" spans="2:13">
      <c r="B14" s="2">
        <v>13</v>
      </c>
      <c r="C14" t="s">
        <v>418</v>
      </c>
      <c r="D14" s="3" t="s">
        <v>452</v>
      </c>
      <c r="E14" s="87">
        <v>2</v>
      </c>
      <c r="F14" s="98">
        <f t="shared" si="0"/>
        <v>40</v>
      </c>
      <c r="G14">
        <f>VLOOKUP($C14,약재관리!A:J,10,FALSE)</f>
        <v>21.8</v>
      </c>
      <c r="H14" s="4">
        <f t="shared" si="1"/>
        <v>43.6</v>
      </c>
      <c r="I14" s="5">
        <f t="shared" si="2"/>
        <v>872</v>
      </c>
      <c r="K14" s="91" t="s">
        <v>16</v>
      </c>
      <c r="L14" s="8">
        <v>15</v>
      </c>
      <c r="M14" s="9" t="s">
        <v>17</v>
      </c>
    </row>
    <row r="15" spans="2:13">
      <c r="B15" s="2">
        <v>14</v>
      </c>
      <c r="C15" t="s">
        <v>414</v>
      </c>
      <c r="D15" s="3"/>
      <c r="E15" s="87">
        <v>4</v>
      </c>
      <c r="F15" s="98">
        <f t="shared" si="0"/>
        <v>80</v>
      </c>
      <c r="G15">
        <f>VLOOKUP($C15,약재관리!A:J,10,FALSE)</f>
        <v>28</v>
      </c>
      <c r="H15" s="4">
        <f t="shared" si="1"/>
        <v>112</v>
      </c>
      <c r="I15" s="5">
        <f t="shared" si="2"/>
        <v>2240</v>
      </c>
      <c r="K15" s="90" t="s">
        <v>18</v>
      </c>
      <c r="L15">
        <v>20</v>
      </c>
      <c r="M15" s="3" t="s">
        <v>19</v>
      </c>
    </row>
    <row r="16" spans="2:13">
      <c r="B16" s="2">
        <v>15</v>
      </c>
      <c r="C16" t="s">
        <v>421</v>
      </c>
      <c r="D16" s="3"/>
      <c r="E16" s="87">
        <v>2</v>
      </c>
      <c r="F16" s="98">
        <f t="shared" si="0"/>
        <v>40</v>
      </c>
      <c r="G16">
        <f>VLOOKUP($C16,약재관리!A:J,10,FALSE)</f>
        <v>7.5</v>
      </c>
      <c r="H16" s="4">
        <f t="shared" si="1"/>
        <v>15</v>
      </c>
      <c r="I16" s="5">
        <f t="shared" si="2"/>
        <v>300</v>
      </c>
      <c r="K16" s="90" t="s">
        <v>20</v>
      </c>
      <c r="L16">
        <v>45</v>
      </c>
      <c r="M16" s="3" t="s">
        <v>21</v>
      </c>
    </row>
    <row r="17" spans="2:13" ht="17.25" thickBot="1">
      <c r="B17" s="2">
        <v>16</v>
      </c>
      <c r="C17" t="s">
        <v>415</v>
      </c>
      <c r="D17" s="3" t="s">
        <v>452</v>
      </c>
      <c r="E17" s="87">
        <v>2</v>
      </c>
      <c r="F17" s="98">
        <f t="shared" si="0"/>
        <v>40</v>
      </c>
      <c r="G17">
        <f>VLOOKUP($C17,약재관리!A:J,10,FALSE)</f>
        <v>13</v>
      </c>
      <c r="H17" s="4">
        <f t="shared" si="1"/>
        <v>26</v>
      </c>
      <c r="I17" s="5">
        <f t="shared" si="2"/>
        <v>520</v>
      </c>
      <c r="K17" s="13" t="s">
        <v>22</v>
      </c>
      <c r="L17" s="10">
        <v>110</v>
      </c>
      <c r="M17" s="11" t="s">
        <v>23</v>
      </c>
    </row>
    <row r="18" spans="2:13">
      <c r="B18" s="2">
        <v>17</v>
      </c>
      <c r="C18" t="s">
        <v>416</v>
      </c>
      <c r="D18" s="3" t="s">
        <v>452</v>
      </c>
      <c r="E18" s="87">
        <v>2</v>
      </c>
      <c r="F18" s="98">
        <f t="shared" si="0"/>
        <v>40</v>
      </c>
      <c r="G18">
        <f>VLOOKUP($C18,약재관리!A:J,10,FALSE)</f>
        <v>5</v>
      </c>
      <c r="H18" s="4">
        <f t="shared" si="1"/>
        <v>10</v>
      </c>
      <c r="I18" s="5">
        <f t="shared" si="2"/>
        <v>200</v>
      </c>
      <c r="K18" s="91" t="s">
        <v>24</v>
      </c>
      <c r="L18" s="8">
        <f>SUM(E2:E31)</f>
        <v>77</v>
      </c>
      <c r="M18" s="9" t="s">
        <v>25</v>
      </c>
    </row>
    <row r="19" spans="2:13">
      <c r="B19" s="2">
        <v>18</v>
      </c>
      <c r="C19" t="s">
        <v>425</v>
      </c>
      <c r="D19" s="3"/>
      <c r="E19" s="87">
        <v>3</v>
      </c>
      <c r="F19" s="98">
        <f t="shared" si="0"/>
        <v>60</v>
      </c>
      <c r="G19">
        <f>VLOOKUP($C19,약재관리!A:J,10,FALSE)</f>
        <v>136.80000000000001</v>
      </c>
      <c r="H19" s="4">
        <f t="shared" si="1"/>
        <v>410.40000000000003</v>
      </c>
      <c r="I19" s="5">
        <f t="shared" si="2"/>
        <v>8208</v>
      </c>
      <c r="K19" s="90" t="s">
        <v>26</v>
      </c>
      <c r="L19">
        <f>L15*L18</f>
        <v>1540</v>
      </c>
      <c r="M19" s="3" t="s">
        <v>25</v>
      </c>
    </row>
    <row r="20" spans="2:13" ht="17.25" thickBot="1">
      <c r="B20" s="2">
        <v>19</v>
      </c>
      <c r="D20" s="3"/>
      <c r="F20" s="98">
        <f t="shared" si="0"/>
        <v>0</v>
      </c>
      <c r="H20" s="4">
        <f t="shared" si="1"/>
        <v>0</v>
      </c>
      <c r="I20" s="5">
        <f t="shared" si="2"/>
        <v>0</v>
      </c>
      <c r="K20" s="13" t="s">
        <v>27</v>
      </c>
      <c r="L20" s="10">
        <f>L16*L17+L19</f>
        <v>6490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1540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1844.7999999999997</v>
      </c>
      <c r="M30" s="3" t="s">
        <v>36</v>
      </c>
    </row>
    <row r="31" spans="2:13" ht="17.25" thickBot="1">
      <c r="B31" s="12">
        <v>30</v>
      </c>
      <c r="C31" s="13"/>
      <c r="D31" s="11"/>
      <c r="E31" s="94"/>
      <c r="F31" s="99">
        <f t="shared" si="0"/>
        <v>0</v>
      </c>
      <c r="G31" s="10"/>
      <c r="H31" s="14">
        <f t="shared" si="1"/>
        <v>0</v>
      </c>
      <c r="I31" s="15">
        <f t="shared" si="2"/>
        <v>0</v>
      </c>
      <c r="K31" s="13" t="s">
        <v>37</v>
      </c>
      <c r="L31" s="14">
        <f>SUM(I2:I31)</f>
        <v>36896</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BA349-FA85-4FCA-A878-1D0DAD531335}">
  <sheetPr>
    <pageSetUpPr fitToPage="1"/>
  </sheetPr>
  <dimension ref="B1:M31"/>
  <sheetViews>
    <sheetView workbookViewId="0">
      <selection activeCell="E4" sqref="E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433</v>
      </c>
      <c r="D2" s="3"/>
      <c r="E2" s="87">
        <v>12</v>
      </c>
      <c r="F2" s="98">
        <f>E2*$L$15</f>
        <v>240</v>
      </c>
      <c r="G2">
        <f>VLOOKUP($C2,약재관리!A:J,10,FALSE)</f>
        <v>17.399999999999999</v>
      </c>
      <c r="H2" s="4">
        <f>G2*E2</f>
        <v>208.79999999999998</v>
      </c>
      <c r="I2" s="89">
        <f>G2*F2</f>
        <v>4176</v>
      </c>
      <c r="K2" s="6" t="s">
        <v>9</v>
      </c>
      <c r="L2" s="153">
        <v>117</v>
      </c>
      <c r="M2" s="154"/>
    </row>
    <row r="3" spans="2:13">
      <c r="B3" s="2">
        <v>2</v>
      </c>
      <c r="C3" t="s">
        <v>444</v>
      </c>
      <c r="D3" s="3"/>
      <c r="E3" s="87">
        <v>6</v>
      </c>
      <c r="F3" s="98">
        <f t="shared" ref="F3:F31" si="0">E3*$L$15</f>
        <v>120</v>
      </c>
      <c r="G3">
        <f>VLOOKUP($C3,약재관리!A:J,10,FALSE)</f>
        <v>10.7</v>
      </c>
      <c r="H3" s="4">
        <f t="shared" ref="H3:H31" si="1">G3*E3</f>
        <v>64.199999999999989</v>
      </c>
      <c r="I3" s="5">
        <f t="shared" ref="I3:I31" si="2">G3*F3</f>
        <v>1284</v>
      </c>
      <c r="K3" s="7" t="s">
        <v>10</v>
      </c>
      <c r="L3" s="148" t="s">
        <v>443</v>
      </c>
      <c r="M3" s="149"/>
    </row>
    <row r="4" spans="2:13">
      <c r="B4" s="2">
        <v>3</v>
      </c>
      <c r="C4" t="s">
        <v>445</v>
      </c>
      <c r="D4" s="3"/>
      <c r="E4" s="87">
        <v>6</v>
      </c>
      <c r="F4" s="98">
        <f t="shared" si="0"/>
        <v>120</v>
      </c>
      <c r="G4">
        <f>VLOOKUP($C4,약재관리!A:J,10,FALSE)</f>
        <v>24</v>
      </c>
      <c r="H4" s="4">
        <f t="shared" si="1"/>
        <v>144</v>
      </c>
      <c r="I4" s="5">
        <f t="shared" si="2"/>
        <v>2880</v>
      </c>
      <c r="K4" s="7" t="s">
        <v>11</v>
      </c>
      <c r="L4" s="155">
        <v>45906</v>
      </c>
      <c r="M4" s="149"/>
    </row>
    <row r="5" spans="2:13">
      <c r="B5" s="2">
        <v>4</v>
      </c>
      <c r="C5" t="s">
        <v>446</v>
      </c>
      <c r="D5" s="3"/>
      <c r="E5" s="87">
        <v>6</v>
      </c>
      <c r="F5" s="98">
        <f t="shared" si="0"/>
        <v>120</v>
      </c>
      <c r="G5">
        <f>VLOOKUP($C5,약재관리!A:J,10,FALSE)</f>
        <v>10.8</v>
      </c>
      <c r="H5" s="4">
        <f t="shared" si="1"/>
        <v>64.800000000000011</v>
      </c>
      <c r="I5" s="5">
        <f t="shared" si="2"/>
        <v>1296</v>
      </c>
      <c r="K5" s="7" t="s">
        <v>12</v>
      </c>
      <c r="L5" s="148" t="s">
        <v>429</v>
      </c>
      <c r="M5" s="149"/>
    </row>
    <row r="6" spans="2:13">
      <c r="B6" s="2">
        <v>5</v>
      </c>
      <c r="C6" t="s">
        <v>447</v>
      </c>
      <c r="D6" s="3"/>
      <c r="E6" s="87">
        <v>4</v>
      </c>
      <c r="F6" s="98">
        <f t="shared" si="0"/>
        <v>80</v>
      </c>
      <c r="G6">
        <f>VLOOKUP($C6,약재관리!A:J,10,FALSE)</f>
        <v>23</v>
      </c>
      <c r="H6" s="4">
        <f t="shared" si="1"/>
        <v>92</v>
      </c>
      <c r="I6" s="5">
        <f t="shared" si="2"/>
        <v>1840</v>
      </c>
      <c r="K6" s="7" t="s">
        <v>13</v>
      </c>
      <c r="L6" s="148" t="s">
        <v>430</v>
      </c>
      <c r="M6" s="149"/>
    </row>
    <row r="7" spans="2:13" ht="17.25" thickBot="1">
      <c r="B7" s="2">
        <v>6</v>
      </c>
      <c r="C7" t="s">
        <v>434</v>
      </c>
      <c r="D7" s="3"/>
      <c r="E7" s="87">
        <v>4</v>
      </c>
      <c r="F7" s="98">
        <f t="shared" si="0"/>
        <v>80</v>
      </c>
      <c r="G7">
        <f>VLOOKUP($C7,약재관리!A:J,10,FALSE)</f>
        <v>17.600000000000001</v>
      </c>
      <c r="H7" s="4">
        <f t="shared" si="1"/>
        <v>70.400000000000006</v>
      </c>
      <c r="I7" s="5">
        <f t="shared" si="2"/>
        <v>1408</v>
      </c>
      <c r="K7" s="7" t="s">
        <v>14</v>
      </c>
      <c r="L7" s="156">
        <v>71</v>
      </c>
      <c r="M7" s="157"/>
    </row>
    <row r="8" spans="2:13" ht="17.25" thickBot="1">
      <c r="B8" s="2">
        <v>7</v>
      </c>
      <c r="C8" t="s">
        <v>435</v>
      </c>
      <c r="D8" s="3"/>
      <c r="E8" s="87">
        <v>4</v>
      </c>
      <c r="F8" s="98">
        <f t="shared" si="0"/>
        <v>80</v>
      </c>
      <c r="G8">
        <f>VLOOKUP($C8,약재관리!A:J,10,FALSE)</f>
        <v>13.2</v>
      </c>
      <c r="H8" s="4">
        <f t="shared" si="1"/>
        <v>52.8</v>
      </c>
      <c r="I8" s="5">
        <f t="shared" si="2"/>
        <v>1056</v>
      </c>
      <c r="K8" s="150" t="s">
        <v>15</v>
      </c>
      <c r="L8" s="151"/>
      <c r="M8" s="152"/>
    </row>
    <row r="9" spans="2:13">
      <c r="B9" s="2">
        <v>8</v>
      </c>
      <c r="C9" t="s">
        <v>449</v>
      </c>
      <c r="D9" s="3"/>
      <c r="E9" s="87">
        <v>4</v>
      </c>
      <c r="F9" s="98">
        <f t="shared" si="0"/>
        <v>80</v>
      </c>
      <c r="G9">
        <f>VLOOKUP($C9,약재관리!A:J,10,FALSE)</f>
        <v>40</v>
      </c>
      <c r="H9" s="4">
        <f t="shared" si="1"/>
        <v>160</v>
      </c>
      <c r="I9" s="5">
        <f t="shared" si="2"/>
        <v>3200</v>
      </c>
      <c r="K9" s="158" t="s">
        <v>454</v>
      </c>
      <c r="L9" s="159"/>
      <c r="M9" s="160"/>
    </row>
    <row r="10" spans="2:13">
      <c r="B10" s="2">
        <v>9</v>
      </c>
      <c r="C10" t="s">
        <v>448</v>
      </c>
      <c r="D10" s="3"/>
      <c r="E10" s="87">
        <v>4</v>
      </c>
      <c r="F10" s="98">
        <f t="shared" si="0"/>
        <v>80</v>
      </c>
      <c r="G10">
        <f>VLOOKUP($C10,약재관리!A:J,10,FALSE)</f>
        <v>31.2</v>
      </c>
      <c r="H10" s="4">
        <f t="shared" si="1"/>
        <v>124.8</v>
      </c>
      <c r="I10" s="5">
        <f t="shared" si="2"/>
        <v>2496</v>
      </c>
      <c r="K10" s="161"/>
      <c r="L10" s="162"/>
      <c r="M10" s="163"/>
    </row>
    <row r="11" spans="2:13">
      <c r="B11" s="2">
        <v>10</v>
      </c>
      <c r="C11" t="s">
        <v>426</v>
      </c>
      <c r="D11" s="3"/>
      <c r="E11" s="87">
        <v>4</v>
      </c>
      <c r="F11" s="98">
        <f t="shared" si="0"/>
        <v>80</v>
      </c>
      <c r="G11">
        <f>VLOOKUP($C11,약재관리!A:J,10,FALSE)</f>
        <v>28</v>
      </c>
      <c r="H11" s="4">
        <f t="shared" si="1"/>
        <v>112</v>
      </c>
      <c r="I11" s="5">
        <f t="shared" si="2"/>
        <v>2240</v>
      </c>
      <c r="K11" s="161"/>
      <c r="L11" s="162"/>
      <c r="M11" s="163"/>
    </row>
    <row r="12" spans="2:13">
      <c r="B12" s="2">
        <v>11</v>
      </c>
      <c r="C12" t="s">
        <v>440</v>
      </c>
      <c r="D12" s="3"/>
      <c r="E12" s="87">
        <v>4</v>
      </c>
      <c r="F12" s="98">
        <f t="shared" si="0"/>
        <v>80</v>
      </c>
      <c r="G12">
        <f>VLOOKUP($C12,약재관리!A:J,10,FALSE)</f>
        <v>9.8000000000000007</v>
      </c>
      <c r="H12" s="4">
        <f t="shared" si="1"/>
        <v>39.200000000000003</v>
      </c>
      <c r="I12" s="5">
        <f t="shared" si="2"/>
        <v>784</v>
      </c>
      <c r="K12" s="161"/>
      <c r="L12" s="162"/>
      <c r="M12" s="163"/>
    </row>
    <row r="13" spans="2:13" ht="17.25" thickBot="1">
      <c r="B13" s="2">
        <v>12</v>
      </c>
      <c r="C13" t="s">
        <v>450</v>
      </c>
      <c r="D13" s="3"/>
      <c r="E13" s="87">
        <v>4</v>
      </c>
      <c r="F13" s="98">
        <f t="shared" si="0"/>
        <v>80</v>
      </c>
      <c r="G13">
        <f>VLOOKUP($C13,약재관리!A:J,10,FALSE)</f>
        <v>23.7</v>
      </c>
      <c r="H13" s="4">
        <f t="shared" si="1"/>
        <v>94.8</v>
      </c>
      <c r="I13" s="5">
        <f t="shared" si="2"/>
        <v>1896</v>
      </c>
      <c r="K13" s="164"/>
      <c r="L13" s="165"/>
      <c r="M13" s="166"/>
    </row>
    <row r="14" spans="2:13">
      <c r="B14" s="2">
        <v>13</v>
      </c>
      <c r="C14" t="s">
        <v>418</v>
      </c>
      <c r="D14" s="3" t="s">
        <v>452</v>
      </c>
      <c r="E14" s="87">
        <v>2</v>
      </c>
      <c r="F14" s="98">
        <f t="shared" si="0"/>
        <v>40</v>
      </c>
      <c r="G14">
        <f>VLOOKUP($C14,약재관리!A:J,10,FALSE)</f>
        <v>21.8</v>
      </c>
      <c r="H14" s="4">
        <f t="shared" si="1"/>
        <v>43.6</v>
      </c>
      <c r="I14" s="5">
        <f t="shared" si="2"/>
        <v>872</v>
      </c>
      <c r="K14" s="91" t="s">
        <v>16</v>
      </c>
      <c r="L14" s="8">
        <v>15</v>
      </c>
      <c r="M14" s="9" t="s">
        <v>17</v>
      </c>
    </row>
    <row r="15" spans="2:13">
      <c r="B15" s="2">
        <v>14</v>
      </c>
      <c r="C15" t="s">
        <v>414</v>
      </c>
      <c r="D15" s="3"/>
      <c r="E15" s="87">
        <v>4</v>
      </c>
      <c r="F15" s="98">
        <f t="shared" si="0"/>
        <v>80</v>
      </c>
      <c r="G15">
        <f>VLOOKUP($C15,약재관리!A:J,10,FALSE)</f>
        <v>28</v>
      </c>
      <c r="H15" s="4">
        <f t="shared" si="1"/>
        <v>112</v>
      </c>
      <c r="I15" s="5">
        <f t="shared" si="2"/>
        <v>2240</v>
      </c>
      <c r="K15" s="90" t="s">
        <v>18</v>
      </c>
      <c r="L15">
        <v>20</v>
      </c>
      <c r="M15" s="3" t="s">
        <v>19</v>
      </c>
    </row>
    <row r="16" spans="2:13">
      <c r="B16" s="2">
        <v>15</v>
      </c>
      <c r="C16" t="s">
        <v>421</v>
      </c>
      <c r="D16" s="3"/>
      <c r="E16" s="87">
        <v>2</v>
      </c>
      <c r="F16" s="98">
        <f t="shared" si="0"/>
        <v>40</v>
      </c>
      <c r="G16">
        <f>VLOOKUP($C16,약재관리!A:J,10,FALSE)</f>
        <v>7.5</v>
      </c>
      <c r="H16" s="4">
        <f t="shared" si="1"/>
        <v>15</v>
      </c>
      <c r="I16" s="5">
        <f t="shared" si="2"/>
        <v>300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70</v>
      </c>
      <c r="M18" s="9" t="s">
        <v>25</v>
      </c>
    </row>
    <row r="19" spans="2:13">
      <c r="B19" s="2">
        <v>18</v>
      </c>
      <c r="D19" s="3"/>
      <c r="F19" s="98">
        <f t="shared" si="0"/>
        <v>0</v>
      </c>
      <c r="H19" s="4">
        <f t="shared" si="1"/>
        <v>0</v>
      </c>
      <c r="I19" s="5">
        <f t="shared" si="2"/>
        <v>0</v>
      </c>
      <c r="K19" s="90" t="s">
        <v>26</v>
      </c>
      <c r="L19">
        <f>L15*L18</f>
        <v>1400</v>
      </c>
      <c r="M19" s="3" t="s">
        <v>25</v>
      </c>
    </row>
    <row r="20" spans="2:13" ht="17.25" thickBot="1">
      <c r="B20" s="2">
        <v>19</v>
      </c>
      <c r="D20" s="3"/>
      <c r="F20" s="98">
        <f t="shared" si="0"/>
        <v>0</v>
      </c>
      <c r="H20" s="4">
        <f t="shared" si="1"/>
        <v>0</v>
      </c>
      <c r="I20" s="5">
        <f t="shared" si="2"/>
        <v>0</v>
      </c>
      <c r="K20" s="13" t="s">
        <v>27</v>
      </c>
      <c r="L20" s="10">
        <f>L16*L17+L19</f>
        <v>6350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1400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1398.3999999999996</v>
      </c>
      <c r="M30" s="3" t="s">
        <v>36</v>
      </c>
    </row>
    <row r="31" spans="2:13" ht="17.25" thickBot="1">
      <c r="B31" s="12">
        <v>30</v>
      </c>
      <c r="C31" s="13"/>
      <c r="D31" s="11"/>
      <c r="E31" s="94"/>
      <c r="F31" s="99">
        <f t="shared" si="0"/>
        <v>0</v>
      </c>
      <c r="G31" s="10"/>
      <c r="H31" s="14">
        <f t="shared" si="1"/>
        <v>0</v>
      </c>
      <c r="I31" s="15">
        <f t="shared" si="2"/>
        <v>0</v>
      </c>
      <c r="K31" s="13" t="s">
        <v>37</v>
      </c>
      <c r="L31" s="14">
        <f>SUM(I2:I31)</f>
        <v>27968</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7F53-75B4-4B28-934C-EDF1AE3DD8A6}">
  <sheetPr>
    <pageSetUpPr fitToPage="1"/>
  </sheetPr>
  <dimension ref="B1:M31"/>
  <sheetViews>
    <sheetView workbookViewId="0">
      <selection activeCell="E26" sqref="E2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433</v>
      </c>
      <c r="D2" s="3"/>
      <c r="E2" s="87">
        <v>12</v>
      </c>
      <c r="F2" s="98">
        <f>E2*$L$15</f>
        <v>120</v>
      </c>
      <c r="G2">
        <f>VLOOKUP($C2,약재관리!A:J,10,FALSE)</f>
        <v>17.399999999999999</v>
      </c>
      <c r="H2" s="4">
        <f>G2*E2</f>
        <v>208.79999999999998</v>
      </c>
      <c r="I2" s="89">
        <f>G2*F2</f>
        <v>2088</v>
      </c>
      <c r="K2" s="6" t="s">
        <v>9</v>
      </c>
      <c r="L2" s="153">
        <v>117</v>
      </c>
      <c r="M2" s="154"/>
    </row>
    <row r="3" spans="2:13">
      <c r="B3" s="2">
        <v>2</v>
      </c>
      <c r="C3" t="s">
        <v>444</v>
      </c>
      <c r="D3" s="3"/>
      <c r="E3" s="87">
        <v>8</v>
      </c>
      <c r="F3" s="98">
        <f t="shared" ref="F3:F31" si="0">E3*$L$15</f>
        <v>80</v>
      </c>
      <c r="G3">
        <f>VLOOKUP($C3,약재관리!A:J,10,FALSE)</f>
        <v>10.7</v>
      </c>
      <c r="H3" s="4">
        <f t="shared" ref="H3:H31" si="1">G3*E3</f>
        <v>85.6</v>
      </c>
      <c r="I3" s="5">
        <f t="shared" ref="I3:I31" si="2">G3*F3</f>
        <v>856</v>
      </c>
      <c r="K3" s="7" t="s">
        <v>10</v>
      </c>
      <c r="L3" s="148" t="s">
        <v>443</v>
      </c>
      <c r="M3" s="149"/>
    </row>
    <row r="4" spans="2:13">
      <c r="B4" s="2">
        <v>3</v>
      </c>
      <c r="C4" t="s">
        <v>445</v>
      </c>
      <c r="D4" s="3"/>
      <c r="E4" s="87">
        <v>6</v>
      </c>
      <c r="F4" s="98">
        <f t="shared" si="0"/>
        <v>60</v>
      </c>
      <c r="G4">
        <f>VLOOKUP($C4,약재관리!A:J,10,FALSE)</f>
        <v>24</v>
      </c>
      <c r="H4" s="4">
        <f t="shared" si="1"/>
        <v>144</v>
      </c>
      <c r="I4" s="5">
        <f t="shared" si="2"/>
        <v>1440</v>
      </c>
      <c r="K4" s="7" t="s">
        <v>11</v>
      </c>
      <c r="L4" s="155">
        <v>45891</v>
      </c>
      <c r="M4" s="149"/>
    </row>
    <row r="5" spans="2:13">
      <c r="B5" s="2">
        <v>4</v>
      </c>
      <c r="C5" t="s">
        <v>446</v>
      </c>
      <c r="D5" s="3"/>
      <c r="E5" s="87">
        <v>6</v>
      </c>
      <c r="F5" s="98">
        <f t="shared" si="0"/>
        <v>60</v>
      </c>
      <c r="G5">
        <f>VLOOKUP($C5,약재관리!A:J,10,FALSE)</f>
        <v>10.8</v>
      </c>
      <c r="H5" s="4">
        <f t="shared" si="1"/>
        <v>64.800000000000011</v>
      </c>
      <c r="I5" s="5">
        <f t="shared" si="2"/>
        <v>648</v>
      </c>
      <c r="K5" s="7" t="s">
        <v>12</v>
      </c>
      <c r="L5" s="148" t="s">
        <v>429</v>
      </c>
      <c r="M5" s="149"/>
    </row>
    <row r="6" spans="2:13">
      <c r="B6" s="2">
        <v>5</v>
      </c>
      <c r="C6" t="s">
        <v>447</v>
      </c>
      <c r="D6" s="3"/>
      <c r="E6" s="87">
        <v>4</v>
      </c>
      <c r="F6" s="98">
        <f t="shared" si="0"/>
        <v>40</v>
      </c>
      <c r="G6">
        <f>VLOOKUP($C6,약재관리!A:J,10,FALSE)</f>
        <v>23</v>
      </c>
      <c r="H6" s="4">
        <f t="shared" si="1"/>
        <v>92</v>
      </c>
      <c r="I6" s="5">
        <f t="shared" si="2"/>
        <v>920</v>
      </c>
      <c r="K6" s="7" t="s">
        <v>13</v>
      </c>
      <c r="L6" s="148" t="s">
        <v>430</v>
      </c>
      <c r="M6" s="149"/>
    </row>
    <row r="7" spans="2:13" ht="17.25" thickBot="1">
      <c r="B7" s="2">
        <v>6</v>
      </c>
      <c r="C7" t="s">
        <v>434</v>
      </c>
      <c r="D7" s="3"/>
      <c r="E7" s="87">
        <v>4</v>
      </c>
      <c r="F7" s="98">
        <f t="shared" si="0"/>
        <v>40</v>
      </c>
      <c r="G7">
        <f>VLOOKUP($C7,약재관리!A:J,10,FALSE)</f>
        <v>17.600000000000001</v>
      </c>
      <c r="H7" s="4">
        <f t="shared" si="1"/>
        <v>70.400000000000006</v>
      </c>
      <c r="I7" s="5">
        <f t="shared" si="2"/>
        <v>704</v>
      </c>
      <c r="K7" s="7" t="s">
        <v>14</v>
      </c>
      <c r="L7" s="156">
        <v>71</v>
      </c>
      <c r="M7" s="157"/>
    </row>
    <row r="8" spans="2:13" ht="17.25" thickBot="1">
      <c r="B8" s="2">
        <v>7</v>
      </c>
      <c r="C8" t="s">
        <v>435</v>
      </c>
      <c r="D8" s="3"/>
      <c r="E8" s="87">
        <v>4</v>
      </c>
      <c r="F8" s="98">
        <f t="shared" si="0"/>
        <v>40</v>
      </c>
      <c r="G8">
        <f>VLOOKUP($C8,약재관리!A:J,10,FALSE)</f>
        <v>13.2</v>
      </c>
      <c r="H8" s="4">
        <f t="shared" si="1"/>
        <v>52.8</v>
      </c>
      <c r="I8" s="5">
        <f t="shared" si="2"/>
        <v>528</v>
      </c>
      <c r="K8" s="150" t="s">
        <v>15</v>
      </c>
      <c r="L8" s="151"/>
      <c r="M8" s="152"/>
    </row>
    <row r="9" spans="2:13">
      <c r="B9" s="2">
        <v>8</v>
      </c>
      <c r="C9" t="s">
        <v>449</v>
      </c>
      <c r="D9" s="3"/>
      <c r="E9" s="87">
        <v>4</v>
      </c>
      <c r="F9" s="98">
        <f t="shared" si="0"/>
        <v>40</v>
      </c>
      <c r="G9">
        <f>VLOOKUP($C9,약재관리!A:J,10,FALSE)</f>
        <v>40</v>
      </c>
      <c r="H9" s="4">
        <f t="shared" si="1"/>
        <v>160</v>
      </c>
      <c r="I9" s="5">
        <f t="shared" si="2"/>
        <v>1600</v>
      </c>
      <c r="K9" s="158" t="s">
        <v>453</v>
      </c>
      <c r="L9" s="159"/>
      <c r="M9" s="160"/>
    </row>
    <row r="10" spans="2:13">
      <c r="B10" s="2">
        <v>9</v>
      </c>
      <c r="C10" t="s">
        <v>448</v>
      </c>
      <c r="D10" s="3"/>
      <c r="E10" s="87">
        <v>4</v>
      </c>
      <c r="F10" s="98">
        <f t="shared" si="0"/>
        <v>40</v>
      </c>
      <c r="G10">
        <f>VLOOKUP($C10,약재관리!A:J,10,FALSE)</f>
        <v>31.2</v>
      </c>
      <c r="H10" s="4">
        <f t="shared" si="1"/>
        <v>124.8</v>
      </c>
      <c r="I10" s="5">
        <f t="shared" si="2"/>
        <v>1248</v>
      </c>
      <c r="K10" s="161"/>
      <c r="L10" s="162"/>
      <c r="M10" s="163"/>
    </row>
    <row r="11" spans="2:13">
      <c r="B11" s="2">
        <v>10</v>
      </c>
      <c r="C11" t="s">
        <v>426</v>
      </c>
      <c r="D11" s="3"/>
      <c r="E11" s="87">
        <v>4</v>
      </c>
      <c r="F11" s="98">
        <f t="shared" si="0"/>
        <v>40</v>
      </c>
      <c r="G11">
        <f>VLOOKUP($C11,약재관리!A:J,10,FALSE)</f>
        <v>28</v>
      </c>
      <c r="H11" s="4">
        <f t="shared" si="1"/>
        <v>112</v>
      </c>
      <c r="I11" s="5">
        <f t="shared" si="2"/>
        <v>1120</v>
      </c>
      <c r="K11" s="161"/>
      <c r="L11" s="162"/>
      <c r="M11" s="163"/>
    </row>
    <row r="12" spans="2:13">
      <c r="B12" s="2">
        <v>11</v>
      </c>
      <c r="C12" t="s">
        <v>440</v>
      </c>
      <c r="D12" s="3"/>
      <c r="E12" s="87">
        <v>4</v>
      </c>
      <c r="F12" s="98">
        <f t="shared" si="0"/>
        <v>40</v>
      </c>
      <c r="G12">
        <f>VLOOKUP($C12,약재관리!A:J,10,FALSE)</f>
        <v>9.8000000000000007</v>
      </c>
      <c r="H12" s="4">
        <f t="shared" si="1"/>
        <v>39.200000000000003</v>
      </c>
      <c r="I12" s="5">
        <f t="shared" si="2"/>
        <v>392</v>
      </c>
      <c r="K12" s="161"/>
      <c r="L12" s="162"/>
      <c r="M12" s="163"/>
    </row>
    <row r="13" spans="2:13" ht="17.25" thickBot="1">
      <c r="B13" s="2">
        <v>12</v>
      </c>
      <c r="C13" t="s">
        <v>450</v>
      </c>
      <c r="D13" s="3"/>
      <c r="E13" s="87">
        <v>4</v>
      </c>
      <c r="F13" s="98">
        <f t="shared" si="0"/>
        <v>40</v>
      </c>
      <c r="G13">
        <f>VLOOKUP($C13,약재관리!A:J,10,FALSE)</f>
        <v>23.7</v>
      </c>
      <c r="H13" s="4">
        <f t="shared" si="1"/>
        <v>94.8</v>
      </c>
      <c r="I13" s="5">
        <f t="shared" si="2"/>
        <v>948</v>
      </c>
      <c r="K13" s="164"/>
      <c r="L13" s="165"/>
      <c r="M13" s="166"/>
    </row>
    <row r="14" spans="2:13">
      <c r="B14" s="2">
        <v>13</v>
      </c>
      <c r="C14" t="s">
        <v>418</v>
      </c>
      <c r="D14" s="3" t="s">
        <v>452</v>
      </c>
      <c r="E14" s="87">
        <v>2</v>
      </c>
      <c r="F14" s="98">
        <f t="shared" si="0"/>
        <v>20</v>
      </c>
      <c r="G14">
        <f>VLOOKUP($C14,약재관리!A:J,10,FALSE)</f>
        <v>21.8</v>
      </c>
      <c r="H14" s="4">
        <f t="shared" si="1"/>
        <v>43.6</v>
      </c>
      <c r="I14" s="5">
        <f t="shared" si="2"/>
        <v>436</v>
      </c>
      <c r="K14" s="91" t="s">
        <v>16</v>
      </c>
      <c r="L14" s="8">
        <v>7</v>
      </c>
      <c r="M14" s="9" t="s">
        <v>17</v>
      </c>
    </row>
    <row r="15" spans="2:13">
      <c r="B15" s="2">
        <v>14</v>
      </c>
      <c r="C15" t="s">
        <v>414</v>
      </c>
      <c r="D15" s="3"/>
      <c r="E15" s="87">
        <v>4</v>
      </c>
      <c r="F15" s="98">
        <f t="shared" si="0"/>
        <v>40</v>
      </c>
      <c r="G15">
        <f>VLOOKUP($C15,약재관리!A:J,10,FALSE)</f>
        <v>28</v>
      </c>
      <c r="H15" s="4">
        <f t="shared" si="1"/>
        <v>112</v>
      </c>
      <c r="I15" s="5">
        <f t="shared" si="2"/>
        <v>1120</v>
      </c>
      <c r="K15" s="90" t="s">
        <v>18</v>
      </c>
      <c r="L15">
        <v>10</v>
      </c>
      <c r="M15" s="3" t="s">
        <v>19</v>
      </c>
    </row>
    <row r="16" spans="2:13">
      <c r="B16" s="2">
        <v>15</v>
      </c>
      <c r="D16" s="3"/>
      <c r="F16" s="98">
        <f t="shared" si="0"/>
        <v>0</v>
      </c>
      <c r="H16" s="4">
        <f t="shared" si="1"/>
        <v>0</v>
      </c>
      <c r="I16" s="5">
        <f t="shared" si="2"/>
        <v>0</v>
      </c>
      <c r="K16" s="90" t="s">
        <v>20</v>
      </c>
      <c r="L16">
        <v>21</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70</v>
      </c>
      <c r="M18" s="9" t="s">
        <v>25</v>
      </c>
    </row>
    <row r="19" spans="2:13">
      <c r="B19" s="2">
        <v>18</v>
      </c>
      <c r="D19" s="3"/>
      <c r="F19" s="98">
        <f t="shared" si="0"/>
        <v>0</v>
      </c>
      <c r="H19" s="4">
        <f t="shared" si="1"/>
        <v>0</v>
      </c>
      <c r="I19" s="5">
        <f t="shared" si="2"/>
        <v>0</v>
      </c>
      <c r="K19" s="90" t="s">
        <v>26</v>
      </c>
      <c r="L19">
        <f>L15*L18</f>
        <v>700</v>
      </c>
      <c r="M19" s="3" t="s">
        <v>25</v>
      </c>
    </row>
    <row r="20" spans="2:13" ht="17.25" thickBot="1">
      <c r="B20" s="2">
        <v>19</v>
      </c>
      <c r="D20" s="3"/>
      <c r="F20" s="98">
        <f t="shared" si="0"/>
        <v>0</v>
      </c>
      <c r="H20" s="4">
        <f t="shared" si="1"/>
        <v>0</v>
      </c>
      <c r="I20" s="5">
        <f t="shared" si="2"/>
        <v>0</v>
      </c>
      <c r="K20" s="13" t="s">
        <v>27</v>
      </c>
      <c r="L20" s="10">
        <f>L16*L17+L19</f>
        <v>3010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700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1404.7999999999997</v>
      </c>
      <c r="M30" s="3" t="s">
        <v>36</v>
      </c>
    </row>
    <row r="31" spans="2:13" ht="17.25" thickBot="1">
      <c r="B31" s="12">
        <v>30</v>
      </c>
      <c r="C31" s="13"/>
      <c r="D31" s="11"/>
      <c r="E31" s="94"/>
      <c r="F31" s="99">
        <f t="shared" si="0"/>
        <v>0</v>
      </c>
      <c r="G31" s="10"/>
      <c r="H31" s="14">
        <f t="shared" si="1"/>
        <v>0</v>
      </c>
      <c r="I31" s="15">
        <f t="shared" si="2"/>
        <v>0</v>
      </c>
      <c r="K31" s="13" t="s">
        <v>37</v>
      </c>
      <c r="L31" s="14">
        <f>SUM(I2:I31)</f>
        <v>14048</v>
      </c>
      <c r="M31" s="11" t="s">
        <v>36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2CC9-57EC-4E8E-A347-5DE010BFCF5B}">
  <sheetPr>
    <pageSetUpPr fitToPage="1"/>
  </sheetPr>
  <dimension ref="B1:M31"/>
  <sheetViews>
    <sheetView workbookViewId="0">
      <selection activeCell="L17" sqref="L1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433</v>
      </c>
      <c r="D2" s="3"/>
      <c r="E2" s="87">
        <v>12</v>
      </c>
      <c r="F2" s="98">
        <f>E2*$L$15</f>
        <v>120</v>
      </c>
      <c r="G2">
        <f>VLOOKUP($C2,약재관리!A:J,10,FALSE)</f>
        <v>17.399999999999999</v>
      </c>
      <c r="H2" s="4">
        <f>G2*E2</f>
        <v>208.79999999999998</v>
      </c>
      <c r="I2" s="89">
        <f>G2*F2</f>
        <v>2088</v>
      </c>
      <c r="K2" s="6" t="s">
        <v>9</v>
      </c>
      <c r="L2" s="153">
        <v>117</v>
      </c>
      <c r="M2" s="154"/>
    </row>
    <row r="3" spans="2:13">
      <c r="B3" s="2">
        <v>2</v>
      </c>
      <c r="C3" t="s">
        <v>444</v>
      </c>
      <c r="D3" s="3"/>
      <c r="E3" s="87">
        <v>8</v>
      </c>
      <c r="F3" s="98">
        <f t="shared" ref="F3:F31" si="0">E3*$L$15</f>
        <v>80</v>
      </c>
      <c r="G3">
        <f>VLOOKUP($C3,약재관리!A:J,10,FALSE)</f>
        <v>10.7</v>
      </c>
      <c r="H3" s="4">
        <f t="shared" ref="H3:H31" si="1">G3*E3</f>
        <v>85.6</v>
      </c>
      <c r="I3" s="5">
        <f t="shared" ref="I3:I31" si="2">G3*F3</f>
        <v>856</v>
      </c>
      <c r="K3" s="7" t="s">
        <v>10</v>
      </c>
      <c r="L3" s="148" t="s">
        <v>443</v>
      </c>
      <c r="M3" s="149"/>
    </row>
    <row r="4" spans="2:13">
      <c r="B4" s="2">
        <v>3</v>
      </c>
      <c r="C4" t="s">
        <v>445</v>
      </c>
      <c r="D4" s="3"/>
      <c r="E4" s="87">
        <v>6</v>
      </c>
      <c r="F4" s="98">
        <f t="shared" si="0"/>
        <v>60</v>
      </c>
      <c r="G4">
        <f>VLOOKUP($C4,약재관리!A:J,10,FALSE)</f>
        <v>24</v>
      </c>
      <c r="H4" s="4">
        <f t="shared" si="1"/>
        <v>144</v>
      </c>
      <c r="I4" s="5">
        <f t="shared" si="2"/>
        <v>1440</v>
      </c>
      <c r="K4" s="7" t="s">
        <v>11</v>
      </c>
      <c r="L4" s="155">
        <v>45891</v>
      </c>
      <c r="M4" s="149"/>
    </row>
    <row r="5" spans="2:13">
      <c r="B5" s="2">
        <v>4</v>
      </c>
      <c r="C5" t="s">
        <v>446</v>
      </c>
      <c r="D5" s="3"/>
      <c r="E5" s="87">
        <v>6</v>
      </c>
      <c r="F5" s="98">
        <f t="shared" si="0"/>
        <v>60</v>
      </c>
      <c r="G5">
        <f>VLOOKUP($C5,약재관리!A:J,10,FALSE)</f>
        <v>10.8</v>
      </c>
      <c r="H5" s="4">
        <f t="shared" si="1"/>
        <v>64.800000000000011</v>
      </c>
      <c r="I5" s="5">
        <f t="shared" si="2"/>
        <v>648</v>
      </c>
      <c r="K5" s="7" t="s">
        <v>12</v>
      </c>
      <c r="L5" s="148" t="s">
        <v>429</v>
      </c>
      <c r="M5" s="149"/>
    </row>
    <row r="6" spans="2:13">
      <c r="B6" s="2">
        <v>5</v>
      </c>
      <c r="C6" t="s">
        <v>447</v>
      </c>
      <c r="D6" s="3"/>
      <c r="E6" s="87">
        <v>4</v>
      </c>
      <c r="F6" s="98">
        <f t="shared" si="0"/>
        <v>40</v>
      </c>
      <c r="G6">
        <f>VLOOKUP($C6,약재관리!A:J,10,FALSE)</f>
        <v>23</v>
      </c>
      <c r="H6" s="4">
        <f t="shared" si="1"/>
        <v>92</v>
      </c>
      <c r="I6" s="5">
        <f t="shared" si="2"/>
        <v>920</v>
      </c>
      <c r="K6" s="7" t="s">
        <v>13</v>
      </c>
      <c r="L6" s="148" t="s">
        <v>430</v>
      </c>
      <c r="M6" s="149"/>
    </row>
    <row r="7" spans="2:13" ht="17.25" thickBot="1">
      <c r="B7" s="2">
        <v>6</v>
      </c>
      <c r="C7" t="s">
        <v>434</v>
      </c>
      <c r="D7" s="3"/>
      <c r="E7" s="87">
        <v>4</v>
      </c>
      <c r="F7" s="98">
        <f t="shared" si="0"/>
        <v>40</v>
      </c>
      <c r="G7">
        <f>VLOOKUP($C7,약재관리!A:J,10,FALSE)</f>
        <v>17.600000000000001</v>
      </c>
      <c r="H7" s="4">
        <f t="shared" si="1"/>
        <v>70.400000000000006</v>
      </c>
      <c r="I7" s="5">
        <f t="shared" si="2"/>
        <v>704</v>
      </c>
      <c r="K7" s="7" t="s">
        <v>14</v>
      </c>
      <c r="L7" s="156">
        <v>71</v>
      </c>
      <c r="M7" s="157"/>
    </row>
    <row r="8" spans="2:13" ht="17.25" thickBot="1">
      <c r="B8" s="2">
        <v>7</v>
      </c>
      <c r="C8" t="s">
        <v>435</v>
      </c>
      <c r="D8" s="3"/>
      <c r="E8" s="87">
        <v>4</v>
      </c>
      <c r="F8" s="98">
        <f t="shared" si="0"/>
        <v>40</v>
      </c>
      <c r="G8">
        <f>VLOOKUP($C8,약재관리!A:J,10,FALSE)</f>
        <v>13.2</v>
      </c>
      <c r="H8" s="4">
        <f t="shared" si="1"/>
        <v>52.8</v>
      </c>
      <c r="I8" s="5">
        <f t="shared" si="2"/>
        <v>528</v>
      </c>
      <c r="K8" s="150" t="s">
        <v>15</v>
      </c>
      <c r="L8" s="151"/>
      <c r="M8" s="152"/>
    </row>
    <row r="9" spans="2:13">
      <c r="B9" s="2">
        <v>8</v>
      </c>
      <c r="C9" t="s">
        <v>449</v>
      </c>
      <c r="D9" s="3"/>
      <c r="E9" s="87">
        <v>4</v>
      </c>
      <c r="F9" s="98">
        <f t="shared" si="0"/>
        <v>40</v>
      </c>
      <c r="G9">
        <f>VLOOKUP($C9,약재관리!A:J,10,FALSE)</f>
        <v>40</v>
      </c>
      <c r="H9" s="4">
        <f t="shared" si="1"/>
        <v>160</v>
      </c>
      <c r="I9" s="5">
        <f t="shared" si="2"/>
        <v>1600</v>
      </c>
      <c r="K9" s="158" t="s">
        <v>451</v>
      </c>
      <c r="L9" s="159"/>
      <c r="M9" s="160"/>
    </row>
    <row r="10" spans="2:13">
      <c r="B10" s="2">
        <v>9</v>
      </c>
      <c r="C10" t="s">
        <v>448</v>
      </c>
      <c r="D10" s="3"/>
      <c r="E10" s="87">
        <v>4</v>
      </c>
      <c r="F10" s="98">
        <f t="shared" si="0"/>
        <v>40</v>
      </c>
      <c r="G10">
        <f>VLOOKUP($C10,약재관리!A:J,10,FALSE)</f>
        <v>31.2</v>
      </c>
      <c r="H10" s="4">
        <f t="shared" si="1"/>
        <v>124.8</v>
      </c>
      <c r="I10" s="5">
        <f t="shared" si="2"/>
        <v>1248</v>
      </c>
      <c r="K10" s="161"/>
      <c r="L10" s="162"/>
      <c r="M10" s="163"/>
    </row>
    <row r="11" spans="2:13">
      <c r="B11" s="2">
        <v>10</v>
      </c>
      <c r="C11" t="s">
        <v>426</v>
      </c>
      <c r="D11" s="3"/>
      <c r="E11" s="87">
        <v>4</v>
      </c>
      <c r="F11" s="98">
        <f t="shared" si="0"/>
        <v>40</v>
      </c>
      <c r="G11">
        <f>VLOOKUP($C11,약재관리!A:J,10,FALSE)</f>
        <v>28</v>
      </c>
      <c r="H11" s="4">
        <f t="shared" si="1"/>
        <v>112</v>
      </c>
      <c r="I11" s="5">
        <f t="shared" si="2"/>
        <v>1120</v>
      </c>
      <c r="K11" s="161"/>
      <c r="L11" s="162"/>
      <c r="M11" s="163"/>
    </row>
    <row r="12" spans="2:13">
      <c r="B12" s="2">
        <v>11</v>
      </c>
      <c r="C12" t="s">
        <v>440</v>
      </c>
      <c r="D12" s="3"/>
      <c r="E12" s="87">
        <v>4</v>
      </c>
      <c r="F12" s="98">
        <f t="shared" si="0"/>
        <v>40</v>
      </c>
      <c r="G12">
        <f>VLOOKUP($C12,약재관리!A:J,10,FALSE)</f>
        <v>9.8000000000000007</v>
      </c>
      <c r="H12" s="4">
        <f t="shared" si="1"/>
        <v>39.200000000000003</v>
      </c>
      <c r="I12" s="5">
        <f t="shared" si="2"/>
        <v>392</v>
      </c>
      <c r="K12" s="161"/>
      <c r="L12" s="162"/>
      <c r="M12" s="163"/>
    </row>
    <row r="13" spans="2:13" ht="17.25" thickBot="1">
      <c r="B13" s="2">
        <v>12</v>
      </c>
      <c r="C13" t="s">
        <v>450</v>
      </c>
      <c r="D13" s="3"/>
      <c r="E13" s="87">
        <v>4</v>
      </c>
      <c r="F13" s="98">
        <f t="shared" si="0"/>
        <v>40</v>
      </c>
      <c r="G13">
        <f>VLOOKUP($C13,약재관리!A:J,10,FALSE)</f>
        <v>23.7</v>
      </c>
      <c r="H13" s="4">
        <f t="shared" si="1"/>
        <v>94.8</v>
      </c>
      <c r="I13" s="5">
        <f t="shared" si="2"/>
        <v>948</v>
      </c>
      <c r="K13" s="164"/>
      <c r="L13" s="165"/>
      <c r="M13" s="166"/>
    </row>
    <row r="14" spans="2:13">
      <c r="B14" s="2">
        <v>13</v>
      </c>
      <c r="D14" s="3"/>
      <c r="F14" s="98">
        <f t="shared" si="0"/>
        <v>0</v>
      </c>
      <c r="H14" s="4">
        <f t="shared" si="1"/>
        <v>0</v>
      </c>
      <c r="I14" s="5">
        <f t="shared" si="2"/>
        <v>0</v>
      </c>
      <c r="K14" s="91" t="s">
        <v>16</v>
      </c>
      <c r="L14" s="8">
        <v>7</v>
      </c>
      <c r="M14" s="9" t="s">
        <v>17</v>
      </c>
    </row>
    <row r="15" spans="2:13">
      <c r="B15" s="2">
        <v>14</v>
      </c>
      <c r="D15" s="3"/>
      <c r="F15" s="98">
        <f t="shared" si="0"/>
        <v>0</v>
      </c>
      <c r="H15" s="4">
        <f t="shared" si="1"/>
        <v>0</v>
      </c>
      <c r="I15" s="5">
        <f t="shared" si="2"/>
        <v>0</v>
      </c>
      <c r="K15" s="90" t="s">
        <v>18</v>
      </c>
      <c r="L15">
        <v>10</v>
      </c>
      <c r="M15" s="3" t="s">
        <v>19</v>
      </c>
    </row>
    <row r="16" spans="2:13">
      <c r="B16" s="2">
        <v>15</v>
      </c>
      <c r="D16" s="3"/>
      <c r="F16" s="98">
        <f t="shared" si="0"/>
        <v>0</v>
      </c>
      <c r="H16" s="4">
        <f t="shared" si="1"/>
        <v>0</v>
      </c>
      <c r="I16" s="5">
        <f t="shared" si="2"/>
        <v>0</v>
      </c>
      <c r="K16" s="90" t="s">
        <v>20</v>
      </c>
      <c r="L16">
        <v>21</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64</v>
      </c>
      <c r="M18" s="9" t="s">
        <v>25</v>
      </c>
    </row>
    <row r="19" spans="2:13">
      <c r="B19" s="2">
        <v>18</v>
      </c>
      <c r="D19" s="3"/>
      <c r="F19" s="98">
        <f t="shared" si="0"/>
        <v>0</v>
      </c>
      <c r="H19" s="4">
        <f t="shared" si="1"/>
        <v>0</v>
      </c>
      <c r="I19" s="5">
        <f t="shared" si="2"/>
        <v>0</v>
      </c>
      <c r="K19" s="90" t="s">
        <v>26</v>
      </c>
      <c r="L19">
        <f>L15*L18</f>
        <v>640</v>
      </c>
      <c r="M19" s="3" t="s">
        <v>25</v>
      </c>
    </row>
    <row r="20" spans="2:13" ht="17.25" thickBot="1">
      <c r="B20" s="2">
        <v>19</v>
      </c>
      <c r="D20" s="3"/>
      <c r="F20" s="98">
        <f t="shared" si="0"/>
        <v>0</v>
      </c>
      <c r="H20" s="4">
        <f t="shared" si="1"/>
        <v>0</v>
      </c>
      <c r="I20" s="5">
        <f t="shared" si="2"/>
        <v>0</v>
      </c>
      <c r="K20" s="13" t="s">
        <v>27</v>
      </c>
      <c r="L20" s="10">
        <f>L16*L17+L19</f>
        <v>2950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640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1249.1999999999998</v>
      </c>
      <c r="M30" s="3" t="s">
        <v>36</v>
      </c>
    </row>
    <row r="31" spans="2:13" ht="17.25" thickBot="1">
      <c r="B31" s="12">
        <v>30</v>
      </c>
      <c r="C31" s="13"/>
      <c r="D31" s="11"/>
      <c r="E31" s="94"/>
      <c r="F31" s="99">
        <f t="shared" si="0"/>
        <v>0</v>
      </c>
      <c r="G31" s="10"/>
      <c r="H31" s="14">
        <f t="shared" si="1"/>
        <v>0</v>
      </c>
      <c r="I31" s="15">
        <f t="shared" si="2"/>
        <v>0</v>
      </c>
      <c r="K31" s="13" t="s">
        <v>37</v>
      </c>
      <c r="L31" s="14">
        <f>SUM(I2:I31)</f>
        <v>12492</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2A274-FE5D-46E2-8DA4-AAFA62804007}">
  <sheetPr>
    <pageSetUpPr fitToPage="1"/>
  </sheetPr>
  <dimension ref="B1:M31"/>
  <sheetViews>
    <sheetView workbookViewId="0">
      <selection activeCell="E10" sqref="E1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433</v>
      </c>
      <c r="D2" s="3"/>
      <c r="E2" s="87">
        <v>6</v>
      </c>
      <c r="F2" s="98">
        <f>E2*$L$15</f>
        <v>120</v>
      </c>
      <c r="G2">
        <f>VLOOKUP($C2,약재관리!A:J,10,FALSE)</f>
        <v>17.399999999999999</v>
      </c>
      <c r="H2" s="4">
        <f>G2*E2</f>
        <v>104.39999999999999</v>
      </c>
      <c r="I2" s="89">
        <f>G2*F2</f>
        <v>2088</v>
      </c>
      <c r="K2" s="6" t="s">
        <v>9</v>
      </c>
      <c r="L2" s="153">
        <v>117</v>
      </c>
      <c r="M2" s="154"/>
    </row>
    <row r="3" spans="2:13">
      <c r="B3" s="2">
        <v>2</v>
      </c>
      <c r="C3" t="s">
        <v>420</v>
      </c>
      <c r="D3" s="3"/>
      <c r="E3" s="87">
        <v>6</v>
      </c>
      <c r="F3" s="98">
        <f t="shared" ref="F3:F31" si="0">E3*$L$15</f>
        <v>120</v>
      </c>
      <c r="G3">
        <f>VLOOKUP($C3,약재관리!A:J,10,FALSE)</f>
        <v>26</v>
      </c>
      <c r="H3" s="4">
        <f t="shared" ref="H3:H31" si="1">G3*E3</f>
        <v>156</v>
      </c>
      <c r="I3" s="5">
        <f t="shared" ref="I3:I31" si="2">G3*F3</f>
        <v>3120</v>
      </c>
      <c r="K3" s="7" t="s">
        <v>10</v>
      </c>
      <c r="L3" s="148" t="s">
        <v>432</v>
      </c>
      <c r="M3" s="149"/>
    </row>
    <row r="4" spans="2:13">
      <c r="B4" s="2">
        <v>3</v>
      </c>
      <c r="C4" t="s">
        <v>418</v>
      </c>
      <c r="D4" s="3"/>
      <c r="E4" s="87">
        <v>4</v>
      </c>
      <c r="F4" s="98">
        <f t="shared" si="0"/>
        <v>80</v>
      </c>
      <c r="G4">
        <f>VLOOKUP($C4,약재관리!A:J,10,FALSE)</f>
        <v>21.8</v>
      </c>
      <c r="H4" s="4">
        <f t="shared" si="1"/>
        <v>87.2</v>
      </c>
      <c r="I4" s="5">
        <f t="shared" si="2"/>
        <v>1744</v>
      </c>
      <c r="K4" s="7" t="s">
        <v>11</v>
      </c>
      <c r="L4" s="155">
        <v>45838</v>
      </c>
      <c r="M4" s="149"/>
    </row>
    <row r="5" spans="2:13">
      <c r="B5" s="2">
        <v>4</v>
      </c>
      <c r="C5" t="s">
        <v>414</v>
      </c>
      <c r="D5" s="3"/>
      <c r="E5" s="87">
        <v>6</v>
      </c>
      <c r="F5" s="98">
        <f t="shared" si="0"/>
        <v>120</v>
      </c>
      <c r="G5">
        <f>VLOOKUP($C5,약재관리!A:J,10,FALSE)</f>
        <v>28</v>
      </c>
      <c r="H5" s="4">
        <f t="shared" si="1"/>
        <v>168</v>
      </c>
      <c r="I5" s="5">
        <f t="shared" si="2"/>
        <v>3360</v>
      </c>
      <c r="K5" s="7" t="s">
        <v>12</v>
      </c>
      <c r="L5" s="148" t="s">
        <v>429</v>
      </c>
      <c r="M5" s="149"/>
    </row>
    <row r="6" spans="2:13">
      <c r="B6" s="2">
        <v>5</v>
      </c>
      <c r="C6" t="s">
        <v>424</v>
      </c>
      <c r="D6" s="3"/>
      <c r="E6" s="87">
        <v>4</v>
      </c>
      <c r="F6" s="98">
        <f t="shared" si="0"/>
        <v>80</v>
      </c>
      <c r="G6">
        <f>VLOOKUP($C6,약재관리!A:J,10,FALSE)</f>
        <v>16.7</v>
      </c>
      <c r="H6" s="4">
        <f t="shared" si="1"/>
        <v>66.8</v>
      </c>
      <c r="I6" s="5">
        <f t="shared" si="2"/>
        <v>1336</v>
      </c>
      <c r="K6" s="7" t="s">
        <v>13</v>
      </c>
      <c r="L6" s="148" t="s">
        <v>430</v>
      </c>
      <c r="M6" s="149"/>
    </row>
    <row r="7" spans="2:13" ht="17.25" thickBot="1">
      <c r="B7" s="2">
        <v>6</v>
      </c>
      <c r="C7" t="s">
        <v>435</v>
      </c>
      <c r="D7" s="3"/>
      <c r="E7" s="87">
        <v>4</v>
      </c>
      <c r="F7" s="98">
        <f t="shared" si="0"/>
        <v>80</v>
      </c>
      <c r="G7">
        <f>VLOOKUP($C7,약재관리!A:J,10,FALSE)</f>
        <v>13.2</v>
      </c>
      <c r="H7" s="4">
        <f t="shared" si="1"/>
        <v>52.8</v>
      </c>
      <c r="I7" s="5">
        <f t="shared" si="2"/>
        <v>1056</v>
      </c>
      <c r="K7" s="7" t="s">
        <v>14</v>
      </c>
      <c r="L7" s="156">
        <v>71</v>
      </c>
      <c r="M7" s="157"/>
    </row>
    <row r="8" spans="2:13" ht="17.25" thickBot="1">
      <c r="B8" s="2">
        <v>7</v>
      </c>
      <c r="C8" t="s">
        <v>423</v>
      </c>
      <c r="D8" s="3"/>
      <c r="E8" s="87">
        <v>4</v>
      </c>
      <c r="F8" s="98">
        <f t="shared" si="0"/>
        <v>80</v>
      </c>
      <c r="G8">
        <f>VLOOKUP($C8,약재관리!A:J,10,FALSE)</f>
        <v>5.5</v>
      </c>
      <c r="H8" s="4">
        <f t="shared" si="1"/>
        <v>22</v>
      </c>
      <c r="I8" s="5">
        <f t="shared" si="2"/>
        <v>440</v>
      </c>
      <c r="K8" s="150" t="s">
        <v>15</v>
      </c>
      <c r="L8" s="151"/>
      <c r="M8" s="152"/>
    </row>
    <row r="9" spans="2:13">
      <c r="B9" s="2">
        <v>8</v>
      </c>
      <c r="C9" t="s">
        <v>434</v>
      </c>
      <c r="D9" s="3"/>
      <c r="E9" s="87">
        <v>4</v>
      </c>
      <c r="F9" s="98">
        <f t="shared" si="0"/>
        <v>80</v>
      </c>
      <c r="G9">
        <f>VLOOKUP($C9,약재관리!A:J,10,FALSE)</f>
        <v>17.600000000000001</v>
      </c>
      <c r="H9" s="4">
        <f t="shared" si="1"/>
        <v>70.400000000000006</v>
      </c>
      <c r="I9" s="5">
        <f t="shared" si="2"/>
        <v>1408</v>
      </c>
      <c r="K9" s="158" t="s">
        <v>442</v>
      </c>
      <c r="L9" s="159"/>
      <c r="M9" s="160"/>
    </row>
    <row r="10" spans="2:13">
      <c r="B10" s="2">
        <v>9</v>
      </c>
      <c r="C10" t="s">
        <v>426</v>
      </c>
      <c r="D10" s="3"/>
      <c r="E10" s="87">
        <v>3</v>
      </c>
      <c r="F10" s="98">
        <f t="shared" si="0"/>
        <v>60</v>
      </c>
      <c r="G10">
        <f>VLOOKUP($C10,약재관리!A:J,10,FALSE)</f>
        <v>28</v>
      </c>
      <c r="H10" s="4">
        <f t="shared" si="1"/>
        <v>84</v>
      </c>
      <c r="I10" s="5">
        <f t="shared" si="2"/>
        <v>1680</v>
      </c>
      <c r="K10" s="161"/>
      <c r="L10" s="162"/>
      <c r="M10" s="163"/>
    </row>
    <row r="11" spans="2:13">
      <c r="B11" s="2">
        <v>10</v>
      </c>
      <c r="C11" t="s">
        <v>436</v>
      </c>
      <c r="D11" s="3"/>
      <c r="E11" s="87">
        <v>3</v>
      </c>
      <c r="F11" s="98">
        <f t="shared" si="0"/>
        <v>60</v>
      </c>
      <c r="G11">
        <f>VLOOKUP($C11,약재관리!A:J,10,FALSE)</f>
        <v>27.2</v>
      </c>
      <c r="H11" s="4">
        <f t="shared" si="1"/>
        <v>81.599999999999994</v>
      </c>
      <c r="I11" s="5">
        <f t="shared" si="2"/>
        <v>1632</v>
      </c>
      <c r="K11" s="161"/>
      <c r="L11" s="162"/>
      <c r="M11" s="163"/>
    </row>
    <row r="12" spans="2:13">
      <c r="B12" s="2">
        <v>11</v>
      </c>
      <c r="C12" t="s">
        <v>437</v>
      </c>
      <c r="D12" s="3"/>
      <c r="E12" s="87">
        <v>3</v>
      </c>
      <c r="F12" s="98">
        <f t="shared" si="0"/>
        <v>60</v>
      </c>
      <c r="G12">
        <f>VLOOKUP($C12,약재관리!A:J,10,FALSE)</f>
        <v>19.600000000000001</v>
      </c>
      <c r="H12" s="4">
        <f t="shared" si="1"/>
        <v>58.800000000000004</v>
      </c>
      <c r="I12" s="5">
        <f t="shared" si="2"/>
        <v>1176</v>
      </c>
      <c r="K12" s="161"/>
      <c r="L12" s="162"/>
      <c r="M12" s="163"/>
    </row>
    <row r="13" spans="2:13" ht="17.25" thickBot="1">
      <c r="B13" s="2">
        <v>12</v>
      </c>
      <c r="C13" t="s">
        <v>422</v>
      </c>
      <c r="D13" s="3"/>
      <c r="E13" s="87">
        <v>2</v>
      </c>
      <c r="F13" s="98">
        <f t="shared" si="0"/>
        <v>40</v>
      </c>
      <c r="G13">
        <f>VLOOKUP($C13,약재관리!A:J,10,FALSE)</f>
        <v>31</v>
      </c>
      <c r="H13" s="4">
        <f t="shared" si="1"/>
        <v>62</v>
      </c>
      <c r="I13" s="5">
        <f t="shared" si="2"/>
        <v>1240</v>
      </c>
      <c r="K13" s="164"/>
      <c r="L13" s="165"/>
      <c r="M13" s="166"/>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49</v>
      </c>
      <c r="M18" s="9" t="s">
        <v>25</v>
      </c>
    </row>
    <row r="19" spans="2:13">
      <c r="B19" s="2">
        <v>18</v>
      </c>
      <c r="D19" s="3"/>
      <c r="F19" s="98">
        <f t="shared" si="0"/>
        <v>0</v>
      </c>
      <c r="H19" s="4">
        <f t="shared" si="1"/>
        <v>0</v>
      </c>
      <c r="I19" s="5">
        <f t="shared" si="2"/>
        <v>0</v>
      </c>
      <c r="K19" s="90" t="s">
        <v>26</v>
      </c>
      <c r="L19">
        <f>L15*L18</f>
        <v>980</v>
      </c>
      <c r="M19" s="3" t="s">
        <v>25</v>
      </c>
    </row>
    <row r="20" spans="2:13" ht="17.25" thickBot="1">
      <c r="B20" s="2">
        <v>19</v>
      </c>
      <c r="D20" s="3"/>
      <c r="F20" s="98">
        <f t="shared" si="0"/>
        <v>0</v>
      </c>
      <c r="H20" s="4">
        <f t="shared" si="1"/>
        <v>0</v>
      </c>
      <c r="I20" s="5">
        <f t="shared" si="2"/>
        <v>0</v>
      </c>
      <c r="K20" s="13" t="s">
        <v>27</v>
      </c>
      <c r="L20" s="10">
        <f>L16*L17+L19</f>
        <v>5930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980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1013.9999999999998</v>
      </c>
      <c r="M30" s="3" t="s">
        <v>36</v>
      </c>
    </row>
    <row r="31" spans="2:13" ht="17.25" thickBot="1">
      <c r="B31" s="12">
        <v>30</v>
      </c>
      <c r="C31" s="13"/>
      <c r="D31" s="11"/>
      <c r="E31" s="94"/>
      <c r="F31" s="99">
        <f t="shared" si="0"/>
        <v>0</v>
      </c>
      <c r="G31" s="10"/>
      <c r="H31" s="14">
        <f t="shared" si="1"/>
        <v>0</v>
      </c>
      <c r="I31" s="15">
        <f t="shared" si="2"/>
        <v>0</v>
      </c>
      <c r="K31" s="13" t="s">
        <v>37</v>
      </c>
      <c r="L31" s="14">
        <f>SUM(I2:I31)</f>
        <v>20280</v>
      </c>
      <c r="M31" s="11" t="s">
        <v>36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C0766-38FB-4CFF-A50B-CBD13E5BBD40}">
  <sheetPr>
    <pageSetUpPr fitToPage="1"/>
  </sheetPr>
  <dimension ref="B1:M31"/>
  <sheetViews>
    <sheetView workbookViewId="0">
      <selection activeCell="R32" sqref="R3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433</v>
      </c>
      <c r="D2" s="3"/>
      <c r="E2" s="87">
        <v>6</v>
      </c>
      <c r="F2" s="98">
        <f>E2*$L$15</f>
        <v>120</v>
      </c>
      <c r="G2">
        <f>VLOOKUP($C2,약재관리!A:J,10,FALSE)</f>
        <v>17.399999999999999</v>
      </c>
      <c r="H2" s="4">
        <f>G2*E2</f>
        <v>104.39999999999999</v>
      </c>
      <c r="I2" s="89">
        <f>G2*F2</f>
        <v>2088</v>
      </c>
      <c r="K2" s="6" t="s">
        <v>9</v>
      </c>
      <c r="L2" s="153">
        <v>117</v>
      </c>
      <c r="M2" s="154"/>
    </row>
    <row r="3" spans="2:13">
      <c r="B3" s="2">
        <v>2</v>
      </c>
      <c r="C3" t="s">
        <v>420</v>
      </c>
      <c r="D3" s="3"/>
      <c r="E3" s="87">
        <v>6</v>
      </c>
      <c r="F3" s="98">
        <f t="shared" ref="F3:F31" si="0">E3*$L$15</f>
        <v>120</v>
      </c>
      <c r="G3">
        <f>VLOOKUP($C3,약재관리!A:J,10,FALSE)</f>
        <v>26</v>
      </c>
      <c r="H3" s="4">
        <f t="shared" ref="H3:H31" si="1">G3*E3</f>
        <v>156</v>
      </c>
      <c r="I3" s="5">
        <f t="shared" ref="I3:I31" si="2">G3*F3</f>
        <v>3120</v>
      </c>
      <c r="K3" s="7" t="s">
        <v>10</v>
      </c>
      <c r="L3" s="148" t="s">
        <v>432</v>
      </c>
      <c r="M3" s="149"/>
    </row>
    <row r="4" spans="2:13">
      <c r="B4" s="2">
        <v>3</v>
      </c>
      <c r="C4" t="s">
        <v>418</v>
      </c>
      <c r="D4" s="3"/>
      <c r="E4" s="87">
        <v>4</v>
      </c>
      <c r="F4" s="98">
        <f t="shared" si="0"/>
        <v>80</v>
      </c>
      <c r="G4">
        <f>VLOOKUP($C4,약재관리!A:J,10,FALSE)</f>
        <v>21.8</v>
      </c>
      <c r="H4" s="4">
        <f t="shared" si="1"/>
        <v>87.2</v>
      </c>
      <c r="I4" s="5">
        <f t="shared" si="2"/>
        <v>1744</v>
      </c>
      <c r="K4" s="7" t="s">
        <v>11</v>
      </c>
      <c r="L4" s="155">
        <v>45846</v>
      </c>
      <c r="M4" s="149"/>
    </row>
    <row r="5" spans="2:13">
      <c r="B5" s="2">
        <v>4</v>
      </c>
      <c r="C5" t="s">
        <v>414</v>
      </c>
      <c r="D5" s="3"/>
      <c r="E5" s="87">
        <v>6</v>
      </c>
      <c r="F5" s="98">
        <f t="shared" si="0"/>
        <v>120</v>
      </c>
      <c r="G5">
        <f>VLOOKUP($C5,약재관리!A:J,10,FALSE)</f>
        <v>28</v>
      </c>
      <c r="H5" s="4">
        <f t="shared" si="1"/>
        <v>168</v>
      </c>
      <c r="I5" s="5">
        <f t="shared" si="2"/>
        <v>3360</v>
      </c>
      <c r="K5" s="7" t="s">
        <v>12</v>
      </c>
      <c r="L5" s="148" t="s">
        <v>429</v>
      </c>
      <c r="M5" s="149"/>
    </row>
    <row r="6" spans="2:13">
      <c r="B6" s="2">
        <v>5</v>
      </c>
      <c r="C6" t="s">
        <v>424</v>
      </c>
      <c r="D6" s="3"/>
      <c r="E6" s="87">
        <v>4</v>
      </c>
      <c r="F6" s="98">
        <f t="shared" si="0"/>
        <v>80</v>
      </c>
      <c r="G6">
        <f>VLOOKUP($C6,약재관리!A:J,10,FALSE)</f>
        <v>16.7</v>
      </c>
      <c r="H6" s="4">
        <f t="shared" si="1"/>
        <v>66.8</v>
      </c>
      <c r="I6" s="5">
        <f t="shared" si="2"/>
        <v>1336</v>
      </c>
      <c r="K6" s="7" t="s">
        <v>13</v>
      </c>
      <c r="L6" s="148" t="s">
        <v>430</v>
      </c>
      <c r="M6" s="149"/>
    </row>
    <row r="7" spans="2:13" ht="17.25" thickBot="1">
      <c r="B7" s="2">
        <v>6</v>
      </c>
      <c r="C7" t="s">
        <v>435</v>
      </c>
      <c r="D7" s="3"/>
      <c r="E7" s="87">
        <v>4</v>
      </c>
      <c r="F7" s="98">
        <f t="shared" si="0"/>
        <v>80</v>
      </c>
      <c r="G7">
        <f>VLOOKUP($C7,약재관리!A:J,10,FALSE)</f>
        <v>13.2</v>
      </c>
      <c r="H7" s="4">
        <f t="shared" si="1"/>
        <v>52.8</v>
      </c>
      <c r="I7" s="5">
        <f t="shared" si="2"/>
        <v>1056</v>
      </c>
      <c r="K7" s="7" t="s">
        <v>14</v>
      </c>
      <c r="L7" s="156">
        <v>71</v>
      </c>
      <c r="M7" s="157"/>
    </row>
    <row r="8" spans="2:13" ht="17.25" thickBot="1">
      <c r="B8" s="2">
        <v>7</v>
      </c>
      <c r="C8" t="s">
        <v>423</v>
      </c>
      <c r="D8" s="3"/>
      <c r="E8" s="87">
        <v>4</v>
      </c>
      <c r="F8" s="98">
        <f t="shared" si="0"/>
        <v>80</v>
      </c>
      <c r="G8">
        <f>VLOOKUP($C8,약재관리!A:J,10,FALSE)</f>
        <v>5.5</v>
      </c>
      <c r="H8" s="4">
        <f t="shared" si="1"/>
        <v>22</v>
      </c>
      <c r="I8" s="5">
        <f t="shared" si="2"/>
        <v>440</v>
      </c>
      <c r="K8" s="150" t="s">
        <v>15</v>
      </c>
      <c r="L8" s="151"/>
      <c r="M8" s="152"/>
    </row>
    <row r="9" spans="2:13">
      <c r="B9" s="2">
        <v>8</v>
      </c>
      <c r="C9" t="s">
        <v>434</v>
      </c>
      <c r="D9" s="3"/>
      <c r="E9" s="87">
        <v>4</v>
      </c>
      <c r="F9" s="98">
        <f t="shared" si="0"/>
        <v>80</v>
      </c>
      <c r="G9">
        <f>VLOOKUP($C9,약재관리!A:J,10,FALSE)</f>
        <v>17.600000000000001</v>
      </c>
      <c r="H9" s="4">
        <f t="shared" si="1"/>
        <v>70.400000000000006</v>
      </c>
      <c r="I9" s="5">
        <f t="shared" si="2"/>
        <v>1408</v>
      </c>
      <c r="K9" s="158" t="s">
        <v>441</v>
      </c>
      <c r="L9" s="159"/>
      <c r="M9" s="160"/>
    </row>
    <row r="10" spans="2:13">
      <c r="B10" s="2">
        <v>9</v>
      </c>
      <c r="C10" t="s">
        <v>426</v>
      </c>
      <c r="D10" s="3"/>
      <c r="E10" s="87">
        <v>4</v>
      </c>
      <c r="F10" s="98">
        <f t="shared" si="0"/>
        <v>80</v>
      </c>
      <c r="G10">
        <f>VLOOKUP($C10,약재관리!A:J,10,FALSE)</f>
        <v>28</v>
      </c>
      <c r="H10" s="4">
        <f t="shared" si="1"/>
        <v>112</v>
      </c>
      <c r="I10" s="5">
        <f t="shared" si="2"/>
        <v>2240</v>
      </c>
      <c r="K10" s="161"/>
      <c r="L10" s="162"/>
      <c r="M10" s="163"/>
    </row>
    <row r="11" spans="2:13">
      <c r="B11" s="2">
        <v>10</v>
      </c>
      <c r="C11" t="s">
        <v>439</v>
      </c>
      <c r="D11" s="3"/>
      <c r="E11" s="87">
        <v>2</v>
      </c>
      <c r="F11" s="98">
        <f t="shared" si="0"/>
        <v>40</v>
      </c>
      <c r="G11">
        <f>VLOOKUP($C11,약재관리!A:J,10,FALSE)</f>
        <v>44.3</v>
      </c>
      <c r="H11" s="4">
        <f t="shared" si="1"/>
        <v>88.6</v>
      </c>
      <c r="I11" s="5">
        <f t="shared" si="2"/>
        <v>1772</v>
      </c>
      <c r="K11" s="161"/>
      <c r="L11" s="162"/>
      <c r="M11" s="163"/>
    </row>
    <row r="12" spans="2:13">
      <c r="B12" s="2">
        <v>11</v>
      </c>
      <c r="C12" t="s">
        <v>440</v>
      </c>
      <c r="D12" s="3"/>
      <c r="E12" s="87">
        <v>4</v>
      </c>
      <c r="F12" s="98">
        <f t="shared" si="0"/>
        <v>80</v>
      </c>
      <c r="G12">
        <f>VLOOKUP($C12,약재관리!A:J,10,FALSE)</f>
        <v>9.8000000000000007</v>
      </c>
      <c r="H12" s="4">
        <f t="shared" si="1"/>
        <v>39.200000000000003</v>
      </c>
      <c r="I12" s="5">
        <f t="shared" si="2"/>
        <v>784</v>
      </c>
      <c r="K12" s="161"/>
      <c r="L12" s="162"/>
      <c r="M12" s="163"/>
    </row>
    <row r="13" spans="2:13" ht="17.25" thickBot="1">
      <c r="B13" s="2">
        <v>12</v>
      </c>
      <c r="C13" t="s">
        <v>422</v>
      </c>
      <c r="D13" s="3"/>
      <c r="E13" s="87">
        <v>2</v>
      </c>
      <c r="F13" s="98">
        <f t="shared" si="0"/>
        <v>40</v>
      </c>
      <c r="G13">
        <f>VLOOKUP($C13,약재관리!A:J,10,FALSE)</f>
        <v>31</v>
      </c>
      <c r="H13" s="4">
        <f t="shared" si="1"/>
        <v>62</v>
      </c>
      <c r="I13" s="5">
        <f t="shared" si="2"/>
        <v>1240</v>
      </c>
      <c r="K13" s="164"/>
      <c r="L13" s="165"/>
      <c r="M13" s="166"/>
    </row>
    <row r="14" spans="2:13">
      <c r="B14" s="2">
        <v>13</v>
      </c>
      <c r="C14" t="s">
        <v>425</v>
      </c>
      <c r="D14" s="3"/>
      <c r="E14" s="87">
        <v>2</v>
      </c>
      <c r="F14" s="98">
        <f t="shared" si="0"/>
        <v>40</v>
      </c>
      <c r="G14">
        <f>VLOOKUP($C14,약재관리!A:J,10,FALSE)</f>
        <v>136.80000000000001</v>
      </c>
      <c r="H14" s="4">
        <f t="shared" si="1"/>
        <v>273.60000000000002</v>
      </c>
      <c r="I14" s="5">
        <f t="shared" si="2"/>
        <v>5472</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52</v>
      </c>
      <c r="M18" s="9" t="s">
        <v>25</v>
      </c>
    </row>
    <row r="19" spans="2:13">
      <c r="B19" s="2">
        <v>18</v>
      </c>
      <c r="D19" s="3"/>
      <c r="F19" s="98">
        <f t="shared" si="0"/>
        <v>0</v>
      </c>
      <c r="H19" s="4">
        <f t="shared" si="1"/>
        <v>0</v>
      </c>
      <c r="I19" s="5">
        <f t="shared" si="2"/>
        <v>0</v>
      </c>
      <c r="K19" s="90" t="s">
        <v>26</v>
      </c>
      <c r="L19">
        <f>L15*L18</f>
        <v>1040</v>
      </c>
      <c r="M19" s="3" t="s">
        <v>25</v>
      </c>
    </row>
    <row r="20" spans="2:13" ht="17.25" thickBot="1">
      <c r="B20" s="2">
        <v>19</v>
      </c>
      <c r="D20" s="3"/>
      <c r="F20" s="98">
        <f t="shared" si="0"/>
        <v>0</v>
      </c>
      <c r="H20" s="4">
        <f t="shared" si="1"/>
        <v>0</v>
      </c>
      <c r="I20" s="5">
        <f t="shared" si="2"/>
        <v>0</v>
      </c>
      <c r="K20" s="13" t="s">
        <v>27</v>
      </c>
      <c r="L20" s="10">
        <f>L16*L17+L19</f>
        <v>5990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1040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1303</v>
      </c>
      <c r="M30" s="3" t="s">
        <v>36</v>
      </c>
    </row>
    <row r="31" spans="2:13" ht="17.25" thickBot="1">
      <c r="B31" s="12">
        <v>30</v>
      </c>
      <c r="C31" s="13"/>
      <c r="D31" s="11"/>
      <c r="E31" s="94"/>
      <c r="F31" s="99">
        <f t="shared" si="0"/>
        <v>0</v>
      </c>
      <c r="G31" s="10"/>
      <c r="H31" s="14">
        <f t="shared" si="1"/>
        <v>0</v>
      </c>
      <c r="I31" s="15">
        <f t="shared" si="2"/>
        <v>0</v>
      </c>
      <c r="K31" s="13" t="s">
        <v>37</v>
      </c>
      <c r="L31" s="14">
        <f>SUM(I2:I31)</f>
        <v>26060</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B3D1-DB6C-41D6-AF37-6FD6DE08B316}">
  <sheetPr>
    <pageSetUpPr fitToPage="1"/>
  </sheetPr>
  <dimension ref="B1:M31"/>
  <sheetViews>
    <sheetView workbookViewId="0">
      <selection activeCell="C14" sqref="C1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433</v>
      </c>
      <c r="D2" s="3"/>
      <c r="E2" s="87">
        <v>10</v>
      </c>
      <c r="F2" s="98">
        <f>E2*$L$15</f>
        <v>100</v>
      </c>
      <c r="G2">
        <f>VLOOKUP($C2,약재관리!A:J,10,FALSE)</f>
        <v>17.399999999999999</v>
      </c>
      <c r="H2" s="4">
        <f>G2*E2</f>
        <v>174</v>
      </c>
      <c r="I2" s="89">
        <f>G2*F2</f>
        <v>1739.9999999999998</v>
      </c>
      <c r="K2" s="6" t="s">
        <v>9</v>
      </c>
      <c r="L2" s="153">
        <v>117</v>
      </c>
      <c r="M2" s="154"/>
    </row>
    <row r="3" spans="2:13">
      <c r="B3" s="2">
        <v>2</v>
      </c>
      <c r="C3" t="s">
        <v>420</v>
      </c>
      <c r="D3" s="3"/>
      <c r="E3" s="87">
        <v>6</v>
      </c>
      <c r="F3" s="98">
        <f t="shared" ref="F3:F31" si="0">E3*$L$15</f>
        <v>60</v>
      </c>
      <c r="G3">
        <f>VLOOKUP($C3,약재관리!A:J,10,FALSE)</f>
        <v>26</v>
      </c>
      <c r="H3" s="4">
        <f t="shared" ref="H3:H31" si="1">G3*E3</f>
        <v>156</v>
      </c>
      <c r="I3" s="5">
        <f t="shared" ref="I3:I31" si="2">G3*F3</f>
        <v>1560</v>
      </c>
      <c r="K3" s="7" t="s">
        <v>10</v>
      </c>
      <c r="L3" s="148" t="s">
        <v>432</v>
      </c>
      <c r="M3" s="149"/>
    </row>
    <row r="4" spans="2:13">
      <c r="B4" s="2">
        <v>3</v>
      </c>
      <c r="C4" t="s">
        <v>418</v>
      </c>
      <c r="D4" s="3"/>
      <c r="E4" s="87">
        <v>4</v>
      </c>
      <c r="F4" s="98">
        <f t="shared" si="0"/>
        <v>40</v>
      </c>
      <c r="G4">
        <f>VLOOKUP($C4,약재관리!A:J,10,FALSE)</f>
        <v>21.8</v>
      </c>
      <c r="H4" s="4">
        <f t="shared" si="1"/>
        <v>87.2</v>
      </c>
      <c r="I4" s="5">
        <f t="shared" si="2"/>
        <v>872</v>
      </c>
      <c r="K4" s="7" t="s">
        <v>11</v>
      </c>
      <c r="L4" s="155">
        <v>45838</v>
      </c>
      <c r="M4" s="149"/>
    </row>
    <row r="5" spans="2:13">
      <c r="B5" s="2">
        <v>4</v>
      </c>
      <c r="C5" t="s">
        <v>414</v>
      </c>
      <c r="D5" s="3"/>
      <c r="E5" s="87">
        <v>6</v>
      </c>
      <c r="F5" s="98">
        <f t="shared" si="0"/>
        <v>60</v>
      </c>
      <c r="G5">
        <f>VLOOKUP($C5,약재관리!A:J,10,FALSE)</f>
        <v>28</v>
      </c>
      <c r="H5" s="4">
        <f t="shared" si="1"/>
        <v>168</v>
      </c>
      <c r="I5" s="5">
        <f t="shared" si="2"/>
        <v>1680</v>
      </c>
      <c r="K5" s="7" t="s">
        <v>12</v>
      </c>
      <c r="L5" s="148" t="s">
        <v>429</v>
      </c>
      <c r="M5" s="149"/>
    </row>
    <row r="6" spans="2:13">
      <c r="B6" s="2">
        <v>5</v>
      </c>
      <c r="C6" t="s">
        <v>424</v>
      </c>
      <c r="D6" s="3"/>
      <c r="E6" s="87">
        <v>4</v>
      </c>
      <c r="F6" s="98">
        <f t="shared" si="0"/>
        <v>40</v>
      </c>
      <c r="G6">
        <f>VLOOKUP($C6,약재관리!A:J,10,FALSE)</f>
        <v>16.7</v>
      </c>
      <c r="H6" s="4">
        <f t="shared" si="1"/>
        <v>66.8</v>
      </c>
      <c r="I6" s="5">
        <f t="shared" si="2"/>
        <v>668</v>
      </c>
      <c r="K6" s="7" t="s">
        <v>13</v>
      </c>
      <c r="L6" s="148" t="s">
        <v>430</v>
      </c>
      <c r="M6" s="149"/>
    </row>
    <row r="7" spans="2:13" ht="17.25" thickBot="1">
      <c r="B7" s="2">
        <v>6</v>
      </c>
      <c r="C7" t="s">
        <v>435</v>
      </c>
      <c r="D7" s="3"/>
      <c r="E7" s="87">
        <v>4</v>
      </c>
      <c r="F7" s="98">
        <f t="shared" si="0"/>
        <v>40</v>
      </c>
      <c r="G7">
        <f>VLOOKUP($C7,약재관리!A:J,10,FALSE)</f>
        <v>13.2</v>
      </c>
      <c r="H7" s="4">
        <f t="shared" si="1"/>
        <v>52.8</v>
      </c>
      <c r="I7" s="5">
        <f t="shared" si="2"/>
        <v>528</v>
      </c>
      <c r="K7" s="7" t="s">
        <v>14</v>
      </c>
      <c r="L7" s="156">
        <v>71</v>
      </c>
      <c r="M7" s="157"/>
    </row>
    <row r="8" spans="2:13" ht="17.25" thickBot="1">
      <c r="B8" s="2">
        <v>7</v>
      </c>
      <c r="C8" t="s">
        <v>423</v>
      </c>
      <c r="D8" s="3"/>
      <c r="E8" s="87">
        <v>4</v>
      </c>
      <c r="F8" s="98">
        <f t="shared" si="0"/>
        <v>40</v>
      </c>
      <c r="G8">
        <f>VLOOKUP($C8,약재관리!A:J,10,FALSE)</f>
        <v>5.5</v>
      </c>
      <c r="H8" s="4">
        <f t="shared" si="1"/>
        <v>22</v>
      </c>
      <c r="I8" s="5">
        <f t="shared" si="2"/>
        <v>220</v>
      </c>
      <c r="K8" s="150" t="s">
        <v>15</v>
      </c>
      <c r="L8" s="151"/>
      <c r="M8" s="152"/>
    </row>
    <row r="9" spans="2:13">
      <c r="B9" s="2">
        <v>8</v>
      </c>
      <c r="C9" t="s">
        <v>434</v>
      </c>
      <c r="D9" s="3"/>
      <c r="E9" s="87">
        <v>4</v>
      </c>
      <c r="F9" s="98">
        <f t="shared" si="0"/>
        <v>40</v>
      </c>
      <c r="G9">
        <f>VLOOKUP($C9,약재관리!A:J,10,FALSE)</f>
        <v>17.600000000000001</v>
      </c>
      <c r="H9" s="4">
        <f t="shared" si="1"/>
        <v>70.400000000000006</v>
      </c>
      <c r="I9" s="5">
        <f t="shared" si="2"/>
        <v>704</v>
      </c>
      <c r="K9" s="158" t="s">
        <v>438</v>
      </c>
      <c r="L9" s="159"/>
      <c r="M9" s="160"/>
    </row>
    <row r="10" spans="2:13">
      <c r="B10" s="2">
        <v>9</v>
      </c>
      <c r="C10" t="s">
        <v>426</v>
      </c>
      <c r="D10" s="3"/>
      <c r="E10" s="87">
        <v>4</v>
      </c>
      <c r="F10" s="98">
        <f t="shared" si="0"/>
        <v>40</v>
      </c>
      <c r="G10">
        <f>VLOOKUP($C10,약재관리!A:J,10,FALSE)</f>
        <v>28</v>
      </c>
      <c r="H10" s="4">
        <f t="shared" si="1"/>
        <v>112</v>
      </c>
      <c r="I10" s="5">
        <f t="shared" si="2"/>
        <v>1120</v>
      </c>
      <c r="K10" s="161"/>
      <c r="L10" s="162"/>
      <c r="M10" s="163"/>
    </row>
    <row r="11" spans="2:13">
      <c r="B11" s="2">
        <v>10</v>
      </c>
      <c r="C11" t="s">
        <v>436</v>
      </c>
      <c r="D11" s="3"/>
      <c r="E11" s="87">
        <v>4</v>
      </c>
      <c r="F11" s="98">
        <f t="shared" si="0"/>
        <v>40</v>
      </c>
      <c r="G11">
        <f>VLOOKUP($C11,약재관리!A:J,10,FALSE)</f>
        <v>27.2</v>
      </c>
      <c r="H11" s="4">
        <f t="shared" si="1"/>
        <v>108.8</v>
      </c>
      <c r="I11" s="5">
        <f t="shared" si="2"/>
        <v>1088</v>
      </c>
      <c r="K11" s="161"/>
      <c r="L11" s="162"/>
      <c r="M11" s="163"/>
    </row>
    <row r="12" spans="2:13">
      <c r="B12" s="2">
        <v>11</v>
      </c>
      <c r="C12" t="s">
        <v>437</v>
      </c>
      <c r="D12" s="3"/>
      <c r="E12" s="87">
        <v>4</v>
      </c>
      <c r="F12" s="98">
        <f t="shared" si="0"/>
        <v>40</v>
      </c>
      <c r="G12">
        <f>VLOOKUP($C12,약재관리!A:J,10,FALSE)</f>
        <v>19.600000000000001</v>
      </c>
      <c r="H12" s="4">
        <f t="shared" si="1"/>
        <v>78.400000000000006</v>
      </c>
      <c r="I12" s="5">
        <f t="shared" si="2"/>
        <v>784</v>
      </c>
      <c r="K12" s="161"/>
      <c r="L12" s="162"/>
      <c r="M12" s="163"/>
    </row>
    <row r="13" spans="2:13" ht="17.25" thickBot="1">
      <c r="B13" s="2">
        <v>12</v>
      </c>
      <c r="C13" t="s">
        <v>422</v>
      </c>
      <c r="D13" s="3"/>
      <c r="E13" s="87">
        <v>2</v>
      </c>
      <c r="F13" s="98">
        <f t="shared" si="0"/>
        <v>20</v>
      </c>
      <c r="G13">
        <f>VLOOKUP($C13,약재관리!A:J,10,FALSE)</f>
        <v>31</v>
      </c>
      <c r="H13" s="4">
        <f t="shared" si="1"/>
        <v>62</v>
      </c>
      <c r="I13" s="5">
        <f t="shared" si="2"/>
        <v>620</v>
      </c>
      <c r="K13" s="164"/>
      <c r="L13" s="165"/>
      <c r="M13" s="166"/>
    </row>
    <row r="14" spans="2:13">
      <c r="B14" s="2">
        <v>13</v>
      </c>
      <c r="D14" s="3"/>
      <c r="F14" s="98">
        <f t="shared" si="0"/>
        <v>0</v>
      </c>
      <c r="H14" s="4">
        <f t="shared" si="1"/>
        <v>0</v>
      </c>
      <c r="I14" s="5">
        <f t="shared" si="2"/>
        <v>0</v>
      </c>
      <c r="K14" s="91" t="s">
        <v>16</v>
      </c>
      <c r="L14" s="8">
        <v>7</v>
      </c>
      <c r="M14" s="9" t="s">
        <v>17</v>
      </c>
    </row>
    <row r="15" spans="2:13">
      <c r="B15" s="2">
        <v>14</v>
      </c>
      <c r="D15" s="3"/>
      <c r="F15" s="98">
        <f t="shared" si="0"/>
        <v>0</v>
      </c>
      <c r="H15" s="4">
        <f t="shared" si="1"/>
        <v>0</v>
      </c>
      <c r="I15" s="5">
        <f t="shared" si="2"/>
        <v>0</v>
      </c>
      <c r="K15" s="90" t="s">
        <v>18</v>
      </c>
      <c r="L15">
        <v>10</v>
      </c>
      <c r="M15" s="3" t="s">
        <v>19</v>
      </c>
    </row>
    <row r="16" spans="2:13">
      <c r="B16" s="2">
        <v>15</v>
      </c>
      <c r="D16" s="3"/>
      <c r="F16" s="98">
        <f t="shared" si="0"/>
        <v>0</v>
      </c>
      <c r="H16" s="4">
        <f t="shared" si="1"/>
        <v>0</v>
      </c>
      <c r="I16" s="5">
        <f t="shared" si="2"/>
        <v>0</v>
      </c>
      <c r="K16" s="90" t="s">
        <v>20</v>
      </c>
      <c r="L16">
        <v>21</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56</v>
      </c>
      <c r="M18" s="9" t="s">
        <v>25</v>
      </c>
    </row>
    <row r="19" spans="2:13">
      <c r="B19" s="2">
        <v>18</v>
      </c>
      <c r="D19" s="3"/>
      <c r="F19" s="98">
        <f t="shared" si="0"/>
        <v>0</v>
      </c>
      <c r="H19" s="4">
        <f t="shared" si="1"/>
        <v>0</v>
      </c>
      <c r="I19" s="5">
        <f t="shared" si="2"/>
        <v>0</v>
      </c>
      <c r="K19" s="90" t="s">
        <v>26</v>
      </c>
      <c r="L19">
        <f>L15*L18</f>
        <v>560</v>
      </c>
      <c r="M19" s="3" t="s">
        <v>25</v>
      </c>
    </row>
    <row r="20" spans="2:13" ht="17.25" thickBot="1">
      <c r="B20" s="2">
        <v>19</v>
      </c>
      <c r="D20" s="3"/>
      <c r="F20" s="98">
        <f t="shared" si="0"/>
        <v>0</v>
      </c>
      <c r="H20" s="4">
        <f t="shared" si="1"/>
        <v>0</v>
      </c>
      <c r="I20" s="5">
        <f t="shared" si="2"/>
        <v>0</v>
      </c>
      <c r="K20" s="13" t="s">
        <v>27</v>
      </c>
      <c r="L20" s="10">
        <f>L16*L17+L19</f>
        <v>2870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560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1158.3999999999999</v>
      </c>
      <c r="M30" s="3" t="s">
        <v>36</v>
      </c>
    </row>
    <row r="31" spans="2:13" ht="17.25" thickBot="1">
      <c r="B31" s="12">
        <v>30</v>
      </c>
      <c r="C31" s="13"/>
      <c r="D31" s="11"/>
      <c r="E31" s="94"/>
      <c r="F31" s="99">
        <f t="shared" si="0"/>
        <v>0</v>
      </c>
      <c r="G31" s="10"/>
      <c r="H31" s="14">
        <f t="shared" si="1"/>
        <v>0</v>
      </c>
      <c r="I31" s="15">
        <f t="shared" si="2"/>
        <v>0</v>
      </c>
      <c r="K31" s="13" t="s">
        <v>37</v>
      </c>
      <c r="L31" s="14">
        <f>SUM(I2:I31)</f>
        <v>11584</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7" sqref="E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8</v>
      </c>
      <c r="F2" s="98">
        <f>E2*$L$15</f>
        <v>80</v>
      </c>
      <c r="G2">
        <f>VLOOKUP($C2,약재관리!A:J,10,FALSE)</f>
        <v>28</v>
      </c>
      <c r="H2" s="4">
        <f>G2*E2</f>
        <v>224</v>
      </c>
      <c r="I2" s="89">
        <f>G2*F2</f>
        <v>2240</v>
      </c>
      <c r="K2" s="6" t="s">
        <v>9</v>
      </c>
      <c r="L2" s="153">
        <v>117</v>
      </c>
      <c r="M2" s="154"/>
    </row>
    <row r="3" spans="2:13">
      <c r="B3" s="2">
        <v>2</v>
      </c>
      <c r="C3" t="s">
        <v>415</v>
      </c>
      <c r="D3" s="3"/>
      <c r="E3" s="87">
        <v>4</v>
      </c>
      <c r="F3" s="98">
        <f t="shared" ref="F3:F31" si="0">E3*$L$15</f>
        <v>40</v>
      </c>
      <c r="G3">
        <f>VLOOKUP($C3,약재관리!A:J,10,FALSE)</f>
        <v>13</v>
      </c>
      <c r="H3" s="4">
        <f t="shared" ref="H3:H31" si="1">G3*E3</f>
        <v>52</v>
      </c>
      <c r="I3" s="5">
        <f t="shared" ref="I3:I31" si="2">G3*F3</f>
        <v>520</v>
      </c>
      <c r="K3" s="7" t="s">
        <v>10</v>
      </c>
      <c r="L3" s="148" t="s">
        <v>428</v>
      </c>
      <c r="M3" s="149"/>
    </row>
    <row r="4" spans="2:13">
      <c r="B4" s="2">
        <v>3</v>
      </c>
      <c r="C4" t="s">
        <v>416</v>
      </c>
      <c r="D4" s="3"/>
      <c r="E4" s="87">
        <v>4</v>
      </c>
      <c r="F4" s="98">
        <f t="shared" si="0"/>
        <v>40</v>
      </c>
      <c r="G4">
        <f>VLOOKUP($C4,약재관리!A:J,10,FALSE)</f>
        <v>5</v>
      </c>
      <c r="H4" s="4">
        <f t="shared" si="1"/>
        <v>20</v>
      </c>
      <c r="I4" s="5">
        <f t="shared" si="2"/>
        <v>200</v>
      </c>
      <c r="K4" s="7" t="s">
        <v>11</v>
      </c>
      <c r="L4" s="155">
        <v>45831</v>
      </c>
      <c r="M4" s="149"/>
    </row>
    <row r="5" spans="2:13">
      <c r="B5" s="2">
        <v>4</v>
      </c>
      <c r="C5" t="s">
        <v>417</v>
      </c>
      <c r="D5" s="3"/>
      <c r="E5" s="87">
        <v>4</v>
      </c>
      <c r="F5" s="98">
        <f t="shared" si="0"/>
        <v>40</v>
      </c>
      <c r="G5">
        <f>VLOOKUP($C5,약재관리!A:J,10,FALSE)</f>
        <v>28.3</v>
      </c>
      <c r="H5" s="4">
        <f t="shared" si="1"/>
        <v>113.2</v>
      </c>
      <c r="I5" s="5">
        <f t="shared" si="2"/>
        <v>1132</v>
      </c>
      <c r="K5" s="7" t="s">
        <v>12</v>
      </c>
      <c r="L5" s="148" t="s">
        <v>429</v>
      </c>
      <c r="M5" s="149"/>
    </row>
    <row r="6" spans="2:13">
      <c r="B6" s="2">
        <v>5</v>
      </c>
      <c r="C6" t="s">
        <v>418</v>
      </c>
      <c r="D6" s="3"/>
      <c r="E6" s="87">
        <v>2</v>
      </c>
      <c r="F6" s="98">
        <f t="shared" si="0"/>
        <v>20</v>
      </c>
      <c r="G6">
        <f>VLOOKUP($C6,약재관리!A:J,10,FALSE)</f>
        <v>21.8</v>
      </c>
      <c r="H6" s="4">
        <f t="shared" si="1"/>
        <v>43.6</v>
      </c>
      <c r="I6" s="5">
        <f t="shared" si="2"/>
        <v>436</v>
      </c>
      <c r="K6" s="7" t="s">
        <v>13</v>
      </c>
      <c r="L6" s="148" t="s">
        <v>430</v>
      </c>
      <c r="M6" s="149"/>
    </row>
    <row r="7" spans="2:13" ht="17.25" thickBot="1">
      <c r="B7" s="2">
        <v>6</v>
      </c>
      <c r="C7" t="s">
        <v>419</v>
      </c>
      <c r="D7" s="3"/>
      <c r="E7" s="87">
        <v>2</v>
      </c>
      <c r="F7" s="98">
        <f t="shared" si="0"/>
        <v>20</v>
      </c>
      <c r="G7">
        <f>VLOOKUP($C7,약재관리!A:J,10,FALSE)</f>
        <v>22.5</v>
      </c>
      <c r="H7" s="4">
        <f t="shared" si="1"/>
        <v>45</v>
      </c>
      <c r="I7" s="5">
        <f t="shared" si="2"/>
        <v>450</v>
      </c>
      <c r="K7" s="7" t="s">
        <v>14</v>
      </c>
      <c r="L7" s="156">
        <v>71</v>
      </c>
      <c r="M7" s="157"/>
    </row>
    <row r="8" spans="2:13" ht="17.25" thickBot="1">
      <c r="B8" s="2">
        <v>7</v>
      </c>
      <c r="C8" t="s">
        <v>420</v>
      </c>
      <c r="D8" s="3"/>
      <c r="E8" s="87">
        <v>2</v>
      </c>
      <c r="F8" s="98">
        <f t="shared" si="0"/>
        <v>20</v>
      </c>
      <c r="G8">
        <f>VLOOKUP($C8,약재관리!A:J,10,FALSE)</f>
        <v>26</v>
      </c>
      <c r="H8" s="4">
        <f t="shared" si="1"/>
        <v>52</v>
      </c>
      <c r="I8" s="5">
        <f t="shared" si="2"/>
        <v>520</v>
      </c>
      <c r="K8" s="150" t="s">
        <v>15</v>
      </c>
      <c r="L8" s="151"/>
      <c r="M8" s="152"/>
    </row>
    <row r="9" spans="2:13">
      <c r="B9" s="2">
        <v>8</v>
      </c>
      <c r="C9" t="s">
        <v>421</v>
      </c>
      <c r="D9" s="3"/>
      <c r="E9" s="87">
        <v>2</v>
      </c>
      <c r="F9" s="98">
        <f t="shared" si="0"/>
        <v>20</v>
      </c>
      <c r="G9">
        <f>VLOOKUP($C9,약재관리!A:J,10,FALSE)</f>
        <v>7.5</v>
      </c>
      <c r="H9" s="4">
        <f t="shared" si="1"/>
        <v>15</v>
      </c>
      <c r="I9" s="5">
        <f t="shared" si="2"/>
        <v>150</v>
      </c>
      <c r="K9" s="167" t="s">
        <v>431</v>
      </c>
      <c r="L9" s="159"/>
      <c r="M9" s="160"/>
    </row>
    <row r="10" spans="2:13">
      <c r="B10" s="2">
        <v>9</v>
      </c>
      <c r="C10" t="s">
        <v>427</v>
      </c>
      <c r="D10" s="3"/>
      <c r="E10" s="87">
        <v>1</v>
      </c>
      <c r="F10" s="98">
        <f t="shared" si="0"/>
        <v>10</v>
      </c>
      <c r="H10" s="4">
        <f t="shared" si="1"/>
        <v>0</v>
      </c>
      <c r="I10" s="5">
        <f t="shared" si="2"/>
        <v>0</v>
      </c>
      <c r="K10" s="161"/>
      <c r="L10" s="162"/>
      <c r="M10" s="163"/>
    </row>
    <row r="11" spans="2:13">
      <c r="B11" s="2">
        <v>10</v>
      </c>
      <c r="C11" t="s">
        <v>422</v>
      </c>
      <c r="D11" s="3"/>
      <c r="E11" s="87">
        <v>2</v>
      </c>
      <c r="F11" s="98">
        <f t="shared" si="0"/>
        <v>20</v>
      </c>
      <c r="G11">
        <f>VLOOKUP($C11,약재관리!A:J,10,FALSE)</f>
        <v>31</v>
      </c>
      <c r="H11" s="4">
        <f t="shared" si="1"/>
        <v>62</v>
      </c>
      <c r="I11" s="5">
        <f t="shared" si="2"/>
        <v>620</v>
      </c>
      <c r="K11" s="161"/>
      <c r="L11" s="162"/>
      <c r="M11" s="163"/>
    </row>
    <row r="12" spans="2:13">
      <c r="B12" s="2">
        <v>11</v>
      </c>
      <c r="C12" t="s">
        <v>423</v>
      </c>
      <c r="D12" s="3"/>
      <c r="E12" s="87">
        <v>4</v>
      </c>
      <c r="F12" s="98">
        <f t="shared" si="0"/>
        <v>40</v>
      </c>
      <c r="G12">
        <f>VLOOKUP($C12,약재관리!A:J,10,FALSE)</f>
        <v>5.5</v>
      </c>
      <c r="H12" s="4">
        <f t="shared" si="1"/>
        <v>22</v>
      </c>
      <c r="I12" s="5">
        <f t="shared" si="2"/>
        <v>220</v>
      </c>
      <c r="K12" s="161"/>
      <c r="L12" s="162"/>
      <c r="M12" s="163"/>
    </row>
    <row r="13" spans="2:13" ht="17.25" thickBot="1">
      <c r="B13" s="2">
        <v>12</v>
      </c>
      <c r="C13" t="s">
        <v>424</v>
      </c>
      <c r="D13" s="3"/>
      <c r="E13" s="87">
        <v>2</v>
      </c>
      <c r="F13" s="98">
        <f t="shared" si="0"/>
        <v>20</v>
      </c>
      <c r="G13">
        <f>VLOOKUP($C13,약재관리!A:J,10,FALSE)</f>
        <v>16.7</v>
      </c>
      <c r="H13" s="4">
        <f t="shared" si="1"/>
        <v>33.4</v>
      </c>
      <c r="I13" s="5">
        <f t="shared" si="2"/>
        <v>334</v>
      </c>
      <c r="K13" s="164"/>
      <c r="L13" s="165"/>
      <c r="M13" s="166"/>
    </row>
    <row r="14" spans="2:13">
      <c r="B14" s="2">
        <v>13</v>
      </c>
      <c r="C14" t="s">
        <v>426</v>
      </c>
      <c r="D14" s="3"/>
      <c r="E14" s="87">
        <v>3</v>
      </c>
      <c r="F14" s="98">
        <f t="shared" si="0"/>
        <v>30</v>
      </c>
      <c r="G14">
        <f>VLOOKUP($C14,약재관리!A:J,10,FALSE)</f>
        <v>28</v>
      </c>
      <c r="H14" s="4">
        <f t="shared" si="1"/>
        <v>84</v>
      </c>
      <c r="I14" s="5">
        <f t="shared" si="2"/>
        <v>840</v>
      </c>
      <c r="K14" s="91" t="s">
        <v>16</v>
      </c>
      <c r="L14" s="8">
        <v>7</v>
      </c>
      <c r="M14" s="9" t="s">
        <v>17</v>
      </c>
    </row>
    <row r="15" spans="2:13">
      <c r="B15" s="2">
        <v>14</v>
      </c>
      <c r="C15" t="s">
        <v>425</v>
      </c>
      <c r="D15" s="3"/>
      <c r="E15" s="87">
        <v>2</v>
      </c>
      <c r="F15" s="98">
        <f t="shared" si="0"/>
        <v>20</v>
      </c>
      <c r="G15">
        <f>VLOOKUP($C15,약재관리!A:J,10,FALSE)</f>
        <v>136.80000000000001</v>
      </c>
      <c r="H15" s="4">
        <f t="shared" si="1"/>
        <v>273.60000000000002</v>
      </c>
      <c r="I15" s="5">
        <f t="shared" si="2"/>
        <v>2736</v>
      </c>
      <c r="K15" s="90" t="s">
        <v>18</v>
      </c>
      <c r="L15">
        <v>10</v>
      </c>
      <c r="M15" s="3" t="s">
        <v>19</v>
      </c>
    </row>
    <row r="16" spans="2:13">
      <c r="B16" s="2">
        <v>15</v>
      </c>
      <c r="D16" s="3"/>
      <c r="F16" s="98">
        <f t="shared" si="0"/>
        <v>0</v>
      </c>
      <c r="H16" s="4">
        <f t="shared" si="1"/>
        <v>0</v>
      </c>
      <c r="I16" s="5">
        <f t="shared" si="2"/>
        <v>0</v>
      </c>
      <c r="K16" s="90" t="s">
        <v>20</v>
      </c>
      <c r="L16">
        <v>21</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42</v>
      </c>
      <c r="M18" s="9" t="s">
        <v>25</v>
      </c>
    </row>
    <row r="19" spans="2:13">
      <c r="B19" s="2">
        <v>18</v>
      </c>
      <c r="D19" s="3"/>
      <c r="F19" s="98">
        <f t="shared" si="0"/>
        <v>0</v>
      </c>
      <c r="H19" s="4">
        <f t="shared" si="1"/>
        <v>0</v>
      </c>
      <c r="I19" s="5">
        <f t="shared" si="2"/>
        <v>0</v>
      </c>
      <c r="K19" s="90" t="s">
        <v>26</v>
      </c>
      <c r="L19">
        <f>L15*L18</f>
        <v>420</v>
      </c>
      <c r="M19" s="3" t="s">
        <v>25</v>
      </c>
    </row>
    <row r="20" spans="2:13" ht="17.25" thickBot="1">
      <c r="B20" s="2">
        <v>19</v>
      </c>
      <c r="D20" s="3"/>
      <c r="F20" s="98">
        <f t="shared" si="0"/>
        <v>0</v>
      </c>
      <c r="H20" s="4">
        <f t="shared" si="1"/>
        <v>0</v>
      </c>
      <c r="I20" s="5">
        <f t="shared" si="2"/>
        <v>0</v>
      </c>
      <c r="K20" s="13" t="s">
        <v>27</v>
      </c>
      <c r="L20" s="10">
        <f>L16*L17+L19</f>
        <v>2730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420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1039.8</v>
      </c>
      <c r="M30" s="3" t="s">
        <v>36</v>
      </c>
    </row>
    <row r="31" spans="2:13" ht="17.25" thickBot="1">
      <c r="B31" s="12">
        <v>30</v>
      </c>
      <c r="C31" s="13"/>
      <c r="D31" s="11"/>
      <c r="E31" s="94"/>
      <c r="F31" s="99">
        <f t="shared" si="0"/>
        <v>0</v>
      </c>
      <c r="G31" s="10"/>
      <c r="H31" s="14">
        <f t="shared" si="1"/>
        <v>0</v>
      </c>
      <c r="I31" s="15">
        <f t="shared" si="2"/>
        <v>0</v>
      </c>
      <c r="K31" s="13" t="s">
        <v>37</v>
      </c>
      <c r="L31" s="14">
        <f>SUM(I2:I31)</f>
        <v>10398</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06" zoomScaleNormal="100" workbookViewId="0">
      <selection activeCell="I137" sqref="I137"/>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도적강기탕 6차</vt:lpstr>
      <vt:lpstr>도적강기탕 5차</vt:lpstr>
      <vt:lpstr>도적강기탕4.5차</vt:lpstr>
      <vt:lpstr>도적강기탕4차</vt:lpstr>
      <vt:lpstr>양격산화탕3차</vt:lpstr>
      <vt:lpstr>양격산화탕2차</vt:lpstr>
      <vt:lpstr>양격산화탕(1.5차)</vt:lpstr>
      <vt:lpstr>양격산(1차)</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2025-09-06T00:08:36Z</cp:lastPrinted>
  <dcterms:created xsi:type="dcterms:W3CDTF">2024-09-12T16:35:01Z</dcterms:created>
  <dcterms:modified xsi:type="dcterms:W3CDTF">2025-09-19T06:45:21Z</dcterms:modified>
  <cp:category/>
  <cp:contentStatus/>
</cp:coreProperties>
</file>