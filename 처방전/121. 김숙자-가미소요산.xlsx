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66" documentId="8_{6EB8DC0A-AB56-415F-A9F3-EA1534264548}" xr6:coauthVersionLast="47" xr6:coauthVersionMax="47" xr10:uidLastSave="{EB47A6ED-C5B8-42D1-9B33-B32110B93CB6}"/>
  <bookViews>
    <workbookView xWindow="330" yWindow="285" windowWidth="15270" windowHeight="15450" xr2:uid="{8B9F1886-173A-4475-B0CF-D9F36CE30773}"/>
  </bookViews>
  <sheets>
    <sheet name="처방전양식 (5)" sheetId="9" r:id="rId1"/>
    <sheet name="처방전양식 (4)" sheetId="8" r:id="rId2"/>
    <sheet name="처방전양식 (3)" sheetId="7" r:id="rId3"/>
    <sheet name="처방전양식 (2)" sheetId="6" r:id="rId4"/>
    <sheet name="처방전양식" sheetId="4" r:id="rId5"/>
    <sheet name="약재관리"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9" l="1"/>
  <c r="F31" i="9"/>
  <c r="I31" i="9" s="1"/>
  <c r="I30" i="9"/>
  <c r="H30" i="9"/>
  <c r="F30" i="9"/>
  <c r="I29" i="9"/>
  <c r="H29" i="9"/>
  <c r="F29" i="9"/>
  <c r="H28" i="9"/>
  <c r="F28" i="9"/>
  <c r="I28" i="9" s="1"/>
  <c r="H27" i="9"/>
  <c r="F27" i="9"/>
  <c r="I27" i="9" s="1"/>
  <c r="I26" i="9"/>
  <c r="H26" i="9"/>
  <c r="F26" i="9"/>
  <c r="I25" i="9"/>
  <c r="H25" i="9"/>
  <c r="F25" i="9"/>
  <c r="H24" i="9"/>
  <c r="F24" i="9"/>
  <c r="I24" i="9" s="1"/>
  <c r="H23" i="9"/>
  <c r="F23" i="9"/>
  <c r="I23" i="9" s="1"/>
  <c r="I22" i="9"/>
  <c r="H22" i="9"/>
  <c r="F22" i="9"/>
  <c r="I21" i="9"/>
  <c r="H21" i="9"/>
  <c r="F21" i="9"/>
  <c r="I20" i="9"/>
  <c r="F20" i="9"/>
  <c r="G19" i="9"/>
  <c r="F19" i="9"/>
  <c r="L18" i="9"/>
  <c r="L19" i="9" s="1"/>
  <c r="L20" i="9" s="1"/>
  <c r="G18" i="9"/>
  <c r="H18" i="9" s="1"/>
  <c r="F18" i="9"/>
  <c r="G17" i="9"/>
  <c r="I17" i="9" s="1"/>
  <c r="F17" i="9"/>
  <c r="G16" i="9"/>
  <c r="I16" i="9" s="1"/>
  <c r="F16" i="9"/>
  <c r="G15" i="9"/>
  <c r="H15" i="9" s="1"/>
  <c r="F15" i="9"/>
  <c r="G14" i="9"/>
  <c r="I14" i="9" s="1"/>
  <c r="F14" i="9"/>
  <c r="G13" i="9"/>
  <c r="I13" i="9" s="1"/>
  <c r="F13" i="9"/>
  <c r="G12" i="9"/>
  <c r="H12" i="9" s="1"/>
  <c r="F12" i="9"/>
  <c r="G11" i="9"/>
  <c r="I11" i="9" s="1"/>
  <c r="F11" i="9"/>
  <c r="G10" i="9"/>
  <c r="F10" i="9"/>
  <c r="G9" i="9"/>
  <c r="H9" i="9" s="1"/>
  <c r="F9" i="9"/>
  <c r="G8" i="9"/>
  <c r="I8" i="9" s="1"/>
  <c r="F8" i="9"/>
  <c r="G7" i="9"/>
  <c r="I7" i="9" s="1"/>
  <c r="F7" i="9"/>
  <c r="G6" i="9"/>
  <c r="H6" i="9" s="1"/>
  <c r="F6" i="9"/>
  <c r="G5" i="9"/>
  <c r="I5" i="9" s="1"/>
  <c r="F5" i="9"/>
  <c r="G4" i="9"/>
  <c r="F4" i="9"/>
  <c r="G3" i="9"/>
  <c r="H3" i="9" s="1"/>
  <c r="F3" i="9"/>
  <c r="G2" i="9"/>
  <c r="I2" i="9" s="1"/>
  <c r="F2" i="9"/>
  <c r="I10" i="9" l="1"/>
  <c r="I19" i="9"/>
  <c r="L23" i="9"/>
  <c r="I4" i="9"/>
  <c r="I3" i="9"/>
  <c r="I6" i="9"/>
  <c r="I9" i="9"/>
  <c r="I12" i="9"/>
  <c r="I15" i="9"/>
  <c r="I18" i="9"/>
  <c r="H4" i="9"/>
  <c r="H7" i="9"/>
  <c r="H10" i="9"/>
  <c r="H13" i="9"/>
  <c r="H16" i="9"/>
  <c r="H19" i="9"/>
  <c r="H8" i="9"/>
  <c r="H11" i="9"/>
  <c r="H14" i="9"/>
  <c r="H17" i="9"/>
  <c r="H2" i="9"/>
  <c r="H5" i="9"/>
  <c r="H20" i="9"/>
  <c r="G20" i="8"/>
  <c r="H20" i="8" s="1"/>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F20" i="8"/>
  <c r="G19" i="8"/>
  <c r="F19" i="8"/>
  <c r="L18" i="8"/>
  <c r="L19" i="8" s="1"/>
  <c r="L20" i="8" s="1"/>
  <c r="G18" i="8"/>
  <c r="F18" i="8"/>
  <c r="G17" i="8"/>
  <c r="I17" i="8" s="1"/>
  <c r="F17" i="8"/>
  <c r="G16" i="8"/>
  <c r="I16" i="8" s="1"/>
  <c r="F16" i="8"/>
  <c r="G15" i="8"/>
  <c r="F15" i="8"/>
  <c r="G14" i="8"/>
  <c r="I14" i="8" s="1"/>
  <c r="F14" i="8"/>
  <c r="G13" i="8"/>
  <c r="H13" i="8" s="1"/>
  <c r="F13" i="8"/>
  <c r="G12" i="8"/>
  <c r="F12" i="8"/>
  <c r="G11" i="8"/>
  <c r="I11" i="8" s="1"/>
  <c r="F11" i="8"/>
  <c r="G10" i="8"/>
  <c r="I10" i="8" s="1"/>
  <c r="F10" i="8"/>
  <c r="G9" i="8"/>
  <c r="F9" i="8"/>
  <c r="G8" i="8"/>
  <c r="I8" i="8" s="1"/>
  <c r="F8" i="8"/>
  <c r="G7" i="8"/>
  <c r="I7" i="8" s="1"/>
  <c r="F7" i="8"/>
  <c r="G6" i="8"/>
  <c r="F6" i="8"/>
  <c r="G5" i="8"/>
  <c r="I5" i="8" s="1"/>
  <c r="F5" i="8"/>
  <c r="G4" i="8"/>
  <c r="I4" i="8" s="1"/>
  <c r="F4" i="8"/>
  <c r="G3" i="8"/>
  <c r="F3" i="8"/>
  <c r="G2" i="8"/>
  <c r="I2" i="8" s="1"/>
  <c r="F2" i="8"/>
  <c r="L23" i="8" s="1"/>
  <c r="H31" i="7"/>
  <c r="F31" i="7"/>
  <c r="I31" i="7" s="1"/>
  <c r="H30" i="7"/>
  <c r="F30" i="7"/>
  <c r="I30" i="7" s="1"/>
  <c r="H29" i="7"/>
  <c r="F29" i="7"/>
  <c r="I29" i="7" s="1"/>
  <c r="I28" i="7"/>
  <c r="H28" i="7"/>
  <c r="F28" i="7"/>
  <c r="H27" i="7"/>
  <c r="F27" i="7"/>
  <c r="I27" i="7" s="1"/>
  <c r="H26" i="7"/>
  <c r="F26" i="7"/>
  <c r="I26" i="7" s="1"/>
  <c r="H25" i="7"/>
  <c r="F25" i="7"/>
  <c r="I25" i="7" s="1"/>
  <c r="I24" i="7"/>
  <c r="H24" i="7"/>
  <c r="F24" i="7"/>
  <c r="I23" i="7"/>
  <c r="H23" i="7"/>
  <c r="F23" i="7"/>
  <c r="H22" i="7"/>
  <c r="F22" i="7"/>
  <c r="I22" i="7" s="1"/>
  <c r="H21" i="7"/>
  <c r="F21" i="7"/>
  <c r="I21" i="7" s="1"/>
  <c r="H20" i="7"/>
  <c r="F20" i="7"/>
  <c r="I20" i="7" s="1"/>
  <c r="G19" i="7"/>
  <c r="I19" i="7" s="1"/>
  <c r="F19" i="7"/>
  <c r="L18" i="7"/>
  <c r="L19" i="7" s="1"/>
  <c r="L20" i="7" s="1"/>
  <c r="I18" i="7"/>
  <c r="H18" i="7"/>
  <c r="G18" i="7"/>
  <c r="F18" i="7"/>
  <c r="G17" i="7"/>
  <c r="I17" i="7" s="1"/>
  <c r="F17" i="7"/>
  <c r="G16" i="7"/>
  <c r="I16" i="7" s="1"/>
  <c r="F16" i="7"/>
  <c r="G15" i="7"/>
  <c r="I15" i="7" s="1"/>
  <c r="F15" i="7"/>
  <c r="G14" i="7"/>
  <c r="I14" i="7" s="1"/>
  <c r="F14" i="7"/>
  <c r="G13" i="7"/>
  <c r="H13" i="7" s="1"/>
  <c r="F13" i="7"/>
  <c r="G12" i="7"/>
  <c r="H12" i="7" s="1"/>
  <c r="F12" i="7"/>
  <c r="G11" i="7"/>
  <c r="I11" i="7" s="1"/>
  <c r="F11" i="7"/>
  <c r="G10" i="7"/>
  <c r="I10" i="7" s="1"/>
  <c r="F10" i="7"/>
  <c r="G9" i="7"/>
  <c r="I9" i="7" s="1"/>
  <c r="F9" i="7"/>
  <c r="G8" i="7"/>
  <c r="I8" i="7" s="1"/>
  <c r="F8" i="7"/>
  <c r="G7" i="7"/>
  <c r="I7" i="7" s="1"/>
  <c r="F7" i="7"/>
  <c r="G6" i="7"/>
  <c r="H6" i="7" s="1"/>
  <c r="F6" i="7"/>
  <c r="G5" i="7"/>
  <c r="I5" i="7" s="1"/>
  <c r="F5" i="7"/>
  <c r="G4" i="7"/>
  <c r="I4" i="7" s="1"/>
  <c r="F4" i="7"/>
  <c r="G3" i="7"/>
  <c r="H3" i="7" s="1"/>
  <c r="F3" i="7"/>
  <c r="G2" i="7"/>
  <c r="I2" i="7" s="1"/>
  <c r="F2" i="7"/>
  <c r="L23" i="7" s="1"/>
  <c r="H19" i="6"/>
  <c r="G18" i="6"/>
  <c r="H31" i="6"/>
  <c r="F31" i="6"/>
  <c r="I31" i="6" s="1"/>
  <c r="H30" i="6"/>
  <c r="F30" i="6"/>
  <c r="I30" i="6" s="1"/>
  <c r="I29" i="6"/>
  <c r="H29" i="6"/>
  <c r="F29" i="6"/>
  <c r="I28" i="6"/>
  <c r="H28" i="6"/>
  <c r="F28" i="6"/>
  <c r="H27" i="6"/>
  <c r="F27" i="6"/>
  <c r="I27" i="6" s="1"/>
  <c r="H26" i="6"/>
  <c r="F26" i="6"/>
  <c r="I26" i="6" s="1"/>
  <c r="I25" i="6"/>
  <c r="H25" i="6"/>
  <c r="F25" i="6"/>
  <c r="I24" i="6"/>
  <c r="H24" i="6"/>
  <c r="F24" i="6"/>
  <c r="H23" i="6"/>
  <c r="F23" i="6"/>
  <c r="I23" i="6" s="1"/>
  <c r="F22" i="6"/>
  <c r="H21" i="6"/>
  <c r="F21" i="6"/>
  <c r="I20" i="6"/>
  <c r="F20" i="6"/>
  <c r="F19" i="6"/>
  <c r="L18" i="6"/>
  <c r="L19" i="6" s="1"/>
  <c r="L20" i="6" s="1"/>
  <c r="F18" i="6"/>
  <c r="G17" i="6"/>
  <c r="F17" i="6"/>
  <c r="G16" i="6"/>
  <c r="I16" i="6" s="1"/>
  <c r="F16" i="6"/>
  <c r="G15" i="6"/>
  <c r="F15" i="6"/>
  <c r="G14" i="6"/>
  <c r="F14" i="6"/>
  <c r="G13" i="6"/>
  <c r="F13" i="6"/>
  <c r="G12" i="6"/>
  <c r="F12" i="6"/>
  <c r="G11" i="6"/>
  <c r="F11" i="6"/>
  <c r="G10" i="6"/>
  <c r="I10" i="6" s="1"/>
  <c r="F10" i="6"/>
  <c r="G9" i="6"/>
  <c r="F9" i="6"/>
  <c r="G8" i="6"/>
  <c r="F8" i="6"/>
  <c r="G7" i="6"/>
  <c r="F7" i="6"/>
  <c r="G6" i="6"/>
  <c r="F6" i="6"/>
  <c r="G5" i="6"/>
  <c r="F5" i="6"/>
  <c r="G4" i="6"/>
  <c r="F4" i="6"/>
  <c r="G3" i="6"/>
  <c r="F3" i="6"/>
  <c r="G2" i="6"/>
  <c r="F2" i="6"/>
  <c r="G19" i="4"/>
  <c r="G20" i="4"/>
  <c r="G21" i="4"/>
  <c r="G22" i="4"/>
  <c r="G17" i="4"/>
  <c r="G18" i="4"/>
  <c r="G10" i="4"/>
  <c r="G11" i="4"/>
  <c r="G12" i="4"/>
  <c r="G13" i="4"/>
  <c r="G14" i="4"/>
  <c r="G15" i="4"/>
  <c r="G16" i="4"/>
  <c r="G8" i="4"/>
  <c r="G9" i="4"/>
  <c r="I137" i="5"/>
  <c r="H57" i="5"/>
  <c r="I86" i="5"/>
  <c r="I53" i="5"/>
  <c r="I54" i="5"/>
  <c r="I127" i="5"/>
  <c r="G142" i="5"/>
  <c r="I145" i="5"/>
  <c r="H145" i="5"/>
  <c r="G145" i="5"/>
  <c r="F145" i="5"/>
  <c r="G171" i="5"/>
  <c r="G3" i="4"/>
  <c r="G4" i="4"/>
  <c r="G5" i="4"/>
  <c r="G6" i="4"/>
  <c r="G7"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1" i="9" l="1"/>
  <c r="L30" i="9"/>
  <c r="I20" i="8"/>
  <c r="I3" i="8"/>
  <c r="I9" i="8"/>
  <c r="I15" i="8"/>
  <c r="I6" i="8"/>
  <c r="I12" i="8"/>
  <c r="I18" i="8"/>
  <c r="I19" i="8"/>
  <c r="H3" i="8"/>
  <c r="H6" i="8"/>
  <c r="H9" i="8"/>
  <c r="H12" i="8"/>
  <c r="H15" i="8"/>
  <c r="H18" i="8"/>
  <c r="H4" i="8"/>
  <c r="H7" i="8"/>
  <c r="H10" i="8"/>
  <c r="H16" i="8"/>
  <c r="I13" i="8"/>
  <c r="H19" i="8"/>
  <c r="H2" i="8"/>
  <c r="H5" i="8"/>
  <c r="H8" i="8"/>
  <c r="H11" i="8"/>
  <c r="H14" i="8"/>
  <c r="H17" i="8"/>
  <c r="H9" i="7"/>
  <c r="I3" i="7"/>
  <c r="L31" i="7" s="1"/>
  <c r="I6" i="7"/>
  <c r="I12" i="7"/>
  <c r="H4" i="7"/>
  <c r="H7" i="7"/>
  <c r="H10" i="7"/>
  <c r="H16" i="7"/>
  <c r="I13" i="7"/>
  <c r="H19" i="7"/>
  <c r="H15" i="7"/>
  <c r="H2" i="7"/>
  <c r="H5" i="7"/>
  <c r="H8" i="7"/>
  <c r="H11" i="7"/>
  <c r="H14" i="7"/>
  <c r="H17" i="7"/>
  <c r="I4" i="6"/>
  <c r="I9" i="6"/>
  <c r="I18" i="6"/>
  <c r="I15" i="6"/>
  <c r="I13" i="6"/>
  <c r="I12" i="6"/>
  <c r="I11" i="6"/>
  <c r="I7" i="6"/>
  <c r="I6" i="6"/>
  <c r="I5" i="6"/>
  <c r="I3" i="6"/>
  <c r="I2" i="6"/>
  <c r="I22" i="6"/>
  <c r="I17" i="6"/>
  <c r="L23" i="6"/>
  <c r="I14" i="6"/>
  <c r="I19" i="6"/>
  <c r="I8" i="6"/>
  <c r="I21" i="6"/>
  <c r="H4" i="6"/>
  <c r="H7" i="6"/>
  <c r="H10" i="6"/>
  <c r="H13" i="6"/>
  <c r="H16" i="6"/>
  <c r="H22" i="6"/>
  <c r="H2" i="6"/>
  <c r="H5" i="6"/>
  <c r="H8" i="6"/>
  <c r="H11" i="6"/>
  <c r="H14" i="6"/>
  <c r="H17" i="6"/>
  <c r="H20" i="6"/>
  <c r="H3" i="6"/>
  <c r="H6" i="6"/>
  <c r="H9" i="6"/>
  <c r="H12" i="6"/>
  <c r="H15" i="6"/>
  <c r="H18" i="6"/>
  <c r="F2" i="4"/>
  <c r="L31" i="8" l="1"/>
  <c r="L30" i="8"/>
  <c r="L30" i="7"/>
  <c r="L31" i="6"/>
  <c r="L30" i="6"/>
  <c r="H4" i="4"/>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<sst xmlns="http://schemas.openxmlformats.org/spreadsheetml/2006/main" count="882" uniqueCount="455">
  <si>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</si>
  <si>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</si>
  <si>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</si>
  <si>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</si>
  <si>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</si>
  <si>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</si>
  <si>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</si>
  <si>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</si>
  <si>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</si>
  <si>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</si>
  <si>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</si>
  <si>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</si>
  <si>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</si>
  <si>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</si>
  <si>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</si>
  <si>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</si>
  <si>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</si>
  <si>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</si>
  <si>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</si>
  <si>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</si>
  <si>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</si>
  <si>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</si>
  <si>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</si>
  <si>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</si>
  <si>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</si>
  <si>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</si>
  <si>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</si>
  <si>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</si>
  <si>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</si>
  <si>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</si>
  <si>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</si>
  <si>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</si>
  <si>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</si>
  <si>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</si>
  <si>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</si>
  <si>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</si>
  <si>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</si>
  <si>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</si>
  <si>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</si>
  <si>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</si>
  <si>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</si>
  <si>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</si>
  <si>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</si>
  <si>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</si>
  <si>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</si>
  <si>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</si>
  <si>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</si>
  <si>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</si>
  <si>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</si>
  <si>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</si>
  <si>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</si>
  <si>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</si>
  <si>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</si>
  <si>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</si>
  <si>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</si>
  <si>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</si>
  <si>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</si>
  <si>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</si>
  <si>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</si>
  <si>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</si>
  <si>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</si>
  <si>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</si>
  <si>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</si>
  <si>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</si>
  <si>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</si>
  <si>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</si>
  <si>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</si>
  <si>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</si>
  <si>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</si>
  <si>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</si>
  <si>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</si>
  <si>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</si>
  <si>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</si>
  <si>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</si>
  <si>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</si>
  <si>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</si>
  <si>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</si>
  <si>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</si>
  <si>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</si>
  <si>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</si>
  <si>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</si>
  <si>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</si>
  <si>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</si>
  <si>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</si>
  <si>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</si>
  <si>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</si>
  <si>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</si>
  <si>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</si>
  <si>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</si>
  <si>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</si>
  <si>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</si>
  <si>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</si>
  <si>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</si>
  <si>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</si>
  <si>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</si>
  <si>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</si>
  <si>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</si>
  <si>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</si>
  <si>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</si>
  <si>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</si>
  <si>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</si>
  <si>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</si>
  <si>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</si>
  <si>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</si>
  <si>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</si>
  <si>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</si>
  <si>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</si>
  <si>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</si>
  <si>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</si>
  <si>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</si>
  <si>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</si>
  <si>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</si>
  <si>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</si>
  <si>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</si>
  <si>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</si>
  <si>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</si>
  <si>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</si>
  <si>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</si>
  <si>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</si>
  <si>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</si>
  <si>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</si>
  <si>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</si>
  <si>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</si>
  <si>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</si>
  <si>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</si>
  <si>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</si>
  <si>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</si>
  <si>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</si>
  <si>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</si>
  <si>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</si>
  <si>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</si>
  <si>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</si>
  <si>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</si>
  <si>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</si>
  <si>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</si>
  <si>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</si>
  <si>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</si>
  <si>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</si>
  <si>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</si>
  <si>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</si>
  <si>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</si>
  <si>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</si>
  <si>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</si>
  <si>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</si>
  <si>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</si>
  <si>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</si>
  <si>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</si>
  <si>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</si>
  <si>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</si>
  <si>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</si>
  <si>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</si>
  <si>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</si>
  <si>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</si>
  <si>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</si>
  <si>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</si>
  <si>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</si>
  <si>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</si>
  <si>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</si>
  <si>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</si>
  <si>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</si>
  <si>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</si>
  <si>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</si>
  <si>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</si>
  <si>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</si>
  <si>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</si>
  <si>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</si>
  <si>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</si>
  <si>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</si>
  <si>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</si>
  <si>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</si>
  <si>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</si>
  <si>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</si>
  <si>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</si>
  <si>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</si>
  <si>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</si>
  <si>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</si>
  <si>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</si>
  <si>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</si>
  <si>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</si>
  <si>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</si>
  <si>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</si>
  <si>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</si>
  <si>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</si>
  <si>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</si>
  <si>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</si>
  <si>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</si>
  <si>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</si>
  <si>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</si>
  <si>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</si>
  <si>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</si>
  <si>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</si>
  <si>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</si>
  <si>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</si>
  <si>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</si>
  <si>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</si>
  <si>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</si>
  <si>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</si>
  <si>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</si>
  <si>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</si>
  <si>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</si>
  <si>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</si>
  <si>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</si>
  <si>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</si>
  <si>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</si>
  <si>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</si>
  <si>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</si>
  <si>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</si>
  <si>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</si>
  <si>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</si>
  <si>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</si>
  <si>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</si>
  <si>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</si>
  <si>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</si>
  <si>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</si>
  <si>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</si>
  <si>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</si>
  <si>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</si>
  <si>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</si>
  <si>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</si>
  <si>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</si>
  <si>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</si>
  <si>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</si>
  <si>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</si>
  <si>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</si>
  <si>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</si>
  <si>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</si>
  <si>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</si>
  <si>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</si>
  <si>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</si>
  <si>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</si>
  <si>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</si>
  <si>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</si>
  <si>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</si>
  <si>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</si>
  <si>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</si>
  <si>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</si>
  <si>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</si>
  <si>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</si>
  <si>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</si>
  <si>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</si>
  <si>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</si>
  <si>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</si>
  <si>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</si>
  <si>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</si>
  <si>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</si>
  <si>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</si>
  <si>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</si>
  <si>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</si>
  <si>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</si>
  <si>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</si>
  <si>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</si>
  <si>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</si>
  <si>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</si>
  <si>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</si>
  <si>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</si>
  <si>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</si>
  <si>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</si>
  <si>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</si>
  <si>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</si>
  <si>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</si>
  <si>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</si>
  <si>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</si>
  <si>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</si>
  <si>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</si>
  <si>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</si>
  <si>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</si>
  <si>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</si>
  <si>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</si>
  <si>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</si>
  <si>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</si>
  <si>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</si>
  <si>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</si>
  <si>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</si>
  <si>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</si>
  <si>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</si>
  <si>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</si>
  <si>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</si>
  <si>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</si>
  <si>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</si>
  <si>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</si>
  <si>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</si>
  <si>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</si>
  <si>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</si>
  <si>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</si>
  <si>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</si>
  <si>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</si>
  <si>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</si>
  <si>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</si>
  <si>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</si>
  <si>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</si>
  <si>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</si>
  <si>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</si>
  <si>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</si>
  <si>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</si>
  <si>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</si>
  <si>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</si>
  <si>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</si>
  <si>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</si>
  <si>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</si>
  <si>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</si>
  <si>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</si>
  <si>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</si>
  <si>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</si>
  <si>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</si>
  <si>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</si>
  <si>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</si>
  <si>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</si>
  <si>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</si>
  <si>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</si>
  <si>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</si>
  <si>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</si>
  <si>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</si>
  <si>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</si>
  <si>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</si>
  <si>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</si>
  <si>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</si>
  <si>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</si>
  <si>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</si>
  <si>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</si>
  <si>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</si>
  <si>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</si>
  <si>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</si>
  <si>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</si>
  <si>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</si>
  <si>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</si>
  <si>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</si>
  <si>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</si>
  <si>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</si>
  <si>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</si>
  <si>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</si>
  <si>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</si>
  <si>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</si>
  <si>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</si>
  <si>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</si>
  <si>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</si>
  <si>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</si>
  <si>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</si>
  <si>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</si>
  <si>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</si>
  <si>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</si>
  <si>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</si>
  <si>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</si>
  <si>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</si>
  <si>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</si>
  <si>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</si>
  <si>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</si>
  <si>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</si>
  <si>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</si>
  <si>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</si>
  <si>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</si>
  <si>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</si>
  <si>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</si>
  <si>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</si>
  <si>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</si>
  <si>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</si>
  <si>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</si>
  <si>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</si>
  <si>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</si>
  <si>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</si>
  <si>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</si>
  <si>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</si>
  <si>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</si>
  <si>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</si>
  <si>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</si>
  <si>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</si>
  <si>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</si>
  <si>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</si>
  <si>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</si>
  <si>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</si>
  <si>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</si>
  <si>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</si>
  <si>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</si>
  <si>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</si>
  <si>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</si>
  <si>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</si>
  <si>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</si>
  <si>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</si>
  <si>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</si>
  <si>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</si>
  <si>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</si>
  <si>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</si>
  <si>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</si>
  <si>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</si>
  <si>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</si>
  <si>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</si>
  <si>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</si>
  <si>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</si>
  <si>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</si>
  <si>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</si>
  <si>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</si>
  <si>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</si>
  <si>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</si>
  <si>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</si>
  <si>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</si>
  <si>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</si>
  <si>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</si>
  <si>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</si>
  <si>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</si>
  <si>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</si>
  <si>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</si>
  <si>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</si>
  <si>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</si>
  <si>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</si>
  <si>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</si>
  <si>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</si>
  <si>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</si>
  <si>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</si>
  <si>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</si>
  <si>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</si>
  <si>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</si>
  <si>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</si>
  <si>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</si>
  <si>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</si>
  <si>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</si>
  <si>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맥문동</t>
    <phoneticPr fontId="5" type="noConversion"/>
  </si>
  <si>
    <t>감초</t>
    <phoneticPr fontId="5" type="noConversion"/>
  </si>
  <si>
    <t>백출</t>
    <phoneticPr fontId="5" type="noConversion"/>
  </si>
  <si>
    <t>F</t>
    <phoneticPr fontId="5" type="noConversion"/>
  </si>
  <si>
    <t>김숙자</t>
    <phoneticPr fontId="5" type="noConversion"/>
  </si>
  <si>
    <t>청심온담탕</t>
    <phoneticPr fontId="5" type="noConversion"/>
  </si>
  <si>
    <t>향부자</t>
    <phoneticPr fontId="5" type="noConversion"/>
  </si>
  <si>
    <t>반하</t>
    <phoneticPr fontId="5" type="noConversion"/>
  </si>
  <si>
    <t>복령</t>
    <phoneticPr fontId="5" type="noConversion"/>
  </si>
  <si>
    <t>지실</t>
    <phoneticPr fontId="5" type="noConversion"/>
  </si>
  <si>
    <t>황금</t>
    <phoneticPr fontId="5" type="noConversion"/>
  </si>
  <si>
    <t>주초</t>
    <phoneticPr fontId="5" type="noConversion"/>
  </si>
  <si>
    <t>생강</t>
    <phoneticPr fontId="5" type="noConversion"/>
  </si>
  <si>
    <t>대추</t>
    <phoneticPr fontId="5" type="noConversion"/>
  </si>
  <si>
    <t>죽여1</t>
    <phoneticPr fontId="5" type="noConversion"/>
  </si>
  <si>
    <t>신곡</t>
    <phoneticPr fontId="5" type="noConversion"/>
  </si>
  <si>
    <t>치자</t>
    <phoneticPr fontId="5" type="noConversion"/>
  </si>
  <si>
    <t>사인</t>
    <phoneticPr fontId="5" type="noConversion"/>
  </si>
  <si>
    <t>진피1</t>
    <phoneticPr fontId="5" type="noConversion"/>
  </si>
  <si>
    <t>당귀1</t>
    <phoneticPr fontId="5" type="noConversion"/>
  </si>
  <si>
    <t>건지황</t>
    <phoneticPr fontId="5" type="noConversion"/>
  </si>
  <si>
    <t>원지</t>
    <phoneticPr fontId="5" type="noConversion"/>
  </si>
  <si>
    <t>백작약</t>
    <phoneticPr fontId="5" type="noConversion"/>
  </si>
  <si>
    <t>인삼</t>
    <phoneticPr fontId="5" type="noConversion"/>
  </si>
  <si>
    <t>천궁1</t>
    <phoneticPr fontId="5" type="noConversion"/>
  </si>
  <si>
    <t>청심온담탕+자음건비탕+신곡, 치자</t>
    <phoneticPr fontId="5" type="noConversion"/>
  </si>
  <si>
    <t>초</t>
    <phoneticPr fontId="5" type="noConversion"/>
  </si>
  <si>
    <t>가미소요산</t>
    <phoneticPr fontId="5" type="noConversion"/>
  </si>
  <si>
    <t>박하</t>
    <phoneticPr fontId="5" type="noConversion"/>
  </si>
  <si>
    <t>목단피</t>
    <phoneticPr fontId="5" type="noConversion"/>
  </si>
  <si>
    <t>시호1</t>
    <phoneticPr fontId="5" type="noConversion"/>
  </si>
  <si>
    <t>지모</t>
    <phoneticPr fontId="5" type="noConversion"/>
  </si>
  <si>
    <t>지골피</t>
    <phoneticPr fontId="5" type="noConversion"/>
  </si>
  <si>
    <t>맥아</t>
    <phoneticPr fontId="5" type="noConversion"/>
  </si>
  <si>
    <t>단치소요산+지모 지골피 건지황 신곡 맥아 향부자
박하 대 황금, 건지황증량, 고삼</t>
    <phoneticPr fontId="5" type="noConversion"/>
  </si>
  <si>
    <t>고삼</t>
    <phoneticPr fontId="5" type="noConversion"/>
  </si>
  <si>
    <t>후하</t>
    <phoneticPr fontId="5" type="noConversion"/>
  </si>
  <si>
    <t>단치소요산+지모 지골피 건지황 신곡 맥아 향부자 
박하 대 황금, 건지황증량, 고삼</t>
    <phoneticPr fontId="5" type="noConversion"/>
  </si>
  <si>
    <t>황련</t>
    <phoneticPr fontId="5" type="noConversion"/>
  </si>
  <si>
    <t>건강</t>
    <phoneticPr fontId="5" type="noConversion"/>
  </si>
  <si>
    <t>단치소요산+ 지골피 건지황 신곡 맥아 
향부자, 복령 증량 / 건지황 감량 
인삼 천궁 추가 / 지모 제외
황금 -&gt; 황련 
사인, 생강 -&gt;  건강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</si>
</sst>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9"/>
      <color theme="1"/>
      <name val="맑은 고딕"/>
      <family val="3"/>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4" fillId="0" borderId="12" xfId="0" applyFont="1"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7B300-E682-462C-B233-9546E5253A8C}">
  <sheetPr>
    <pageSetUpPr fitToPage="1"/>
  </sheetPr>
  <dimension ref="B1:M31"/>
  <sheetViews>
    <sheetView tabSelected="1" workbookViewId="0">
      <selection activeCell="F16" sqref="F16"/>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416</v>
      </c>
      <c r="D2" s="3"/>
      <c r="E2" s="87">
        <v>6</v>
      </c>
      <c r="F2" s="98">
        <f>E2*$L$15</f>
        <v>120</v>
      </c>
      <c r="G2">
        <f>VLOOKUP($C2,약재관리!A:J,10,FALSE)</f>
        <v>30.3</v>
      </c>
      <c r="H2" s="4">
        <f>G2*E2</f>
        <v>181.8</v>
      </c>
      <c r="I2" s="89">
        <f>G2*F2</f>
        <v>3636</v>
      </c>
      <c r="K2" s="6" t="s">
        <v>9</v>
      </c>
      <c r="L2" s="162">
        <v>121</v>
      </c>
      <c r="M2" s="163"/>
    </row>
    <row r="3" spans="2:13">
      <c r="B3" s="2">
        <v>2</v>
      </c>
      <c r="C3" t="s">
        <v>436</v>
      </c>
      <c r="D3" s="3"/>
      <c r="E3" s="87">
        <v>6</v>
      </c>
      <c r="F3" s="98">
        <f t="shared" ref="F3:F31" si="0">E3*$L$15</f>
        <v>120</v>
      </c>
      <c r="G3">
        <f>VLOOKUP($C3,약재관리!A:J,10,FALSE)</f>
        <v>19.600000000000001</v>
      </c>
      <c r="H3" s="4">
        <f t="shared" ref="H3:H31" si="1">G3*E3</f>
        <v>117.60000000000001</v>
      </c>
      <c r="I3" s="5">
        <f t="shared" ref="I3:I31" si="2">G3*F3</f>
        <v>2352</v>
      </c>
      <c r="K3" s="7" t="s">
        <v>10</v>
      </c>
      <c r="L3" s="164" t="s">
        <v>441</v>
      </c>
      <c r="M3" s="165"/>
    </row>
    <row r="4" spans="2:13">
      <c r="B4" s="2">
        <v>3</v>
      </c>
      <c r="C4" t="s">
        <v>422</v>
      </c>
      <c r="D4" s="3"/>
      <c r="E4" s="87">
        <v>8</v>
      </c>
      <c r="F4" s="98">
        <f t="shared" si="0"/>
        <v>160</v>
      </c>
      <c r="G4">
        <f>VLOOKUP($C4,약재관리!A:J,10,FALSE)</f>
        <v>9.8000000000000007</v>
      </c>
      <c r="H4" s="4">
        <f t="shared" si="1"/>
        <v>78.400000000000006</v>
      </c>
      <c r="I4" s="5">
        <f t="shared" si="2"/>
        <v>1568</v>
      </c>
      <c r="K4" s="7" t="s">
        <v>11</v>
      </c>
      <c r="L4" s="166">
        <v>45916</v>
      </c>
      <c r="M4" s="165"/>
    </row>
    <row r="5" spans="2:13">
      <c r="B5" s="2">
        <v>4</v>
      </c>
      <c r="C5" t="s">
        <v>444</v>
      </c>
      <c r="D5" s="3"/>
      <c r="E5" s="87">
        <v>4</v>
      </c>
      <c r="F5" s="98">
        <f t="shared" si="0"/>
        <v>80</v>
      </c>
      <c r="G5">
        <f>VLOOKUP($C5,약재관리!A:J,10,FALSE)</f>
        <v>72.7</v>
      </c>
      <c r="H5" s="4">
        <f t="shared" si="1"/>
        <v>290.8</v>
      </c>
      <c r="I5" s="5">
        <f t="shared" si="2"/>
        <v>5816</v>
      </c>
      <c r="K5" s="7" t="s">
        <v>12</v>
      </c>
      <c r="L5" s="164" t="s">
        <v>418</v>
      </c>
      <c r="M5" s="165"/>
    </row>
    <row r="6" spans="2:13">
      <c r="B6" s="2">
        <v>5</v>
      </c>
      <c r="C6" t="s">
        <v>433</v>
      </c>
      <c r="D6" s="3"/>
      <c r="E6" s="87">
        <v>4</v>
      </c>
      <c r="F6" s="98">
        <f t="shared" si="0"/>
        <v>80</v>
      </c>
      <c r="G6">
        <f>VLOOKUP($C6,약재관리!A:J,10,FALSE)</f>
        <v>27.2</v>
      </c>
      <c r="H6" s="4">
        <f t="shared" si="1"/>
        <v>108.8</v>
      </c>
      <c r="I6" s="5">
        <f t="shared" si="2"/>
        <v>2176</v>
      </c>
      <c r="K6" s="7" t="s">
        <v>13</v>
      </c>
      <c r="L6" s="164">
        <v>67</v>
      </c>
      <c r="M6" s="165"/>
    </row>
    <row r="7" spans="2:13" ht="17.25" thickBot="1">
      <c r="B7" s="2">
        <v>6</v>
      </c>
      <c r="C7" t="s">
        <v>414</v>
      </c>
      <c r="D7" s="3"/>
      <c r="E7" s="87">
        <v>4</v>
      </c>
      <c r="F7" s="98">
        <f t="shared" si="0"/>
        <v>80</v>
      </c>
      <c r="G7">
        <f>VLOOKUP($C7,약재관리!A:J,10,FALSE)</f>
        <v>44.3</v>
      </c>
      <c r="H7" s="4">
        <f t="shared" si="1"/>
        <v>177.2</v>
      </c>
      <c r="I7" s="5">
        <f t="shared" si="2"/>
        <v>3544</v>
      </c>
      <c r="K7" s="7" t="s">
        <v>14</v>
      </c>
      <c r="L7" s="148" t="s">
        <v>417</v>
      </c>
      <c r="M7" s="149"/>
    </row>
    <row r="8" spans="2:13" ht="17.25" thickBot="1">
      <c r="B8" s="2">
        <v>7</v>
      </c>
      <c r="C8" t="s">
        <v>415</v>
      </c>
      <c r="D8" s="3"/>
      <c r="E8" s="87">
        <v>2</v>
      </c>
      <c r="F8" s="98">
        <f t="shared" si="0"/>
        <v>40</v>
      </c>
      <c r="G8">
        <f>VLOOKUP($C8,약재관리!A:J,10,FALSE)</f>
        <v>28.3</v>
      </c>
      <c r="H8" s="4">
        <f t="shared" si="1"/>
        <v>56.6</v>
      </c>
      <c r="I8" s="5">
        <f t="shared" si="2"/>
        <v>1132</v>
      </c>
      <c r="K8" s="150" t="s">
        <v>15</v>
      </c>
      <c r="L8" s="151"/>
      <c r="M8" s="152"/>
    </row>
    <row r="9" spans="2:13">
      <c r="B9" s="2">
        <v>8</v>
      </c>
      <c r="C9" t="s">
        <v>437</v>
      </c>
      <c r="D9" s="3"/>
      <c r="E9" s="87">
        <v>4</v>
      </c>
      <c r="F9" s="98">
        <f t="shared" si="0"/>
        <v>80</v>
      </c>
      <c r="G9">
        <f>VLOOKUP($C9,약재관리!A:J,10,FALSE)</f>
        <v>108.3</v>
      </c>
      <c r="H9" s="4">
        <f t="shared" si="1"/>
        <v>433.2</v>
      </c>
      <c r="I9" s="5">
        <f t="shared" si="2"/>
        <v>8664</v>
      </c>
      <c r="K9" s="153" t="s">
        <v>454</v>
      </c>
      <c r="L9" s="154"/>
      <c r="M9" s="155"/>
    </row>
    <row r="10" spans="2:13">
      <c r="B10" s="2">
        <v>9</v>
      </c>
      <c r="C10" t="s">
        <v>453</v>
      </c>
      <c r="D10" s="3"/>
      <c r="E10" s="87">
        <v>3</v>
      </c>
      <c r="F10" s="98">
        <f t="shared" si="0"/>
        <v>60</v>
      </c>
      <c r="G10">
        <f>VLOOKUP($C10,약재관리!A:J,10,FALSE)</f>
        <v>9.5</v>
      </c>
      <c r="H10" s="4">
        <f t="shared" si="1"/>
        <v>28.5</v>
      </c>
      <c r="I10" s="5">
        <f t="shared" si="2"/>
        <v>570</v>
      </c>
      <c r="K10" s="156"/>
      <c r="L10" s="157"/>
      <c r="M10" s="158"/>
    </row>
    <row r="11" spans="2:13">
      <c r="B11" s="2">
        <v>10</v>
      </c>
      <c r="C11" t="s">
        <v>443</v>
      </c>
      <c r="D11" s="3"/>
      <c r="E11" s="87">
        <v>4</v>
      </c>
      <c r="F11" s="98">
        <f t="shared" si="0"/>
        <v>80</v>
      </c>
      <c r="G11">
        <f>VLOOKUP($C11,약재관리!A:J,10,FALSE)</f>
        <v>28</v>
      </c>
      <c r="H11" s="4">
        <f t="shared" si="1"/>
        <v>112</v>
      </c>
      <c r="I11" s="5">
        <f t="shared" si="2"/>
        <v>2240</v>
      </c>
      <c r="K11" s="156"/>
      <c r="L11" s="157"/>
      <c r="M11" s="158"/>
    </row>
    <row r="12" spans="2:13">
      <c r="B12" s="2">
        <v>11</v>
      </c>
      <c r="C12" t="s">
        <v>430</v>
      </c>
      <c r="D12" s="3"/>
      <c r="E12" s="87">
        <v>4</v>
      </c>
      <c r="F12" s="98">
        <f t="shared" si="0"/>
        <v>80</v>
      </c>
      <c r="G12">
        <f>VLOOKUP($C12,약재관리!A:J,10,FALSE)</f>
        <v>26</v>
      </c>
      <c r="H12" s="4">
        <f t="shared" si="1"/>
        <v>104</v>
      </c>
      <c r="I12" s="5">
        <f t="shared" si="2"/>
        <v>2080</v>
      </c>
      <c r="K12" s="156"/>
      <c r="L12" s="157"/>
      <c r="M12" s="158"/>
    </row>
    <row r="13" spans="2:13" ht="17.25" thickBot="1">
      <c r="B13" s="2">
        <v>12</v>
      </c>
      <c r="C13" t="s">
        <v>438</v>
      </c>
      <c r="D13" s="3"/>
      <c r="E13" s="87">
        <v>4</v>
      </c>
      <c r="F13" s="98">
        <f t="shared" si="0"/>
        <v>80</v>
      </c>
      <c r="G13">
        <f>VLOOKUP($C13,약재관리!A:J,10,FALSE)</f>
        <v>10.8</v>
      </c>
      <c r="H13" s="4">
        <f t="shared" si="1"/>
        <v>43.2</v>
      </c>
      <c r="I13" s="5">
        <f t="shared" si="2"/>
        <v>864</v>
      </c>
      <c r="K13" s="159"/>
      <c r="L13" s="160"/>
      <c r="M13" s="161"/>
    </row>
    <row r="14" spans="2:13">
      <c r="B14" s="2">
        <v>13</v>
      </c>
      <c r="C14" t="s">
        <v>446</v>
      </c>
      <c r="D14" s="3"/>
      <c r="E14" s="87">
        <v>4</v>
      </c>
      <c r="F14" s="98">
        <f t="shared" si="0"/>
        <v>80</v>
      </c>
      <c r="G14">
        <f>VLOOKUP($C14,약재관리!A:J,10,FALSE)</f>
        <v>21.7</v>
      </c>
      <c r="H14" s="4">
        <f t="shared" si="1"/>
        <v>86.8</v>
      </c>
      <c r="I14" s="5">
        <f t="shared" si="2"/>
        <v>1736</v>
      </c>
      <c r="K14" s="91" t="s">
        <v>16</v>
      </c>
      <c r="L14" s="8">
        <v>15</v>
      </c>
      <c r="M14" s="9" t="s">
        <v>17</v>
      </c>
    </row>
    <row r="15" spans="2:13">
      <c r="B15" s="2">
        <v>14</v>
      </c>
      <c r="C15" t="s">
        <v>434</v>
      </c>
      <c r="D15" s="3"/>
      <c r="E15" s="87">
        <v>4</v>
      </c>
      <c r="F15" s="98">
        <f t="shared" si="0"/>
        <v>80</v>
      </c>
      <c r="G15">
        <f>VLOOKUP($C15,약재관리!A:J,10,FALSE)</f>
        <v>14.4</v>
      </c>
      <c r="H15" s="4">
        <f t="shared" si="1"/>
        <v>57.6</v>
      </c>
      <c r="I15" s="5">
        <f t="shared" si="2"/>
        <v>1152</v>
      </c>
      <c r="K15" s="90" t="s">
        <v>18</v>
      </c>
      <c r="L15">
        <v>20</v>
      </c>
      <c r="M15" s="3" t="s">
        <v>19</v>
      </c>
    </row>
    <row r="16" spans="2:13">
      <c r="B16" s="2">
        <v>15</v>
      </c>
      <c r="C16" t="s">
        <v>429</v>
      </c>
      <c r="D16" s="3"/>
      <c r="E16" s="87">
        <v>4</v>
      </c>
      <c r="F16" s="98">
        <f t="shared" si="0"/>
        <v>80</v>
      </c>
      <c r="G16">
        <f>VLOOKUP($C16,약재관리!A:J,10,FALSE)</f>
        <v>8</v>
      </c>
      <c r="H16" s="4">
        <f t="shared" si="1"/>
        <v>32</v>
      </c>
      <c r="I16" s="5">
        <f t="shared" si="2"/>
        <v>640</v>
      </c>
      <c r="K16" s="90" t="s">
        <v>20</v>
      </c>
      <c r="L16">
        <v>45</v>
      </c>
      <c r="M16" s="3" t="s">
        <v>21</v>
      </c>
    </row>
    <row r="17" spans="2:13" ht="17.25" thickBot="1">
      <c r="B17" s="2">
        <v>16</v>
      </c>
      <c r="C17" t="s">
        <v>447</v>
      </c>
      <c r="D17" s="3"/>
      <c r="E17" s="87">
        <v>4</v>
      </c>
      <c r="F17" s="98">
        <f t="shared" si="0"/>
        <v>80</v>
      </c>
      <c r="G17">
        <f>VLOOKUP($C17,약재관리!A:J,10,FALSE)</f>
        <v>7.5</v>
      </c>
      <c r="H17" s="4">
        <f t="shared" si="1"/>
        <v>30</v>
      </c>
      <c r="I17" s="5">
        <f t="shared" si="2"/>
        <v>600</v>
      </c>
      <c r="K17" s="13" t="s">
        <v>22</v>
      </c>
      <c r="L17" s="10">
        <v>110</v>
      </c>
      <c r="M17" s="11" t="s">
        <v>23</v>
      </c>
    </row>
    <row r="18" spans="2:13">
      <c r="B18" s="2">
        <v>17</v>
      </c>
      <c r="C18" t="s">
        <v>420</v>
      </c>
      <c r="D18" s="3"/>
      <c r="E18" s="87">
        <v>8</v>
      </c>
      <c r="F18" s="98">
        <f t="shared" si="0"/>
        <v>160</v>
      </c>
      <c r="G18">
        <f>VLOOKUP($C18,약재관리!A:J,10,FALSE)</f>
        <v>14.7</v>
      </c>
      <c r="H18" s="4">
        <f t="shared" si="1"/>
        <v>117.6</v>
      </c>
      <c r="I18" s="5">
        <f t="shared" si="2"/>
        <v>2352</v>
      </c>
      <c r="K18" s="91" t="s">
        <v>24</v>
      </c>
      <c r="L18" s="8">
        <f>SUM(E2:E31)</f>
        <v>79</v>
      </c>
      <c r="M18" s="9" t="s">
        <v>25</v>
      </c>
    </row>
    <row r="19" spans="2:13">
      <c r="B19" s="2">
        <v>18</v>
      </c>
      <c r="C19" t="s">
        <v>452</v>
      </c>
      <c r="D19" s="3" t="s">
        <v>425</v>
      </c>
      <c r="E19" s="87">
        <v>2</v>
      </c>
      <c r="F19" s="98">
        <f t="shared" si="0"/>
        <v>40</v>
      </c>
      <c r="G19">
        <f>VLOOKUP($C19,약재관리!A:J,10,FALSE)</f>
        <v>136.80000000000001</v>
      </c>
      <c r="H19" s="4">
        <f t="shared" si="1"/>
        <v>273.60000000000002</v>
      </c>
      <c r="I19" s="5">
        <f t="shared" si="2"/>
        <v>5472</v>
      </c>
      <c r="K19" s="90" t="s">
        <v>26</v>
      </c>
      <c r="L19">
        <f>L15*L18</f>
        <v>1580</v>
      </c>
      <c r="M19" s="3" t="s">
        <v>25</v>
      </c>
    </row>
    <row r="20" spans="2:13" ht="17.25" thickBot="1">
      <c r="B20" s="2">
        <v>19</v>
      </c>
      <c r="D20" s="3"/>
      <c r="F20" s="98">
        <f t="shared" si="0"/>
        <v>0</v>
      </c>
      <c r="H20" s="4">
        <f t="shared" si="1"/>
        <v>0</v>
      </c>
      <c r="I20" s="5">
        <f t="shared" si="2"/>
        <v>0</v>
      </c>
      <c r="K20" s="13" t="s">
        <v>27</v>
      </c>
      <c r="L20" s="10">
        <f>L16*L17+L19</f>
        <v>6530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1580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2329.6999999999998</v>
      </c>
      <c r="M30" s="3" t="s">
        <v>36</v>
      </c>
    </row>
    <row r="31" spans="2:13" ht="17.25" thickBot="1">
      <c r="B31" s="12">
        <v>30</v>
      </c>
      <c r="C31" s="13"/>
      <c r="D31" s="11"/>
      <c r="E31" s="94"/>
      <c r="F31" s="99">
        <f t="shared" si="0"/>
        <v>0</v>
      </c>
      <c r="G31" s="10"/>
      <c r="H31" s="14">
        <f t="shared" si="1"/>
        <v>0</v>
      </c>
      <c r="I31" s="15">
        <f t="shared" si="2"/>
        <v>0</v>
      </c>
      <c r="K31" s="13" t="s">
        <v>37</v>
      </c>
      <c r="L31" s="14">
        <f>SUM(I2:I31)</f>
        <v>46594</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02384-5F72-4312-90D6-5EE20C300806}">
  <sheetPr>
    <pageSetUpPr fitToPage="1"/>
  </sheetPr>
  <dimension ref="B1:M31"/>
  <sheetViews>
    <sheetView workbookViewId="0">
      <selection activeCell="F19" sqref="F19"/>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416</v>
      </c>
      <c r="D2" s="3"/>
      <c r="E2" s="87">
        <v>6</v>
      </c>
      <c r="F2" s="98">
        <f>E2*$L$15</f>
        <v>120</v>
      </c>
      <c r="G2">
        <f>VLOOKUP($C2,약재관리!A:J,10,FALSE)</f>
        <v>30.3</v>
      </c>
      <c r="H2" s="4">
        <f>G2*E2</f>
        <v>181.8</v>
      </c>
      <c r="I2" s="89">
        <f>G2*F2</f>
        <v>3636</v>
      </c>
      <c r="K2" s="6" t="s">
        <v>9</v>
      </c>
      <c r="L2" s="162">
        <v>121</v>
      </c>
      <c r="M2" s="163"/>
    </row>
    <row r="3" spans="2:13">
      <c r="B3" s="2">
        <v>2</v>
      </c>
      <c r="C3" t="s">
        <v>436</v>
      </c>
      <c r="D3" s="3"/>
      <c r="E3" s="87">
        <v>6</v>
      </c>
      <c r="F3" s="98">
        <f t="shared" ref="F3:F31" si="0">E3*$L$15</f>
        <v>120</v>
      </c>
      <c r="G3">
        <f>VLOOKUP($C3,약재관리!A:J,10,FALSE)</f>
        <v>19.600000000000001</v>
      </c>
      <c r="H3" s="4">
        <f t="shared" ref="H3:H31" si="1">G3*E3</f>
        <v>117.60000000000001</v>
      </c>
      <c r="I3" s="5">
        <f t="shared" ref="I3:I31" si="2">G3*F3</f>
        <v>2352</v>
      </c>
      <c r="K3" s="7" t="s">
        <v>10</v>
      </c>
      <c r="L3" s="164" t="s">
        <v>441</v>
      </c>
      <c r="M3" s="165"/>
    </row>
    <row r="4" spans="2:13">
      <c r="B4" s="2">
        <v>3</v>
      </c>
      <c r="C4" t="s">
        <v>422</v>
      </c>
      <c r="D4" s="3"/>
      <c r="E4" s="87">
        <v>6</v>
      </c>
      <c r="F4" s="98">
        <f t="shared" si="0"/>
        <v>120</v>
      </c>
      <c r="G4">
        <f>VLOOKUP($C4,약재관리!A:J,10,FALSE)</f>
        <v>9.8000000000000007</v>
      </c>
      <c r="H4" s="4">
        <f t="shared" si="1"/>
        <v>58.800000000000004</v>
      </c>
      <c r="I4" s="5">
        <f t="shared" si="2"/>
        <v>1176</v>
      </c>
      <c r="K4" s="7" t="s">
        <v>11</v>
      </c>
      <c r="L4" s="166">
        <v>45883</v>
      </c>
      <c r="M4" s="165"/>
    </row>
    <row r="5" spans="2:13">
      <c r="B5" s="2">
        <v>4</v>
      </c>
      <c r="C5" t="s">
        <v>444</v>
      </c>
      <c r="D5" s="3"/>
      <c r="E5" s="87">
        <v>4</v>
      </c>
      <c r="F5" s="98">
        <f t="shared" si="0"/>
        <v>80</v>
      </c>
      <c r="G5">
        <f>VLOOKUP($C5,약재관리!A:J,10,FALSE)</f>
        <v>72.7</v>
      </c>
      <c r="H5" s="4">
        <f t="shared" si="1"/>
        <v>290.8</v>
      </c>
      <c r="I5" s="5">
        <f t="shared" si="2"/>
        <v>5816</v>
      </c>
      <c r="K5" s="7" t="s">
        <v>12</v>
      </c>
      <c r="L5" s="164" t="s">
        <v>418</v>
      </c>
      <c r="M5" s="165"/>
    </row>
    <row r="6" spans="2:13">
      <c r="B6" s="2">
        <v>5</v>
      </c>
      <c r="C6" t="s">
        <v>433</v>
      </c>
      <c r="D6" s="3"/>
      <c r="E6" s="87">
        <v>4</v>
      </c>
      <c r="F6" s="98">
        <f t="shared" si="0"/>
        <v>80</v>
      </c>
      <c r="G6">
        <f>VLOOKUP($C6,약재관리!A:J,10,FALSE)</f>
        <v>27.2</v>
      </c>
      <c r="H6" s="4">
        <f t="shared" si="1"/>
        <v>108.8</v>
      </c>
      <c r="I6" s="5">
        <f t="shared" si="2"/>
        <v>2176</v>
      </c>
      <c r="K6" s="7" t="s">
        <v>13</v>
      </c>
      <c r="L6" s="164">
        <v>67</v>
      </c>
      <c r="M6" s="165"/>
    </row>
    <row r="7" spans="2:13" ht="17.25" thickBot="1">
      <c r="B7" s="2">
        <v>6</v>
      </c>
      <c r="C7" t="s">
        <v>414</v>
      </c>
      <c r="D7" s="3"/>
      <c r="E7" s="87">
        <v>4</v>
      </c>
      <c r="F7" s="98">
        <f t="shared" si="0"/>
        <v>80</v>
      </c>
      <c r="G7">
        <f>VLOOKUP($C7,약재관리!A:J,10,FALSE)</f>
        <v>44.3</v>
      </c>
      <c r="H7" s="4">
        <f t="shared" si="1"/>
        <v>177.2</v>
      </c>
      <c r="I7" s="5">
        <f t="shared" si="2"/>
        <v>3544</v>
      </c>
      <c r="K7" s="7" t="s">
        <v>14</v>
      </c>
      <c r="L7" s="148" t="s">
        <v>417</v>
      </c>
      <c r="M7" s="149"/>
    </row>
    <row r="8" spans="2:13" ht="17.25" thickBot="1">
      <c r="B8" s="2">
        <v>7</v>
      </c>
      <c r="C8" t="s">
        <v>415</v>
      </c>
      <c r="D8" s="3"/>
      <c r="E8" s="87">
        <v>2</v>
      </c>
      <c r="F8" s="98">
        <f t="shared" si="0"/>
        <v>40</v>
      </c>
      <c r="G8">
        <f>VLOOKUP($C8,약재관리!A:J,10,FALSE)</f>
        <v>28.3</v>
      </c>
      <c r="H8" s="4">
        <f t="shared" si="1"/>
        <v>56.6</v>
      </c>
      <c r="I8" s="5">
        <f t="shared" si="2"/>
        <v>1132</v>
      </c>
      <c r="K8" s="150" t="s">
        <v>15</v>
      </c>
      <c r="L8" s="151"/>
      <c r="M8" s="152"/>
    </row>
    <row r="9" spans="2:13">
      <c r="B9" s="2">
        <v>8</v>
      </c>
      <c r="C9" t="s">
        <v>424</v>
      </c>
      <c r="D9" s="3"/>
      <c r="E9" s="87">
        <v>4</v>
      </c>
      <c r="F9" s="98">
        <f t="shared" si="0"/>
        <v>80</v>
      </c>
      <c r="G9">
        <f>VLOOKUP($C9,약재관리!A:J,10,FALSE)</f>
        <v>22.5</v>
      </c>
      <c r="H9" s="4">
        <f t="shared" si="1"/>
        <v>90</v>
      </c>
      <c r="I9" s="5">
        <f t="shared" si="2"/>
        <v>1800</v>
      </c>
      <c r="K9" s="153" t="s">
        <v>451</v>
      </c>
      <c r="L9" s="154"/>
      <c r="M9" s="155"/>
    </row>
    <row r="10" spans="2:13">
      <c r="B10" s="2">
        <v>9</v>
      </c>
      <c r="C10" t="s">
        <v>426</v>
      </c>
      <c r="D10" s="3"/>
      <c r="E10" s="87">
        <v>3</v>
      </c>
      <c r="F10" s="98">
        <f t="shared" si="0"/>
        <v>60</v>
      </c>
      <c r="G10">
        <f>VLOOKUP($C10,약재관리!A:J,10,FALSE)</f>
        <v>15</v>
      </c>
      <c r="H10" s="4">
        <f t="shared" si="1"/>
        <v>45</v>
      </c>
      <c r="I10" s="5">
        <f t="shared" si="2"/>
        <v>900</v>
      </c>
      <c r="K10" s="156"/>
      <c r="L10" s="157"/>
      <c r="M10" s="158"/>
    </row>
    <row r="11" spans="2:13">
      <c r="B11" s="2">
        <v>10</v>
      </c>
      <c r="C11" t="s">
        <v>443</v>
      </c>
      <c r="D11" s="3"/>
      <c r="E11" s="87">
        <v>4</v>
      </c>
      <c r="F11" s="98">
        <f t="shared" si="0"/>
        <v>80</v>
      </c>
      <c r="G11">
        <f>VLOOKUP($C11,약재관리!A:J,10,FALSE)</f>
        <v>28</v>
      </c>
      <c r="H11" s="4">
        <f t="shared" si="1"/>
        <v>112</v>
      </c>
      <c r="I11" s="5">
        <f t="shared" si="2"/>
        <v>2240</v>
      </c>
      <c r="K11" s="156"/>
      <c r="L11" s="157"/>
      <c r="M11" s="158"/>
    </row>
    <row r="12" spans="2:13">
      <c r="B12" s="2">
        <v>11</v>
      </c>
      <c r="C12" t="s">
        <v>430</v>
      </c>
      <c r="D12" s="3"/>
      <c r="E12" s="87">
        <v>4</v>
      </c>
      <c r="F12" s="98">
        <f t="shared" si="0"/>
        <v>80</v>
      </c>
      <c r="G12">
        <f>VLOOKUP($C12,약재관리!A:J,10,FALSE)</f>
        <v>26</v>
      </c>
      <c r="H12" s="4">
        <f t="shared" si="1"/>
        <v>104</v>
      </c>
      <c r="I12" s="5">
        <f t="shared" si="2"/>
        <v>2080</v>
      </c>
      <c r="K12" s="156"/>
      <c r="L12" s="157"/>
      <c r="M12" s="158"/>
    </row>
    <row r="13" spans="2:13" ht="17.25" thickBot="1">
      <c r="B13" s="2">
        <v>12</v>
      </c>
      <c r="C13" t="s">
        <v>445</v>
      </c>
      <c r="D13" s="3"/>
      <c r="E13" s="87">
        <v>4</v>
      </c>
      <c r="F13" s="98">
        <f t="shared" si="0"/>
        <v>80</v>
      </c>
      <c r="G13">
        <f>VLOOKUP($C13,약재관리!A:J,10,FALSE)</f>
        <v>16.7</v>
      </c>
      <c r="H13" s="4">
        <f t="shared" si="1"/>
        <v>66.8</v>
      </c>
      <c r="I13" s="5">
        <f t="shared" si="2"/>
        <v>1336</v>
      </c>
      <c r="K13" s="159"/>
      <c r="L13" s="160"/>
      <c r="M13" s="161"/>
    </row>
    <row r="14" spans="2:13">
      <c r="B14" s="2">
        <v>13</v>
      </c>
      <c r="C14" t="s">
        <v>446</v>
      </c>
      <c r="D14" s="3"/>
      <c r="E14" s="87">
        <v>4</v>
      </c>
      <c r="F14" s="98">
        <f t="shared" si="0"/>
        <v>80</v>
      </c>
      <c r="G14">
        <f>VLOOKUP($C14,약재관리!A:J,10,FALSE)</f>
        <v>21.7</v>
      </c>
      <c r="H14" s="4">
        <f t="shared" si="1"/>
        <v>86.8</v>
      </c>
      <c r="I14" s="5">
        <f t="shared" si="2"/>
        <v>1736</v>
      </c>
      <c r="K14" s="91" t="s">
        <v>16</v>
      </c>
      <c r="L14" s="8">
        <v>15</v>
      </c>
      <c r="M14" s="9" t="s">
        <v>17</v>
      </c>
    </row>
    <row r="15" spans="2:13">
      <c r="B15" s="2">
        <v>14</v>
      </c>
      <c r="C15" t="s">
        <v>434</v>
      </c>
      <c r="D15" s="3"/>
      <c r="E15" s="87">
        <v>6</v>
      </c>
      <c r="F15" s="98">
        <f t="shared" si="0"/>
        <v>120</v>
      </c>
      <c r="G15">
        <f>VLOOKUP($C15,약재관리!A:J,10,FALSE)</f>
        <v>14.4</v>
      </c>
      <c r="H15" s="4">
        <f t="shared" si="1"/>
        <v>86.4</v>
      </c>
      <c r="I15" s="5">
        <f t="shared" si="2"/>
        <v>1728</v>
      </c>
      <c r="K15" s="90" t="s">
        <v>18</v>
      </c>
      <c r="L15">
        <v>20</v>
      </c>
      <c r="M15" s="3" t="s">
        <v>19</v>
      </c>
    </row>
    <row r="16" spans="2:13">
      <c r="B16" s="2">
        <v>15</v>
      </c>
      <c r="C16" t="s">
        <v>429</v>
      </c>
      <c r="D16" s="3"/>
      <c r="E16" s="87">
        <v>4</v>
      </c>
      <c r="F16" s="98">
        <f t="shared" si="0"/>
        <v>80</v>
      </c>
      <c r="G16">
        <f>VLOOKUP($C16,약재관리!A:J,10,FALSE)</f>
        <v>8</v>
      </c>
      <c r="H16" s="4">
        <f t="shared" si="1"/>
        <v>32</v>
      </c>
      <c r="I16" s="5">
        <f t="shared" si="2"/>
        <v>640</v>
      </c>
      <c r="K16" s="90" t="s">
        <v>20</v>
      </c>
      <c r="L16">
        <v>45</v>
      </c>
      <c r="M16" s="3" t="s">
        <v>21</v>
      </c>
    </row>
    <row r="17" spans="2:13" ht="17.25" thickBot="1">
      <c r="B17" s="2">
        <v>16</v>
      </c>
      <c r="C17" t="s">
        <v>447</v>
      </c>
      <c r="D17" s="3"/>
      <c r="E17" s="87">
        <v>4</v>
      </c>
      <c r="F17" s="98">
        <f t="shared" si="0"/>
        <v>80</v>
      </c>
      <c r="G17">
        <f>VLOOKUP($C17,약재관리!A:J,10,FALSE)</f>
        <v>7.5</v>
      </c>
      <c r="H17" s="4">
        <f t="shared" si="1"/>
        <v>30</v>
      </c>
      <c r="I17" s="5">
        <f t="shared" si="2"/>
        <v>600</v>
      </c>
      <c r="K17" s="13" t="s">
        <v>22</v>
      </c>
      <c r="L17" s="10">
        <v>110</v>
      </c>
      <c r="M17" s="11" t="s">
        <v>23</v>
      </c>
    </row>
    <row r="18" spans="2:13">
      <c r="B18" s="2">
        <v>17</v>
      </c>
      <c r="C18" t="s">
        <v>420</v>
      </c>
      <c r="D18" s="3"/>
      <c r="E18" s="87">
        <v>6</v>
      </c>
      <c r="F18" s="98">
        <f t="shared" si="0"/>
        <v>120</v>
      </c>
      <c r="G18">
        <f>VLOOKUP($C18,약재관리!A:J,10,FALSE)</f>
        <v>14.7</v>
      </c>
      <c r="H18" s="4">
        <f t="shared" si="1"/>
        <v>88.199999999999989</v>
      </c>
      <c r="I18" s="5">
        <f t="shared" si="2"/>
        <v>1764</v>
      </c>
      <c r="K18" s="91" t="s">
        <v>24</v>
      </c>
      <c r="L18" s="8">
        <f>SUM(E2:E31)</f>
        <v>81</v>
      </c>
      <c r="M18" s="9" t="s">
        <v>25</v>
      </c>
    </row>
    <row r="19" spans="2:13">
      <c r="B19" s="2">
        <v>18</v>
      </c>
      <c r="C19" t="s">
        <v>449</v>
      </c>
      <c r="D19" s="3"/>
      <c r="E19" s="87">
        <v>4</v>
      </c>
      <c r="F19" s="98">
        <f t="shared" si="0"/>
        <v>80</v>
      </c>
      <c r="G19">
        <f>VLOOKUP($C19,약재관리!A:J,10,FALSE)</f>
        <v>9</v>
      </c>
      <c r="H19" s="4">
        <f t="shared" si="1"/>
        <v>36</v>
      </c>
      <c r="I19" s="5">
        <f t="shared" si="2"/>
        <v>720</v>
      </c>
      <c r="K19" s="90" t="s">
        <v>26</v>
      </c>
      <c r="L19">
        <f>L15*L18</f>
        <v>1620</v>
      </c>
      <c r="M19" s="3" t="s">
        <v>25</v>
      </c>
    </row>
    <row r="20" spans="2:13" ht="17.25" thickBot="1">
      <c r="B20" s="2">
        <v>19</v>
      </c>
      <c r="C20" t="s">
        <v>431</v>
      </c>
      <c r="D20" s="3"/>
      <c r="E20" s="87">
        <v>2</v>
      </c>
      <c r="F20" s="98">
        <f t="shared" si="0"/>
        <v>40</v>
      </c>
      <c r="G20">
        <f>VLOOKUP($C20,약재관리!A:J,10,FALSE)</f>
        <v>21.8</v>
      </c>
      <c r="H20" s="4">
        <f t="shared" si="1"/>
        <v>43.6</v>
      </c>
      <c r="I20" s="5">
        <f t="shared" si="2"/>
        <v>872</v>
      </c>
      <c r="K20" s="13" t="s">
        <v>27</v>
      </c>
      <c r="L20" s="10">
        <f>L16*L17+L19</f>
        <v>6570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1620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1812.3999999999999</v>
      </c>
      <c r="M30" s="3" t="s">
        <v>36</v>
      </c>
    </row>
    <row r="31" spans="2:13" ht="17.25" thickBot="1">
      <c r="B31" s="12">
        <v>30</v>
      </c>
      <c r="C31" s="13"/>
      <c r="D31" s="11"/>
      <c r="E31" s="94"/>
      <c r="F31" s="99">
        <f t="shared" si="0"/>
        <v>0</v>
      </c>
      <c r="G31" s="10"/>
      <c r="H31" s="14">
        <f t="shared" si="1"/>
        <v>0</v>
      </c>
      <c r="I31" s="15">
        <f t="shared" si="2"/>
        <v>0</v>
      </c>
      <c r="K31" s="13" t="s">
        <v>37</v>
      </c>
      <c r="L31" s="14">
        <f>SUM(I2:I31)</f>
        <v>36248</v>
      </c>
      <c r="M31" s="11" t="s">
        <v>36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9FBA2-D20D-43D9-8B64-46F0FB99DE6A}">
  <sheetPr>
    <pageSetUpPr fitToPage="1"/>
  </sheetPr>
  <dimension ref="B1:M31"/>
  <sheetViews>
    <sheetView workbookViewId="0">
      <selection activeCell="E26" sqref="E26"/>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416</v>
      </c>
      <c r="D2" s="3"/>
      <c r="E2" s="87">
        <v>6</v>
      </c>
      <c r="F2" s="98">
        <f>E2*$L$15</f>
        <v>60</v>
      </c>
      <c r="G2">
        <f>VLOOKUP($C2,약재관리!A:J,10,FALSE)</f>
        <v>30.3</v>
      </c>
      <c r="H2" s="4">
        <f>G2*E2</f>
        <v>181.8</v>
      </c>
      <c r="I2" s="89">
        <f>G2*F2</f>
        <v>1818</v>
      </c>
      <c r="K2" s="6" t="s">
        <v>9</v>
      </c>
      <c r="L2" s="162">
        <v>121</v>
      </c>
      <c r="M2" s="163"/>
    </row>
    <row r="3" spans="2:13">
      <c r="B3" s="2">
        <v>2</v>
      </c>
      <c r="C3" t="s">
        <v>436</v>
      </c>
      <c r="D3" s="3"/>
      <c r="E3" s="87">
        <v>6</v>
      </c>
      <c r="F3" s="98">
        <f t="shared" ref="F3:F31" si="0">E3*$L$15</f>
        <v>60</v>
      </c>
      <c r="G3">
        <f>VLOOKUP($C3,약재관리!A:J,10,FALSE)</f>
        <v>19.600000000000001</v>
      </c>
      <c r="H3" s="4">
        <f t="shared" ref="H3:H31" si="1">G3*E3</f>
        <v>117.60000000000001</v>
      </c>
      <c r="I3" s="5">
        <f t="shared" ref="I3:I31" si="2">G3*F3</f>
        <v>1176</v>
      </c>
      <c r="K3" s="7" t="s">
        <v>10</v>
      </c>
      <c r="L3" s="164" t="s">
        <v>441</v>
      </c>
      <c r="M3" s="165"/>
    </row>
    <row r="4" spans="2:13">
      <c r="B4" s="2">
        <v>3</v>
      </c>
      <c r="C4" t="s">
        <v>422</v>
      </c>
      <c r="D4" s="3"/>
      <c r="E4" s="87">
        <v>6</v>
      </c>
      <c r="F4" s="98">
        <f t="shared" si="0"/>
        <v>60</v>
      </c>
      <c r="G4">
        <f>VLOOKUP($C4,약재관리!A:J,10,FALSE)</f>
        <v>9.8000000000000007</v>
      </c>
      <c r="H4" s="4">
        <f t="shared" si="1"/>
        <v>58.800000000000004</v>
      </c>
      <c r="I4" s="5">
        <f t="shared" si="2"/>
        <v>588</v>
      </c>
      <c r="K4" s="7" t="s">
        <v>11</v>
      </c>
      <c r="L4" s="166">
        <v>45852</v>
      </c>
      <c r="M4" s="165"/>
    </row>
    <row r="5" spans="2:13">
      <c r="B5" s="2">
        <v>4</v>
      </c>
      <c r="C5" t="s">
        <v>444</v>
      </c>
      <c r="D5" s="3"/>
      <c r="E5" s="87">
        <v>4</v>
      </c>
      <c r="F5" s="98">
        <f t="shared" si="0"/>
        <v>40</v>
      </c>
      <c r="G5">
        <f>VLOOKUP($C5,약재관리!A:J,10,FALSE)</f>
        <v>72.7</v>
      </c>
      <c r="H5" s="4">
        <f t="shared" si="1"/>
        <v>290.8</v>
      </c>
      <c r="I5" s="5">
        <f t="shared" si="2"/>
        <v>2908</v>
      </c>
      <c r="K5" s="7" t="s">
        <v>12</v>
      </c>
      <c r="L5" s="164" t="s">
        <v>418</v>
      </c>
      <c r="M5" s="165"/>
    </row>
    <row r="6" spans="2:13">
      <c r="B6" s="2">
        <v>5</v>
      </c>
      <c r="C6" t="s">
        <v>433</v>
      </c>
      <c r="D6" s="3"/>
      <c r="E6" s="87">
        <v>4</v>
      </c>
      <c r="F6" s="98">
        <f t="shared" si="0"/>
        <v>40</v>
      </c>
      <c r="G6">
        <f>VLOOKUP($C6,약재관리!A:J,10,FALSE)</f>
        <v>27.2</v>
      </c>
      <c r="H6" s="4">
        <f t="shared" si="1"/>
        <v>108.8</v>
      </c>
      <c r="I6" s="5">
        <f t="shared" si="2"/>
        <v>1088</v>
      </c>
      <c r="K6" s="7" t="s">
        <v>13</v>
      </c>
      <c r="L6" s="164">
        <v>67</v>
      </c>
      <c r="M6" s="165"/>
    </row>
    <row r="7" spans="2:13" ht="17.25" thickBot="1">
      <c r="B7" s="2">
        <v>6</v>
      </c>
      <c r="C7" t="s">
        <v>414</v>
      </c>
      <c r="D7" s="3"/>
      <c r="E7" s="87">
        <v>4</v>
      </c>
      <c r="F7" s="98">
        <f t="shared" si="0"/>
        <v>40</v>
      </c>
      <c r="G7">
        <f>VLOOKUP($C7,약재관리!A:J,10,FALSE)</f>
        <v>44.3</v>
      </c>
      <c r="H7" s="4">
        <f t="shared" si="1"/>
        <v>177.2</v>
      </c>
      <c r="I7" s="5">
        <f t="shared" si="2"/>
        <v>1772</v>
      </c>
      <c r="K7" s="7" t="s">
        <v>14</v>
      </c>
      <c r="L7" s="148" t="s">
        <v>417</v>
      </c>
      <c r="M7" s="149"/>
    </row>
    <row r="8" spans="2:13" ht="17.25" thickBot="1">
      <c r="B8" s="2">
        <v>7</v>
      </c>
      <c r="C8" t="s">
        <v>415</v>
      </c>
      <c r="D8" s="3"/>
      <c r="E8" s="87">
        <v>2</v>
      </c>
      <c r="F8" s="98">
        <f t="shared" si="0"/>
        <v>20</v>
      </c>
      <c r="G8">
        <f>VLOOKUP($C8,약재관리!A:J,10,FALSE)</f>
        <v>28.3</v>
      </c>
      <c r="H8" s="4">
        <f t="shared" si="1"/>
        <v>56.6</v>
      </c>
      <c r="I8" s="5">
        <f t="shared" si="2"/>
        <v>566</v>
      </c>
      <c r="K8" s="150" t="s">
        <v>15</v>
      </c>
      <c r="L8" s="151"/>
      <c r="M8" s="152"/>
    </row>
    <row r="9" spans="2:13">
      <c r="B9" s="2">
        <v>8</v>
      </c>
      <c r="C9" t="s">
        <v>424</v>
      </c>
      <c r="D9" s="3"/>
      <c r="E9" s="87">
        <v>4</v>
      </c>
      <c r="F9" s="98">
        <f t="shared" si="0"/>
        <v>40</v>
      </c>
      <c r="G9">
        <f>VLOOKUP($C9,약재관리!A:J,10,FALSE)</f>
        <v>22.5</v>
      </c>
      <c r="H9" s="4">
        <f t="shared" si="1"/>
        <v>90</v>
      </c>
      <c r="I9" s="5">
        <f t="shared" si="2"/>
        <v>900</v>
      </c>
      <c r="K9" s="153" t="s">
        <v>448</v>
      </c>
      <c r="L9" s="154"/>
      <c r="M9" s="155"/>
    </row>
    <row r="10" spans="2:13">
      <c r="B10" s="2">
        <v>9</v>
      </c>
      <c r="C10" t="s">
        <v>426</v>
      </c>
      <c r="D10" s="3"/>
      <c r="E10" s="87">
        <v>3</v>
      </c>
      <c r="F10" s="98">
        <f t="shared" si="0"/>
        <v>30</v>
      </c>
      <c r="G10">
        <f>VLOOKUP($C10,약재관리!A:J,10,FALSE)</f>
        <v>15</v>
      </c>
      <c r="H10" s="4">
        <f t="shared" si="1"/>
        <v>45</v>
      </c>
      <c r="I10" s="5">
        <f t="shared" si="2"/>
        <v>450</v>
      </c>
      <c r="K10" s="156"/>
      <c r="L10" s="157"/>
      <c r="M10" s="158"/>
    </row>
    <row r="11" spans="2:13">
      <c r="B11" s="2">
        <v>10</v>
      </c>
      <c r="C11" t="s">
        <v>443</v>
      </c>
      <c r="D11" s="3"/>
      <c r="E11" s="87">
        <v>4</v>
      </c>
      <c r="F11" s="98">
        <f t="shared" si="0"/>
        <v>40</v>
      </c>
      <c r="G11">
        <f>VLOOKUP($C11,약재관리!A:J,10,FALSE)</f>
        <v>28</v>
      </c>
      <c r="H11" s="4">
        <f t="shared" si="1"/>
        <v>112</v>
      </c>
      <c r="I11" s="5">
        <f t="shared" si="2"/>
        <v>1120</v>
      </c>
      <c r="K11" s="156"/>
      <c r="L11" s="157"/>
      <c r="M11" s="158"/>
    </row>
    <row r="12" spans="2:13">
      <c r="B12" s="2">
        <v>11</v>
      </c>
      <c r="C12" t="s">
        <v>430</v>
      </c>
      <c r="D12" s="3"/>
      <c r="E12" s="87">
        <v>4</v>
      </c>
      <c r="F12" s="98">
        <f t="shared" si="0"/>
        <v>40</v>
      </c>
      <c r="G12">
        <f>VLOOKUP($C12,약재관리!A:J,10,FALSE)</f>
        <v>26</v>
      </c>
      <c r="H12" s="4">
        <f t="shared" si="1"/>
        <v>104</v>
      </c>
      <c r="I12" s="5">
        <f t="shared" si="2"/>
        <v>1040</v>
      </c>
      <c r="K12" s="156"/>
      <c r="L12" s="157"/>
      <c r="M12" s="158"/>
    </row>
    <row r="13" spans="2:13" ht="17.25" thickBot="1">
      <c r="B13" s="2">
        <v>12</v>
      </c>
      <c r="C13" t="s">
        <v>445</v>
      </c>
      <c r="D13" s="3"/>
      <c r="E13" s="87">
        <v>4</v>
      </c>
      <c r="F13" s="98">
        <f t="shared" si="0"/>
        <v>40</v>
      </c>
      <c r="G13">
        <f>VLOOKUP($C13,약재관리!A:J,10,FALSE)</f>
        <v>16.7</v>
      </c>
      <c r="H13" s="4">
        <f t="shared" si="1"/>
        <v>66.8</v>
      </c>
      <c r="I13" s="5">
        <f t="shared" si="2"/>
        <v>668</v>
      </c>
      <c r="K13" s="159"/>
      <c r="L13" s="160"/>
      <c r="M13" s="161"/>
    </row>
    <row r="14" spans="2:13">
      <c r="B14" s="2">
        <v>13</v>
      </c>
      <c r="C14" t="s">
        <v>446</v>
      </c>
      <c r="D14" s="3"/>
      <c r="E14" s="87">
        <v>4</v>
      </c>
      <c r="F14" s="98">
        <f t="shared" si="0"/>
        <v>40</v>
      </c>
      <c r="G14">
        <f>VLOOKUP($C14,약재관리!A:J,10,FALSE)</f>
        <v>21.7</v>
      </c>
      <c r="H14" s="4">
        <f t="shared" si="1"/>
        <v>86.8</v>
      </c>
      <c r="I14" s="5">
        <f t="shared" si="2"/>
        <v>868</v>
      </c>
      <c r="K14" s="91" t="s">
        <v>16</v>
      </c>
      <c r="L14" s="8">
        <v>10</v>
      </c>
      <c r="M14" s="9" t="s">
        <v>17</v>
      </c>
    </row>
    <row r="15" spans="2:13">
      <c r="B15" s="2">
        <v>14</v>
      </c>
      <c r="C15" t="s">
        <v>434</v>
      </c>
      <c r="D15" s="3"/>
      <c r="E15" s="87">
        <v>6</v>
      </c>
      <c r="F15" s="98">
        <f t="shared" si="0"/>
        <v>60</v>
      </c>
      <c r="G15">
        <f>VLOOKUP($C15,약재관리!A:J,10,FALSE)</f>
        <v>14.4</v>
      </c>
      <c r="H15" s="4">
        <f t="shared" si="1"/>
        <v>86.4</v>
      </c>
      <c r="I15" s="5">
        <f t="shared" si="2"/>
        <v>864</v>
      </c>
      <c r="K15" s="90" t="s">
        <v>18</v>
      </c>
      <c r="L15">
        <v>10</v>
      </c>
      <c r="M15" s="3" t="s">
        <v>19</v>
      </c>
    </row>
    <row r="16" spans="2:13">
      <c r="B16" s="2">
        <v>15</v>
      </c>
      <c r="C16" t="s">
        <v>429</v>
      </c>
      <c r="D16" s="3"/>
      <c r="E16" s="87">
        <v>4</v>
      </c>
      <c r="F16" s="98">
        <f t="shared" si="0"/>
        <v>40</v>
      </c>
      <c r="G16">
        <f>VLOOKUP($C16,약재관리!A:J,10,FALSE)</f>
        <v>8</v>
      </c>
      <c r="H16" s="4">
        <f t="shared" si="1"/>
        <v>32</v>
      </c>
      <c r="I16" s="5">
        <f t="shared" si="2"/>
        <v>320</v>
      </c>
      <c r="K16" s="90" t="s">
        <v>20</v>
      </c>
      <c r="L16">
        <v>20</v>
      </c>
      <c r="M16" s="3" t="s">
        <v>21</v>
      </c>
    </row>
    <row r="17" spans="2:13" ht="17.25" thickBot="1">
      <c r="B17" s="2">
        <v>16</v>
      </c>
      <c r="C17" t="s">
        <v>447</v>
      </c>
      <c r="D17" s="3"/>
      <c r="E17" s="87">
        <v>4</v>
      </c>
      <c r="F17" s="98">
        <f t="shared" si="0"/>
        <v>40</v>
      </c>
      <c r="G17">
        <f>VLOOKUP($C17,약재관리!A:J,10,FALSE)</f>
        <v>7.5</v>
      </c>
      <c r="H17" s="4">
        <f t="shared" si="1"/>
        <v>30</v>
      </c>
      <c r="I17" s="5">
        <f t="shared" si="2"/>
        <v>300</v>
      </c>
      <c r="K17" s="13" t="s">
        <v>22</v>
      </c>
      <c r="L17" s="10">
        <v>110</v>
      </c>
      <c r="M17" s="11" t="s">
        <v>23</v>
      </c>
    </row>
    <row r="18" spans="2:13">
      <c r="B18" s="2">
        <v>17</v>
      </c>
      <c r="C18" t="s">
        <v>420</v>
      </c>
      <c r="D18" s="3"/>
      <c r="E18" s="87">
        <v>6</v>
      </c>
      <c r="F18" s="98">
        <f t="shared" si="0"/>
        <v>60</v>
      </c>
      <c r="G18">
        <f>VLOOKUP($C18,약재관리!A:J,10,FALSE)</f>
        <v>14.7</v>
      </c>
      <c r="H18" s="4">
        <f t="shared" si="1"/>
        <v>88.199999999999989</v>
      </c>
      <c r="I18" s="5">
        <f t="shared" si="2"/>
        <v>882</v>
      </c>
      <c r="K18" s="91" t="s">
        <v>24</v>
      </c>
      <c r="L18" s="8">
        <f>SUM(E2:E31)</f>
        <v>79</v>
      </c>
      <c r="M18" s="9" t="s">
        <v>25</v>
      </c>
    </row>
    <row r="19" spans="2:13">
      <c r="B19" s="2">
        <v>18</v>
      </c>
      <c r="C19" t="s">
        <v>449</v>
      </c>
      <c r="D19" s="3"/>
      <c r="E19" s="87">
        <v>4</v>
      </c>
      <c r="F19" s="98">
        <f t="shared" si="0"/>
        <v>40</v>
      </c>
      <c r="G19">
        <f>VLOOKUP($C19,약재관리!A:J,10,FALSE)</f>
        <v>9</v>
      </c>
      <c r="H19" s="4">
        <f t="shared" si="1"/>
        <v>36</v>
      </c>
      <c r="I19" s="5">
        <f t="shared" si="2"/>
        <v>360</v>
      </c>
      <c r="K19" s="90" t="s">
        <v>26</v>
      </c>
      <c r="L19">
        <f>L15*L18</f>
        <v>790</v>
      </c>
      <c r="M19" s="3" t="s">
        <v>25</v>
      </c>
    </row>
    <row r="20" spans="2:13" ht="17.25" thickBot="1">
      <c r="B20" s="2">
        <v>19</v>
      </c>
      <c r="D20" s="3"/>
      <c r="F20" s="98">
        <f t="shared" si="0"/>
        <v>0</v>
      </c>
      <c r="H20" s="4">
        <f t="shared" si="1"/>
        <v>0</v>
      </c>
      <c r="I20" s="5">
        <f t="shared" si="2"/>
        <v>0</v>
      </c>
      <c r="K20" s="13" t="s">
        <v>27</v>
      </c>
      <c r="L20" s="10">
        <f>L16*L17+L19</f>
        <v>2990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790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1768.8</v>
      </c>
      <c r="M30" s="3" t="s">
        <v>36</v>
      </c>
    </row>
    <row r="31" spans="2:13" ht="17.25" thickBot="1">
      <c r="B31" s="12">
        <v>30</v>
      </c>
      <c r="C31" s="13"/>
      <c r="D31" s="11"/>
      <c r="E31" s="94"/>
      <c r="F31" s="99">
        <f t="shared" si="0"/>
        <v>0</v>
      </c>
      <c r="G31" s="10"/>
      <c r="H31" s="14">
        <f t="shared" si="1"/>
        <v>0</v>
      </c>
      <c r="I31" s="15">
        <f t="shared" si="2"/>
        <v>0</v>
      </c>
      <c r="K31" s="13" t="s">
        <v>37</v>
      </c>
      <c r="L31" s="14">
        <f>SUM(I2:I31)</f>
        <v>17688</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C0D9B-2BC0-4668-A831-D3D8D322B035}">
  <sheetPr>
    <pageSetUpPr fitToPage="1"/>
  </sheetPr>
  <dimension ref="B1:M31"/>
  <sheetViews>
    <sheetView workbookViewId="0">
      <selection activeCell="G19" sqref="G19"/>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416</v>
      </c>
      <c r="D2" s="3"/>
      <c r="E2" s="87">
        <v>5</v>
      </c>
      <c r="F2" s="98">
        <f>E2*$L$15</f>
        <v>50</v>
      </c>
      <c r="G2">
        <f>VLOOKUP($C2,약재관리!A:J,10,FALSE)</f>
        <v>30.3</v>
      </c>
      <c r="H2" s="4">
        <f>G2*E2</f>
        <v>151.5</v>
      </c>
      <c r="I2" s="89">
        <f>G2*F2</f>
        <v>1515</v>
      </c>
      <c r="K2" s="6" t="s">
        <v>9</v>
      </c>
      <c r="L2" s="162">
        <v>121</v>
      </c>
      <c r="M2" s="163"/>
    </row>
    <row r="3" spans="2:13">
      <c r="B3" s="2">
        <v>2</v>
      </c>
      <c r="C3" t="s">
        <v>436</v>
      </c>
      <c r="D3" s="3"/>
      <c r="E3" s="87">
        <v>5</v>
      </c>
      <c r="F3" s="98">
        <f t="shared" ref="F3:F31" si="0">E3*$L$15</f>
        <v>50</v>
      </c>
      <c r="G3">
        <f>VLOOKUP($C3,약재관리!A:J,10,FALSE)</f>
        <v>19.600000000000001</v>
      </c>
      <c r="H3" s="4">
        <f t="shared" ref="H3:H31" si="1">G3*E3</f>
        <v>98</v>
      </c>
      <c r="I3" s="5">
        <f t="shared" ref="I3:I31" si="2">G3*F3</f>
        <v>980.00000000000011</v>
      </c>
      <c r="K3" s="7" t="s">
        <v>10</v>
      </c>
      <c r="L3" s="164" t="s">
        <v>441</v>
      </c>
      <c r="M3" s="165"/>
    </row>
    <row r="4" spans="2:13">
      <c r="B4" s="2">
        <v>3</v>
      </c>
      <c r="C4" t="s">
        <v>422</v>
      </c>
      <c r="D4" s="3"/>
      <c r="E4" s="87">
        <v>4</v>
      </c>
      <c r="F4" s="98">
        <f t="shared" si="0"/>
        <v>40</v>
      </c>
      <c r="G4">
        <f>VLOOKUP($C4,약재관리!A:J,10,FALSE)</f>
        <v>9.8000000000000007</v>
      </c>
      <c r="H4" s="4">
        <f t="shared" si="1"/>
        <v>39.200000000000003</v>
      </c>
      <c r="I4" s="5">
        <f t="shared" si="2"/>
        <v>392</v>
      </c>
      <c r="K4" s="7" t="s">
        <v>11</v>
      </c>
      <c r="L4" s="166">
        <v>45841</v>
      </c>
      <c r="M4" s="165"/>
    </row>
    <row r="5" spans="2:13">
      <c r="B5" s="2">
        <v>4</v>
      </c>
      <c r="C5" t="s">
        <v>444</v>
      </c>
      <c r="D5" s="3"/>
      <c r="E5" s="87">
        <v>4</v>
      </c>
      <c r="F5" s="98">
        <f t="shared" si="0"/>
        <v>40</v>
      </c>
      <c r="G5">
        <f>VLOOKUP($C5,약재관리!A:J,10,FALSE)</f>
        <v>72.7</v>
      </c>
      <c r="H5" s="4">
        <f t="shared" si="1"/>
        <v>290.8</v>
      </c>
      <c r="I5" s="5">
        <f t="shared" si="2"/>
        <v>2908</v>
      </c>
      <c r="K5" s="7" t="s">
        <v>12</v>
      </c>
      <c r="L5" s="164" t="s">
        <v>418</v>
      </c>
      <c r="M5" s="165"/>
    </row>
    <row r="6" spans="2:13">
      <c r="B6" s="2">
        <v>5</v>
      </c>
      <c r="C6" t="s">
        <v>433</v>
      </c>
      <c r="D6" s="3"/>
      <c r="E6" s="87">
        <v>4</v>
      </c>
      <c r="F6" s="98">
        <f t="shared" si="0"/>
        <v>40</v>
      </c>
      <c r="G6">
        <f>VLOOKUP($C6,약재관리!A:J,10,FALSE)</f>
        <v>27.2</v>
      </c>
      <c r="H6" s="4">
        <f t="shared" si="1"/>
        <v>108.8</v>
      </c>
      <c r="I6" s="5">
        <f t="shared" si="2"/>
        <v>1088</v>
      </c>
      <c r="K6" s="7" t="s">
        <v>13</v>
      </c>
      <c r="L6" s="164">
        <v>67</v>
      </c>
      <c r="M6" s="165"/>
    </row>
    <row r="7" spans="2:13" ht="17.25" thickBot="1">
      <c r="B7" s="2">
        <v>6</v>
      </c>
      <c r="C7" t="s">
        <v>414</v>
      </c>
      <c r="D7" s="3"/>
      <c r="E7" s="87">
        <v>4</v>
      </c>
      <c r="F7" s="98">
        <f t="shared" si="0"/>
        <v>40</v>
      </c>
      <c r="G7">
        <f>VLOOKUP($C7,약재관리!A:J,10,FALSE)</f>
        <v>44.3</v>
      </c>
      <c r="H7" s="4">
        <f t="shared" si="1"/>
        <v>177.2</v>
      </c>
      <c r="I7" s="5">
        <f t="shared" si="2"/>
        <v>1772</v>
      </c>
      <c r="K7" s="7" t="s">
        <v>14</v>
      </c>
      <c r="L7" s="148" t="s">
        <v>417</v>
      </c>
      <c r="M7" s="149"/>
    </row>
    <row r="8" spans="2:13" ht="17.25" thickBot="1">
      <c r="B8" s="2">
        <v>7</v>
      </c>
      <c r="C8" t="s">
        <v>415</v>
      </c>
      <c r="D8" s="3"/>
      <c r="E8" s="87">
        <v>2</v>
      </c>
      <c r="F8" s="98">
        <f t="shared" si="0"/>
        <v>20</v>
      </c>
      <c r="G8">
        <f>VLOOKUP($C8,약재관리!A:J,10,FALSE)</f>
        <v>28.3</v>
      </c>
      <c r="H8" s="4">
        <f t="shared" si="1"/>
        <v>56.6</v>
      </c>
      <c r="I8" s="5">
        <f t="shared" si="2"/>
        <v>566</v>
      </c>
      <c r="K8" s="150" t="s">
        <v>15</v>
      </c>
      <c r="L8" s="151"/>
      <c r="M8" s="152"/>
    </row>
    <row r="9" spans="2:13">
      <c r="B9" s="2">
        <v>8</v>
      </c>
      <c r="C9" t="s">
        <v>442</v>
      </c>
      <c r="D9" s="3" t="s">
        <v>450</v>
      </c>
      <c r="E9" s="87">
        <v>2</v>
      </c>
      <c r="F9" s="98">
        <f t="shared" si="0"/>
        <v>20</v>
      </c>
      <c r="G9">
        <f>VLOOKUP($C9,약재관리!A:J,10,FALSE)</f>
        <v>21.8</v>
      </c>
      <c r="H9" s="4">
        <f t="shared" si="1"/>
        <v>43.6</v>
      </c>
      <c r="I9" s="5">
        <f t="shared" si="2"/>
        <v>436</v>
      </c>
      <c r="K9" s="153" t="s">
        <v>448</v>
      </c>
      <c r="L9" s="154"/>
      <c r="M9" s="155"/>
    </row>
    <row r="10" spans="2:13">
      <c r="B10" s="2">
        <v>9</v>
      </c>
      <c r="C10" t="s">
        <v>426</v>
      </c>
      <c r="D10" s="3"/>
      <c r="E10" s="87">
        <v>3</v>
      </c>
      <c r="F10" s="98">
        <f t="shared" si="0"/>
        <v>30</v>
      </c>
      <c r="G10">
        <f>VLOOKUP($C10,약재관리!A:J,10,FALSE)</f>
        <v>15</v>
      </c>
      <c r="H10" s="4">
        <f t="shared" si="1"/>
        <v>45</v>
      </c>
      <c r="I10" s="5">
        <f t="shared" si="2"/>
        <v>450</v>
      </c>
      <c r="K10" s="156"/>
      <c r="L10" s="157"/>
      <c r="M10" s="158"/>
    </row>
    <row r="11" spans="2:13">
      <c r="B11" s="2">
        <v>10</v>
      </c>
      <c r="C11" t="s">
        <v>443</v>
      </c>
      <c r="D11" s="3"/>
      <c r="E11" s="87">
        <v>4</v>
      </c>
      <c r="F11" s="98">
        <f t="shared" si="0"/>
        <v>40</v>
      </c>
      <c r="G11">
        <f>VLOOKUP($C11,약재관리!A:J,10,FALSE)</f>
        <v>28</v>
      </c>
      <c r="H11" s="4">
        <f t="shared" si="1"/>
        <v>112</v>
      </c>
      <c r="I11" s="5">
        <f t="shared" si="2"/>
        <v>1120</v>
      </c>
      <c r="K11" s="156"/>
      <c r="L11" s="157"/>
      <c r="M11" s="158"/>
    </row>
    <row r="12" spans="2:13">
      <c r="B12" s="2">
        <v>11</v>
      </c>
      <c r="C12" t="s">
        <v>430</v>
      </c>
      <c r="D12" s="3"/>
      <c r="E12" s="87">
        <v>4</v>
      </c>
      <c r="F12" s="98">
        <f t="shared" si="0"/>
        <v>40</v>
      </c>
      <c r="G12">
        <f>VLOOKUP($C12,약재관리!A:J,10,FALSE)</f>
        <v>26</v>
      </c>
      <c r="H12" s="4">
        <f t="shared" si="1"/>
        <v>104</v>
      </c>
      <c r="I12" s="5">
        <f t="shared" si="2"/>
        <v>1040</v>
      </c>
      <c r="K12" s="156"/>
      <c r="L12" s="157"/>
      <c r="M12" s="158"/>
    </row>
    <row r="13" spans="2:13" ht="17.25" thickBot="1">
      <c r="B13" s="2">
        <v>12</v>
      </c>
      <c r="C13" t="s">
        <v>445</v>
      </c>
      <c r="D13" s="3"/>
      <c r="E13" s="87">
        <v>4</v>
      </c>
      <c r="F13" s="98">
        <f t="shared" si="0"/>
        <v>40</v>
      </c>
      <c r="G13">
        <f>VLOOKUP($C13,약재관리!A:J,10,FALSE)</f>
        <v>16.7</v>
      </c>
      <c r="H13" s="4">
        <f t="shared" si="1"/>
        <v>66.8</v>
      </c>
      <c r="I13" s="5">
        <f t="shared" si="2"/>
        <v>668</v>
      </c>
      <c r="K13" s="159"/>
      <c r="L13" s="160"/>
      <c r="M13" s="161"/>
    </row>
    <row r="14" spans="2:13">
      <c r="B14" s="2">
        <v>13</v>
      </c>
      <c r="C14" t="s">
        <v>446</v>
      </c>
      <c r="D14" s="3"/>
      <c r="E14" s="87">
        <v>4</v>
      </c>
      <c r="F14" s="98">
        <f t="shared" si="0"/>
        <v>40</v>
      </c>
      <c r="G14">
        <f>VLOOKUP($C14,약재관리!A:J,10,FALSE)</f>
        <v>21.7</v>
      </c>
      <c r="H14" s="4">
        <f t="shared" si="1"/>
        <v>86.8</v>
      </c>
      <c r="I14" s="5">
        <f t="shared" si="2"/>
        <v>868</v>
      </c>
      <c r="K14" s="91" t="s">
        <v>16</v>
      </c>
      <c r="L14" s="8">
        <v>10</v>
      </c>
      <c r="M14" s="9" t="s">
        <v>17</v>
      </c>
    </row>
    <row r="15" spans="2:13">
      <c r="B15" s="2">
        <v>14</v>
      </c>
      <c r="C15" t="s">
        <v>434</v>
      </c>
      <c r="D15" s="3"/>
      <c r="E15" s="87">
        <v>3</v>
      </c>
      <c r="F15" s="98">
        <f t="shared" si="0"/>
        <v>30</v>
      </c>
      <c r="G15">
        <f>VLOOKUP($C15,약재관리!A:J,10,FALSE)</f>
        <v>14.4</v>
      </c>
      <c r="H15" s="4">
        <f t="shared" si="1"/>
        <v>43.2</v>
      </c>
      <c r="I15" s="5">
        <f t="shared" si="2"/>
        <v>432</v>
      </c>
      <c r="K15" s="90" t="s">
        <v>18</v>
      </c>
      <c r="L15">
        <v>10</v>
      </c>
      <c r="M15" s="3" t="s">
        <v>19</v>
      </c>
    </row>
    <row r="16" spans="2:13">
      <c r="B16" s="2">
        <v>15</v>
      </c>
      <c r="C16" t="s">
        <v>429</v>
      </c>
      <c r="D16" s="3"/>
      <c r="E16" s="87">
        <v>4</v>
      </c>
      <c r="F16" s="98">
        <f t="shared" si="0"/>
        <v>40</v>
      </c>
      <c r="G16">
        <f>VLOOKUP($C16,약재관리!A:J,10,FALSE)</f>
        <v>8</v>
      </c>
      <c r="H16" s="4">
        <f t="shared" si="1"/>
        <v>32</v>
      </c>
      <c r="I16" s="5">
        <f t="shared" si="2"/>
        <v>320</v>
      </c>
      <c r="K16" s="90" t="s">
        <v>20</v>
      </c>
      <c r="L16">
        <v>20</v>
      </c>
      <c r="M16" s="3" t="s">
        <v>21</v>
      </c>
    </row>
    <row r="17" spans="2:13" ht="17.25" thickBot="1">
      <c r="B17" s="2">
        <v>16</v>
      </c>
      <c r="C17" t="s">
        <v>447</v>
      </c>
      <c r="D17" s="3"/>
      <c r="E17" s="87">
        <v>4</v>
      </c>
      <c r="F17" s="98">
        <f t="shared" si="0"/>
        <v>40</v>
      </c>
      <c r="G17">
        <f>VLOOKUP($C17,약재관리!A:J,10,FALSE)</f>
        <v>7.5</v>
      </c>
      <c r="H17" s="4">
        <f t="shared" si="1"/>
        <v>30</v>
      </c>
      <c r="I17" s="5">
        <f t="shared" si="2"/>
        <v>300</v>
      </c>
      <c r="K17" s="13" t="s">
        <v>22</v>
      </c>
      <c r="L17" s="10">
        <v>110</v>
      </c>
      <c r="M17" s="11" t="s">
        <v>23</v>
      </c>
    </row>
    <row r="18" spans="2:13">
      <c r="B18" s="2">
        <v>17</v>
      </c>
      <c r="C18" t="s">
        <v>420</v>
      </c>
      <c r="D18" s="3"/>
      <c r="E18" s="87">
        <v>6</v>
      </c>
      <c r="F18" s="98">
        <f t="shared" si="0"/>
        <v>60</v>
      </c>
      <c r="G18">
        <f>VLOOKUP($C18,약재관리!A:J,10,FALSE)</f>
        <v>14.7</v>
      </c>
      <c r="H18" s="4">
        <f t="shared" si="1"/>
        <v>88.199999999999989</v>
      </c>
      <c r="I18" s="5">
        <f t="shared" si="2"/>
        <v>882</v>
      </c>
      <c r="K18" s="91" t="s">
        <v>24</v>
      </c>
      <c r="L18" s="8">
        <f>SUM(E2:E31)</f>
        <v>66</v>
      </c>
      <c r="M18" s="9" t="s">
        <v>25</v>
      </c>
    </row>
    <row r="19" spans="2:13">
      <c r="B19" s="2">
        <v>18</v>
      </c>
      <c r="D19" s="3"/>
      <c r="F19" s="98">
        <f t="shared" si="0"/>
        <v>0</v>
      </c>
      <c r="H19" s="4">
        <f t="shared" si="1"/>
        <v>0</v>
      </c>
      <c r="I19" s="5">
        <f t="shared" si="2"/>
        <v>0</v>
      </c>
      <c r="K19" s="90" t="s">
        <v>26</v>
      </c>
      <c r="L19">
        <f>L15*L18</f>
        <v>660</v>
      </c>
      <c r="M19" s="3" t="s">
        <v>25</v>
      </c>
    </row>
    <row r="20" spans="2:13" ht="17.25" thickBot="1">
      <c r="B20" s="2">
        <v>19</v>
      </c>
      <c r="D20" s="3"/>
      <c r="F20" s="98">
        <f t="shared" si="0"/>
        <v>0</v>
      </c>
      <c r="H20" s="4">
        <f t="shared" si="1"/>
        <v>0</v>
      </c>
      <c r="I20" s="5">
        <f t="shared" si="2"/>
        <v>0</v>
      </c>
      <c r="K20" s="13" t="s">
        <v>27</v>
      </c>
      <c r="L20" s="10">
        <f>L16*L17+L19</f>
        <v>2860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660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1573.7</v>
      </c>
      <c r="M30" s="3" t="s">
        <v>36</v>
      </c>
    </row>
    <row r="31" spans="2:13" ht="17.25" thickBot="1">
      <c r="B31" s="12">
        <v>30</v>
      </c>
      <c r="C31" s="13"/>
      <c r="D31" s="11"/>
      <c r="E31" s="94"/>
      <c r="F31" s="99">
        <f t="shared" si="0"/>
        <v>0</v>
      </c>
      <c r="G31" s="10"/>
      <c r="H31" s="14">
        <f t="shared" si="1"/>
        <v>0</v>
      </c>
      <c r="I31" s="15">
        <f t="shared" si="2"/>
        <v>0</v>
      </c>
      <c r="K31" s="13" t="s">
        <v>37</v>
      </c>
      <c r="L31" s="14">
        <f>SUM(I2:I31)</f>
        <v>15737</v>
      </c>
      <c r="M31" s="11" t="s">
        <v>36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F21" sqref="F21"/>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420</v>
      </c>
      <c r="D2" s="3"/>
      <c r="E2" s="87">
        <v>10</v>
      </c>
      <c r="F2" s="98">
        <f>E2*$L$15</f>
        <v>100</v>
      </c>
      <c r="G2">
        <f>VLOOKUP($C2,약재관리!A:J,10,FALSE)</f>
        <v>14.7</v>
      </c>
      <c r="H2" s="4">
        <f>G2*E2</f>
        <v>147</v>
      </c>
      <c r="I2" s="89">
        <f>G2*F2</f>
        <v>1470</v>
      </c>
      <c r="K2" s="6" t="s">
        <v>9</v>
      </c>
      <c r="L2" s="162">
        <v>121</v>
      </c>
      <c r="M2" s="163"/>
    </row>
    <row r="3" spans="2:13">
      <c r="B3" s="2">
        <v>2</v>
      </c>
      <c r="C3" t="s">
        <v>432</v>
      </c>
      <c r="D3" s="3"/>
      <c r="E3" s="87">
        <v>6</v>
      </c>
      <c r="F3" s="98">
        <f t="shared" ref="F3:F31" si="0">E3*$L$15</f>
        <v>60</v>
      </c>
      <c r="G3">
        <f>VLOOKUP($C3,약재관리!A:J,10,FALSE)</f>
        <v>17.600000000000001</v>
      </c>
      <c r="H3" s="4">
        <f t="shared" ref="H3:H31" si="1">G3*E3</f>
        <v>105.60000000000001</v>
      </c>
      <c r="I3" s="5">
        <f t="shared" ref="I3:I31" si="2">G3*F3</f>
        <v>1056</v>
      </c>
      <c r="K3" s="7" t="s">
        <v>10</v>
      </c>
      <c r="L3" s="164" t="s">
        <v>419</v>
      </c>
      <c r="M3" s="165"/>
    </row>
    <row r="4" spans="2:13">
      <c r="B4" s="2">
        <v>3</v>
      </c>
      <c r="C4" t="s">
        <v>421</v>
      </c>
      <c r="D4" s="3"/>
      <c r="E4" s="87">
        <v>6</v>
      </c>
      <c r="F4" s="98">
        <f t="shared" si="0"/>
        <v>60</v>
      </c>
      <c r="G4">
        <f>VLOOKUP($C4,약재관리!A:J,10,FALSE)</f>
        <v>41</v>
      </c>
      <c r="H4" s="4">
        <f t="shared" si="1"/>
        <v>246</v>
      </c>
      <c r="I4" s="5">
        <f t="shared" si="2"/>
        <v>2460</v>
      </c>
      <c r="K4" s="7" t="s">
        <v>11</v>
      </c>
      <c r="L4" s="166">
        <v>45841</v>
      </c>
      <c r="M4" s="165"/>
    </row>
    <row r="5" spans="2:13">
      <c r="B5" s="2">
        <v>4</v>
      </c>
      <c r="C5" t="s">
        <v>422</v>
      </c>
      <c r="D5" s="3"/>
      <c r="E5" s="87">
        <v>4</v>
      </c>
      <c r="F5" s="98">
        <f t="shared" si="0"/>
        <v>40</v>
      </c>
      <c r="G5">
        <f>VLOOKUP($C5,약재관리!A:J,10,FALSE)</f>
        <v>9.8000000000000007</v>
      </c>
      <c r="H5" s="4">
        <f t="shared" si="1"/>
        <v>39.200000000000003</v>
      </c>
      <c r="I5" s="5">
        <f t="shared" si="2"/>
        <v>392</v>
      </c>
      <c r="K5" s="7" t="s">
        <v>12</v>
      </c>
      <c r="L5" s="164" t="s">
        <v>418</v>
      </c>
      <c r="M5" s="165"/>
    </row>
    <row r="6" spans="2:13">
      <c r="B6" s="2">
        <v>5</v>
      </c>
      <c r="C6" t="s">
        <v>416</v>
      </c>
      <c r="D6" s="3"/>
      <c r="E6" s="87">
        <v>4</v>
      </c>
      <c r="F6" s="98">
        <f t="shared" si="0"/>
        <v>40</v>
      </c>
      <c r="G6">
        <f>VLOOKUP($C6,약재관리!A:J,10,FALSE)</f>
        <v>30.3</v>
      </c>
      <c r="H6" s="4">
        <f t="shared" si="1"/>
        <v>121.2</v>
      </c>
      <c r="I6" s="5">
        <f t="shared" si="2"/>
        <v>1212</v>
      </c>
      <c r="K6" s="7" t="s">
        <v>13</v>
      </c>
      <c r="L6" s="164">
        <v>67</v>
      </c>
      <c r="M6" s="165"/>
    </row>
    <row r="7" spans="2:13" ht="17.25" thickBot="1">
      <c r="B7" s="2">
        <v>6</v>
      </c>
      <c r="C7" t="s">
        <v>423</v>
      </c>
      <c r="D7" s="3"/>
      <c r="E7" s="87">
        <v>4</v>
      </c>
      <c r="F7" s="98">
        <f t="shared" si="0"/>
        <v>40</v>
      </c>
      <c r="G7">
        <f>VLOOKUP($C7,약재관리!A:J,10,FALSE)</f>
        <v>16.7</v>
      </c>
      <c r="H7" s="4">
        <f t="shared" si="1"/>
        <v>66.8</v>
      </c>
      <c r="I7" s="5">
        <f t="shared" si="2"/>
        <v>668</v>
      </c>
      <c r="K7" s="7" t="s">
        <v>14</v>
      </c>
      <c r="L7" s="148" t="s">
        <v>417</v>
      </c>
      <c r="M7" s="149"/>
    </row>
    <row r="8" spans="2:13" ht="17.25" thickBot="1">
      <c r="B8" s="2">
        <v>7</v>
      </c>
      <c r="C8" t="s">
        <v>428</v>
      </c>
      <c r="D8" s="3"/>
      <c r="E8" s="87">
        <v>4</v>
      </c>
      <c r="F8" s="98">
        <f t="shared" si="0"/>
        <v>40</v>
      </c>
      <c r="G8">
        <f>VLOOKUP($C8,약재관리!A:J,10,FALSE)</f>
        <v>15.4</v>
      </c>
      <c r="H8" s="4">
        <f t="shared" si="1"/>
        <v>61.6</v>
      </c>
      <c r="I8" s="5">
        <f t="shared" si="2"/>
        <v>616</v>
      </c>
      <c r="K8" s="150" t="s">
        <v>15</v>
      </c>
      <c r="L8" s="151"/>
      <c r="M8" s="152"/>
    </row>
    <row r="9" spans="2:13">
      <c r="B9" s="2">
        <v>8</v>
      </c>
      <c r="C9" t="s">
        <v>424</v>
      </c>
      <c r="D9" s="3" t="s">
        <v>425</v>
      </c>
      <c r="E9" s="87">
        <v>2</v>
      </c>
      <c r="F9" s="98">
        <f t="shared" si="0"/>
        <v>20</v>
      </c>
      <c r="G9">
        <f>VLOOKUP($C9,약재관리!A:J,10,FALSE)</f>
        <v>22.5</v>
      </c>
      <c r="H9" s="4">
        <f t="shared" si="1"/>
        <v>45</v>
      </c>
      <c r="I9" s="5">
        <f t="shared" si="2"/>
        <v>450</v>
      </c>
      <c r="K9" s="167" t="s">
        <v>439</v>
      </c>
      <c r="L9" s="154"/>
      <c r="M9" s="155"/>
    </row>
    <row r="10" spans="2:13">
      <c r="B10" s="2">
        <v>9</v>
      </c>
      <c r="C10" t="s">
        <v>415</v>
      </c>
      <c r="D10" s="3"/>
      <c r="E10" s="87">
        <v>2</v>
      </c>
      <c r="F10" s="98">
        <f t="shared" si="0"/>
        <v>20</v>
      </c>
      <c r="G10">
        <f>VLOOKUP($C10,약재관리!A:J,10,FALSE)</f>
        <v>28.3</v>
      </c>
      <c r="H10" s="4">
        <f t="shared" si="1"/>
        <v>56.6</v>
      </c>
      <c r="I10" s="5">
        <f t="shared" si="2"/>
        <v>566</v>
      </c>
      <c r="K10" s="156"/>
      <c r="L10" s="157"/>
      <c r="M10" s="158"/>
    </row>
    <row r="11" spans="2:13">
      <c r="B11" s="2">
        <v>10</v>
      </c>
      <c r="C11" t="s">
        <v>426</v>
      </c>
      <c r="D11" s="3"/>
      <c r="E11" s="87">
        <v>4</v>
      </c>
      <c r="F11" s="98">
        <f t="shared" si="0"/>
        <v>40</v>
      </c>
      <c r="G11">
        <f>VLOOKUP($C11,약재관리!A:J,10,FALSE)</f>
        <v>15</v>
      </c>
      <c r="H11" s="4">
        <f t="shared" si="1"/>
        <v>60</v>
      </c>
      <c r="I11" s="5">
        <f t="shared" si="2"/>
        <v>600</v>
      </c>
      <c r="K11" s="156"/>
      <c r="L11" s="157"/>
      <c r="M11" s="158"/>
    </row>
    <row r="12" spans="2:13">
      <c r="B12" s="2">
        <v>11</v>
      </c>
      <c r="C12" t="s">
        <v>427</v>
      </c>
      <c r="D12" s="3"/>
      <c r="E12" s="87">
        <v>4</v>
      </c>
      <c r="F12" s="98">
        <f t="shared" si="0"/>
        <v>40</v>
      </c>
      <c r="G12">
        <f>VLOOKUP($C12,약재관리!A:J,10,FALSE)</f>
        <v>20.8</v>
      </c>
      <c r="H12" s="4">
        <f t="shared" si="1"/>
        <v>83.2</v>
      </c>
      <c r="I12" s="5">
        <f t="shared" si="2"/>
        <v>832</v>
      </c>
      <c r="K12" s="156"/>
      <c r="L12" s="157"/>
      <c r="M12" s="158"/>
    </row>
    <row r="13" spans="2:13" ht="17.25" thickBot="1">
      <c r="B13" s="2">
        <v>12</v>
      </c>
      <c r="C13" t="s">
        <v>433</v>
      </c>
      <c r="D13" s="3"/>
      <c r="E13" s="87">
        <v>4</v>
      </c>
      <c r="F13" s="98">
        <f t="shared" si="0"/>
        <v>40</v>
      </c>
      <c r="G13">
        <f>VLOOKUP($C13,약재관리!A:J,10,FALSE)</f>
        <v>27.2</v>
      </c>
      <c r="H13" s="4">
        <f t="shared" si="1"/>
        <v>108.8</v>
      </c>
      <c r="I13" s="5">
        <f t="shared" si="2"/>
        <v>1088</v>
      </c>
      <c r="K13" s="159"/>
      <c r="L13" s="160"/>
      <c r="M13" s="161"/>
    </row>
    <row r="14" spans="2:13">
      <c r="B14" s="2">
        <v>13</v>
      </c>
      <c r="C14" t="s">
        <v>429</v>
      </c>
      <c r="D14" s="3"/>
      <c r="E14" s="87">
        <v>4</v>
      </c>
      <c r="F14" s="98">
        <f t="shared" si="0"/>
        <v>40</v>
      </c>
      <c r="G14">
        <f>VLOOKUP($C14,약재관리!A:J,10,FALSE)</f>
        <v>8</v>
      </c>
      <c r="H14" s="4">
        <f t="shared" si="1"/>
        <v>32</v>
      </c>
      <c r="I14" s="5">
        <f t="shared" si="2"/>
        <v>320</v>
      </c>
      <c r="K14" s="91" t="s">
        <v>16</v>
      </c>
      <c r="L14" s="8">
        <v>10</v>
      </c>
      <c r="M14" s="9" t="s">
        <v>17</v>
      </c>
    </row>
    <row r="15" spans="2:13">
      <c r="B15" s="2">
        <v>14</v>
      </c>
      <c r="C15" t="s">
        <v>430</v>
      </c>
      <c r="D15" s="3" t="s">
        <v>440</v>
      </c>
      <c r="E15" s="87">
        <v>4</v>
      </c>
      <c r="F15" s="98">
        <f t="shared" si="0"/>
        <v>40</v>
      </c>
      <c r="G15">
        <f>VLOOKUP($C15,약재관리!A:J,10,FALSE)</f>
        <v>26</v>
      </c>
      <c r="H15" s="4">
        <f t="shared" si="1"/>
        <v>104</v>
      </c>
      <c r="I15" s="5">
        <f t="shared" si="2"/>
        <v>1040</v>
      </c>
      <c r="K15" s="90" t="s">
        <v>18</v>
      </c>
      <c r="L15">
        <v>10</v>
      </c>
      <c r="M15" s="3" t="s">
        <v>19</v>
      </c>
    </row>
    <row r="16" spans="2:13">
      <c r="B16" s="2">
        <v>15</v>
      </c>
      <c r="C16" t="s">
        <v>431</v>
      </c>
      <c r="D16" s="3"/>
      <c r="E16" s="87">
        <v>4</v>
      </c>
      <c r="F16" s="98">
        <f t="shared" si="0"/>
        <v>40</v>
      </c>
      <c r="G16">
        <f>VLOOKUP($C16,약재관리!A:J,10,FALSE)</f>
        <v>21.8</v>
      </c>
      <c r="H16" s="4">
        <f t="shared" si="1"/>
        <v>87.2</v>
      </c>
      <c r="I16" s="5">
        <f t="shared" si="2"/>
        <v>872</v>
      </c>
      <c r="K16" s="90" t="s">
        <v>20</v>
      </c>
      <c r="L16">
        <v>20</v>
      </c>
      <c r="M16" s="3" t="s">
        <v>21</v>
      </c>
    </row>
    <row r="17" spans="2:13" ht="17.25" thickBot="1">
      <c r="B17" s="2">
        <v>16</v>
      </c>
      <c r="C17" t="s">
        <v>434</v>
      </c>
      <c r="D17" s="3"/>
      <c r="E17" s="87">
        <v>3</v>
      </c>
      <c r="F17" s="98">
        <f t="shared" si="0"/>
        <v>30</v>
      </c>
      <c r="G17">
        <f>VLOOKUP($C17,약재관리!A:J,10,FALSE)</f>
        <v>14.4</v>
      </c>
      <c r="H17" s="4">
        <f t="shared" si="1"/>
        <v>43.2</v>
      </c>
      <c r="I17" s="5">
        <f t="shared" si="2"/>
        <v>432</v>
      </c>
      <c r="K17" s="13" t="s">
        <v>22</v>
      </c>
      <c r="L17" s="10">
        <v>110</v>
      </c>
      <c r="M17" s="11" t="s">
        <v>23</v>
      </c>
    </row>
    <row r="18" spans="2:13">
      <c r="B18" s="2">
        <v>17</v>
      </c>
      <c r="C18" t="s">
        <v>414</v>
      </c>
      <c r="D18" s="3"/>
      <c r="E18" s="87">
        <v>2</v>
      </c>
      <c r="F18" s="98">
        <f t="shared" si="0"/>
        <v>20</v>
      </c>
      <c r="G18">
        <f>VLOOKUP($C18,약재관리!A:J,10,FALSE)</f>
        <v>44.3</v>
      </c>
      <c r="H18" s="4">
        <f t="shared" si="1"/>
        <v>88.6</v>
      </c>
      <c r="I18" s="5">
        <f t="shared" si="2"/>
        <v>886</v>
      </c>
      <c r="K18" s="91" t="s">
        <v>24</v>
      </c>
      <c r="L18" s="8">
        <f>SUM(E2:E31)</f>
        <v>79.2</v>
      </c>
      <c r="M18" s="9" t="s">
        <v>25</v>
      </c>
    </row>
    <row r="19" spans="2:13">
      <c r="B19" s="2">
        <v>18</v>
      </c>
      <c r="C19" t="s">
        <v>435</v>
      </c>
      <c r="D19" s="3"/>
      <c r="E19" s="87">
        <v>2</v>
      </c>
      <c r="F19" s="98">
        <f t="shared" si="0"/>
        <v>20</v>
      </c>
      <c r="G19">
        <f>VLOOKUP($C19,약재관리!A:J,10,FALSE)</f>
        <v>68</v>
      </c>
      <c r="H19" s="4">
        <f t="shared" si="1"/>
        <v>136</v>
      </c>
      <c r="I19" s="5">
        <f t="shared" si="2"/>
        <v>1360</v>
      </c>
      <c r="K19" s="90" t="s">
        <v>26</v>
      </c>
      <c r="L19">
        <f>L15*L18</f>
        <v>792</v>
      </c>
      <c r="M19" s="3" t="s">
        <v>25</v>
      </c>
    </row>
    <row r="20" spans="2:13" ht="17.25" thickBot="1">
      <c r="B20" s="2">
        <v>19</v>
      </c>
      <c r="C20" t="s">
        <v>438</v>
      </c>
      <c r="D20" s="3"/>
      <c r="E20" s="87">
        <v>1.2</v>
      </c>
      <c r="F20" s="98">
        <f t="shared" si="0"/>
        <v>12</v>
      </c>
      <c r="G20">
        <f>VLOOKUP($C20,약재관리!A:J,10,FALSE)</f>
        <v>10.8</v>
      </c>
      <c r="H20" s="4">
        <f t="shared" si="1"/>
        <v>12.96</v>
      </c>
      <c r="I20" s="5">
        <f t="shared" si="2"/>
        <v>129.60000000000002</v>
      </c>
      <c r="K20" s="13" t="s">
        <v>27</v>
      </c>
      <c r="L20" s="10">
        <f>L16*L17+L19</f>
        <v>2992</v>
      </c>
      <c r="M20" s="11" t="s">
        <v>23</v>
      </c>
    </row>
    <row r="21" spans="2:13" ht="17.25" thickBot="1">
      <c r="B21" s="2">
        <v>20</v>
      </c>
      <c r="C21" t="s">
        <v>436</v>
      </c>
      <c r="D21" s="3"/>
      <c r="E21" s="87">
        <v>3</v>
      </c>
      <c r="F21" s="98">
        <f t="shared" si="0"/>
        <v>30</v>
      </c>
      <c r="G21">
        <f>VLOOKUP($C21,약재관리!A:J,10,FALSE)</f>
        <v>19.600000000000001</v>
      </c>
      <c r="H21" s="4">
        <f t="shared" si="1"/>
        <v>58.800000000000004</v>
      </c>
      <c r="I21" s="5">
        <f t="shared" si="2"/>
        <v>588</v>
      </c>
      <c r="J21" s="90"/>
      <c r="M21" s="93"/>
    </row>
    <row r="22" spans="2:13" ht="17.25" thickBot="1">
      <c r="B22" s="2">
        <v>21</v>
      </c>
      <c r="C22" t="s">
        <v>437</v>
      </c>
      <c r="D22" s="3"/>
      <c r="E22" s="87">
        <v>2</v>
      </c>
      <c r="F22" s="98">
        <f t="shared" si="0"/>
        <v>20</v>
      </c>
      <c r="G22">
        <f>VLOOKUP($C22,약재관리!A:J,10,FALSE)</f>
        <v>108.3</v>
      </c>
      <c r="H22" s="4">
        <f t="shared" si="1"/>
        <v>216.6</v>
      </c>
      <c r="I22" s="5">
        <f t="shared" si="2"/>
        <v>2166</v>
      </c>
      <c r="K22" s="150" t="s">
        <v>28</v>
      </c>
      <c r="L22" s="151"/>
      <c r="M22" s="152"/>
    </row>
    <row r="23" spans="2:13">
      <c r="B23" s="2">
        <v>22</v>
      </c>
      <c r="D23" s="3"/>
      <c r="F23" s="98">
        <f t="shared" si="0"/>
        <v>0</v>
      </c>
      <c r="H23" s="4">
        <f t="shared" si="1"/>
        <v>0</v>
      </c>
      <c r="I23" s="5">
        <f t="shared" si="2"/>
        <v>0</v>
      </c>
      <c r="K23" s="90" t="s">
        <v>29</v>
      </c>
      <c r="L23">
        <f>SUM(F2:F31)</f>
        <v>792</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1920.36</v>
      </c>
      <c r="M30" s="3" t="s">
        <v>36</v>
      </c>
    </row>
    <row r="31" spans="2:13" ht="17.25" thickBot="1">
      <c r="B31" s="12">
        <v>30</v>
      </c>
      <c r="C31" s="13"/>
      <c r="D31" s="11"/>
      <c r="E31" s="94"/>
      <c r="F31" s="99">
        <f t="shared" si="0"/>
        <v>0</v>
      </c>
      <c r="G31" s="10"/>
      <c r="H31" s="14">
        <f t="shared" si="1"/>
        <v>0</v>
      </c>
      <c r="I31" s="15">
        <f t="shared" si="2"/>
        <v>0</v>
      </c>
      <c r="K31" s="13" t="s">
        <v>37</v>
      </c>
      <c r="L31" s="14">
        <f>SUM(I2:I31)</f>
        <v>19203.599999999999</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86" zoomScaleNormal="100" workbookViewId="0">
      <selection activeCell="J103" sqref="J103"/>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v>12500</v>
      </c>
      <c r="F102" s="112">
        <f t="shared" si="9"/>
        <v>0</v>
      </c>
      <c r="G102" s="37">
        <f t="shared" si="9"/>
        <v>0</v>
      </c>
      <c r="H102" s="37">
        <f t="shared" ref="H102:I109" si="10">D102/600</f>
        <v>0</v>
      </c>
      <c r="I102" s="38">
        <f t="shared" si="10"/>
        <v>20.833333333333332</v>
      </c>
      <c r="J102" s="39">
        <v>20.8</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J206" s="39">
        <v>15.8</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처방전양식 (5)</vt: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2025-08-14T01:31:20Z</cp:lastPrinted>
  <dcterms:created xsi:type="dcterms:W3CDTF">2024-09-12T16:35:01Z</dcterms:created>
  <dcterms:modified xsi:type="dcterms:W3CDTF">2025-09-15T11:43:02Z</dcterms:modified>
  <cp:category/>
  <cp:contentStatus/>
</cp:coreProperties>
</file>