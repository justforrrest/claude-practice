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586" documentId="8_{6EB8DC0A-AB56-415F-A9F3-EA1534264548}" xr6:coauthVersionLast="47" xr6:coauthVersionMax="47" xr10:uidLastSave="{89AA0655-C4E8-4C36-9D0A-E105BE90B6DC}"/>
  <bookViews>
    <workbookView xWindow="570" yWindow="30" windowWidth="16890" windowHeight="15450" xr2:uid="{8B9F1886-173A-4475-B0CF-D9F36CE30773}"/>
  </bookViews>
  <sheets>
    <sheet name="처방전양식 (2)" sheetId="6" r:id="rId1"/>
    <sheet name="처방전양식" sheetId="4" r:id="rId2"/>
    <sheet name="약재관리"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6" l="1"/>
  <c r="H20" i="6" s="1"/>
  <c r="H21" i="6"/>
  <c r="H31" i="6"/>
  <c r="F31" i="6"/>
  <c r="I31" i="6" s="1"/>
  <c r="H30" i="6"/>
  <c r="F30" i="6"/>
  <c r="I30" i="6" s="1"/>
  <c r="H29" i="6"/>
  <c r="F29" i="6"/>
  <c r="I29" i="6" s="1"/>
  <c r="H28" i="6"/>
  <c r="F28" i="6"/>
  <c r="I28" i="6" s="1"/>
  <c r="H27" i="6"/>
  <c r="F27" i="6"/>
  <c r="I27" i="6" s="1"/>
  <c r="H26" i="6"/>
  <c r="F26" i="6"/>
  <c r="I26" i="6" s="1"/>
  <c r="H25" i="6"/>
  <c r="F25" i="6"/>
  <c r="I25" i="6" s="1"/>
  <c r="H24" i="6"/>
  <c r="F24" i="6"/>
  <c r="I24" i="6" s="1"/>
  <c r="H23" i="6"/>
  <c r="F23" i="6"/>
  <c r="I23" i="6" s="1"/>
  <c r="I22" i="6"/>
  <c r="H22" i="6"/>
  <c r="F22" i="6"/>
  <c r="F21" i="6"/>
  <c r="F20" i="6"/>
  <c r="G19" i="6"/>
  <c r="I19" i="6" s="1"/>
  <c r="F19" i="6"/>
  <c r="L18" i="6"/>
  <c r="L19" i="6" s="1"/>
  <c r="L20" i="6" s="1"/>
  <c r="G18" i="6"/>
  <c r="I18" i="6" s="1"/>
  <c r="F18" i="6"/>
  <c r="G17" i="6"/>
  <c r="I17" i="6" s="1"/>
  <c r="F17" i="6"/>
  <c r="G16" i="6"/>
  <c r="F16" i="6"/>
  <c r="G15" i="6"/>
  <c r="I15" i="6" s="1"/>
  <c r="F15" i="6"/>
  <c r="G14" i="6"/>
  <c r="I14" i="6" s="1"/>
  <c r="F14" i="6"/>
  <c r="G13" i="6"/>
  <c r="H13" i="6" s="1"/>
  <c r="F13" i="6"/>
  <c r="G12" i="6"/>
  <c r="I12" i="6" s="1"/>
  <c r="F12" i="6"/>
  <c r="G11" i="6"/>
  <c r="I11" i="6" s="1"/>
  <c r="F11" i="6"/>
  <c r="G10" i="6"/>
  <c r="I10" i="6" s="1"/>
  <c r="F10" i="6"/>
  <c r="G9" i="6"/>
  <c r="I9" i="6" s="1"/>
  <c r="F9" i="6"/>
  <c r="G8" i="6"/>
  <c r="I8" i="6" s="1"/>
  <c r="F8" i="6"/>
  <c r="G7" i="6"/>
  <c r="H7" i="6" s="1"/>
  <c r="F7" i="6"/>
  <c r="G6" i="6"/>
  <c r="I6" i="6" s="1"/>
  <c r="F6" i="6"/>
  <c r="G5" i="6"/>
  <c r="F5" i="6"/>
  <c r="G4" i="6"/>
  <c r="I4" i="6" s="1"/>
  <c r="F4" i="6"/>
  <c r="G3" i="6"/>
  <c r="I3" i="6" s="1"/>
  <c r="F3" i="6"/>
  <c r="G2" i="6"/>
  <c r="I2" i="6" s="1"/>
  <c r="F2" i="6"/>
  <c r="G19" i="4"/>
  <c r="G18" i="4"/>
  <c r="I126" i="5"/>
  <c r="G141" i="5"/>
  <c r="I144" i="5"/>
  <c r="H144" i="5"/>
  <c r="G144" i="5"/>
  <c r="F144" i="5"/>
  <c r="G170" i="5"/>
  <c r="G3" i="4"/>
  <c r="G4" i="4"/>
  <c r="G5" i="4"/>
  <c r="G6" i="4"/>
  <c r="G7" i="4"/>
  <c r="G8" i="4"/>
  <c r="G9" i="4"/>
  <c r="G10" i="4"/>
  <c r="G11" i="4"/>
  <c r="G12" i="4"/>
  <c r="G13" i="4"/>
  <c r="G14" i="4"/>
  <c r="G15" i="4"/>
  <c r="G16" i="4"/>
  <c r="G17"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21" i="6" l="1"/>
  <c r="I16" i="6"/>
  <c r="I20" i="6"/>
  <c r="I5" i="6"/>
  <c r="L23" i="6"/>
  <c r="H3" i="6"/>
  <c r="H6" i="6"/>
  <c r="H9" i="6"/>
  <c r="H12" i="6"/>
  <c r="H15" i="6"/>
  <c r="H18" i="6"/>
  <c r="H4" i="6"/>
  <c r="H10" i="6"/>
  <c r="H16" i="6"/>
  <c r="I7" i="6"/>
  <c r="I13" i="6"/>
  <c r="H19" i="6"/>
  <c r="H2" i="6"/>
  <c r="H5" i="6"/>
  <c r="H8" i="6"/>
  <c r="H11" i="6"/>
  <c r="H14" i="6"/>
  <c r="H17" i="6"/>
  <c r="F2" i="4"/>
  <c r="L31" i="6" l="1"/>
  <c r="L30" i="6"/>
  <c r="H4" i="4"/>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<sst xmlns="http://schemas.openxmlformats.org/spreadsheetml/2006/main" count="670" uniqueCount="436">
  <si>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</si>
  <si>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</si>
  <si>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</si>
  <si>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</si>
  <si>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</si>
  <si>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</si>
  <si>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</si>
  <si>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</si>
  <si>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</si>
  <si>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</si>
  <si>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</si>
  <si>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</si>
  <si>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</si>
  <si>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</si>
  <si>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</si>
  <si>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</si>
  <si>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</si>
  <si>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</si>
  <si>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</si>
  <si>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</si>
  <si>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</si>
  <si>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</si>
  <si>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</si>
  <si>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</si>
  <si>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</si>
  <si>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</si>
  <si>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</si>
  <si>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</si>
  <si>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</si>
  <si>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</si>
  <si>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</si>
  <si>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</si>
  <si>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</si>
  <si>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</si>
  <si>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</si>
  <si>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</si>
  <si>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</si>
  <si>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</si>
  <si>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</si>
  <si>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</si>
  <si>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</si>
  <si>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</si>
  <si>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</si>
  <si>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</si>
  <si>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</si>
  <si>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</si>
  <si>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</si>
  <si>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</si>
  <si>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</si>
  <si>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</si>
  <si>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</si>
  <si>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</si>
  <si>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</si>
  <si>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</si>
  <si>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</si>
  <si>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</si>
  <si>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</si>
  <si>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</si>
  <si>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</si>
  <si>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</si>
  <si>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</si>
  <si>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</si>
  <si>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</si>
  <si>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</si>
  <si>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</si>
  <si>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</si>
  <si>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</si>
  <si>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</si>
  <si>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</si>
  <si>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</si>
  <si>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</si>
  <si>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</si>
  <si>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</si>
  <si>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</si>
  <si>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</si>
  <si>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</si>
  <si>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</si>
  <si>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</si>
  <si>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</si>
  <si>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</si>
  <si>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</si>
  <si>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</si>
  <si>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</si>
  <si>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</si>
  <si>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</si>
  <si>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</si>
  <si>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</si>
  <si>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</si>
  <si>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</si>
  <si>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</si>
  <si>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</si>
  <si>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</si>
  <si>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</si>
  <si>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</si>
  <si>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</si>
  <si>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</si>
  <si>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</si>
  <si>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</si>
  <si>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</si>
  <si>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</si>
  <si>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</si>
  <si>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</si>
  <si>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</si>
  <si>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</si>
  <si>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</si>
  <si>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</si>
  <si>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</si>
  <si>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</si>
  <si>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</si>
  <si>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</si>
  <si>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</si>
  <si>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</si>
  <si>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</si>
  <si>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</si>
  <si>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</si>
  <si>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</si>
  <si>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</si>
  <si>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</si>
  <si>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</si>
  <si>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</si>
  <si>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</si>
  <si>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</si>
  <si>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</si>
  <si>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</si>
  <si>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</si>
  <si>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</si>
  <si>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</si>
  <si>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</si>
  <si>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</si>
  <si>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</si>
  <si>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</si>
  <si>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</si>
  <si>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</si>
  <si>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</si>
  <si>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</si>
  <si>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</si>
  <si>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</si>
  <si>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</si>
  <si>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</si>
  <si>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</si>
  <si>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</si>
  <si>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</si>
  <si>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</si>
  <si>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</si>
  <si>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</si>
  <si>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</si>
  <si>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</si>
  <si>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</si>
  <si>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</si>
  <si>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</si>
  <si>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</si>
  <si>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</si>
  <si>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</si>
  <si>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</si>
  <si>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</si>
  <si>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</si>
  <si>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</si>
  <si>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</si>
  <si>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</si>
  <si>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</si>
  <si>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</si>
  <si>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</si>
  <si>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</si>
  <si>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</si>
  <si>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</si>
  <si>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</si>
  <si>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</si>
  <si>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</si>
  <si>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</si>
  <si>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</si>
  <si>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</si>
  <si>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</si>
  <si>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</si>
  <si>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</si>
  <si>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</si>
  <si>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</si>
  <si>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</si>
  <si>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</si>
  <si>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</si>
  <si>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</si>
  <si>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</si>
  <si>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</si>
  <si>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</si>
  <si>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</si>
  <si>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</si>
  <si>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</si>
  <si>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</si>
  <si>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</si>
  <si>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</si>
  <si>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</si>
  <si>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</si>
  <si>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</si>
  <si>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</si>
  <si>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</si>
  <si>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</si>
  <si>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</si>
  <si>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</si>
  <si>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</si>
  <si>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</si>
  <si>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</si>
  <si>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</si>
  <si>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</si>
  <si>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</si>
  <si>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</si>
  <si>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</si>
  <si>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</si>
  <si>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</si>
  <si>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</si>
  <si>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</si>
  <si>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</si>
  <si>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</si>
  <si>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</si>
  <si>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</si>
  <si>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</si>
  <si>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</si>
  <si>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</si>
  <si>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</si>
  <si>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</si>
  <si>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</si>
  <si>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</si>
  <si>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</si>
  <si>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</si>
  <si>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</si>
  <si>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</si>
  <si>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</si>
  <si>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</si>
  <si>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</si>
  <si>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</si>
  <si>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</si>
  <si>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</si>
  <si>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</si>
  <si>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</si>
  <si>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</si>
  <si>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</si>
  <si>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</si>
  <si>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</si>
  <si>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</si>
  <si>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</si>
  <si>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</si>
  <si>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</si>
  <si>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</si>
  <si>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</si>
  <si>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</si>
  <si>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</si>
  <si>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</si>
  <si>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</si>
  <si>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</si>
  <si>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</si>
  <si>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</si>
  <si>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</si>
  <si>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</si>
  <si>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</si>
  <si>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</si>
  <si>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</si>
  <si>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</si>
  <si>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</si>
  <si>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</si>
  <si>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</si>
  <si>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</si>
  <si>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</si>
  <si>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</si>
  <si>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</si>
  <si>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</si>
  <si>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</si>
  <si>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</si>
  <si>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</si>
  <si>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</si>
  <si>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</si>
  <si>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</si>
  <si>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</si>
  <si>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</si>
  <si>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</si>
  <si>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</si>
  <si>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</si>
  <si>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</si>
  <si>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</si>
  <si>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</si>
  <si>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</si>
  <si>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</si>
  <si>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</si>
  <si>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</si>
  <si>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</si>
  <si>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</si>
  <si>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</si>
  <si>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</si>
  <si>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</si>
  <si>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</si>
  <si>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</si>
  <si>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</si>
  <si>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</si>
  <si>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</si>
  <si>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</si>
  <si>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</si>
  <si>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</si>
  <si>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</si>
  <si>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</si>
  <si>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</si>
  <si>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</si>
  <si>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</si>
  <si>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</si>
  <si>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</si>
  <si>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</si>
  <si>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</si>
  <si>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</si>
  <si>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</si>
  <si>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</si>
  <si>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</si>
  <si>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</si>
  <si>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</si>
  <si>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</si>
  <si>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</si>
  <si>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</si>
  <si>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</si>
  <si>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</si>
  <si>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</si>
  <si>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</si>
  <si>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</si>
  <si>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</si>
  <si>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</si>
  <si>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</si>
  <si>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</si>
  <si>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</si>
  <si>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</si>
  <si>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</si>
  <si>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</si>
  <si>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</si>
  <si>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</si>
  <si>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</si>
  <si>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</si>
  <si>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</si>
  <si>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</si>
  <si>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</si>
  <si>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</si>
  <si>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</si>
  <si>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</si>
  <si>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</si>
  <si>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</si>
  <si>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</si>
  <si>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</si>
  <si>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</si>
  <si>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</si>
  <si>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</si>
  <si>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</si>
  <si>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</si>
  <si>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</si>
  <si>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</si>
  <si>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</si>
  <si>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</si>
  <si>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</si>
  <si>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</si>
  <si>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</si>
  <si>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</si>
  <si>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</si>
  <si>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</si>
  <si>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</si>
  <si>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</si>
  <si>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</si>
  <si>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</si>
  <si>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</si>
  <si>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</si>
  <si>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</si>
  <si>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</si>
  <si>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</si>
  <si>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</si>
  <si>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</si>
  <si>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</si>
  <si>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</si>
  <si>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</si>
  <si>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</si>
  <si>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</si>
  <si>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</si>
  <si>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</si>
  <si>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</si>
  <si>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</si>
  <si>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</si>
  <si>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</si>
  <si>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</si>
  <si>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</si>
  <si>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</si>
  <si>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</si>
  <si>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</si>
  <si>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</si>
  <si>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</si>
  <si>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</si>
  <si>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</si>
  <si>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</si>
  <si>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</si>
  <si>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</si>
  <si>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</si>
  <si>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</si>
  <si>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</si>
  <si>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</si>
  <si>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</si>
  <si>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</si>
  <si>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</si>
  <si>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</si>
  <si>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</si>
  <si>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</si>
  <si>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</si>
  <si>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</si>
  <si>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</si>
  <si>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</si>
  <si>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</si>
  <si>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</si>
  <si>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</si>
  <si>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</si>
  <si>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</si>
  <si>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</si>
  <si>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</si>
  <si>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</si>
  <si>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</si>
  <si>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청심온담탕</t>
    <phoneticPr fontId="5" type="noConversion"/>
  </si>
  <si>
    <t>문순자</t>
    <phoneticPr fontId="5" type="noConversion"/>
  </si>
  <si>
    <t>F</t>
    <phoneticPr fontId="5" type="noConversion"/>
  </si>
  <si>
    <t>향부자</t>
    <phoneticPr fontId="5" type="noConversion"/>
  </si>
  <si>
    <t>반하</t>
    <phoneticPr fontId="5" type="noConversion"/>
  </si>
  <si>
    <t>복령</t>
    <phoneticPr fontId="5" type="noConversion"/>
  </si>
  <si>
    <t>지실</t>
    <phoneticPr fontId="5" type="noConversion"/>
  </si>
  <si>
    <t>황금</t>
    <phoneticPr fontId="5" type="noConversion"/>
  </si>
  <si>
    <t>주초</t>
    <phoneticPr fontId="5" type="noConversion"/>
  </si>
  <si>
    <t>감초</t>
    <phoneticPr fontId="5" type="noConversion"/>
  </si>
  <si>
    <t>생강</t>
    <phoneticPr fontId="5" type="noConversion"/>
  </si>
  <si>
    <t>대추</t>
    <phoneticPr fontId="5" type="noConversion"/>
  </si>
  <si>
    <t>죽여1</t>
    <phoneticPr fontId="5" type="noConversion"/>
  </si>
  <si>
    <t>창출1</t>
    <phoneticPr fontId="5" type="noConversion"/>
  </si>
  <si>
    <t>진피1</t>
    <phoneticPr fontId="5" type="noConversion"/>
  </si>
  <si>
    <t>건지황</t>
    <phoneticPr fontId="5" type="noConversion"/>
  </si>
  <si>
    <t>백작약</t>
    <phoneticPr fontId="5" type="noConversion"/>
  </si>
  <si>
    <t>황련</t>
    <phoneticPr fontId="5" type="noConversion"/>
  </si>
  <si>
    <t>당귀1</t>
    <phoneticPr fontId="5" type="noConversion"/>
  </si>
  <si>
    <t>천궁1</t>
    <phoneticPr fontId="5" type="noConversion"/>
  </si>
  <si>
    <t>녹용</t>
    <phoneticPr fontId="5" type="noConversion"/>
  </si>
  <si>
    <t>사인</t>
    <phoneticPr fontId="5" type="noConversion"/>
  </si>
  <si>
    <t xml:space="preserve">#불면, 식욕무미, 도한, 홍조, 피로
청심온담탕 + 사물탕 + 황련, 사인, 녹용
</t>
    <phoneticPr fontId="5" type="noConversion"/>
  </si>
  <si>
    <t xml:space="preserve">#불면, 식욕무미, 도한, 홍조, 피로
청심온담탕 + 사물탕 + 황련, 사인, 녹용 + 소엽
</t>
    <phoneticPr fontId="5" type="noConversion"/>
  </si>
  <si>
    <t>자소엽</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</si>
</sst>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CE0FB-9963-4F8C-AA98-4156FCC6845F}">
  <sheetPr>
    <pageSetUpPr fitToPage="1"/>
  </sheetPr>
  <dimension ref="B1:M31"/>
  <sheetViews>
    <sheetView tabSelected="1" workbookViewId="0">
      <selection activeCell="C21" sqref="C2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414</v>
      </c>
      <c r="D2" s="4"/>
      <c r="E2" s="88">
        <v>10</v>
      </c>
      <c r="F2" s="101">
        <f>E2*$L$15</f>
        <v>200</v>
      </c>
      <c r="G2">
        <f>VLOOKUP($C2,약재관리!A:J,10,FALSE)</f>
        <v>14.7</v>
      </c>
      <c r="H2" s="5">
        <f>G2*E2</f>
        <v>147</v>
      </c>
      <c r="I2" s="90">
        <f>G2*F2</f>
        <v>2940</v>
      </c>
      <c r="K2" s="7" t="s">
        <v>9</v>
      </c>
      <c r="L2" s="152">
        <v>70</v>
      </c>
      <c r="M2" s="153"/>
    </row>
    <row r="3" spans="2:13">
      <c r="B3" s="3">
        <v>2</v>
      </c>
      <c r="C3" t="s">
        <v>425</v>
      </c>
      <c r="D3" s="4"/>
      <c r="E3" s="88">
        <v>6</v>
      </c>
      <c r="F3" s="101">
        <f t="shared" ref="F3:F31" si="0">E3*$L$15</f>
        <v>120</v>
      </c>
      <c r="G3">
        <f>VLOOKUP($C3,약재관리!A:J,10,FALSE)</f>
        <v>17.600000000000001</v>
      </c>
      <c r="H3" s="5">
        <f t="shared" ref="H3:H31" si="1">G3*E3</f>
        <v>105.60000000000001</v>
      </c>
      <c r="I3" s="6">
        <f t="shared" ref="I3:I31" si="2">G3*F3</f>
        <v>2112</v>
      </c>
      <c r="K3" s="8" t="s">
        <v>10</v>
      </c>
      <c r="L3" s="147" t="s">
        <v>411</v>
      </c>
      <c r="M3" s="148"/>
    </row>
    <row r="4" spans="2:13">
      <c r="B4" s="3">
        <v>3</v>
      </c>
      <c r="C4" t="s">
        <v>415</v>
      </c>
      <c r="D4" s="4"/>
      <c r="E4" s="88">
        <v>6</v>
      </c>
      <c r="F4" s="101">
        <f t="shared" si="0"/>
        <v>120</v>
      </c>
      <c r="G4">
        <f>VLOOKUP($C4,약재관리!A:J,10,FALSE)</f>
        <v>47</v>
      </c>
      <c r="H4" s="5">
        <f t="shared" si="1"/>
        <v>282</v>
      </c>
      <c r="I4" s="6">
        <f t="shared" si="2"/>
        <v>5640</v>
      </c>
      <c r="K4" s="8" t="s">
        <v>11</v>
      </c>
      <c r="L4" s="154">
        <v>45684</v>
      </c>
      <c r="M4" s="148"/>
    </row>
    <row r="5" spans="2:13">
      <c r="B5" s="3">
        <v>4</v>
      </c>
      <c r="C5" t="s">
        <v>416</v>
      </c>
      <c r="D5" s="4"/>
      <c r="E5" s="88">
        <v>6</v>
      </c>
      <c r="F5" s="101">
        <f t="shared" si="0"/>
        <v>120</v>
      </c>
      <c r="G5">
        <f>VLOOKUP($C5,약재관리!A:J,10,FALSE)</f>
        <v>11</v>
      </c>
      <c r="H5" s="5">
        <f t="shared" si="1"/>
        <v>66</v>
      </c>
      <c r="I5" s="6">
        <f t="shared" si="2"/>
        <v>1320</v>
      </c>
      <c r="K5" s="8" t="s">
        <v>12</v>
      </c>
      <c r="L5" s="147" t="s">
        <v>412</v>
      </c>
      <c r="M5" s="148"/>
    </row>
    <row r="6" spans="2:13">
      <c r="B6" s="3">
        <v>5</v>
      </c>
      <c r="C6" t="s">
        <v>424</v>
      </c>
      <c r="D6" s="4"/>
      <c r="E6" s="88">
        <v>4</v>
      </c>
      <c r="F6" s="101">
        <f t="shared" si="0"/>
        <v>80</v>
      </c>
      <c r="G6">
        <f>VLOOKUP($C6,약재관리!A:J,10,FALSE)</f>
        <v>22</v>
      </c>
      <c r="H6" s="5">
        <f t="shared" si="1"/>
        <v>88</v>
      </c>
      <c r="I6" s="6">
        <f t="shared" si="2"/>
        <v>1760</v>
      </c>
      <c r="K6" s="8" t="s">
        <v>13</v>
      </c>
      <c r="L6" s="147">
        <v>80</v>
      </c>
      <c r="M6" s="148"/>
    </row>
    <row r="7" spans="2:13" ht="17.25" thickBot="1">
      <c r="B7" s="3">
        <v>6</v>
      </c>
      <c r="C7" t="s">
        <v>417</v>
      </c>
      <c r="D7" s="4"/>
      <c r="E7" s="88">
        <v>4</v>
      </c>
      <c r="F7" s="101">
        <f t="shared" si="0"/>
        <v>80</v>
      </c>
      <c r="G7">
        <f>VLOOKUP($C7,약재관리!A:J,10,FALSE)</f>
        <v>16.7</v>
      </c>
      <c r="H7" s="5">
        <f t="shared" si="1"/>
        <v>66.8</v>
      </c>
      <c r="I7" s="6">
        <f t="shared" si="2"/>
        <v>1336</v>
      </c>
      <c r="K7" s="8" t="s">
        <v>14</v>
      </c>
      <c r="L7" s="155" t="s">
        <v>413</v>
      </c>
      <c r="M7" s="156"/>
    </row>
    <row r="8" spans="2:13" ht="17.25" thickBot="1">
      <c r="B8" s="3">
        <v>7</v>
      </c>
      <c r="C8" t="s">
        <v>423</v>
      </c>
      <c r="D8" s="4"/>
      <c r="E8" s="88">
        <v>4</v>
      </c>
      <c r="F8" s="101">
        <f t="shared" si="0"/>
        <v>80</v>
      </c>
      <c r="G8">
        <f>VLOOKUP($C8,약재관리!A:J,10,FALSE)</f>
        <v>15.4</v>
      </c>
      <c r="H8" s="5">
        <f t="shared" si="1"/>
        <v>61.6</v>
      </c>
      <c r="I8" s="6">
        <f t="shared" si="2"/>
        <v>1232</v>
      </c>
      <c r="K8" s="149" t="s">
        <v>15</v>
      </c>
      <c r="L8" s="150"/>
      <c r="M8" s="151"/>
    </row>
    <row r="9" spans="2:13">
      <c r="B9" s="3">
        <v>8</v>
      </c>
      <c r="C9" t="s">
        <v>418</v>
      </c>
      <c r="D9" s="4" t="s">
        <v>419</v>
      </c>
      <c r="E9" s="88">
        <v>2</v>
      </c>
      <c r="F9" s="101">
        <f t="shared" si="0"/>
        <v>40</v>
      </c>
      <c r="G9">
        <f>VLOOKUP($C9,약재관리!A:J,10,FALSE)</f>
        <v>22.5</v>
      </c>
      <c r="H9" s="5">
        <f t="shared" si="1"/>
        <v>45</v>
      </c>
      <c r="I9" s="6">
        <f t="shared" si="2"/>
        <v>900</v>
      </c>
      <c r="K9" s="157" t="s">
        <v>434</v>
      </c>
      <c r="L9" s="158"/>
      <c r="M9" s="159"/>
    </row>
    <row r="10" spans="2:13">
      <c r="B10" s="3">
        <v>9</v>
      </c>
      <c r="C10" t="s">
        <v>420</v>
      </c>
      <c r="D10" s="4"/>
      <c r="E10" s="88">
        <v>2</v>
      </c>
      <c r="F10" s="101">
        <f t="shared" si="0"/>
        <v>40</v>
      </c>
      <c r="G10">
        <f>VLOOKUP($C10,약재관리!A:J,10,FALSE)</f>
        <v>28.3</v>
      </c>
      <c r="H10" s="5">
        <f t="shared" si="1"/>
        <v>56.6</v>
      </c>
      <c r="I10" s="6">
        <f t="shared" si="2"/>
        <v>1132</v>
      </c>
      <c r="K10" s="160"/>
      <c r="L10" s="161"/>
      <c r="M10" s="162"/>
    </row>
    <row r="11" spans="2:13">
      <c r="B11" s="3">
        <v>10</v>
      </c>
      <c r="C11" t="s">
        <v>421</v>
      </c>
      <c r="D11" s="4"/>
      <c r="E11" s="88">
        <v>3</v>
      </c>
      <c r="F11" s="101">
        <f t="shared" si="0"/>
        <v>60</v>
      </c>
      <c r="G11">
        <f>VLOOKUP($C11,약재관리!A:J,10,FALSE)</f>
        <v>15</v>
      </c>
      <c r="H11" s="5">
        <f t="shared" si="1"/>
        <v>45</v>
      </c>
      <c r="I11" s="6">
        <f t="shared" si="2"/>
        <v>900</v>
      </c>
      <c r="K11" s="160"/>
      <c r="L11" s="161"/>
      <c r="M11" s="162"/>
    </row>
    <row r="12" spans="2:13">
      <c r="B12" s="3">
        <v>11</v>
      </c>
      <c r="C12" t="s">
        <v>422</v>
      </c>
      <c r="D12" s="4"/>
      <c r="E12" s="88">
        <v>2</v>
      </c>
      <c r="F12" s="101">
        <f t="shared" si="0"/>
        <v>40</v>
      </c>
      <c r="G12">
        <f>VLOOKUP($C12,약재관리!A:J,10,FALSE)</f>
        <v>20.8</v>
      </c>
      <c r="H12" s="5">
        <f t="shared" si="1"/>
        <v>41.6</v>
      </c>
      <c r="I12" s="6">
        <f t="shared" si="2"/>
        <v>832</v>
      </c>
      <c r="K12" s="160"/>
      <c r="L12" s="161"/>
      <c r="M12" s="162"/>
    </row>
    <row r="13" spans="2:13" ht="17.25" thickBot="1">
      <c r="B13" s="3">
        <v>12</v>
      </c>
      <c r="C13" t="s">
        <v>426</v>
      </c>
      <c r="D13" s="4"/>
      <c r="E13" s="88">
        <v>4</v>
      </c>
      <c r="F13" s="101">
        <f t="shared" si="0"/>
        <v>80</v>
      </c>
      <c r="G13">
        <f>VLOOKUP($C13,약재관리!A:J,10,FALSE)</f>
        <v>14.4</v>
      </c>
      <c r="H13" s="5">
        <f t="shared" si="1"/>
        <v>57.6</v>
      </c>
      <c r="I13" s="6">
        <f t="shared" si="2"/>
        <v>1152</v>
      </c>
      <c r="K13" s="163"/>
      <c r="L13" s="164"/>
      <c r="M13" s="165"/>
    </row>
    <row r="14" spans="2:13">
      <c r="B14" s="3">
        <v>13</v>
      </c>
      <c r="C14" t="s">
        <v>427</v>
      </c>
      <c r="D14" s="4"/>
      <c r="E14" s="88">
        <v>4</v>
      </c>
      <c r="F14" s="101">
        <f t="shared" si="0"/>
        <v>80</v>
      </c>
      <c r="G14">
        <f>VLOOKUP($C14,약재관리!A:J,10,FALSE)</f>
        <v>19.600000000000001</v>
      </c>
      <c r="H14" s="5">
        <f t="shared" si="1"/>
        <v>78.400000000000006</v>
      </c>
      <c r="I14" s="6">
        <f t="shared" si="2"/>
        <v>1568</v>
      </c>
      <c r="K14" s="92" t="s">
        <v>16</v>
      </c>
      <c r="L14" s="9">
        <v>15</v>
      </c>
      <c r="M14" s="10" t="s">
        <v>17</v>
      </c>
    </row>
    <row r="15" spans="2:13">
      <c r="B15" s="3">
        <v>14</v>
      </c>
      <c r="C15" t="s">
        <v>429</v>
      </c>
      <c r="D15" s="4"/>
      <c r="E15" s="88">
        <v>6</v>
      </c>
      <c r="F15" s="101">
        <f t="shared" si="0"/>
        <v>120</v>
      </c>
      <c r="G15">
        <f>VLOOKUP($C15,약재관리!A:J,10,FALSE)</f>
        <v>25</v>
      </c>
      <c r="H15" s="5">
        <f t="shared" si="1"/>
        <v>150</v>
      </c>
      <c r="I15" s="6">
        <f t="shared" si="2"/>
        <v>3000</v>
      </c>
      <c r="K15" s="91" t="s">
        <v>18</v>
      </c>
      <c r="L15">
        <v>20</v>
      </c>
      <c r="M15" s="4" t="s">
        <v>19</v>
      </c>
    </row>
    <row r="16" spans="2:13">
      <c r="B16" s="3">
        <v>15</v>
      </c>
      <c r="C16" t="s">
        <v>430</v>
      </c>
      <c r="D16" s="4"/>
      <c r="E16" s="88">
        <v>4</v>
      </c>
      <c r="F16" s="101">
        <f t="shared" si="0"/>
        <v>80</v>
      </c>
      <c r="G16">
        <f>VLOOKUP($C16,약재관리!A:J,10,FALSE)</f>
        <v>10.8</v>
      </c>
      <c r="H16" s="5">
        <f t="shared" si="1"/>
        <v>43.2</v>
      </c>
      <c r="I16" s="6">
        <f t="shared" si="2"/>
        <v>864</v>
      </c>
      <c r="K16" s="91" t="s">
        <v>20</v>
      </c>
      <c r="L16">
        <v>45</v>
      </c>
      <c r="M16" s="4" t="s">
        <v>21</v>
      </c>
    </row>
    <row r="17" spans="2:13" ht="17.25" thickBot="1">
      <c r="B17" s="3">
        <v>16</v>
      </c>
      <c r="C17" t="s">
        <v>428</v>
      </c>
      <c r="D17" s="4" t="s">
        <v>419</v>
      </c>
      <c r="E17" s="88">
        <v>2</v>
      </c>
      <c r="F17" s="101">
        <f t="shared" si="0"/>
        <v>40</v>
      </c>
      <c r="G17">
        <f>VLOOKUP($C17,약재관리!A:J,10,FALSE)</f>
        <v>136.80000000000001</v>
      </c>
      <c r="H17" s="5">
        <f t="shared" si="1"/>
        <v>273.60000000000002</v>
      </c>
      <c r="I17" s="6">
        <f t="shared" si="2"/>
        <v>5472</v>
      </c>
      <c r="K17" s="14" t="s">
        <v>22</v>
      </c>
      <c r="L17" s="11">
        <v>100</v>
      </c>
      <c r="M17" s="12" t="s">
        <v>23</v>
      </c>
    </row>
    <row r="18" spans="2:13">
      <c r="B18" s="3">
        <v>17</v>
      </c>
      <c r="C18" t="s">
        <v>431</v>
      </c>
      <c r="D18" s="4"/>
      <c r="E18" s="88">
        <v>2</v>
      </c>
      <c r="F18" s="101">
        <f t="shared" si="0"/>
        <v>40</v>
      </c>
      <c r="G18">
        <f>VLOOKUP($C18,약재관리!A:J,10,FALSE)</f>
        <v>463.3</v>
      </c>
      <c r="H18" s="5">
        <f t="shared" si="1"/>
        <v>926.6</v>
      </c>
      <c r="I18" s="6">
        <f t="shared" si="2"/>
        <v>18532</v>
      </c>
      <c r="K18" s="92" t="s">
        <v>24</v>
      </c>
      <c r="L18" s="9">
        <f>SUM(E2:E31)</f>
        <v>77</v>
      </c>
      <c r="M18" s="10" t="s">
        <v>25</v>
      </c>
    </row>
    <row r="19" spans="2:13">
      <c r="B19" s="3">
        <v>18</v>
      </c>
      <c r="C19" t="s">
        <v>432</v>
      </c>
      <c r="D19" s="4"/>
      <c r="E19" s="88">
        <v>2</v>
      </c>
      <c r="F19" s="101">
        <f t="shared" si="0"/>
        <v>40</v>
      </c>
      <c r="G19">
        <f>VLOOKUP($C19,약재관리!A:J,10,FALSE)</f>
        <v>21.8</v>
      </c>
      <c r="H19" s="5">
        <f t="shared" si="1"/>
        <v>43.6</v>
      </c>
      <c r="I19" s="6">
        <f t="shared" si="2"/>
        <v>872</v>
      </c>
      <c r="K19" s="91" t="s">
        <v>26</v>
      </c>
      <c r="L19">
        <f>L15*L18</f>
        <v>1540</v>
      </c>
      <c r="M19" s="4" t="s">
        <v>25</v>
      </c>
    </row>
    <row r="20" spans="2:13" ht="17.25" thickBot="1">
      <c r="B20" s="3">
        <v>19</v>
      </c>
      <c r="C20" t="s">
        <v>435</v>
      </c>
      <c r="D20" s="4"/>
      <c r="E20" s="88">
        <v>4</v>
      </c>
      <c r="F20" s="101">
        <f t="shared" si="0"/>
        <v>80</v>
      </c>
      <c r="G20">
        <f>VLOOKUP($C20,약재관리!A:J,10,FALSE)</f>
        <v>12</v>
      </c>
      <c r="H20" s="5">
        <f t="shared" si="1"/>
        <v>48</v>
      </c>
      <c r="I20" s="6">
        <f t="shared" si="2"/>
        <v>960</v>
      </c>
      <c r="K20" s="14" t="s">
        <v>27</v>
      </c>
      <c r="L20" s="11">
        <f>L16*L17+L19</f>
        <v>6040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1540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2626.2</v>
      </c>
      <c r="M30" s="4" t="s">
        <v>384</v>
      </c>
    </row>
    <row r="31" spans="2:13" ht="17.25" thickBot="1">
      <c r="B31" s="13">
        <v>30</v>
      </c>
      <c r="C31" s="14"/>
      <c r="D31" s="12"/>
      <c r="E31" s="95"/>
      <c r="F31" s="102">
        <f t="shared" si="0"/>
        <v>0</v>
      </c>
      <c r="H31" s="15">
        <f t="shared" si="1"/>
        <v>0</v>
      </c>
      <c r="I31" s="16">
        <f t="shared" si="2"/>
        <v>0</v>
      </c>
      <c r="K31" s="14" t="s">
        <v>383</v>
      </c>
      <c r="L31" s="15">
        <f>SUM(I2:I31)</f>
        <v>52524</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C19" sqref="C1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414</v>
      </c>
      <c r="D2" s="4"/>
      <c r="E2" s="88">
        <v>10</v>
      </c>
      <c r="F2" s="101">
        <f>E2*$L$15</f>
        <v>200</v>
      </c>
      <c r="G2">
        <f>VLOOKUP($C2,약재관리!A:J,10,FALSE)</f>
        <v>14.7</v>
      </c>
      <c r="H2" s="5">
        <f>G2*E2</f>
        <v>147</v>
      </c>
      <c r="I2" s="90">
        <f>G2*F2</f>
        <v>2940</v>
      </c>
      <c r="K2" s="7" t="s">
        <v>9</v>
      </c>
      <c r="L2" s="152">
        <v>70</v>
      </c>
      <c r="M2" s="153"/>
    </row>
    <row r="3" spans="2:13">
      <c r="B3" s="3">
        <v>2</v>
      </c>
      <c r="C3" t="s">
        <v>425</v>
      </c>
      <c r="D3" s="4"/>
      <c r="E3" s="88">
        <v>6</v>
      </c>
      <c r="F3" s="101">
        <f t="shared" ref="F3:F31" si="0">E3*$L$15</f>
        <v>120</v>
      </c>
      <c r="G3">
        <f>VLOOKUP($C3,약재관리!A:J,10,FALSE)</f>
        <v>17.600000000000001</v>
      </c>
      <c r="H3" s="5">
        <f t="shared" ref="H3:H31" si="1">G3*E3</f>
        <v>105.60000000000001</v>
      </c>
      <c r="I3" s="6">
        <f t="shared" ref="I3:I31" si="2">G3*F3</f>
        <v>2112</v>
      </c>
      <c r="K3" s="8" t="s">
        <v>10</v>
      </c>
      <c r="L3" s="147" t="s">
        <v>411</v>
      </c>
      <c r="M3" s="148"/>
    </row>
    <row r="4" spans="2:13">
      <c r="B4" s="3">
        <v>3</v>
      </c>
      <c r="C4" t="s">
        <v>415</v>
      </c>
      <c r="D4" s="4"/>
      <c r="E4" s="88">
        <v>6</v>
      </c>
      <c r="F4" s="101">
        <f t="shared" si="0"/>
        <v>120</v>
      </c>
      <c r="G4">
        <f>VLOOKUP($C4,약재관리!A:J,10,FALSE)</f>
        <v>47</v>
      </c>
      <c r="H4" s="5">
        <f t="shared" si="1"/>
        <v>282</v>
      </c>
      <c r="I4" s="6">
        <f t="shared" si="2"/>
        <v>5640</v>
      </c>
      <c r="K4" s="8" t="s">
        <v>11</v>
      </c>
      <c r="L4" s="154">
        <v>45684</v>
      </c>
      <c r="M4" s="148"/>
    </row>
    <row r="5" spans="2:13">
      <c r="B5" s="3">
        <v>4</v>
      </c>
      <c r="C5" t="s">
        <v>416</v>
      </c>
      <c r="D5" s="4"/>
      <c r="E5" s="88">
        <v>4</v>
      </c>
      <c r="F5" s="101">
        <f t="shared" si="0"/>
        <v>80</v>
      </c>
      <c r="G5">
        <f>VLOOKUP($C5,약재관리!A:J,10,FALSE)</f>
        <v>11</v>
      </c>
      <c r="H5" s="5">
        <f t="shared" si="1"/>
        <v>44</v>
      </c>
      <c r="I5" s="6">
        <f t="shared" si="2"/>
        <v>880</v>
      </c>
      <c r="K5" s="8" t="s">
        <v>12</v>
      </c>
      <c r="L5" s="147" t="s">
        <v>412</v>
      </c>
      <c r="M5" s="148"/>
    </row>
    <row r="6" spans="2:13">
      <c r="B6" s="3">
        <v>5</v>
      </c>
      <c r="C6" t="s">
        <v>424</v>
      </c>
      <c r="D6" s="4"/>
      <c r="E6" s="88">
        <v>4</v>
      </c>
      <c r="F6" s="101">
        <f t="shared" si="0"/>
        <v>80</v>
      </c>
      <c r="G6">
        <f>VLOOKUP($C6,약재관리!A:J,10,FALSE)</f>
        <v>22</v>
      </c>
      <c r="H6" s="5">
        <f t="shared" si="1"/>
        <v>88</v>
      </c>
      <c r="I6" s="6">
        <f t="shared" si="2"/>
        <v>1760</v>
      </c>
      <c r="K6" s="8" t="s">
        <v>13</v>
      </c>
      <c r="L6" s="147">
        <v>80</v>
      </c>
      <c r="M6" s="148"/>
    </row>
    <row r="7" spans="2:13" ht="17.25" thickBot="1">
      <c r="B7" s="3">
        <v>6</v>
      </c>
      <c r="C7" t="s">
        <v>417</v>
      </c>
      <c r="D7" s="4"/>
      <c r="E7" s="88">
        <v>4</v>
      </c>
      <c r="F7" s="101">
        <f t="shared" si="0"/>
        <v>80</v>
      </c>
      <c r="G7">
        <f>VLOOKUP($C7,약재관리!A:J,10,FALSE)</f>
        <v>16.7</v>
      </c>
      <c r="H7" s="5">
        <f t="shared" si="1"/>
        <v>66.8</v>
      </c>
      <c r="I7" s="6">
        <f t="shared" si="2"/>
        <v>1336</v>
      </c>
      <c r="K7" s="8" t="s">
        <v>14</v>
      </c>
      <c r="L7" s="155" t="s">
        <v>413</v>
      </c>
      <c r="M7" s="156"/>
    </row>
    <row r="8" spans="2:13" ht="17.25" thickBot="1">
      <c r="B8" s="3">
        <v>7</v>
      </c>
      <c r="C8" t="s">
        <v>423</v>
      </c>
      <c r="D8" s="4"/>
      <c r="E8" s="88">
        <v>4</v>
      </c>
      <c r="F8" s="101">
        <f t="shared" si="0"/>
        <v>80</v>
      </c>
      <c r="G8">
        <f>VLOOKUP($C8,약재관리!A:J,10,FALSE)</f>
        <v>15.4</v>
      </c>
      <c r="H8" s="5">
        <f t="shared" si="1"/>
        <v>61.6</v>
      </c>
      <c r="I8" s="6">
        <f t="shared" si="2"/>
        <v>1232</v>
      </c>
      <c r="K8" s="149" t="s">
        <v>15</v>
      </c>
      <c r="L8" s="150"/>
      <c r="M8" s="151"/>
    </row>
    <row r="9" spans="2:13">
      <c r="B9" s="3">
        <v>8</v>
      </c>
      <c r="C9" t="s">
        <v>418</v>
      </c>
      <c r="D9" s="4" t="s">
        <v>419</v>
      </c>
      <c r="E9" s="88">
        <v>2</v>
      </c>
      <c r="F9" s="101">
        <f t="shared" si="0"/>
        <v>40</v>
      </c>
      <c r="G9">
        <f>VLOOKUP($C9,약재관리!A:J,10,FALSE)</f>
        <v>22.5</v>
      </c>
      <c r="H9" s="5">
        <f t="shared" si="1"/>
        <v>45</v>
      </c>
      <c r="I9" s="6">
        <f t="shared" si="2"/>
        <v>900</v>
      </c>
      <c r="K9" s="157" t="s">
        <v>433</v>
      </c>
      <c r="L9" s="158"/>
      <c r="M9" s="159"/>
    </row>
    <row r="10" spans="2:13">
      <c r="B10" s="3">
        <v>9</v>
      </c>
      <c r="C10" t="s">
        <v>420</v>
      </c>
      <c r="D10" s="4"/>
      <c r="E10" s="88">
        <v>2</v>
      </c>
      <c r="F10" s="101">
        <f t="shared" si="0"/>
        <v>40</v>
      </c>
      <c r="G10">
        <f>VLOOKUP($C10,약재관리!A:J,10,FALSE)</f>
        <v>28.3</v>
      </c>
      <c r="H10" s="5">
        <f t="shared" si="1"/>
        <v>56.6</v>
      </c>
      <c r="I10" s="6">
        <f t="shared" si="2"/>
        <v>1132</v>
      </c>
      <c r="K10" s="160"/>
      <c r="L10" s="161"/>
      <c r="M10" s="162"/>
    </row>
    <row r="11" spans="2:13">
      <c r="B11" s="3">
        <v>10</v>
      </c>
      <c r="C11" t="s">
        <v>421</v>
      </c>
      <c r="D11" s="4"/>
      <c r="E11" s="88">
        <v>3</v>
      </c>
      <c r="F11" s="101">
        <f t="shared" si="0"/>
        <v>60</v>
      </c>
      <c r="G11">
        <f>VLOOKUP($C11,약재관리!A:J,10,FALSE)</f>
        <v>15</v>
      </c>
      <c r="H11" s="5">
        <f t="shared" si="1"/>
        <v>45</v>
      </c>
      <c r="I11" s="6">
        <f t="shared" si="2"/>
        <v>900</v>
      </c>
      <c r="K11" s="160"/>
      <c r="L11" s="161"/>
      <c r="M11" s="162"/>
    </row>
    <row r="12" spans="2:13">
      <c r="B12" s="3">
        <v>11</v>
      </c>
      <c r="C12" t="s">
        <v>422</v>
      </c>
      <c r="D12" s="4"/>
      <c r="E12" s="88">
        <v>2</v>
      </c>
      <c r="F12" s="101">
        <f t="shared" si="0"/>
        <v>40</v>
      </c>
      <c r="G12">
        <f>VLOOKUP($C12,약재관리!A:J,10,FALSE)</f>
        <v>20.8</v>
      </c>
      <c r="H12" s="5">
        <f t="shared" si="1"/>
        <v>41.6</v>
      </c>
      <c r="I12" s="6">
        <f t="shared" si="2"/>
        <v>832</v>
      </c>
      <c r="K12" s="160"/>
      <c r="L12" s="161"/>
      <c r="M12" s="162"/>
    </row>
    <row r="13" spans="2:13" ht="17.25" thickBot="1">
      <c r="B13" s="3">
        <v>12</v>
      </c>
      <c r="C13" t="s">
        <v>426</v>
      </c>
      <c r="D13" s="4"/>
      <c r="E13" s="88">
        <v>4</v>
      </c>
      <c r="F13" s="101">
        <f t="shared" si="0"/>
        <v>80</v>
      </c>
      <c r="G13">
        <f>VLOOKUP($C13,약재관리!A:J,10,FALSE)</f>
        <v>14.4</v>
      </c>
      <c r="H13" s="5">
        <f t="shared" si="1"/>
        <v>57.6</v>
      </c>
      <c r="I13" s="6">
        <f t="shared" si="2"/>
        <v>1152</v>
      </c>
      <c r="K13" s="163"/>
      <c r="L13" s="164"/>
      <c r="M13" s="165"/>
    </row>
    <row r="14" spans="2:13">
      <c r="B14" s="3">
        <v>13</v>
      </c>
      <c r="C14" t="s">
        <v>427</v>
      </c>
      <c r="D14" s="4"/>
      <c r="E14" s="88">
        <v>4</v>
      </c>
      <c r="F14" s="101">
        <f t="shared" si="0"/>
        <v>80</v>
      </c>
      <c r="G14">
        <f>VLOOKUP($C14,약재관리!A:J,10,FALSE)</f>
        <v>19.600000000000001</v>
      </c>
      <c r="H14" s="5">
        <f t="shared" si="1"/>
        <v>78.400000000000006</v>
      </c>
      <c r="I14" s="6">
        <f t="shared" si="2"/>
        <v>1568</v>
      </c>
      <c r="K14" s="92" t="s">
        <v>16</v>
      </c>
      <c r="L14" s="9">
        <v>15</v>
      </c>
      <c r="M14" s="10" t="s">
        <v>17</v>
      </c>
    </row>
    <row r="15" spans="2:13">
      <c r="B15" s="3">
        <v>14</v>
      </c>
      <c r="C15" t="s">
        <v>429</v>
      </c>
      <c r="D15" s="4"/>
      <c r="E15" s="88">
        <v>6</v>
      </c>
      <c r="F15" s="101">
        <f t="shared" si="0"/>
        <v>120</v>
      </c>
      <c r="G15">
        <f>VLOOKUP($C15,약재관리!A:J,10,FALSE)</f>
        <v>25</v>
      </c>
      <c r="H15" s="5">
        <f t="shared" si="1"/>
        <v>150</v>
      </c>
      <c r="I15" s="6">
        <f t="shared" si="2"/>
        <v>3000</v>
      </c>
      <c r="K15" s="91" t="s">
        <v>18</v>
      </c>
      <c r="L15">
        <v>20</v>
      </c>
      <c r="M15" s="4" t="s">
        <v>19</v>
      </c>
    </row>
    <row r="16" spans="2:13">
      <c r="B16" s="3">
        <v>15</v>
      </c>
      <c r="C16" t="s">
        <v>430</v>
      </c>
      <c r="D16" s="4"/>
      <c r="E16" s="88">
        <v>3</v>
      </c>
      <c r="F16" s="101">
        <f t="shared" si="0"/>
        <v>60</v>
      </c>
      <c r="G16">
        <f>VLOOKUP($C16,약재관리!A:J,10,FALSE)</f>
        <v>10.8</v>
      </c>
      <c r="H16" s="5">
        <f t="shared" si="1"/>
        <v>32.400000000000006</v>
      </c>
      <c r="I16" s="6">
        <f t="shared" si="2"/>
        <v>648</v>
      </c>
      <c r="K16" s="91" t="s">
        <v>20</v>
      </c>
      <c r="L16">
        <v>45</v>
      </c>
      <c r="M16" s="4" t="s">
        <v>21</v>
      </c>
    </row>
    <row r="17" spans="2:13" ht="17.25" thickBot="1">
      <c r="B17" s="3">
        <v>16</v>
      </c>
      <c r="C17" t="s">
        <v>428</v>
      </c>
      <c r="D17" s="4" t="s">
        <v>419</v>
      </c>
      <c r="E17" s="88">
        <v>2</v>
      </c>
      <c r="F17" s="101">
        <f t="shared" si="0"/>
        <v>40</v>
      </c>
      <c r="G17">
        <f>VLOOKUP($C17,약재관리!A:J,10,FALSE)</f>
        <v>136.80000000000001</v>
      </c>
      <c r="H17" s="5">
        <f t="shared" si="1"/>
        <v>273.60000000000002</v>
      </c>
      <c r="I17" s="6">
        <f t="shared" si="2"/>
        <v>5472</v>
      </c>
      <c r="K17" s="14" t="s">
        <v>22</v>
      </c>
      <c r="L17" s="11">
        <v>100</v>
      </c>
      <c r="M17" s="12" t="s">
        <v>23</v>
      </c>
    </row>
    <row r="18" spans="2:13">
      <c r="B18" s="3">
        <v>17</v>
      </c>
      <c r="C18" t="s">
        <v>431</v>
      </c>
      <c r="D18" s="4"/>
      <c r="E18" s="88">
        <v>2</v>
      </c>
      <c r="F18" s="101">
        <f t="shared" si="0"/>
        <v>40</v>
      </c>
      <c r="G18">
        <f>VLOOKUP($C18,약재관리!A:J,10,FALSE)</f>
        <v>463.3</v>
      </c>
      <c r="H18" s="5">
        <f t="shared" si="1"/>
        <v>926.6</v>
      </c>
      <c r="I18" s="6">
        <f t="shared" si="2"/>
        <v>18532</v>
      </c>
      <c r="K18" s="92" t="s">
        <v>24</v>
      </c>
      <c r="L18" s="9">
        <f>SUM(E2:E31)</f>
        <v>70</v>
      </c>
      <c r="M18" s="10" t="s">
        <v>25</v>
      </c>
    </row>
    <row r="19" spans="2:13">
      <c r="B19" s="3">
        <v>18</v>
      </c>
      <c r="C19" t="s">
        <v>432</v>
      </c>
      <c r="D19" s="4"/>
      <c r="E19" s="88">
        <v>2</v>
      </c>
      <c r="F19" s="101">
        <f t="shared" si="0"/>
        <v>40</v>
      </c>
      <c r="G19">
        <f>VLOOKUP($C19,약재관리!A:J,10,FALSE)</f>
        <v>21.8</v>
      </c>
      <c r="H19" s="5">
        <f t="shared" si="1"/>
        <v>43.6</v>
      </c>
      <c r="I19" s="6">
        <f t="shared" si="2"/>
        <v>872</v>
      </c>
      <c r="K19" s="91" t="s">
        <v>26</v>
      </c>
      <c r="L19">
        <f>L15*L18</f>
        <v>1400</v>
      </c>
      <c r="M19" s="4" t="s">
        <v>25</v>
      </c>
    </row>
    <row r="20" spans="2:13" ht="17.25" thickBot="1">
      <c r="B20" s="3">
        <v>19</v>
      </c>
      <c r="D20" s="4"/>
      <c r="F20" s="101">
        <f t="shared" si="0"/>
        <v>0</v>
      </c>
      <c r="H20" s="5">
        <f t="shared" si="1"/>
        <v>0</v>
      </c>
      <c r="I20" s="6">
        <f t="shared" si="2"/>
        <v>0</v>
      </c>
      <c r="K20" s="14" t="s">
        <v>27</v>
      </c>
      <c r="L20" s="11">
        <f>L16*L17+L19</f>
        <v>5900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1400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2545.4</v>
      </c>
      <c r="M30" s="4" t="s">
        <v>384</v>
      </c>
    </row>
    <row r="31" spans="2:13" ht="17.25" thickBot="1">
      <c r="B31" s="13">
        <v>30</v>
      </c>
      <c r="C31" s="14"/>
      <c r="D31" s="12"/>
      <c r="E31" s="95"/>
      <c r="F31" s="102">
        <f t="shared" si="0"/>
        <v>0</v>
      </c>
      <c r="H31" s="15">
        <f t="shared" si="1"/>
        <v>0</v>
      </c>
      <c r="I31" s="16">
        <f t="shared" si="2"/>
        <v>0</v>
      </c>
      <c r="K31" s="14" t="s">
        <v>383</v>
      </c>
      <c r="L31" s="15">
        <f>SUM(I2:I31)</f>
        <v>50908</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zoomScaleNormal="100" workbookViewId="0">
      <selection activeCell="J198" sqref="J198"/>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8000</v>
      </c>
      <c r="F27" s="115">
        <f t="shared" si="2"/>
        <v>29.8</v>
      </c>
      <c r="G27" s="38">
        <f>C27/500</f>
        <v>17.399999999999999</v>
      </c>
      <c r="H27" s="38">
        <f t="shared" si="1"/>
        <v>15</v>
      </c>
      <c r="I27" s="48">
        <f t="shared" si="1"/>
        <v>13.333333333333334</v>
      </c>
      <c r="J27" s="40">
        <v>13.3</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15000</v>
      </c>
      <c r="F38" s="115">
        <f t="shared" si="2"/>
        <v>29.8</v>
      </c>
      <c r="G38" s="38">
        <f>C38/500</f>
        <v>25.4</v>
      </c>
      <c r="H38" s="38">
        <f t="shared" si="4"/>
        <v>25</v>
      </c>
      <c r="I38" s="48">
        <f t="shared" si="3"/>
        <v>25</v>
      </c>
      <c r="J38" s="40">
        <v>25</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9"/>
        <v>0</v>
      </c>
      <c r="G90" s="44">
        <f t="shared" si="9"/>
        <v>7</v>
      </c>
      <c r="H90" s="38">
        <f t="shared" si="8"/>
        <v>7.5</v>
      </c>
      <c r="I90" s="39">
        <f t="shared" si="8"/>
        <v>7.166666666666667</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9"/>
        <v>0</v>
      </c>
      <c r="G110" s="38">
        <f>C110/500</f>
        <v>30.8</v>
      </c>
      <c r="H110" s="38">
        <f t="shared" ref="H110:I112" si="11">D110/600</f>
        <v>0</v>
      </c>
      <c r="I110" s="39">
        <f t="shared" si="11"/>
        <v>34.666666666666664</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7700</v>
      </c>
      <c r="D140" s="36">
        <v>10500</v>
      </c>
      <c r="E140" s="37">
        <v>13000</v>
      </c>
      <c r="F140" s="115">
        <f t="shared" si="12"/>
        <v>0</v>
      </c>
      <c r="G140" s="38">
        <f>C140/500</f>
        <v>15.4</v>
      </c>
      <c r="H140" s="38">
        <f t="shared" si="14"/>
        <v>17.5</v>
      </c>
      <c r="I140" s="39">
        <f t="shared" si="14"/>
        <v>21.666666666666668</v>
      </c>
      <c r="J140" s="40">
        <v>15.4</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13000</v>
      </c>
      <c r="F157" s="115">
        <f t="shared" si="19"/>
        <v>0</v>
      </c>
      <c r="G157" s="38">
        <f t="shared" si="19"/>
        <v>21.2</v>
      </c>
      <c r="H157" s="38">
        <f t="shared" si="20"/>
        <v>23.333333333333332</v>
      </c>
      <c r="I157" s="48">
        <f t="shared" si="16"/>
        <v>21.666666666666668</v>
      </c>
      <c r="J157" s="40">
        <v>21.7</v>
      </c>
      <c r="K157" s="41"/>
      <c r="L157" s="42"/>
      <c r="M157" s="42" t="s">
        <v>253</v>
      </c>
      <c r="N157" s="43" t="s">
        <v>84</v>
      </c>
    </row>
    <row r="158" spans="1:14" ht="15" customHeight="1">
      <c r="A158" s="120" t="s">
        <v>294</v>
      </c>
      <c r="B158" s="125"/>
      <c r="C158" s="36">
        <v>7600</v>
      </c>
      <c r="D158" s="36">
        <v>11000</v>
      </c>
      <c r="E158" s="37">
        <v>10000</v>
      </c>
      <c r="F158" s="115">
        <f t="shared" si="19"/>
        <v>0</v>
      </c>
      <c r="G158" s="38">
        <f t="shared" si="19"/>
        <v>15.2</v>
      </c>
      <c r="H158" s="38">
        <f t="shared" si="20"/>
        <v>18.333333333333332</v>
      </c>
      <c r="I158" s="39">
        <f t="shared" si="16"/>
        <v>16.666666666666668</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17100</v>
      </c>
      <c r="F174" s="115">
        <f t="shared" si="19"/>
        <v>0</v>
      </c>
      <c r="G174" s="38">
        <f t="shared" si="19"/>
        <v>27.6</v>
      </c>
      <c r="H174" s="38">
        <f t="shared" si="20"/>
        <v>0</v>
      </c>
      <c r="I174" s="39">
        <f t="shared" si="16"/>
        <v>28.5</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9100</v>
      </c>
      <c r="D183" s="49">
        <v>7500</v>
      </c>
      <c r="E183" s="50">
        <v>12700</v>
      </c>
      <c r="F183" s="73">
        <f t="shared" si="21"/>
        <v>21.6</v>
      </c>
      <c r="G183" s="51">
        <f t="shared" si="21"/>
        <v>18.2</v>
      </c>
      <c r="H183" s="51">
        <f t="shared" si="20"/>
        <v>12.5</v>
      </c>
      <c r="I183" s="60">
        <f t="shared" si="20"/>
        <v>21.166666666666668</v>
      </c>
      <c r="J183" s="52">
        <v>21.3</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2025-01-27T00:56:20Z</cp:lastPrinted>
  <dcterms:created xsi:type="dcterms:W3CDTF">2024-09-12T16:35:01Z</dcterms:created>
  <dcterms:modified xsi:type="dcterms:W3CDTF">2025-11-03T00:15:26Z</dcterms:modified>
</cp:coreProperties>
</file>