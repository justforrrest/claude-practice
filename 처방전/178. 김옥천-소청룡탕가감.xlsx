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585" documentId="8_{6EB8DC0A-AB56-415F-A9F3-EA1534264548}" xr6:coauthVersionLast="47" xr6:coauthVersionMax="47" xr10:uidLastSave="{152C2128-D86B-4660-A241-64464FE7D99D}"/>
  <bookViews>
    <workbookView xWindow="-120" yWindow="-120" windowWidth="29040" windowHeight="1572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8" l="1"/>
  <c r="F31" i="8"/>
  <c r="I31" i="8" s="1"/>
  <c r="H30" i="8"/>
  <c r="F30" i="8"/>
  <c r="I30" i="8" s="1"/>
  <c r="I29" i="8"/>
  <c r="H29" i="8"/>
  <c r="F29" i="8"/>
  <c r="H28" i="8"/>
  <c r="F28" i="8"/>
  <c r="I28" i="8" s="1"/>
  <c r="H27" i="8"/>
  <c r="F27" i="8"/>
  <c r="I27" i="8" s="1"/>
  <c r="H26" i="8"/>
  <c r="F26" i="8"/>
  <c r="I26" i="8" s="1"/>
  <c r="H25" i="8"/>
  <c r="F25" i="8"/>
  <c r="I25" i="8" s="1"/>
  <c r="H24" i="8"/>
  <c r="F24" i="8"/>
  <c r="I24" i="8" s="1"/>
  <c r="H23" i="8"/>
  <c r="F23" i="8"/>
  <c r="I23" i="8" s="1"/>
  <c r="I22" i="8"/>
  <c r="H22" i="8"/>
  <c r="F22" i="8"/>
  <c r="H21" i="8"/>
  <c r="F21" i="8"/>
  <c r="I21" i="8" s="1"/>
  <c r="H20" i="8"/>
  <c r="F20" i="8"/>
  <c r="I20" i="8" s="1"/>
  <c r="I19" i="8"/>
  <c r="H19" i="8"/>
  <c r="F19" i="8"/>
  <c r="L18" i="8"/>
  <c r="L19" i="8" s="1"/>
  <c r="L20" i="8" s="1"/>
  <c r="H18" i="8"/>
  <c r="F18" i="8"/>
  <c r="H17" i="8"/>
  <c r="F17" i="8"/>
  <c r="J16" i="8"/>
  <c r="H16" i="8"/>
  <c r="F16" i="8"/>
  <c r="I16" i="8" s="1"/>
  <c r="H15" i="8"/>
  <c r="F15" i="8"/>
  <c r="H14" i="8"/>
  <c r="F14" i="8"/>
  <c r="H13" i="8"/>
  <c r="F13" i="8"/>
  <c r="H12" i="8"/>
  <c r="F12" i="8"/>
  <c r="J11" i="8"/>
  <c r="I11" i="8"/>
  <c r="H11" i="8"/>
  <c r="F11" i="8"/>
  <c r="G10" i="8"/>
  <c r="F10" i="8"/>
  <c r="J10" i="8" s="1"/>
  <c r="G9" i="8"/>
  <c r="F9" i="8"/>
  <c r="J9" i="8" s="1"/>
  <c r="G8" i="8"/>
  <c r="F8" i="8"/>
  <c r="J8" i="8" s="1"/>
  <c r="G7" i="8"/>
  <c r="F7" i="8"/>
  <c r="J7" i="8" s="1"/>
  <c r="G6" i="8"/>
  <c r="F6" i="8"/>
  <c r="J6" i="8" s="1"/>
  <c r="G5" i="8"/>
  <c r="F5" i="8"/>
  <c r="J5" i="8" s="1"/>
  <c r="G4" i="8"/>
  <c r="F4" i="8"/>
  <c r="J4" i="8" s="1"/>
  <c r="G3" i="8"/>
  <c r="F3" i="8"/>
  <c r="J3" i="8" s="1"/>
  <c r="G2" i="8"/>
  <c r="F2" i="8"/>
  <c r="G9" i="7"/>
  <c r="G10" i="7"/>
  <c r="G8" i="7"/>
  <c r="G7" i="7"/>
  <c r="G3" i="7"/>
  <c r="G4" i="7"/>
  <c r="G5" i="7"/>
  <c r="G6" i="7"/>
  <c r="J18" i="8" l="1"/>
  <c r="I18" i="8"/>
  <c r="J17" i="8"/>
  <c r="I17" i="8"/>
  <c r="I15" i="8"/>
  <c r="J15" i="8"/>
  <c r="I14" i="8"/>
  <c r="J14" i="8"/>
  <c r="J13" i="8"/>
  <c r="I13" i="8"/>
  <c r="I12" i="8"/>
  <c r="J12" i="8"/>
  <c r="I10" i="8"/>
  <c r="H10" i="8"/>
  <c r="H9" i="8"/>
  <c r="I9" i="8"/>
  <c r="H8" i="8"/>
  <c r="I8" i="8"/>
  <c r="H7" i="8"/>
  <c r="I7" i="8"/>
  <c r="I6" i="8"/>
  <c r="H6" i="8"/>
  <c r="I5" i="8"/>
  <c r="H5" i="8"/>
  <c r="I4" i="8"/>
  <c r="H4" i="8"/>
  <c r="I3" i="8"/>
  <c r="H3" i="8"/>
  <c r="I2" i="8"/>
  <c r="H2" i="8"/>
  <c r="L23" i="8"/>
  <c r="J2" i="8"/>
  <c r="F3" i="7"/>
  <c r="J3" i="7" s="1"/>
  <c r="F4" i="7"/>
  <c r="F2" i="7"/>
  <c r="J2" i="7" s="1"/>
  <c r="L31" i="8" l="1"/>
  <c r="L30" i="8"/>
  <c r="I4" i="7"/>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<sst xmlns="http://schemas.openxmlformats.org/spreadsheetml/2006/main" count="652" uniqueCount="430">
  <si>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</si>
  <si>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</si>
  <si>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</si>
  <si>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</si>
  <si>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</si>
  <si>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</si>
  <si>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</si>
  <si>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</si>
  <si>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</si>
  <si>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</si>
  <si>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</si>
  <si>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</si>
  <si>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</si>
  <si>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</si>
  <si>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</si>
  <si>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</si>
  <si>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</si>
  <si>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</si>
  <si>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</si>
  <si>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</si>
  <si>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</si>
  <si>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</si>
  <si>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</si>
  <si>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</si>
  <si>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</si>
  <si>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</si>
  <si>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</si>
  <si>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</si>
  <si>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</si>
  <si>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</si>
  <si>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</si>
  <si>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</si>
  <si>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</si>
  <si>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</si>
  <si>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</si>
  <si>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</si>
  <si>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</si>
  <si>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</si>
  <si>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</si>
  <si>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</si>
  <si>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</si>
  <si>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</si>
  <si>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</si>
  <si>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</si>
  <si>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</si>
  <si>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</si>
  <si>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</si>
  <si>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</si>
  <si>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</si>
  <si>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</si>
  <si>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</si>
  <si>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</si>
  <si>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</si>
  <si>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</si>
  <si>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</si>
  <si>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</si>
  <si>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</si>
  <si>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</si>
  <si>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</si>
  <si>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</si>
  <si>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</si>
  <si>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</si>
  <si>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</si>
  <si>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</si>
  <si>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</si>
  <si>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</si>
  <si>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</si>
  <si>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</si>
  <si>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</si>
  <si>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</si>
  <si>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</si>
  <si>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</si>
  <si>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</si>
  <si>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</si>
  <si>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</si>
  <si>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</si>
  <si>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</si>
  <si>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</si>
  <si>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</si>
  <si>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</si>
  <si>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</si>
  <si>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</si>
  <si>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</si>
  <si>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</si>
  <si>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</si>
  <si>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</si>
  <si>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</si>
  <si>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</si>
  <si>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</si>
  <si>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</si>
  <si>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</si>
  <si>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</si>
  <si>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</si>
  <si>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</si>
  <si>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</si>
  <si>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</si>
  <si>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</si>
  <si>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</si>
  <si>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</si>
  <si>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</si>
  <si>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</si>
  <si>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</si>
  <si>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</si>
  <si>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</si>
  <si>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</si>
  <si>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</si>
  <si>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</si>
  <si>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</si>
  <si>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</si>
  <si>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</si>
  <si>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</si>
  <si>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</si>
  <si>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</si>
  <si>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</si>
  <si>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</si>
  <si>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</si>
  <si>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</si>
  <si>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</si>
  <si>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</si>
  <si>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</si>
  <si>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</si>
  <si>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</si>
  <si>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</si>
  <si>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</si>
  <si>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</si>
  <si>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</si>
  <si>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</si>
  <si>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</si>
  <si>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</si>
  <si>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</si>
  <si>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</si>
  <si>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</si>
  <si>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</si>
  <si>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</si>
  <si>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</si>
  <si>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</si>
  <si>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</si>
  <si>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</si>
  <si>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</si>
  <si>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</si>
  <si>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</si>
  <si>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</si>
  <si>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</si>
  <si>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</si>
  <si>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</si>
  <si>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</si>
  <si>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</si>
  <si>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</si>
  <si>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</si>
  <si>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</si>
  <si>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</si>
  <si>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</si>
  <si>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</si>
  <si>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</si>
  <si>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</si>
  <si>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</si>
  <si>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</si>
  <si>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</si>
  <si>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</si>
  <si>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</si>
  <si>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</si>
  <si>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</si>
  <si>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</si>
  <si>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</si>
  <si>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</si>
  <si>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</si>
  <si>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</si>
  <si>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</si>
  <si>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</si>
  <si>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</si>
  <si>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</si>
  <si>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</si>
  <si>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</si>
  <si>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</si>
  <si>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</si>
  <si>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</si>
  <si>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</si>
  <si>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</si>
  <si>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</si>
  <si>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</si>
  <si>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</si>
  <si>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</si>
  <si>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</si>
  <si>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</si>
  <si>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</si>
  <si>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</si>
  <si>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</si>
  <si>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</si>
  <si>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</si>
  <si>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</si>
  <si>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</si>
  <si>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</si>
  <si>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</si>
  <si>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</si>
  <si>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</si>
  <si>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</si>
  <si>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</si>
  <si>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</si>
  <si>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</si>
  <si>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</si>
  <si>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</si>
  <si>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</si>
  <si>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</si>
  <si>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</si>
  <si>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</si>
  <si>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</si>
  <si>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</si>
  <si>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</si>
  <si>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</si>
  <si>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</si>
  <si>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</si>
  <si>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</si>
  <si>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</si>
  <si>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</si>
  <si>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</si>
  <si>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</si>
  <si>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</si>
  <si>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</si>
  <si>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</si>
  <si>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</si>
  <si>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</si>
  <si>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</si>
  <si>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</si>
  <si>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</si>
  <si>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</si>
  <si>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</si>
  <si>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</si>
  <si>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</si>
  <si>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</si>
  <si>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</si>
  <si>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</si>
  <si>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</si>
  <si>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</si>
  <si>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</si>
  <si>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</si>
  <si>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</si>
  <si>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</si>
  <si>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</si>
  <si>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</si>
  <si>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</si>
  <si>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</si>
  <si>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</si>
  <si>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</si>
  <si>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</si>
  <si>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</si>
  <si>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</si>
  <si>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</si>
  <si>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</si>
  <si>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</si>
  <si>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</si>
  <si>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</si>
  <si>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</si>
  <si>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</si>
  <si>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</si>
  <si>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</si>
  <si>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</si>
  <si>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</si>
  <si>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</si>
  <si>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</si>
  <si>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</si>
  <si>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</si>
  <si>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</si>
  <si>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</si>
  <si>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</si>
  <si>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</si>
  <si>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</si>
  <si>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</si>
  <si>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</si>
  <si>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</si>
  <si>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</si>
  <si>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</si>
  <si>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</si>
  <si>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</si>
  <si>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</si>
  <si>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</si>
  <si>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</si>
  <si>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</si>
  <si>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</si>
  <si>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</si>
  <si>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</si>
  <si>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</si>
  <si>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</si>
  <si>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</si>
  <si>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</si>
  <si>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</si>
  <si>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</si>
  <si>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</si>
  <si>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</si>
  <si>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</si>
  <si>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</si>
  <si>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</si>
  <si>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</si>
  <si>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</si>
  <si>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</si>
  <si>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</si>
  <si>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</si>
  <si>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</si>
  <si>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</si>
  <si>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</si>
  <si>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</si>
  <si>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</si>
  <si>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</si>
  <si>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</si>
  <si>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</si>
  <si>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</si>
  <si>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</si>
  <si>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</si>
  <si>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</si>
  <si>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</si>
  <si>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</si>
  <si>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</si>
  <si>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</si>
  <si>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</si>
  <si>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</si>
  <si>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</si>
  <si>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</si>
  <si>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</si>
  <si>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</si>
  <si>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</si>
  <si>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</si>
  <si>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</si>
  <si>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</si>
  <si>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</si>
  <si>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</si>
  <si>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</si>
  <si>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</si>
  <si>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</si>
  <si>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</si>
  <si>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</si>
  <si>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</si>
  <si>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</si>
  <si>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</si>
  <si>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</si>
  <si>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</si>
  <si>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</si>
  <si>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</si>
  <si>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</si>
  <si>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</si>
  <si>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</si>
  <si>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</si>
  <si>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</si>
  <si>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</si>
  <si>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</si>
  <si>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</si>
  <si>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</si>
  <si>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</si>
  <si>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</si>
  <si>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</si>
  <si>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</si>
  <si>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</si>
  <si>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</si>
  <si>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</si>
  <si>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</si>
  <si>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</si>
  <si>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</si>
  <si>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</si>
  <si>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</si>
  <si>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</si>
  <si>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</si>
  <si>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</si>
  <si>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</si>
  <si>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</si>
  <si>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</si>
  <si>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</si>
  <si>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</si>
  <si>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</si>
  <si>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</si>
  <si>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</si>
  <si>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</si>
  <si>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</si>
  <si>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</si>
  <si>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</si>
  <si>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</si>
  <si>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</si>
  <si>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</si>
  <si>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</si>
  <si>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</si>
  <si>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</si>
  <si>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</si>
  <si>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</si>
  <si>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</si>
  <si>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</si>
  <si>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</si>
  <si>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</si>
  <si>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</si>
  <si>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</si>
  <si>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</si>
  <si>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</si>
  <si>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</si>
  <si>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</si>
  <si>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</si>
  <si>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</si>
  <si>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</si>
  <si>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</si>
  <si>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</si>
  <si>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</si>
  <si>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</si>
  <si>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</si>
  <si>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</si>
  <si>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</si>
  <si>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</si>
  <si>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</si>
  <si>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</si>
  <si>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</si>
  <si>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</si>
  <si>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</si>
  <si>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</si>
  <si>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</si>
  <si>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</si>
  <si>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</si>
  <si>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</si>
  <si>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</si>
  <si>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</si>
  <si>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</si>
  <si>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</si>
  <si>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</si>
  <si>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</si>
  <si>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</si>
  <si>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1일당</t>
    <phoneticPr fontId="5" type="noConversion"/>
  </si>
  <si>
    <t>감초</t>
    <phoneticPr fontId="5" type="noConversion"/>
  </si>
  <si>
    <t>건강</t>
    <phoneticPr fontId="5" type="noConversion"/>
  </si>
  <si>
    <t>소청룡탕</t>
    <phoneticPr fontId="5" type="noConversion"/>
  </si>
  <si>
    <t>김옥천</t>
    <phoneticPr fontId="5" type="noConversion"/>
  </si>
  <si>
    <t>반하</t>
    <phoneticPr fontId="5" type="noConversion"/>
  </si>
  <si>
    <t>마황</t>
    <phoneticPr fontId="5" type="noConversion"/>
  </si>
  <si>
    <t>세신</t>
    <phoneticPr fontId="5" type="noConversion"/>
  </si>
  <si>
    <t>오미자</t>
    <phoneticPr fontId="5" type="noConversion"/>
  </si>
  <si>
    <t>육계</t>
    <phoneticPr fontId="5" type="noConversion"/>
  </si>
  <si>
    <t>백작약</t>
    <phoneticPr fontId="5" type="noConversion"/>
  </si>
  <si>
    <t>복령</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</si>
</sst>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19000</v>
          </cell>
          <cell r="E39">
            <v>16900</v>
          </cell>
          <cell r="F39">
            <v>29.8</v>
          </cell>
          <cell r="G39">
            <v>29</v>
          </cell>
          <cell r="H39">
            <v>31.666666666666668</v>
          </cell>
          <cell r="I39">
            <v>28.166666666666668</v>
          </cell>
          <cell r="J39">
            <v>31.7</v>
          </cell>
        </row>
        <row r="40">
          <cell r="A40" t="str">
            <v>당귀2</v>
          </cell>
          <cell r="B40"/>
          <cell r="C40">
            <v>12700</v>
          </cell>
          <cell r="D40"/>
          <cell r="E40">
            <v>13800</v>
          </cell>
          <cell r="F40">
            <v>0</v>
          </cell>
          <cell r="G40">
            <v>25.4</v>
          </cell>
          <cell r="H40">
            <v>0</v>
          </cell>
          <cell r="I40">
            <v>23</v>
          </cell>
          <cell r="J40">
            <v>23</v>
          </cell>
        </row>
        <row r="41">
          <cell r="A41" t="str">
            <v>당삼</v>
          </cell>
          <cell r="B41"/>
          <cell r="C41">
            <v>17500</v>
          </cell>
          <cell r="D41">
            <v>32000</v>
          </cell>
          <cell r="E41">
            <v>30600</v>
          </cell>
          <cell r="F41">
            <v>0</v>
          </cell>
          <cell r="G41">
            <v>29.166666666666668</v>
          </cell>
          <cell r="H41">
            <v>53.333333333333336</v>
          </cell>
          <cell r="I41">
            <v>51</v>
          </cell>
          <cell r="J41">
            <v>51</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39.200000000000003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33.700000000000003</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5200</v>
          </cell>
          <cell r="F87">
            <v>19.8</v>
          </cell>
          <cell r="G87">
            <v>8.8000000000000007</v>
          </cell>
          <cell r="H87">
            <v>11.666666666666666</v>
          </cell>
          <cell r="I87">
            <v>8.6666666666666661</v>
          </cell>
          <cell r="J87">
            <v>8.6999999999999993</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70000</v>
          </cell>
          <cell r="D153">
            <v>30000</v>
          </cell>
          <cell r="E153">
            <v>76500</v>
          </cell>
          <cell r="F153">
            <v>0</v>
          </cell>
          <cell r="G153">
            <v>116.66666666666667</v>
          </cell>
          <cell r="H153">
            <v>100</v>
          </cell>
          <cell r="I153">
            <v>127.5</v>
          </cell>
          <cell r="J153">
            <v>116.7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저근백피</v>
          </cell>
          <cell r="B157"/>
          <cell r="C157"/>
          <cell r="D157">
            <v>14000</v>
          </cell>
          <cell r="E157"/>
          <cell r="F157">
            <v>0</v>
          </cell>
          <cell r="G157">
            <v>0</v>
          </cell>
          <cell r="H157">
            <v>23.333333333333332</v>
          </cell>
          <cell r="I157">
            <v>0</v>
          </cell>
          <cell r="J157">
            <v>23.3</v>
          </cell>
        </row>
        <row r="158">
          <cell r="A158" t="str">
            <v>저령</v>
          </cell>
          <cell r="B158"/>
          <cell r="C158">
            <v>22500</v>
          </cell>
          <cell r="D158">
            <v>28000</v>
          </cell>
          <cell r="E158">
            <v>26900</v>
          </cell>
          <cell r="F158">
            <v>0</v>
          </cell>
          <cell r="G158">
            <v>45</v>
          </cell>
          <cell r="H158">
            <v>46.666666666666664</v>
          </cell>
          <cell r="I158">
            <v>44.833333333333336</v>
          </cell>
          <cell r="J158">
            <v>46.7</v>
          </cell>
        </row>
        <row r="159">
          <cell r="A159" t="str">
            <v>적복령</v>
          </cell>
          <cell r="B159"/>
          <cell r="C159"/>
          <cell r="D159">
            <v>9000</v>
          </cell>
          <cell r="E159"/>
          <cell r="F159">
            <v>0</v>
          </cell>
          <cell r="G159">
            <v>0</v>
          </cell>
          <cell r="H159">
            <v>15</v>
          </cell>
          <cell r="I159">
            <v>0</v>
          </cell>
          <cell r="J159">
            <v>15</v>
          </cell>
        </row>
        <row r="160">
          <cell r="A160" t="str">
            <v>적하수오</v>
          </cell>
          <cell r="B160"/>
          <cell r="C160">
            <v>20000</v>
          </cell>
          <cell r="D160">
            <v>20000</v>
          </cell>
          <cell r="E160"/>
          <cell r="F160">
            <v>0</v>
          </cell>
          <cell r="G160">
            <v>20</v>
          </cell>
          <cell r="H160">
            <v>20</v>
          </cell>
          <cell r="I160">
            <v>0</v>
          </cell>
          <cell r="J160">
            <v>20</v>
          </cell>
        </row>
        <row r="161">
          <cell r="A161" t="str">
            <v>전호</v>
          </cell>
          <cell r="B161"/>
          <cell r="C161">
            <v>11500</v>
          </cell>
          <cell r="D161">
            <v>16000</v>
          </cell>
          <cell r="E161">
            <v>16500</v>
          </cell>
          <cell r="F161">
            <v>0</v>
          </cell>
          <cell r="G161">
            <v>23</v>
          </cell>
          <cell r="H161">
            <v>26.666666666666668</v>
          </cell>
          <cell r="I161">
            <v>27.5</v>
          </cell>
          <cell r="J161">
            <v>23</v>
          </cell>
        </row>
        <row r="162">
          <cell r="A162" t="str">
            <v>정향</v>
          </cell>
          <cell r="B162"/>
          <cell r="C162"/>
          <cell r="D162"/>
          <cell r="E162"/>
          <cell r="F162">
            <v>0</v>
          </cell>
          <cell r="G162">
            <v>0</v>
          </cell>
          <cell r="H162">
            <v>0</v>
          </cell>
          <cell r="I162">
            <v>0</v>
          </cell>
        </row>
        <row r="163">
          <cell r="A163" t="str">
            <v>조협</v>
          </cell>
          <cell r="B163"/>
          <cell r="C163"/>
          <cell r="D163"/>
          <cell r="E163">
            <v>7800</v>
          </cell>
          <cell r="F163">
            <v>0</v>
          </cell>
          <cell r="G163">
            <v>0</v>
          </cell>
          <cell r="H163">
            <v>0</v>
          </cell>
          <cell r="I163">
            <v>13</v>
          </cell>
          <cell r="J163">
            <v>13</v>
          </cell>
        </row>
        <row r="164">
          <cell r="A164" t="str">
            <v>조구등</v>
          </cell>
          <cell r="B164"/>
          <cell r="C164">
            <v>8600</v>
          </cell>
          <cell r="D164">
            <v>11000</v>
          </cell>
          <cell r="E164"/>
          <cell r="F164">
            <v>0</v>
          </cell>
          <cell r="G164">
            <v>17.2</v>
          </cell>
          <cell r="H164">
            <v>18.333333333333332</v>
          </cell>
          <cell r="I164">
            <v>0</v>
          </cell>
          <cell r="J164">
            <v>18.3</v>
          </cell>
        </row>
        <row r="165">
          <cell r="A165" t="str">
            <v>죽여1</v>
          </cell>
          <cell r="B165"/>
          <cell r="C165">
            <v>8200</v>
          </cell>
          <cell r="D165"/>
          <cell r="E165">
            <v>10200</v>
          </cell>
          <cell r="F165">
            <v>0</v>
          </cell>
          <cell r="G165">
            <v>16.399999999999999</v>
          </cell>
          <cell r="H165">
            <v>0</v>
          </cell>
          <cell r="I165">
            <v>17</v>
          </cell>
          <cell r="J165">
            <v>15.4</v>
          </cell>
        </row>
        <row r="166">
          <cell r="A166" t="str">
            <v>죽여2</v>
          </cell>
          <cell r="B166"/>
          <cell r="C166">
            <v>3500</v>
          </cell>
          <cell r="D166">
            <v>4500</v>
          </cell>
          <cell r="E166"/>
          <cell r="F166">
            <v>0</v>
          </cell>
          <cell r="G166">
            <v>5.833333333333333</v>
          </cell>
          <cell r="H166">
            <v>7.5</v>
          </cell>
          <cell r="I166">
            <v>0</v>
          </cell>
        </row>
        <row r="167">
          <cell r="A167" t="str">
            <v>죽엽</v>
          </cell>
          <cell r="B167"/>
          <cell r="C167">
            <v>4500</v>
          </cell>
          <cell r="D167"/>
          <cell r="E167"/>
          <cell r="F167">
            <v>0</v>
          </cell>
          <cell r="G167">
            <v>7.5</v>
          </cell>
          <cell r="H167">
            <v>0</v>
          </cell>
          <cell r="I167">
            <v>0</v>
          </cell>
          <cell r="J167">
            <v>7.5</v>
          </cell>
        </row>
        <row r="168">
          <cell r="A168" t="str">
            <v>지각</v>
          </cell>
          <cell r="B168"/>
          <cell r="C168">
            <v>4800</v>
          </cell>
          <cell r="D168">
            <v>7000</v>
          </cell>
          <cell r="E168">
            <v>6000</v>
          </cell>
          <cell r="F168">
            <v>0</v>
          </cell>
          <cell r="G168">
            <v>9.6</v>
          </cell>
          <cell r="H168">
            <v>11.666666666666666</v>
          </cell>
          <cell r="I168">
            <v>10</v>
          </cell>
          <cell r="J168">
            <v>10</v>
          </cell>
        </row>
        <row r="169">
          <cell r="A169" t="str">
            <v>지골피</v>
          </cell>
          <cell r="B169"/>
          <cell r="C169">
            <v>10600</v>
          </cell>
          <cell r="D169">
            <v>14000</v>
          </cell>
          <cell r="E169">
            <v>14200</v>
          </cell>
          <cell r="F169">
            <v>0</v>
          </cell>
          <cell r="G169">
            <v>21.2</v>
          </cell>
          <cell r="H169">
            <v>23.333333333333332</v>
          </cell>
          <cell r="I169">
            <v>23.666666666666668</v>
          </cell>
          <cell r="J169">
            <v>21.7</v>
          </cell>
        </row>
        <row r="170">
          <cell r="A170" t="str">
            <v>지모</v>
          </cell>
          <cell r="B170"/>
          <cell r="C170">
            <v>7800</v>
          </cell>
          <cell r="D170">
            <v>11000</v>
          </cell>
          <cell r="E170">
            <v>9600</v>
          </cell>
          <cell r="F170">
            <v>0</v>
          </cell>
          <cell r="G170">
            <v>15.6</v>
          </cell>
          <cell r="H170">
            <v>18.333333333333332</v>
          </cell>
          <cell r="I170">
            <v>16</v>
          </cell>
          <cell r="J170">
            <v>16.7</v>
          </cell>
        </row>
        <row r="171">
          <cell r="A171" t="str">
            <v>지부자</v>
          </cell>
          <cell r="B171"/>
          <cell r="C171"/>
          <cell r="D171"/>
          <cell r="E171">
            <v>5600</v>
          </cell>
          <cell r="F171">
            <v>0</v>
          </cell>
          <cell r="G171">
            <v>0</v>
          </cell>
          <cell r="H171">
            <v>0</v>
          </cell>
          <cell r="I171">
            <v>9.3333333333333339</v>
          </cell>
          <cell r="J171">
            <v>9.3000000000000007</v>
          </cell>
        </row>
        <row r="172">
          <cell r="A172" t="str">
            <v>지실</v>
          </cell>
          <cell r="B172"/>
          <cell r="C172">
            <v>10000</v>
          </cell>
          <cell r="D172"/>
          <cell r="E172">
            <v>10000</v>
          </cell>
          <cell r="F172">
            <v>0</v>
          </cell>
          <cell r="G172">
            <v>20</v>
          </cell>
          <cell r="H172">
            <v>0</v>
          </cell>
          <cell r="I172">
            <v>16.666666666666668</v>
          </cell>
          <cell r="J172">
            <v>16.7</v>
          </cell>
        </row>
        <row r="173">
          <cell r="A173" t="str">
            <v>지유</v>
          </cell>
          <cell r="B173"/>
          <cell r="C173"/>
          <cell r="D173"/>
          <cell r="E173"/>
          <cell r="F173">
            <v>0</v>
          </cell>
          <cell r="G173">
            <v>0</v>
          </cell>
          <cell r="H173">
            <v>0</v>
          </cell>
          <cell r="I173">
            <v>0</v>
          </cell>
        </row>
        <row r="174">
          <cell r="A174" t="str">
            <v>진교</v>
          </cell>
          <cell r="B174"/>
          <cell r="C174">
            <v>9500</v>
          </cell>
          <cell r="D174">
            <v>14000</v>
          </cell>
          <cell r="E174"/>
          <cell r="F174">
            <v>0</v>
          </cell>
          <cell r="G174">
            <v>19</v>
          </cell>
          <cell r="H174">
            <v>23.333333333333332</v>
          </cell>
          <cell r="I174">
            <v>0</v>
          </cell>
          <cell r="J174">
            <v>23.3</v>
          </cell>
        </row>
        <row r="175">
          <cell r="A175" t="str">
            <v>진피1</v>
          </cell>
          <cell r="B175">
            <v>8800</v>
          </cell>
          <cell r="C175">
            <v>5100</v>
          </cell>
          <cell r="D175">
            <v>5800</v>
          </cell>
          <cell r="E175">
            <v>7000</v>
          </cell>
          <cell r="F175">
            <v>17.600000000000001</v>
          </cell>
          <cell r="G175">
            <v>10.199999999999999</v>
          </cell>
          <cell r="H175">
            <v>9.6666666666666661</v>
          </cell>
          <cell r="I175">
            <v>11.666666666666666</v>
          </cell>
          <cell r="J175">
            <v>17.600000000000001</v>
          </cell>
        </row>
        <row r="176">
          <cell r="A176" t="str">
            <v>진피2</v>
          </cell>
          <cell r="B176">
            <v>22500</v>
          </cell>
          <cell r="C176"/>
          <cell r="D176"/>
          <cell r="E176"/>
          <cell r="F176">
            <v>45</v>
          </cell>
          <cell r="G176">
            <v>0</v>
          </cell>
          <cell r="H176">
            <v>0</v>
          </cell>
          <cell r="I176">
            <v>0</v>
          </cell>
          <cell r="J176">
            <v>45</v>
          </cell>
        </row>
        <row r="177">
          <cell r="A177" t="str">
            <v>진피3</v>
          </cell>
          <cell r="B177"/>
          <cell r="C177"/>
          <cell r="D177"/>
          <cell r="E177"/>
          <cell r="F177">
            <v>0</v>
          </cell>
          <cell r="G177">
            <v>0</v>
          </cell>
          <cell r="H177">
            <v>0</v>
          </cell>
          <cell r="I177">
            <v>0</v>
          </cell>
          <cell r="J177"/>
        </row>
        <row r="178">
          <cell r="A178" t="str">
            <v>차전자</v>
          </cell>
          <cell r="B178"/>
          <cell r="C178">
            <v>5300</v>
          </cell>
          <cell r="D178">
            <v>14000</v>
          </cell>
          <cell r="E178"/>
          <cell r="F178">
            <v>0</v>
          </cell>
          <cell r="G178">
            <v>10.6</v>
          </cell>
          <cell r="H178">
            <v>23.333333333333332</v>
          </cell>
          <cell r="I178">
            <v>0</v>
          </cell>
          <cell r="J178">
            <v>23.3</v>
          </cell>
        </row>
        <row r="179">
          <cell r="A179" t="str">
            <v>창이자</v>
          </cell>
          <cell r="B179"/>
          <cell r="C179"/>
          <cell r="D179"/>
          <cell r="E179"/>
          <cell r="F179">
            <v>0</v>
          </cell>
          <cell r="G179">
            <v>0</v>
          </cell>
          <cell r="H179">
            <v>0</v>
          </cell>
          <cell r="I179">
            <v>0</v>
          </cell>
        </row>
        <row r="180">
          <cell r="A180" t="str">
            <v>창출1</v>
          </cell>
          <cell r="B180"/>
          <cell r="C180">
            <v>11000</v>
          </cell>
          <cell r="D180"/>
          <cell r="E180">
            <v>15000</v>
          </cell>
          <cell r="F180">
            <v>0</v>
          </cell>
          <cell r="G180">
            <v>22</v>
          </cell>
          <cell r="H180">
            <v>0</v>
          </cell>
          <cell r="I180">
            <v>25</v>
          </cell>
          <cell r="J180">
            <v>25</v>
          </cell>
        </row>
        <row r="181">
          <cell r="A181" t="str">
            <v>창출2</v>
          </cell>
          <cell r="B181">
            <v>31900</v>
          </cell>
          <cell r="C181"/>
          <cell r="D181">
            <v>17000</v>
          </cell>
          <cell r="E181">
            <v>25800</v>
          </cell>
          <cell r="F181">
            <v>63.8</v>
          </cell>
          <cell r="G181">
            <v>0</v>
          </cell>
          <cell r="H181">
            <v>28.333333333333332</v>
          </cell>
          <cell r="I181">
            <v>43</v>
          </cell>
          <cell r="J181">
            <v>43</v>
          </cell>
        </row>
        <row r="182">
          <cell r="A182" t="str">
            <v>천궁1</v>
          </cell>
          <cell r="B182"/>
          <cell r="C182">
            <v>5200</v>
          </cell>
          <cell r="D182">
            <v>14000</v>
          </cell>
          <cell r="E182">
            <v>6500</v>
          </cell>
          <cell r="F182">
            <v>0</v>
          </cell>
          <cell r="G182">
            <v>10.4</v>
          </cell>
          <cell r="H182">
            <v>23.333333333333332</v>
          </cell>
          <cell r="I182">
            <v>10.833333333333334</v>
          </cell>
          <cell r="J182">
            <v>10.8</v>
          </cell>
        </row>
        <row r="183">
          <cell r="A183" t="str">
            <v>천궁2</v>
          </cell>
          <cell r="B183"/>
          <cell r="C183"/>
          <cell r="D183"/>
          <cell r="E183">
            <v>12500</v>
          </cell>
          <cell r="F183">
            <v>0</v>
          </cell>
          <cell r="G183">
            <v>0</v>
          </cell>
          <cell r="H183">
            <v>0</v>
          </cell>
          <cell r="I183">
            <v>20.833333333333332</v>
          </cell>
          <cell r="J183">
            <v>20.8</v>
          </cell>
        </row>
        <row r="184">
          <cell r="A184" t="str">
            <v>천련자</v>
          </cell>
          <cell r="B184"/>
          <cell r="C184">
            <v>5800</v>
          </cell>
          <cell r="D184"/>
          <cell r="E184"/>
          <cell r="F184">
            <v>0</v>
          </cell>
          <cell r="G184">
            <v>11.6</v>
          </cell>
          <cell r="H184">
            <v>0</v>
          </cell>
          <cell r="I184">
            <v>0</v>
          </cell>
          <cell r="J184">
            <v>11.6</v>
          </cell>
        </row>
        <row r="185">
          <cell r="A185" t="str">
            <v>천마</v>
          </cell>
          <cell r="B185"/>
          <cell r="C185">
            <v>23500</v>
          </cell>
          <cell r="D185">
            <v>24000</v>
          </cell>
          <cell r="E185">
            <v>31700</v>
          </cell>
          <cell r="F185">
            <v>0</v>
          </cell>
          <cell r="G185">
            <v>47</v>
          </cell>
          <cell r="H185">
            <v>40</v>
          </cell>
          <cell r="I185">
            <v>52.833333333333336</v>
          </cell>
          <cell r="J185">
            <v>52.8</v>
          </cell>
        </row>
        <row r="186">
          <cell r="A186" t="str">
            <v>천문동</v>
          </cell>
          <cell r="B186"/>
          <cell r="C186">
            <v>13800</v>
          </cell>
          <cell r="D186"/>
          <cell r="E186">
            <v>17900</v>
          </cell>
          <cell r="F186">
            <v>0</v>
          </cell>
          <cell r="G186">
            <v>27.6</v>
          </cell>
          <cell r="H186">
            <v>0</v>
          </cell>
          <cell r="I186">
            <v>29.833333333333332</v>
          </cell>
          <cell r="J186">
            <v>29.8</v>
          </cell>
        </row>
        <row r="187">
          <cell r="A187" t="str">
            <v>천오</v>
          </cell>
          <cell r="B187"/>
          <cell r="C187">
            <v>11000</v>
          </cell>
          <cell r="D187"/>
          <cell r="E187">
            <v>11000</v>
          </cell>
          <cell r="F187">
            <v>0</v>
          </cell>
          <cell r="G187">
            <v>22</v>
          </cell>
          <cell r="H187">
            <v>0</v>
          </cell>
          <cell r="I187">
            <v>22</v>
          </cell>
          <cell r="J187">
            <v>22</v>
          </cell>
        </row>
        <row r="188">
          <cell r="A188" t="str">
            <v>천초</v>
          </cell>
          <cell r="B188"/>
          <cell r="C188"/>
          <cell r="D188"/>
          <cell r="E188">
            <v>11300</v>
          </cell>
          <cell r="F188"/>
          <cell r="G188"/>
          <cell r="H188"/>
          <cell r="I188">
            <v>22.6</v>
          </cell>
          <cell r="J188">
            <v>22.6</v>
          </cell>
        </row>
        <row r="189">
          <cell r="A189" t="str">
            <v>천화분</v>
          </cell>
          <cell r="B189"/>
          <cell r="C189">
            <v>11300</v>
          </cell>
          <cell r="D189"/>
          <cell r="E189">
            <v>14100</v>
          </cell>
          <cell r="F189">
            <v>0</v>
          </cell>
          <cell r="G189">
            <v>22.6</v>
          </cell>
          <cell r="H189">
            <v>0</v>
          </cell>
          <cell r="I189">
            <v>23.5</v>
          </cell>
          <cell r="J189">
            <v>23.5</v>
          </cell>
        </row>
        <row r="190">
          <cell r="A190" t="str">
            <v>청상자</v>
          </cell>
          <cell r="B190"/>
          <cell r="C190"/>
          <cell r="D190">
            <v>8500</v>
          </cell>
          <cell r="E190"/>
          <cell r="F190">
            <v>0</v>
          </cell>
          <cell r="G190">
            <v>0</v>
          </cell>
          <cell r="H190">
            <v>14.166666666666666</v>
          </cell>
          <cell r="I190">
            <v>0</v>
          </cell>
          <cell r="J190">
            <v>14.2</v>
          </cell>
        </row>
        <row r="191">
          <cell r="A191" t="str">
            <v>청피</v>
          </cell>
          <cell r="B191"/>
          <cell r="C191">
            <v>3300</v>
          </cell>
          <cell r="D191">
            <v>5800</v>
          </cell>
          <cell r="E191">
            <v>4400</v>
          </cell>
          <cell r="F191">
            <v>0</v>
          </cell>
          <cell r="G191">
            <v>6.6</v>
          </cell>
          <cell r="H191">
            <v>9.6666666666666661</v>
          </cell>
          <cell r="I191">
            <v>7.333333333333333</v>
          </cell>
          <cell r="J191">
            <v>7.3</v>
          </cell>
        </row>
        <row r="192">
          <cell r="A192" t="str">
            <v>초결</v>
          </cell>
          <cell r="B192"/>
          <cell r="C192"/>
          <cell r="D192"/>
          <cell r="E192"/>
          <cell r="F192">
            <v>0</v>
          </cell>
          <cell r="G192">
            <v>0</v>
          </cell>
          <cell r="H192">
            <v>0</v>
          </cell>
          <cell r="I192">
            <v>0</v>
          </cell>
        </row>
        <row r="193">
          <cell r="A193" t="str">
            <v>초과</v>
          </cell>
          <cell r="B193"/>
          <cell r="C193"/>
          <cell r="D193"/>
          <cell r="E193"/>
          <cell r="F193">
            <v>0</v>
          </cell>
          <cell r="G193">
            <v>0</v>
          </cell>
          <cell r="H193">
            <v>0</v>
          </cell>
          <cell r="I193">
            <v>0</v>
          </cell>
        </row>
        <row r="194">
          <cell r="A194" t="str">
            <v>초두구</v>
          </cell>
          <cell r="B194"/>
          <cell r="C194">
            <v>5800</v>
          </cell>
          <cell r="D194">
            <v>7000</v>
          </cell>
          <cell r="E194"/>
          <cell r="F194">
            <v>0</v>
          </cell>
          <cell r="G194">
            <v>11.6</v>
          </cell>
          <cell r="H194">
            <v>11.666666666666666</v>
          </cell>
          <cell r="I194">
            <v>0</v>
          </cell>
          <cell r="J194">
            <v>11.7</v>
          </cell>
        </row>
        <row r="195">
          <cell r="A195" t="str">
            <v>측백엽</v>
          </cell>
          <cell r="B195"/>
          <cell r="C195"/>
          <cell r="D195"/>
          <cell r="E195"/>
          <cell r="F195">
            <v>0</v>
          </cell>
          <cell r="G195">
            <v>0</v>
          </cell>
          <cell r="H195">
            <v>0</v>
          </cell>
          <cell r="I195">
            <v>0</v>
          </cell>
        </row>
        <row r="196">
          <cell r="A196" t="str">
            <v>치자</v>
          </cell>
          <cell r="B196">
            <v>10800</v>
          </cell>
          <cell r="C196">
            <v>9300</v>
          </cell>
          <cell r="D196">
            <v>7500</v>
          </cell>
          <cell r="E196">
            <v>11200</v>
          </cell>
          <cell r="F196">
            <v>21.6</v>
          </cell>
          <cell r="G196">
            <v>18.600000000000001</v>
          </cell>
          <cell r="H196">
            <v>12.5</v>
          </cell>
          <cell r="I196">
            <v>18.666666666666668</v>
          </cell>
          <cell r="J196">
            <v>26</v>
          </cell>
        </row>
        <row r="197">
          <cell r="A197" t="str">
            <v>택사1</v>
          </cell>
          <cell r="B197"/>
          <cell r="C197">
            <v>13200</v>
          </cell>
          <cell r="D197">
            <v>15000</v>
          </cell>
          <cell r="E197">
            <v>16900</v>
          </cell>
          <cell r="F197">
            <v>0</v>
          </cell>
          <cell r="G197">
            <v>26.4</v>
          </cell>
          <cell r="H197">
            <v>25</v>
          </cell>
          <cell r="I197">
            <v>28.166666666666668</v>
          </cell>
          <cell r="J197">
            <v>28.2</v>
          </cell>
        </row>
        <row r="198">
          <cell r="A198" t="str">
            <v>택사2</v>
          </cell>
          <cell r="B198"/>
          <cell r="C198">
            <v>5500</v>
          </cell>
          <cell r="D198"/>
          <cell r="E198"/>
          <cell r="F198"/>
          <cell r="G198">
            <v>11</v>
          </cell>
          <cell r="H198"/>
          <cell r="I198"/>
          <cell r="J198">
            <v>11</v>
          </cell>
        </row>
        <row r="199">
          <cell r="A199" t="str">
            <v>토사자</v>
          </cell>
          <cell r="B199"/>
          <cell r="C199">
            <v>10000</v>
          </cell>
          <cell r="D199">
            <v>10000</v>
          </cell>
          <cell r="E199">
            <v>10300</v>
          </cell>
          <cell r="F199">
            <v>0</v>
          </cell>
          <cell r="G199">
            <v>16.666666666666668</v>
          </cell>
          <cell r="H199">
            <v>16.666666666666668</v>
          </cell>
          <cell r="I199">
            <v>17.166666666666668</v>
          </cell>
          <cell r="J199">
            <v>17.2</v>
          </cell>
        </row>
        <row r="200">
          <cell r="A200" t="str">
            <v>파고지</v>
          </cell>
          <cell r="B200"/>
          <cell r="C200">
            <v>4700</v>
          </cell>
          <cell r="D200">
            <v>5500</v>
          </cell>
          <cell r="E200">
            <v>4700</v>
          </cell>
          <cell r="F200">
            <v>0</v>
          </cell>
          <cell r="G200">
            <v>7.833333333333333</v>
          </cell>
          <cell r="H200">
            <v>9.1666666666666661</v>
          </cell>
          <cell r="I200">
            <v>7.833333333333333</v>
          </cell>
          <cell r="J200">
            <v>9.1999999999999993</v>
          </cell>
        </row>
        <row r="201">
          <cell r="A201" t="str">
            <v>파극천</v>
          </cell>
          <cell r="B201"/>
          <cell r="C201">
            <v>21000</v>
          </cell>
          <cell r="D201">
            <v>25500</v>
          </cell>
          <cell r="E201">
            <v>25400</v>
          </cell>
          <cell r="F201">
            <v>0</v>
          </cell>
          <cell r="G201">
            <v>35</v>
          </cell>
          <cell r="H201">
            <v>42.5</v>
          </cell>
          <cell r="I201">
            <v>42.333333333333336</v>
          </cell>
          <cell r="J201">
            <v>35</v>
          </cell>
        </row>
        <row r="202">
          <cell r="A202" t="str">
            <v>패모</v>
          </cell>
          <cell r="B202"/>
          <cell r="C202">
            <v>19000</v>
          </cell>
          <cell r="D202">
            <v>19200</v>
          </cell>
          <cell r="E202">
            <v>19200</v>
          </cell>
          <cell r="F202">
            <v>0</v>
          </cell>
          <cell r="G202">
            <v>38</v>
          </cell>
          <cell r="H202">
            <v>32</v>
          </cell>
          <cell r="I202">
            <v>32</v>
          </cell>
          <cell r="J202">
            <v>32</v>
          </cell>
        </row>
        <row r="203">
          <cell r="A203" t="str">
            <v>편축</v>
          </cell>
          <cell r="B203"/>
          <cell r="C203"/>
          <cell r="D203"/>
          <cell r="E203"/>
          <cell r="F203">
            <v>0</v>
          </cell>
          <cell r="G203">
            <v>0</v>
          </cell>
          <cell r="H203">
            <v>0</v>
          </cell>
          <cell r="I203">
            <v>0</v>
          </cell>
        </row>
        <row r="204">
          <cell r="A204" t="str">
            <v>포공영</v>
          </cell>
          <cell r="B204"/>
          <cell r="C204">
            <v>5200</v>
          </cell>
          <cell r="D204"/>
          <cell r="E204">
            <v>5600</v>
          </cell>
          <cell r="F204">
            <v>0</v>
          </cell>
          <cell r="G204">
            <v>8.6666666666666661</v>
          </cell>
          <cell r="H204">
            <v>0</v>
          </cell>
          <cell r="I204">
            <v>9.3333333333333339</v>
          </cell>
          <cell r="J204">
            <v>8.6999999999999993</v>
          </cell>
        </row>
        <row r="205">
          <cell r="A205" t="str">
            <v>합환피</v>
          </cell>
          <cell r="B205"/>
          <cell r="C205">
            <v>4600</v>
          </cell>
          <cell r="D205"/>
          <cell r="E205">
            <v>10900</v>
          </cell>
          <cell r="F205">
            <v>0</v>
          </cell>
          <cell r="G205">
            <v>9.1999999999999993</v>
          </cell>
          <cell r="H205">
            <v>0</v>
          </cell>
          <cell r="I205">
            <v>18.166666666666668</v>
          </cell>
          <cell r="J205">
            <v>18.2</v>
          </cell>
        </row>
        <row r="206">
          <cell r="A206" t="str">
            <v>해동피</v>
          </cell>
          <cell r="B206"/>
          <cell r="C206">
            <v>4000</v>
          </cell>
          <cell r="D206">
            <v>5500</v>
          </cell>
          <cell r="E206">
            <v>5100</v>
          </cell>
          <cell r="F206">
            <v>0</v>
          </cell>
          <cell r="G206">
            <v>8</v>
          </cell>
          <cell r="H206">
            <v>9.1666666666666661</v>
          </cell>
          <cell r="I206">
            <v>8.5</v>
          </cell>
          <cell r="J206">
            <v>8</v>
          </cell>
        </row>
        <row r="207">
          <cell r="A207" t="str">
            <v>행인</v>
          </cell>
          <cell r="B207"/>
          <cell r="C207">
            <v>5900</v>
          </cell>
          <cell r="D207">
            <v>6500</v>
          </cell>
          <cell r="E207">
            <v>6900</v>
          </cell>
          <cell r="F207">
            <v>0</v>
          </cell>
          <cell r="G207">
            <v>11.8</v>
          </cell>
          <cell r="H207">
            <v>10.833333333333334</v>
          </cell>
          <cell r="I207">
            <v>11.5</v>
          </cell>
          <cell r="J207">
            <v>12</v>
          </cell>
        </row>
        <row r="208">
          <cell r="A208" t="str">
            <v>향부자</v>
          </cell>
          <cell r="B208"/>
          <cell r="C208">
            <v>7200</v>
          </cell>
          <cell r="D208">
            <v>9500</v>
          </cell>
          <cell r="E208">
            <v>8600</v>
          </cell>
          <cell r="F208">
            <v>0</v>
          </cell>
          <cell r="G208">
            <v>14.4</v>
          </cell>
          <cell r="H208">
            <v>15.833333333333334</v>
          </cell>
          <cell r="I208">
            <v>14.333333333333334</v>
          </cell>
          <cell r="J208">
            <v>14.7</v>
          </cell>
        </row>
        <row r="209">
          <cell r="A209" t="str">
            <v>향시</v>
          </cell>
          <cell r="B209"/>
          <cell r="C209"/>
          <cell r="D209"/>
          <cell r="E209">
            <v>39000</v>
          </cell>
          <cell r="F209">
            <v>0</v>
          </cell>
          <cell r="G209">
            <v>0</v>
          </cell>
          <cell r="H209">
            <v>0</v>
          </cell>
          <cell r="I209">
            <v>39</v>
          </cell>
          <cell r="J209">
            <v>39</v>
          </cell>
        </row>
        <row r="210">
          <cell r="A210" t="str">
            <v>현삼</v>
          </cell>
          <cell r="B210"/>
          <cell r="C210">
            <v>12000</v>
          </cell>
          <cell r="D210">
            <v>6000</v>
          </cell>
          <cell r="E210">
            <v>15300</v>
          </cell>
          <cell r="F210">
            <v>0</v>
          </cell>
          <cell r="G210">
            <v>24</v>
          </cell>
          <cell r="H210">
            <v>10</v>
          </cell>
          <cell r="I210">
            <v>25.5</v>
          </cell>
          <cell r="J210">
            <v>24</v>
          </cell>
        </row>
        <row r="211">
          <cell r="A211" t="str">
            <v>현호색</v>
          </cell>
          <cell r="B211"/>
          <cell r="C211">
            <v>14500</v>
          </cell>
          <cell r="D211">
            <v>37000</v>
          </cell>
          <cell r="E211">
            <v>35800</v>
          </cell>
          <cell r="F211">
            <v>0</v>
          </cell>
          <cell r="G211">
            <v>24.166666666666668</v>
          </cell>
          <cell r="H211">
            <v>61.666666666666664</v>
          </cell>
          <cell r="I211">
            <v>59.666666666666664</v>
          </cell>
          <cell r="J211">
            <v>59.7</v>
          </cell>
        </row>
        <row r="212">
          <cell r="A212" t="str">
            <v>형개</v>
          </cell>
          <cell r="B212"/>
          <cell r="C212">
            <v>8800</v>
          </cell>
          <cell r="D212"/>
          <cell r="E212">
            <v>10500</v>
          </cell>
          <cell r="F212">
            <v>0</v>
          </cell>
          <cell r="G212">
            <v>17.600000000000001</v>
          </cell>
          <cell r="H212">
            <v>0</v>
          </cell>
          <cell r="I212">
            <v>17.5</v>
          </cell>
          <cell r="J212">
            <v>17.600000000000001</v>
          </cell>
        </row>
        <row r="213">
          <cell r="A213" t="str">
            <v>홍화</v>
          </cell>
          <cell r="B213"/>
          <cell r="C213">
            <v>19500</v>
          </cell>
          <cell r="D213">
            <v>30000</v>
          </cell>
          <cell r="E213">
            <v>26000</v>
          </cell>
          <cell r="F213">
            <v>0</v>
          </cell>
          <cell r="G213">
            <v>39</v>
          </cell>
          <cell r="H213">
            <v>50</v>
          </cell>
          <cell r="I213">
            <v>43.333333333333336</v>
          </cell>
          <cell r="J213">
            <v>44.2</v>
          </cell>
        </row>
        <row r="214">
          <cell r="A214" t="str">
            <v>활석</v>
          </cell>
          <cell r="B214"/>
          <cell r="C214"/>
          <cell r="D214">
            <v>8500</v>
          </cell>
          <cell r="E214"/>
          <cell r="F214">
            <v>0</v>
          </cell>
          <cell r="G214">
            <v>0</v>
          </cell>
          <cell r="H214">
            <v>8.5</v>
          </cell>
          <cell r="I214">
            <v>0</v>
          </cell>
          <cell r="J214">
            <v>8.5</v>
          </cell>
        </row>
        <row r="215">
          <cell r="A215" t="str">
            <v>황금</v>
          </cell>
          <cell r="B215"/>
          <cell r="C215">
            <v>9000</v>
          </cell>
          <cell r="D215">
            <v>9000</v>
          </cell>
          <cell r="E215">
            <v>13500</v>
          </cell>
          <cell r="F215">
            <v>0</v>
          </cell>
          <cell r="G215">
            <v>18</v>
          </cell>
          <cell r="H215">
            <v>15</v>
          </cell>
          <cell r="I215">
            <v>22.5</v>
          </cell>
          <cell r="J215">
            <v>22.5</v>
          </cell>
        </row>
        <row r="216">
          <cell r="A216" t="str">
            <v>황기</v>
          </cell>
          <cell r="B216"/>
          <cell r="C216">
            <v>11000</v>
          </cell>
          <cell r="D216">
            <v>24000</v>
          </cell>
          <cell r="E216">
            <v>13400</v>
          </cell>
          <cell r="F216">
            <v>0</v>
          </cell>
          <cell r="G216">
            <v>22</v>
          </cell>
          <cell r="H216">
            <v>40</v>
          </cell>
          <cell r="I216">
            <v>22.333333333333332</v>
          </cell>
          <cell r="J216">
            <v>22.3</v>
          </cell>
        </row>
        <row r="217">
          <cell r="A217" t="str">
            <v>황련</v>
          </cell>
          <cell r="B217"/>
          <cell r="C217">
            <v>68400</v>
          </cell>
          <cell r="D217">
            <v>85000</v>
          </cell>
          <cell r="E217">
            <v>81900</v>
          </cell>
          <cell r="F217">
            <v>0</v>
          </cell>
          <cell r="G217">
            <v>136.80000000000001</v>
          </cell>
          <cell r="H217">
            <v>141.66666666666666</v>
          </cell>
          <cell r="I217">
            <v>136.5</v>
          </cell>
          <cell r="J217">
            <v>136.80000000000001</v>
          </cell>
        </row>
        <row r="218">
          <cell r="A218" t="str">
            <v>황백</v>
          </cell>
          <cell r="B218"/>
          <cell r="C218">
            <v>12800</v>
          </cell>
          <cell r="D218">
            <v>9500</v>
          </cell>
          <cell r="E218">
            <v>18500</v>
          </cell>
          <cell r="F218">
            <v>0</v>
          </cell>
          <cell r="G218">
            <v>25.6</v>
          </cell>
          <cell r="H218">
            <v>15.833333333333334</v>
          </cell>
          <cell r="I218">
            <v>30.833333333333332</v>
          </cell>
          <cell r="J218">
            <v>30.8</v>
          </cell>
        </row>
        <row r="219">
          <cell r="A219" t="str">
            <v>황정</v>
          </cell>
          <cell r="B219"/>
          <cell r="C219"/>
          <cell r="D219">
            <v>9500</v>
          </cell>
          <cell r="E219"/>
          <cell r="F219">
            <v>0</v>
          </cell>
          <cell r="G219">
            <v>0</v>
          </cell>
          <cell r="H219">
            <v>15.833333333333334</v>
          </cell>
          <cell r="I219">
            <v>0</v>
          </cell>
          <cell r="J219">
            <v>15.8</v>
          </cell>
        </row>
        <row r="220">
          <cell r="A220" t="str">
            <v>후박</v>
          </cell>
          <cell r="B220"/>
          <cell r="C220">
            <v>4100</v>
          </cell>
          <cell r="D220">
            <v>4500</v>
          </cell>
          <cell r="E220">
            <v>5300</v>
          </cell>
          <cell r="F220">
            <v>0</v>
          </cell>
          <cell r="G220">
            <v>8.1999999999999993</v>
          </cell>
          <cell r="H220">
            <v>7.5</v>
          </cell>
          <cell r="I220">
            <v>8.8333333333333339</v>
          </cell>
          <cell r="J220">
            <v>8.8000000000000007</v>
          </cell>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J2385"/>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2B40E-DB70-4C2B-A5BD-1E2DA2BBFDA9}">
  <sheetPr>
    <pageSetUpPr fitToPage="1"/>
  </sheetPr>
  <dimension ref="B1:M31"/>
  <sheetViews>
    <sheetView tabSelected="1" topLeftCell="B1" workbookViewId="0">
      <selection activeCell="O24" sqref="O24"/>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423</v>
      </c>
      <c r="D2" s="3"/>
      <c r="E2" s="87">
        <v>12</v>
      </c>
      <c r="F2" s="171">
        <f>E2*$L$15</f>
        <v>120</v>
      </c>
      <c r="G2">
        <f>VLOOKUP($C2,[1]약재관리!$A:$J,10,FALSE)</f>
        <v>41</v>
      </c>
      <c r="H2" s="4">
        <f>G2*E2</f>
        <v>492</v>
      </c>
      <c r="I2" s="5">
        <f t="shared" ref="I2:I31" si="0">G2*F2</f>
        <v>4920</v>
      </c>
      <c r="J2" s="99">
        <f>F2/$L$14</f>
        <v>12</v>
      </c>
      <c r="K2" s="6" t="s">
        <v>6</v>
      </c>
      <c r="L2" s="178">
        <v>178</v>
      </c>
      <c r="M2" s="179"/>
    </row>
    <row r="3" spans="2:13">
      <c r="B3" s="2">
        <v>2</v>
      </c>
      <c r="C3" t="s">
        <v>424</v>
      </c>
      <c r="D3" s="3"/>
      <c r="E3" s="87">
        <v>6</v>
      </c>
      <c r="F3" s="97">
        <f t="shared" ref="F3:F31" si="1">E3*$L$15</f>
        <v>60</v>
      </c>
      <c r="G3">
        <f>VLOOKUP($C3,[1]약재관리!$A:$J,10,FALSE)</f>
        <v>8.5</v>
      </c>
      <c r="H3" s="4">
        <f t="shared" ref="H3:H31" si="2">G3*E3</f>
        <v>51</v>
      </c>
      <c r="I3" s="5">
        <f t="shared" si="0"/>
        <v>510</v>
      </c>
      <c r="J3" s="99">
        <f t="shared" ref="J3:J18" si="3">F3/$L$14</f>
        <v>6</v>
      </c>
      <c r="K3" s="7" t="s">
        <v>7</v>
      </c>
      <c r="L3" s="173" t="s">
        <v>421</v>
      </c>
      <c r="M3" s="174"/>
    </row>
    <row r="4" spans="2:13">
      <c r="B4" s="2">
        <v>3</v>
      </c>
      <c r="C4" t="s">
        <v>425</v>
      </c>
      <c r="D4" s="3"/>
      <c r="E4" s="87">
        <v>6</v>
      </c>
      <c r="F4" s="97">
        <f t="shared" si="1"/>
        <v>60</v>
      </c>
      <c r="G4">
        <f>VLOOKUP($C4,[1]약재관리!$A:$J,10,FALSE)</f>
        <v>145.19999999999999</v>
      </c>
      <c r="H4" s="4">
        <f t="shared" si="2"/>
        <v>871.19999999999993</v>
      </c>
      <c r="I4" s="5">
        <f t="shared" si="0"/>
        <v>8712</v>
      </c>
      <c r="J4" s="99">
        <f t="shared" si="3"/>
        <v>6</v>
      </c>
      <c r="K4" s="7" t="s">
        <v>8</v>
      </c>
      <c r="L4" s="180">
        <v>46038</v>
      </c>
      <c r="M4" s="174"/>
    </row>
    <row r="5" spans="2:13">
      <c r="B5" s="2">
        <v>4</v>
      </c>
      <c r="C5" t="s">
        <v>420</v>
      </c>
      <c r="D5" s="3"/>
      <c r="E5" s="87">
        <v>6</v>
      </c>
      <c r="F5" s="97">
        <f t="shared" si="1"/>
        <v>60</v>
      </c>
      <c r="G5">
        <f>VLOOKUP($C5,[1]약재관리!$A:$J,10,FALSE)</f>
        <v>9.5</v>
      </c>
      <c r="H5" s="4">
        <f t="shared" si="2"/>
        <v>57</v>
      </c>
      <c r="I5" s="5">
        <f t="shared" si="0"/>
        <v>570</v>
      </c>
      <c r="J5" s="99">
        <f t="shared" si="3"/>
        <v>6</v>
      </c>
      <c r="K5" s="7" t="s">
        <v>9</v>
      </c>
      <c r="L5" s="173" t="s">
        <v>422</v>
      </c>
      <c r="M5" s="174"/>
    </row>
    <row r="6" spans="2:13">
      <c r="B6" s="2">
        <v>5</v>
      </c>
      <c r="C6" t="s">
        <v>426</v>
      </c>
      <c r="D6" s="3"/>
      <c r="E6" s="87">
        <v>6</v>
      </c>
      <c r="F6" s="97">
        <f t="shared" si="1"/>
        <v>60</v>
      </c>
      <c r="G6">
        <f>VLOOKUP($C6,[1]약재관리!$A:$J,10,FALSE)</f>
        <v>23.5</v>
      </c>
      <c r="H6" s="4">
        <f t="shared" si="2"/>
        <v>141</v>
      </c>
      <c r="I6" s="5">
        <f t="shared" si="0"/>
        <v>1410</v>
      </c>
      <c r="J6" s="99">
        <f t="shared" si="3"/>
        <v>6</v>
      </c>
      <c r="K6" s="7" t="s">
        <v>10</v>
      </c>
      <c r="L6" s="173">
        <v>38</v>
      </c>
      <c r="M6" s="174"/>
    </row>
    <row r="7" spans="2:13" ht="17.25" thickBot="1">
      <c r="B7" s="2">
        <v>6</v>
      </c>
      <c r="C7" t="s">
        <v>427</v>
      </c>
      <c r="D7" s="3"/>
      <c r="E7" s="87">
        <v>6</v>
      </c>
      <c r="F7" s="97">
        <f t="shared" si="1"/>
        <v>60</v>
      </c>
      <c r="G7">
        <f>VLOOKUP($C7,[1]약재관리!$A:$J,10,FALSE)</f>
        <v>14.8</v>
      </c>
      <c r="H7" s="4">
        <f t="shared" si="2"/>
        <v>88.800000000000011</v>
      </c>
      <c r="I7" s="5">
        <f t="shared" si="0"/>
        <v>888</v>
      </c>
      <c r="J7" s="99">
        <f t="shared" si="3"/>
        <v>6</v>
      </c>
      <c r="K7" s="7" t="s">
        <v>11</v>
      </c>
      <c r="L7" s="181" t="s">
        <v>417</v>
      </c>
      <c r="M7" s="182"/>
    </row>
    <row r="8" spans="2:13" ht="17.25" thickBot="1">
      <c r="B8" s="2">
        <v>7</v>
      </c>
      <c r="C8" t="s">
        <v>428</v>
      </c>
      <c r="D8" s="3"/>
      <c r="E8" s="87">
        <v>6</v>
      </c>
      <c r="F8" s="97">
        <f t="shared" si="1"/>
        <v>60</v>
      </c>
      <c r="G8">
        <f>VLOOKUP($C8,[1]약재관리!$A:$J,10,FALSE)</f>
        <v>19.600000000000001</v>
      </c>
      <c r="H8" s="4">
        <f t="shared" si="2"/>
        <v>117.60000000000001</v>
      </c>
      <c r="I8" s="5">
        <f t="shared" si="0"/>
        <v>1176</v>
      </c>
      <c r="J8" s="99">
        <f t="shared" si="3"/>
        <v>6</v>
      </c>
      <c r="K8" s="175" t="s">
        <v>12</v>
      </c>
      <c r="L8" s="176"/>
      <c r="M8" s="177"/>
    </row>
    <row r="9" spans="2:13">
      <c r="B9" s="2">
        <v>8</v>
      </c>
      <c r="C9" t="s">
        <v>419</v>
      </c>
      <c r="D9" s="3"/>
      <c r="E9" s="87">
        <v>6</v>
      </c>
      <c r="F9" s="97">
        <f t="shared" si="1"/>
        <v>60</v>
      </c>
      <c r="G9">
        <f>VLOOKUP($C9,[1]약재관리!$A:$J,10,FALSE)</f>
        <v>28.3</v>
      </c>
      <c r="H9" s="4">
        <f t="shared" si="2"/>
        <v>169.8</v>
      </c>
      <c r="I9" s="5">
        <f t="shared" si="0"/>
        <v>1698</v>
      </c>
      <c r="J9" s="99">
        <f t="shared" si="3"/>
        <v>6</v>
      </c>
      <c r="K9" s="183"/>
      <c r="L9" s="184"/>
      <c r="M9" s="185"/>
    </row>
    <row r="10" spans="2:13">
      <c r="B10" s="2">
        <v>9</v>
      </c>
      <c r="C10" t="s">
        <v>429</v>
      </c>
      <c r="D10" s="3"/>
      <c r="E10" s="87">
        <v>8</v>
      </c>
      <c r="F10" s="97">
        <f t="shared" si="1"/>
        <v>80</v>
      </c>
      <c r="G10">
        <f>VLOOKUP($C10,[1]약재관리!$A:$J,10,FALSE)</f>
        <v>8.6999999999999993</v>
      </c>
      <c r="H10" s="4">
        <f t="shared" si="2"/>
        <v>69.599999999999994</v>
      </c>
      <c r="I10" s="5">
        <f t="shared" si="0"/>
        <v>696</v>
      </c>
      <c r="J10" s="99">
        <f t="shared" si="3"/>
        <v>8</v>
      </c>
      <c r="K10" s="186"/>
      <c r="L10" s="187"/>
      <c r="M10" s="188"/>
    </row>
    <row r="11" spans="2:13">
      <c r="B11" s="2">
        <v>10</v>
      </c>
      <c r="D11" s="3"/>
      <c r="F11" s="97">
        <f t="shared" si="1"/>
        <v>0</v>
      </c>
      <c r="H11" s="4">
        <f t="shared" si="2"/>
        <v>0</v>
      </c>
      <c r="I11" s="5">
        <f t="shared" si="0"/>
        <v>0</v>
      </c>
      <c r="J11" s="99">
        <f t="shared" si="3"/>
        <v>0</v>
      </c>
      <c r="K11" s="186"/>
      <c r="L11" s="187"/>
      <c r="M11" s="188"/>
    </row>
    <row r="12" spans="2:13">
      <c r="B12" s="2">
        <v>11</v>
      </c>
      <c r="D12" s="3"/>
      <c r="F12" s="97">
        <f t="shared" si="1"/>
        <v>0</v>
      </c>
      <c r="H12" s="4">
        <f t="shared" si="2"/>
        <v>0</v>
      </c>
      <c r="I12" s="5">
        <f t="shared" si="0"/>
        <v>0</v>
      </c>
      <c r="J12" s="99">
        <f t="shared" si="3"/>
        <v>0</v>
      </c>
      <c r="K12" s="186"/>
      <c r="L12" s="187"/>
      <c r="M12" s="188"/>
    </row>
    <row r="13" spans="2:13" ht="17.25" thickBot="1">
      <c r="B13" s="2">
        <v>12</v>
      </c>
      <c r="D13" s="3"/>
      <c r="F13" s="97">
        <f t="shared" si="1"/>
        <v>0</v>
      </c>
      <c r="H13" s="4">
        <f t="shared" si="2"/>
        <v>0</v>
      </c>
      <c r="I13" s="5">
        <f t="shared" si="0"/>
        <v>0</v>
      </c>
      <c r="J13" s="99">
        <f t="shared" si="3"/>
        <v>0</v>
      </c>
      <c r="K13" s="189"/>
      <c r="L13" s="190"/>
      <c r="M13" s="191"/>
    </row>
    <row r="14" spans="2:13">
      <c r="B14" s="2">
        <v>13</v>
      </c>
      <c r="D14" s="3"/>
      <c r="F14" s="97">
        <f t="shared" si="1"/>
        <v>0</v>
      </c>
      <c r="H14" s="4">
        <f>G14*E14</f>
        <v>0</v>
      </c>
      <c r="I14" s="5">
        <f>G14*F14</f>
        <v>0</v>
      </c>
      <c r="J14" s="99">
        <f t="shared" si="3"/>
        <v>0</v>
      </c>
      <c r="K14" s="90" t="s">
        <v>13</v>
      </c>
      <c r="L14" s="8">
        <v>10</v>
      </c>
      <c r="M14" s="9" t="s">
        <v>14</v>
      </c>
    </row>
    <row r="15" spans="2:13">
      <c r="B15" s="2">
        <v>14</v>
      </c>
      <c r="D15" s="3"/>
      <c r="F15" s="97">
        <f t="shared" si="1"/>
        <v>0</v>
      </c>
      <c r="H15" s="4">
        <f>G15*E15</f>
        <v>0</v>
      </c>
      <c r="I15" s="5">
        <f>G15*F15</f>
        <v>0</v>
      </c>
      <c r="J15" s="99">
        <f t="shared" si="3"/>
        <v>0</v>
      </c>
      <c r="K15" s="89" t="s">
        <v>15</v>
      </c>
      <c r="L15">
        <v>10</v>
      </c>
      <c r="M15" s="3" t="s">
        <v>16</v>
      </c>
    </row>
    <row r="16" spans="2:13">
      <c r="B16" s="2">
        <v>15</v>
      </c>
      <c r="D16" s="3"/>
      <c r="F16" s="97">
        <f t="shared" si="1"/>
        <v>0</v>
      </c>
      <c r="H16" s="4">
        <f t="shared" si="2"/>
        <v>0</v>
      </c>
      <c r="I16" s="5">
        <f t="shared" si="0"/>
        <v>0</v>
      </c>
      <c r="J16" s="99">
        <f t="shared" si="3"/>
        <v>0</v>
      </c>
      <c r="K16" s="89" t="s">
        <v>17</v>
      </c>
      <c r="L16">
        <v>20</v>
      </c>
      <c r="M16" s="3" t="s">
        <v>18</v>
      </c>
    </row>
    <row r="17" spans="2:13" ht="17.25" thickBot="1">
      <c r="B17" s="2">
        <v>16</v>
      </c>
      <c r="D17" s="3"/>
      <c r="F17" s="97">
        <f t="shared" si="1"/>
        <v>0</v>
      </c>
      <c r="H17" s="4">
        <f t="shared" si="2"/>
        <v>0</v>
      </c>
      <c r="I17" s="5">
        <f t="shared" si="0"/>
        <v>0</v>
      </c>
      <c r="J17" s="99">
        <f t="shared" si="3"/>
        <v>0</v>
      </c>
      <c r="K17" s="13" t="s">
        <v>19</v>
      </c>
      <c r="L17" s="10">
        <v>110</v>
      </c>
      <c r="M17" s="11" t="s">
        <v>20</v>
      </c>
    </row>
    <row r="18" spans="2:13">
      <c r="B18" s="2">
        <v>17</v>
      </c>
      <c r="D18" s="3"/>
      <c r="F18" s="97">
        <f t="shared" si="1"/>
        <v>0</v>
      </c>
      <c r="H18" s="4">
        <f t="shared" si="2"/>
        <v>0</v>
      </c>
      <c r="I18" s="5">
        <f t="shared" si="0"/>
        <v>0</v>
      </c>
      <c r="J18" s="99">
        <f t="shared" si="3"/>
        <v>0</v>
      </c>
      <c r="K18" s="90" t="s">
        <v>21</v>
      </c>
      <c r="L18" s="8">
        <f>SUM(E2:E31)</f>
        <v>62</v>
      </c>
      <c r="M18" s="9" t="s">
        <v>22</v>
      </c>
    </row>
    <row r="19" spans="2:13">
      <c r="B19" s="2">
        <v>18</v>
      </c>
      <c r="D19" s="3"/>
      <c r="F19" s="97">
        <f t="shared" si="1"/>
        <v>0</v>
      </c>
      <c r="H19" s="4">
        <f t="shared" si="2"/>
        <v>0</v>
      </c>
      <c r="I19" s="5">
        <f t="shared" si="0"/>
        <v>0</v>
      </c>
      <c r="K19" s="89" t="s">
        <v>23</v>
      </c>
      <c r="L19">
        <f>L15*L18</f>
        <v>620</v>
      </c>
      <c r="M19" s="3" t="s">
        <v>22</v>
      </c>
    </row>
    <row r="20" spans="2:13" ht="17.25" thickBot="1">
      <c r="B20" s="2">
        <v>19</v>
      </c>
      <c r="D20" s="3"/>
      <c r="F20" s="97">
        <f t="shared" si="1"/>
        <v>0</v>
      </c>
      <c r="H20" s="4">
        <f t="shared" si="2"/>
        <v>0</v>
      </c>
      <c r="I20" s="5">
        <f t="shared" si="0"/>
        <v>0</v>
      </c>
      <c r="K20" s="13" t="s">
        <v>24</v>
      </c>
      <c r="L20" s="10">
        <f>L16*L17+L19</f>
        <v>2820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620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2057.9999999999995</v>
      </c>
      <c r="M30" s="3" t="s">
        <v>33</v>
      </c>
    </row>
    <row r="31" spans="2:13" ht="17.25" thickBot="1">
      <c r="B31" s="12">
        <v>30</v>
      </c>
      <c r="C31" s="13"/>
      <c r="D31" s="11"/>
      <c r="E31" s="93"/>
      <c r="F31" s="98">
        <f t="shared" si="1"/>
        <v>0</v>
      </c>
      <c r="G31" s="10"/>
      <c r="H31" s="14">
        <f t="shared" si="2"/>
        <v>0</v>
      </c>
      <c r="I31" s="15">
        <f t="shared" si="0"/>
        <v>0</v>
      </c>
      <c r="K31" s="13" t="s">
        <v>34</v>
      </c>
      <c r="L31" s="14">
        <f>SUM(I2:I31)</f>
        <v>20580</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L15" sqref="L15"/>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423</v>
      </c>
      <c r="D2" s="3"/>
      <c r="E2" s="87">
        <v>12</v>
      </c>
      <c r="F2" s="171">
        <f>E2*$L$15</f>
        <v>120</v>
      </c>
      <c r="G2">
        <f>VLOOKUP($C2,[1]약재관리!$A:$J,10,FALSE)</f>
        <v>41</v>
      </c>
      <c r="H2" s="4">
        <f>G2*E2</f>
        <v>492</v>
      </c>
      <c r="I2" s="5">
        <f t="shared" ref="I2:I7" si="0">G2*F2</f>
        <v>4920</v>
      </c>
      <c r="J2" s="99">
        <f>F2/$L$14</f>
        <v>12</v>
      </c>
      <c r="K2" s="6" t="s">
        <v>6</v>
      </c>
      <c r="L2" s="178">
        <v>178</v>
      </c>
      <c r="M2" s="179"/>
    </row>
    <row r="3" spans="2:13">
      <c r="B3" s="2">
        <v>2</v>
      </c>
      <c r="C3" t="s">
        <v>424</v>
      </c>
      <c r="D3" s="3"/>
      <c r="E3" s="87">
        <v>6</v>
      </c>
      <c r="F3" s="97">
        <f t="shared" ref="F3:F4" si="1">E3*$L$15</f>
        <v>60</v>
      </c>
      <c r="G3">
        <f>VLOOKUP($C3,[1]약재관리!$A:$J,10,FALSE)</f>
        <v>8.5</v>
      </c>
      <c r="H3" s="4">
        <f t="shared" ref="H3:H4" si="2">G3*E3</f>
        <v>51</v>
      </c>
      <c r="I3" s="5">
        <f t="shared" si="0"/>
        <v>510</v>
      </c>
      <c r="J3" s="99">
        <f t="shared" ref="J3:J18" si="3">F3/$L$14</f>
        <v>6</v>
      </c>
      <c r="K3" s="7" t="s">
        <v>7</v>
      </c>
      <c r="L3" s="173" t="s">
        <v>421</v>
      </c>
      <c r="M3" s="174"/>
    </row>
    <row r="4" spans="2:13">
      <c r="B4" s="2">
        <v>3</v>
      </c>
      <c r="C4" t="s">
        <v>425</v>
      </c>
      <c r="D4" s="3"/>
      <c r="E4" s="87">
        <v>6</v>
      </c>
      <c r="F4" s="97">
        <f t="shared" si="1"/>
        <v>60</v>
      </c>
      <c r="G4">
        <f>VLOOKUP($C4,[1]약재관리!$A:$J,10,FALSE)</f>
        <v>145.19999999999999</v>
      </c>
      <c r="H4" s="4">
        <f t="shared" si="2"/>
        <v>871.19999999999993</v>
      </c>
      <c r="I4" s="5">
        <f t="shared" si="0"/>
        <v>8712</v>
      </c>
      <c r="J4" s="99">
        <f t="shared" si="3"/>
        <v>6</v>
      </c>
      <c r="K4" s="7" t="s">
        <v>8</v>
      </c>
      <c r="L4" s="180">
        <v>46029</v>
      </c>
      <c r="M4" s="174"/>
    </row>
    <row r="5" spans="2:13">
      <c r="B5" s="2">
        <v>4</v>
      </c>
      <c r="C5" t="s">
        <v>420</v>
      </c>
      <c r="D5" s="3"/>
      <c r="E5" s="87">
        <v>6</v>
      </c>
      <c r="F5" s="97">
        <f t="shared" ref="F5:F31" si="4">E5*$L$15</f>
        <v>60</v>
      </c>
      <c r="G5">
        <f>VLOOKUP($C5,[1]약재관리!$A:$J,10,FALSE)</f>
        <v>9.5</v>
      </c>
      <c r="H5" s="4">
        <f t="shared" ref="H5:H31" si="5">G5*E5</f>
        <v>57</v>
      </c>
      <c r="I5" s="5">
        <f t="shared" si="0"/>
        <v>570</v>
      </c>
      <c r="J5" s="99">
        <f t="shared" si="3"/>
        <v>6</v>
      </c>
      <c r="K5" s="7" t="s">
        <v>9</v>
      </c>
      <c r="L5" s="173" t="s">
        <v>422</v>
      </c>
      <c r="M5" s="174"/>
    </row>
    <row r="6" spans="2:13">
      <c r="B6" s="2">
        <v>5</v>
      </c>
      <c r="C6" t="s">
        <v>426</v>
      </c>
      <c r="D6" s="3"/>
      <c r="E6" s="87">
        <v>6</v>
      </c>
      <c r="F6" s="97">
        <f t="shared" si="4"/>
        <v>60</v>
      </c>
      <c r="G6">
        <f>VLOOKUP($C6,[1]약재관리!$A:$J,10,FALSE)</f>
        <v>23.5</v>
      </c>
      <c r="H6" s="4">
        <f t="shared" si="5"/>
        <v>141</v>
      </c>
      <c r="I6" s="5">
        <f t="shared" si="0"/>
        <v>1410</v>
      </c>
      <c r="J6" s="99">
        <f t="shared" si="3"/>
        <v>6</v>
      </c>
      <c r="K6" s="7" t="s">
        <v>10</v>
      </c>
      <c r="L6" s="173">
        <v>38</v>
      </c>
      <c r="M6" s="174"/>
    </row>
    <row r="7" spans="2:13" ht="17.25" thickBot="1">
      <c r="B7" s="2">
        <v>6</v>
      </c>
      <c r="C7" t="s">
        <v>427</v>
      </c>
      <c r="D7" s="3"/>
      <c r="E7" s="87">
        <v>6</v>
      </c>
      <c r="F7" s="97">
        <f t="shared" si="4"/>
        <v>60</v>
      </c>
      <c r="G7">
        <f>VLOOKUP($C7,[1]약재관리!$A:$J,10,FALSE)</f>
        <v>14.8</v>
      </c>
      <c r="H7" s="4">
        <f t="shared" si="5"/>
        <v>88.800000000000011</v>
      </c>
      <c r="I7" s="5">
        <f t="shared" si="0"/>
        <v>888</v>
      </c>
      <c r="J7" s="99">
        <f t="shared" si="3"/>
        <v>6</v>
      </c>
      <c r="K7" s="7" t="s">
        <v>11</v>
      </c>
      <c r="L7" s="181" t="s">
        <v>417</v>
      </c>
      <c r="M7" s="182"/>
    </row>
    <row r="8" spans="2:13" ht="17.25" thickBot="1">
      <c r="B8" s="2">
        <v>7</v>
      </c>
      <c r="C8" t="s">
        <v>428</v>
      </c>
      <c r="D8" s="3"/>
      <c r="E8" s="87">
        <v>6</v>
      </c>
      <c r="F8" s="97">
        <f t="shared" si="4"/>
        <v>60</v>
      </c>
      <c r="G8">
        <f>VLOOKUP($C8,[1]약재관리!$A:$J,10,FALSE)</f>
        <v>19.600000000000001</v>
      </c>
      <c r="H8" s="4">
        <f t="shared" si="5"/>
        <v>117.60000000000001</v>
      </c>
      <c r="I8" s="5">
        <f t="shared" ref="I8:I31" si="6">G8*F8</f>
        <v>1176</v>
      </c>
      <c r="J8" s="99">
        <f t="shared" si="3"/>
        <v>6</v>
      </c>
      <c r="K8" s="175" t="s">
        <v>12</v>
      </c>
      <c r="L8" s="176"/>
      <c r="M8" s="177"/>
    </row>
    <row r="9" spans="2:13">
      <c r="B9" s="2">
        <v>8</v>
      </c>
      <c r="C9" t="s">
        <v>419</v>
      </c>
      <c r="D9" s="3"/>
      <c r="E9" s="87">
        <v>6</v>
      </c>
      <c r="F9" s="97">
        <f t="shared" si="4"/>
        <v>60</v>
      </c>
      <c r="G9">
        <f>VLOOKUP($C9,[1]약재관리!$A:$J,10,FALSE)</f>
        <v>28.3</v>
      </c>
      <c r="H9" s="4">
        <f t="shared" si="5"/>
        <v>169.8</v>
      </c>
      <c r="I9" s="5">
        <f t="shared" si="6"/>
        <v>1698</v>
      </c>
      <c r="J9" s="99">
        <f t="shared" si="3"/>
        <v>6</v>
      </c>
      <c r="K9" s="183"/>
      <c r="L9" s="184"/>
      <c r="M9" s="185"/>
    </row>
    <row r="10" spans="2:13">
      <c r="B10" s="2">
        <v>9</v>
      </c>
      <c r="C10" t="s">
        <v>429</v>
      </c>
      <c r="D10" s="3"/>
      <c r="E10" s="87">
        <v>8</v>
      </c>
      <c r="F10" s="97">
        <f t="shared" si="4"/>
        <v>80</v>
      </c>
      <c r="G10">
        <f>VLOOKUP($C10,[1]약재관리!$A:$J,10,FALSE)</f>
        <v>8.6999999999999993</v>
      </c>
      <c r="H10" s="4">
        <f t="shared" si="5"/>
        <v>69.599999999999994</v>
      </c>
      <c r="I10" s="5">
        <f t="shared" si="6"/>
        <v>696</v>
      </c>
      <c r="J10" s="99">
        <f t="shared" si="3"/>
        <v>8</v>
      </c>
      <c r="K10" s="186"/>
      <c r="L10" s="187"/>
      <c r="M10" s="188"/>
    </row>
    <row r="11" spans="2:13">
      <c r="B11" s="2">
        <v>10</v>
      </c>
      <c r="D11" s="3"/>
      <c r="F11" s="97">
        <f t="shared" si="4"/>
        <v>0</v>
      </c>
      <c r="H11" s="4">
        <f t="shared" si="5"/>
        <v>0</v>
      </c>
      <c r="I11" s="5">
        <f t="shared" si="6"/>
        <v>0</v>
      </c>
      <c r="J11" s="99">
        <f t="shared" si="3"/>
        <v>0</v>
      </c>
      <c r="K11" s="186"/>
      <c r="L11" s="187"/>
      <c r="M11" s="188"/>
    </row>
    <row r="12" spans="2:13">
      <c r="B12" s="2">
        <v>11</v>
      </c>
      <c r="D12" s="3"/>
      <c r="F12" s="97">
        <f t="shared" si="4"/>
        <v>0</v>
      </c>
      <c r="H12" s="4">
        <f t="shared" si="5"/>
        <v>0</v>
      </c>
      <c r="I12" s="5">
        <f t="shared" si="6"/>
        <v>0</v>
      </c>
      <c r="J12" s="99">
        <f t="shared" si="3"/>
        <v>0</v>
      </c>
      <c r="K12" s="186"/>
      <c r="L12" s="187"/>
      <c r="M12" s="188"/>
    </row>
    <row r="13" spans="2:13" ht="17.25" thickBot="1">
      <c r="B13" s="2">
        <v>12</v>
      </c>
      <c r="D13" s="3"/>
      <c r="F13" s="97">
        <f t="shared" si="4"/>
        <v>0</v>
      </c>
      <c r="H13" s="4">
        <f t="shared" si="5"/>
        <v>0</v>
      </c>
      <c r="I13" s="5">
        <f t="shared" si="6"/>
        <v>0</v>
      </c>
      <c r="J13" s="99">
        <f t="shared" si="3"/>
        <v>0</v>
      </c>
      <c r="K13" s="189"/>
      <c r="L13" s="190"/>
      <c r="M13" s="191"/>
    </row>
    <row r="14" spans="2:13">
      <c r="B14" s="2">
        <v>13</v>
      </c>
      <c r="D14" s="3"/>
      <c r="F14" s="97">
        <f t="shared" si="4"/>
        <v>0</v>
      </c>
      <c r="H14" s="4">
        <f>G14*E14</f>
        <v>0</v>
      </c>
      <c r="I14" s="5">
        <f>G14*F14</f>
        <v>0</v>
      </c>
      <c r="J14" s="99">
        <f t="shared" si="3"/>
        <v>0</v>
      </c>
      <c r="K14" s="90" t="s">
        <v>13</v>
      </c>
      <c r="L14" s="8">
        <v>10</v>
      </c>
      <c r="M14" s="9" t="s">
        <v>14</v>
      </c>
    </row>
    <row r="15" spans="2:13">
      <c r="B15" s="2">
        <v>14</v>
      </c>
      <c r="D15" s="3"/>
      <c r="F15" s="97">
        <f t="shared" si="4"/>
        <v>0</v>
      </c>
      <c r="H15" s="4">
        <f>G15*E15</f>
        <v>0</v>
      </c>
      <c r="I15" s="5">
        <f>G15*F15</f>
        <v>0</v>
      </c>
      <c r="J15" s="99">
        <f t="shared" si="3"/>
        <v>0</v>
      </c>
      <c r="K15" s="89" t="s">
        <v>15</v>
      </c>
      <c r="L15">
        <v>10</v>
      </c>
      <c r="M15" s="3" t="s">
        <v>16</v>
      </c>
    </row>
    <row r="16" spans="2:13">
      <c r="B16" s="2">
        <v>15</v>
      </c>
      <c r="D16" s="3"/>
      <c r="F16" s="97">
        <f t="shared" si="4"/>
        <v>0</v>
      </c>
      <c r="H16" s="4">
        <f t="shared" si="5"/>
        <v>0</v>
      </c>
      <c r="I16" s="5">
        <f t="shared" si="6"/>
        <v>0</v>
      </c>
      <c r="J16" s="99">
        <f t="shared" si="3"/>
        <v>0</v>
      </c>
      <c r="K16" s="89" t="s">
        <v>17</v>
      </c>
      <c r="L16">
        <v>20</v>
      </c>
      <c r="M16" s="3" t="s">
        <v>18</v>
      </c>
    </row>
    <row r="17" spans="2:13" ht="17.25" thickBot="1">
      <c r="B17" s="2">
        <v>16</v>
      </c>
      <c r="D17" s="3"/>
      <c r="F17" s="97">
        <f t="shared" si="4"/>
        <v>0</v>
      </c>
      <c r="H17" s="4">
        <f t="shared" si="5"/>
        <v>0</v>
      </c>
      <c r="I17" s="5">
        <f t="shared" si="6"/>
        <v>0</v>
      </c>
      <c r="J17" s="99">
        <f t="shared" si="3"/>
        <v>0</v>
      </c>
      <c r="K17" s="13" t="s">
        <v>19</v>
      </c>
      <c r="L17" s="10">
        <v>110</v>
      </c>
      <c r="M17" s="11" t="s">
        <v>20</v>
      </c>
    </row>
    <row r="18" spans="2:13">
      <c r="B18" s="2">
        <v>17</v>
      </c>
      <c r="D18" s="3"/>
      <c r="F18" s="97">
        <f t="shared" si="4"/>
        <v>0</v>
      </c>
      <c r="H18" s="4">
        <f t="shared" si="5"/>
        <v>0</v>
      </c>
      <c r="I18" s="5">
        <f t="shared" si="6"/>
        <v>0</v>
      </c>
      <c r="J18" s="99">
        <f t="shared" si="3"/>
        <v>0</v>
      </c>
      <c r="K18" s="90" t="s">
        <v>21</v>
      </c>
      <c r="L18" s="8">
        <f>SUM(E2:E31)</f>
        <v>62</v>
      </c>
      <c r="M18" s="9" t="s">
        <v>22</v>
      </c>
    </row>
    <row r="19" spans="2:13">
      <c r="B19" s="2">
        <v>18</v>
      </c>
      <c r="D19" s="3"/>
      <c r="F19" s="97">
        <f t="shared" si="4"/>
        <v>0</v>
      </c>
      <c r="H19" s="4">
        <f t="shared" si="5"/>
        <v>0</v>
      </c>
      <c r="I19" s="5">
        <f t="shared" si="6"/>
        <v>0</v>
      </c>
      <c r="K19" s="89" t="s">
        <v>23</v>
      </c>
      <c r="L19">
        <f>L15*L18</f>
        <v>620</v>
      </c>
      <c r="M19" s="3" t="s">
        <v>22</v>
      </c>
    </row>
    <row r="20" spans="2:13" ht="17.25" thickBot="1">
      <c r="B20" s="2">
        <v>19</v>
      </c>
      <c r="D20" s="3"/>
      <c r="F20" s="97">
        <f t="shared" si="4"/>
        <v>0</v>
      </c>
      <c r="H20" s="4">
        <f t="shared" si="5"/>
        <v>0</v>
      </c>
      <c r="I20" s="5">
        <f t="shared" si="6"/>
        <v>0</v>
      </c>
      <c r="K20" s="13" t="s">
        <v>24</v>
      </c>
      <c r="L20" s="10">
        <f>L16*L17+L19</f>
        <v>2820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620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2057.9999999999995</v>
      </c>
      <c r="M30" s="3" t="s">
        <v>33</v>
      </c>
    </row>
    <row r="31" spans="2:13" ht="17.25" thickBot="1">
      <c r="B31" s="12">
        <v>30</v>
      </c>
      <c r="C31" s="13"/>
      <c r="D31" s="11"/>
      <c r="E31" s="93"/>
      <c r="F31" s="98">
        <f t="shared" si="4"/>
        <v>0</v>
      </c>
      <c r="G31" s="10"/>
      <c r="H31" s="14">
        <f t="shared" si="5"/>
        <v>0</v>
      </c>
      <c r="I31" s="15">
        <f t="shared" si="6"/>
        <v>0</v>
      </c>
      <c r="K31" s="13" t="s">
        <v>34</v>
      </c>
      <c r="L31" s="14">
        <f>SUM(I2:I31)</f>
        <v>20580</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2026-01-05T04:42:04Z</cp:lastPrinted>
  <dcterms:created xsi:type="dcterms:W3CDTF">2024-09-12T16:35:01Z</dcterms:created>
  <dcterms:modified xsi:type="dcterms:W3CDTF">2026-01-15T08:47:59Z</dcterms:modified>
  <cp:category/>
  <cp:contentStatus/>
</cp:coreProperties>
</file>