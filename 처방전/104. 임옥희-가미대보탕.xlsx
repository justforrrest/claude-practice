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90" documentId="8_{6EB8DC0A-AB56-415F-A9F3-EA1534264548}" xr6:coauthVersionLast="47" xr6:coauthVersionMax="47" xr10:uidLastSave="{19F2FA33-3E5C-49A7-9720-0B7C74EEB03A}"/>
  <bookViews>
    <workbookView xWindow="13560" yWindow="30" windowWidth="15240" windowHeight="1545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4" l="1"/>
  <c r="G16" i="4"/>
  <c r="G17" i="4"/>
  <c r="H57" i="5"/>
  <c r="G15"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<sst xmlns="http://schemas.openxmlformats.org/spreadsheetml/2006/main" count="596" uniqueCount="433">
  <si>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</si>
  <si>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</si>
  <si>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</si>
  <si>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</si>
  <si>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</si>
  <si>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</si>
  <si>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</si>
  <si>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</si>
  <si>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</si>
  <si>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</si>
  <si>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</si>
  <si>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</si>
  <si>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</si>
  <si>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</si>
  <si>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</si>
  <si>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</si>
  <si>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</si>
  <si>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</si>
  <si>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</si>
  <si>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</si>
  <si>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</si>
  <si>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</si>
  <si>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</si>
  <si>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</si>
  <si>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</si>
  <si>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</si>
  <si>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</si>
  <si>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</si>
  <si>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</si>
  <si>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</si>
  <si>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</si>
  <si>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</si>
  <si>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</si>
  <si>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</si>
  <si>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</si>
  <si>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</si>
  <si>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</si>
  <si>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</si>
  <si>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</si>
  <si>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</si>
  <si>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</si>
  <si>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</si>
  <si>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</si>
  <si>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</si>
  <si>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</si>
  <si>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</si>
  <si>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</si>
  <si>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</si>
  <si>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</si>
  <si>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</si>
  <si>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</si>
  <si>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</si>
  <si>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</si>
  <si>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</si>
  <si>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</si>
  <si>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</si>
  <si>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</si>
  <si>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</si>
  <si>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</si>
  <si>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</si>
  <si>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</si>
  <si>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</si>
  <si>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</si>
  <si>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</si>
  <si>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</si>
  <si>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</si>
  <si>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</si>
  <si>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</si>
  <si>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</si>
  <si>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</si>
  <si>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</si>
  <si>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</si>
  <si>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</si>
  <si>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</si>
  <si>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</si>
  <si>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</si>
  <si>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</si>
  <si>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</si>
  <si>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</si>
  <si>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</si>
  <si>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</si>
  <si>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</si>
  <si>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</si>
  <si>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</si>
  <si>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</si>
  <si>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</si>
  <si>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</si>
  <si>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</si>
  <si>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</si>
  <si>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</si>
  <si>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</si>
  <si>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</si>
  <si>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</si>
  <si>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</si>
  <si>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</si>
  <si>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</si>
  <si>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</si>
  <si>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</si>
  <si>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</si>
  <si>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</si>
  <si>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</si>
  <si>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</si>
  <si>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</si>
  <si>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</si>
  <si>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</si>
  <si>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</si>
  <si>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</si>
  <si>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</si>
  <si>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</si>
  <si>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</si>
  <si>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</si>
  <si>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</si>
  <si>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</si>
  <si>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</si>
  <si>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</si>
  <si>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</si>
  <si>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</si>
  <si>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</si>
  <si>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</si>
  <si>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</si>
  <si>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</si>
  <si>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</si>
  <si>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</si>
  <si>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</si>
  <si>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</si>
  <si>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</si>
  <si>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</si>
  <si>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</si>
  <si>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</si>
  <si>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</si>
  <si>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</si>
  <si>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</si>
  <si>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</si>
  <si>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</si>
  <si>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</si>
  <si>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</si>
  <si>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</si>
  <si>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</si>
  <si>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</si>
  <si>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</si>
  <si>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</si>
  <si>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</si>
  <si>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</si>
  <si>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</si>
  <si>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</si>
  <si>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</si>
  <si>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</si>
  <si>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</si>
  <si>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</si>
  <si>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</si>
  <si>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</si>
  <si>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</si>
  <si>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</si>
  <si>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</si>
  <si>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</si>
  <si>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</si>
  <si>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</si>
  <si>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</si>
  <si>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</si>
  <si>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</si>
  <si>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</si>
  <si>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</si>
  <si>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</si>
  <si>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</si>
  <si>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</si>
  <si>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</si>
  <si>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</si>
  <si>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</si>
  <si>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</si>
  <si>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</si>
  <si>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</si>
  <si>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</si>
  <si>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</si>
  <si>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</si>
  <si>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</si>
  <si>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</si>
  <si>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</si>
  <si>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</si>
  <si>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</si>
  <si>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</si>
  <si>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</si>
  <si>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</si>
  <si>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</si>
  <si>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</si>
  <si>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</si>
  <si>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</si>
  <si>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</si>
  <si>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</si>
  <si>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</si>
  <si>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</si>
  <si>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</si>
  <si>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</si>
  <si>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</si>
  <si>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</si>
  <si>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</si>
  <si>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</si>
  <si>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</si>
  <si>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</si>
  <si>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</si>
  <si>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</si>
  <si>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</si>
  <si>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</si>
  <si>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</si>
  <si>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</si>
  <si>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</si>
  <si>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</si>
  <si>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</si>
  <si>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</si>
  <si>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</si>
  <si>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</si>
  <si>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</si>
  <si>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</si>
  <si>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</si>
  <si>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</si>
  <si>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</si>
  <si>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</si>
  <si>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</si>
  <si>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</si>
  <si>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</si>
  <si>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</si>
  <si>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</si>
  <si>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</si>
  <si>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</si>
  <si>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</si>
  <si>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</si>
  <si>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</si>
  <si>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</si>
  <si>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</si>
  <si>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</si>
  <si>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</si>
  <si>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</si>
  <si>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</si>
  <si>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</si>
  <si>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</si>
  <si>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</si>
  <si>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</si>
  <si>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</si>
  <si>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</si>
  <si>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</si>
  <si>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</si>
  <si>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</si>
  <si>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</si>
  <si>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</si>
  <si>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</si>
  <si>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</si>
  <si>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</si>
  <si>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</si>
  <si>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</si>
  <si>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</si>
  <si>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</si>
  <si>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</si>
  <si>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</si>
  <si>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</si>
  <si>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</si>
  <si>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</si>
  <si>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</si>
  <si>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</si>
  <si>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</si>
  <si>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</si>
  <si>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</si>
  <si>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</si>
  <si>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</si>
  <si>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</si>
  <si>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</si>
  <si>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</si>
  <si>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</si>
  <si>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</si>
  <si>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</si>
  <si>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</si>
  <si>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</si>
  <si>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</si>
  <si>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</si>
  <si>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</si>
  <si>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</si>
  <si>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</si>
  <si>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</si>
  <si>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</si>
  <si>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</si>
  <si>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</si>
  <si>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</si>
  <si>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</si>
  <si>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</si>
  <si>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</si>
  <si>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</si>
  <si>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</si>
  <si>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</si>
  <si>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</si>
  <si>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</si>
  <si>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</si>
  <si>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</si>
  <si>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</si>
  <si>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</si>
  <si>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</si>
  <si>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</si>
  <si>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</si>
  <si>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</si>
  <si>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</si>
  <si>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</si>
  <si>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</si>
  <si>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</si>
  <si>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</si>
  <si>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</si>
  <si>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</si>
  <si>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</si>
  <si>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</si>
  <si>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</si>
  <si>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</si>
  <si>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</si>
  <si>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</si>
  <si>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</si>
  <si>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</si>
  <si>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</si>
  <si>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</si>
  <si>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</si>
  <si>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</si>
  <si>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</si>
  <si>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</si>
  <si>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</si>
  <si>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</si>
  <si>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</si>
  <si>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</si>
  <si>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</si>
  <si>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</si>
  <si>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</si>
  <si>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</si>
  <si>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</si>
  <si>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</si>
  <si>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</si>
  <si>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</si>
  <si>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</si>
  <si>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</si>
  <si>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</si>
  <si>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</si>
  <si>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</si>
  <si>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</si>
  <si>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</si>
  <si>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</si>
  <si>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</si>
  <si>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</si>
  <si>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</si>
  <si>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</si>
  <si>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</si>
  <si>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</si>
  <si>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</si>
  <si>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</si>
  <si>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</si>
  <si>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</si>
  <si>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</si>
  <si>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</si>
  <si>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</si>
  <si>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</si>
  <si>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</si>
  <si>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</si>
  <si>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</si>
  <si>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</si>
  <si>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</si>
  <si>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</si>
  <si>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</si>
  <si>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</si>
  <si>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</si>
  <si>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</si>
  <si>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</si>
  <si>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</si>
  <si>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</si>
  <si>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</si>
  <si>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</si>
  <si>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</si>
  <si>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</si>
  <si>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</si>
  <si>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</si>
  <si>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</si>
  <si>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</si>
  <si>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</si>
  <si>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</si>
  <si>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</si>
  <si>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</si>
  <si>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</si>
  <si>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</si>
  <si>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</si>
  <si>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</si>
  <si>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</si>
  <si>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</si>
  <si>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</si>
  <si>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</si>
  <si>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</si>
  <si>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</si>
  <si>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</si>
  <si>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</si>
  <si>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</si>
  <si>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</si>
  <si>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</si>
  <si>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</si>
  <si>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</si>
  <si>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</si>
  <si>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</si>
  <si>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</si>
  <si>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</si>
  <si>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</si>
  <si>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</si>
  <si>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</si>
  <si>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</si>
  <si>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</si>
  <si>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</si>
  <si>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</si>
  <si>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</si>
  <si>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</si>
  <si>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</si>
  <si>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</si>
  <si>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</si>
  <si>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</si>
  <si>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</si>
  <si>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</si>
  <si>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</si>
  <si>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복령</t>
    <phoneticPr fontId="5" type="noConversion"/>
  </si>
  <si>
    <t>육계</t>
    <phoneticPr fontId="5" type="noConversion"/>
  </si>
  <si>
    <t>부자</t>
    <phoneticPr fontId="5" type="noConversion"/>
  </si>
  <si>
    <t>사인</t>
    <phoneticPr fontId="5" type="noConversion"/>
  </si>
  <si>
    <t>녹용</t>
    <phoneticPr fontId="5" type="noConversion"/>
  </si>
  <si>
    <t>숙지황</t>
    <phoneticPr fontId="5" type="noConversion"/>
  </si>
  <si>
    <t>인삼</t>
    <phoneticPr fontId="5" type="noConversion"/>
  </si>
  <si>
    <t>백출</t>
    <phoneticPr fontId="5" type="noConversion"/>
  </si>
  <si>
    <t>황기</t>
    <phoneticPr fontId="5" type="noConversion"/>
  </si>
  <si>
    <t>백작약</t>
    <phoneticPr fontId="5" type="noConversion"/>
  </si>
  <si>
    <t>감초</t>
    <phoneticPr fontId="5" type="noConversion"/>
  </si>
  <si>
    <t>생강</t>
    <phoneticPr fontId="5" type="noConversion"/>
  </si>
  <si>
    <t>대추</t>
    <phoneticPr fontId="5" type="noConversion"/>
  </si>
  <si>
    <t>구기자</t>
    <phoneticPr fontId="5" type="noConversion"/>
  </si>
  <si>
    <t>당귀1</t>
    <phoneticPr fontId="5" type="noConversion"/>
  </si>
  <si>
    <t>천궁1</t>
    <phoneticPr fontId="5" type="noConversion"/>
  </si>
  <si>
    <t>진피1</t>
    <phoneticPr fontId="5" type="noConversion"/>
  </si>
  <si>
    <t>가미대보탕</t>
    <phoneticPr fontId="5" type="noConversion"/>
  </si>
  <si>
    <t>임옥희</t>
    <phoneticPr fontId="5" type="noConversion"/>
  </si>
  <si>
    <t>F</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</si>
</sst>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6" sqref="E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418</v>
      </c>
      <c r="D2" s="4"/>
      <c r="E2" s="88">
        <v>6</v>
      </c>
      <c r="F2" s="101">
        <f>E2*$L$15</f>
        <v>120</v>
      </c>
      <c r="G2">
        <f>VLOOKUP($C2,약재관리!A:J,10,FALSE)</f>
        <v>20</v>
      </c>
      <c r="H2" s="5">
        <f>G2*E2</f>
        <v>120</v>
      </c>
      <c r="I2" s="90">
        <f>G2*F2</f>
        <v>2400</v>
      </c>
      <c r="K2" s="7" t="s">
        <v>9</v>
      </c>
      <c r="L2" s="153">
        <v>104</v>
      </c>
      <c r="M2" s="154"/>
    </row>
    <row r="3" spans="2:13">
      <c r="B3" s="3">
        <v>2</v>
      </c>
      <c r="C3" t="s">
        <v>419</v>
      </c>
      <c r="D3" s="4"/>
      <c r="E3" s="88">
        <v>6</v>
      </c>
      <c r="F3" s="101">
        <f t="shared" ref="F3:F31" si="0">E3*$L$15</f>
        <v>120</v>
      </c>
      <c r="G3">
        <f>VLOOKUP($C3,약재관리!A:J,10,FALSE)</f>
        <v>108.3</v>
      </c>
      <c r="H3" s="5">
        <f t="shared" ref="H3:H31" si="1">G3*E3</f>
        <v>649.79999999999995</v>
      </c>
      <c r="I3" s="6">
        <f t="shared" ref="I3:I31" si="2">G3*F3</f>
        <v>12996</v>
      </c>
      <c r="K3" s="8" t="s">
        <v>10</v>
      </c>
      <c r="L3" s="148" t="s">
        <v>430</v>
      </c>
      <c r="M3" s="149"/>
    </row>
    <row r="4" spans="2:13">
      <c r="B4" s="3">
        <v>3</v>
      </c>
      <c r="C4" t="s">
        <v>420</v>
      </c>
      <c r="D4" s="4"/>
      <c r="E4" s="88">
        <v>6</v>
      </c>
      <c r="F4" s="101">
        <f t="shared" si="0"/>
        <v>120</v>
      </c>
      <c r="G4">
        <f>VLOOKUP($C4,약재관리!A:J,10,FALSE)</f>
        <v>30.3</v>
      </c>
      <c r="H4" s="5">
        <f t="shared" si="1"/>
        <v>181.8</v>
      </c>
      <c r="I4" s="6">
        <f t="shared" si="2"/>
        <v>3636</v>
      </c>
      <c r="K4" s="8" t="s">
        <v>11</v>
      </c>
      <c r="L4" s="155">
        <v>45777</v>
      </c>
      <c r="M4" s="149"/>
    </row>
    <row r="5" spans="2:13">
      <c r="B5" s="3">
        <v>4</v>
      </c>
      <c r="C5" t="s">
        <v>421</v>
      </c>
      <c r="D5" s="4"/>
      <c r="E5" s="88">
        <v>6</v>
      </c>
      <c r="F5" s="101">
        <f t="shared" si="0"/>
        <v>120</v>
      </c>
      <c r="G5">
        <f>VLOOKUP($C5,약재관리!A:J,10,FALSE)</f>
        <v>22</v>
      </c>
      <c r="H5" s="5">
        <f t="shared" si="1"/>
        <v>132</v>
      </c>
      <c r="I5" s="6">
        <f t="shared" si="2"/>
        <v>2640</v>
      </c>
      <c r="K5" s="8" t="s">
        <v>12</v>
      </c>
      <c r="L5" s="148" t="s">
        <v>431</v>
      </c>
      <c r="M5" s="149"/>
    </row>
    <row r="6" spans="2:13">
      <c r="B6" s="3">
        <v>5</v>
      </c>
      <c r="C6" t="s">
        <v>427</v>
      </c>
      <c r="D6" s="4"/>
      <c r="E6" s="88">
        <v>4</v>
      </c>
      <c r="F6" s="101">
        <f t="shared" si="0"/>
        <v>80</v>
      </c>
      <c r="G6">
        <f>VLOOKUP($C6,약재관리!A:J,10,FALSE)</f>
        <v>27.2</v>
      </c>
      <c r="H6" s="5">
        <f t="shared" si="1"/>
        <v>108.8</v>
      </c>
      <c r="I6" s="6">
        <f t="shared" si="2"/>
        <v>2176</v>
      </c>
      <c r="K6" s="8" t="s">
        <v>13</v>
      </c>
      <c r="L6" s="148">
        <v>82</v>
      </c>
      <c r="M6" s="149"/>
    </row>
    <row r="7" spans="2:13" ht="17.25" thickBot="1">
      <c r="B7" s="3">
        <v>6</v>
      </c>
      <c r="C7" t="s">
        <v>428</v>
      </c>
      <c r="D7" s="4"/>
      <c r="E7" s="88">
        <v>4</v>
      </c>
      <c r="F7" s="101">
        <f t="shared" si="0"/>
        <v>80</v>
      </c>
      <c r="G7">
        <f>VLOOKUP($C7,약재관리!A:J,10,FALSE)</f>
        <v>10.8</v>
      </c>
      <c r="H7" s="5">
        <f t="shared" si="1"/>
        <v>43.2</v>
      </c>
      <c r="I7" s="6">
        <f t="shared" si="2"/>
        <v>864</v>
      </c>
      <c r="K7" s="8" t="s">
        <v>14</v>
      </c>
      <c r="L7" s="156" t="s">
        <v>432</v>
      </c>
      <c r="M7" s="157"/>
    </row>
    <row r="8" spans="2:13" ht="17.25" thickBot="1">
      <c r="B8" s="3">
        <v>7</v>
      </c>
      <c r="C8" t="s">
        <v>422</v>
      </c>
      <c r="D8" s="4"/>
      <c r="E8" s="88">
        <v>4</v>
      </c>
      <c r="F8" s="101">
        <f t="shared" si="0"/>
        <v>80</v>
      </c>
      <c r="G8">
        <f>VLOOKUP($C8,약재관리!A:J,10,FALSE)</f>
        <v>19.600000000000001</v>
      </c>
      <c r="H8" s="5">
        <f t="shared" si="1"/>
        <v>78.400000000000006</v>
      </c>
      <c r="I8" s="6">
        <f t="shared" si="2"/>
        <v>1568</v>
      </c>
      <c r="K8" s="150" t="s">
        <v>15</v>
      </c>
      <c r="L8" s="151"/>
      <c r="M8" s="152"/>
    </row>
    <row r="9" spans="2:13">
      <c r="B9" s="3">
        <v>8</v>
      </c>
      <c r="C9" t="s">
        <v>413</v>
      </c>
      <c r="D9" s="4"/>
      <c r="E9" s="88">
        <v>4</v>
      </c>
      <c r="F9" s="101">
        <f t="shared" si="0"/>
        <v>80</v>
      </c>
      <c r="G9">
        <f>VLOOKUP($C9,약재관리!A:J,10,FALSE)</f>
        <v>11</v>
      </c>
      <c r="H9" s="5">
        <f t="shared" si="1"/>
        <v>44</v>
      </c>
      <c r="I9" s="6">
        <f t="shared" si="2"/>
        <v>880</v>
      </c>
      <c r="K9" s="158"/>
      <c r="L9" s="159"/>
      <c r="M9" s="160"/>
    </row>
    <row r="10" spans="2:13">
      <c r="B10" s="3">
        <v>9</v>
      </c>
      <c r="C10" t="s">
        <v>414</v>
      </c>
      <c r="D10" s="4"/>
      <c r="E10" s="88">
        <v>4</v>
      </c>
      <c r="F10" s="101">
        <f t="shared" si="0"/>
        <v>80</v>
      </c>
      <c r="G10">
        <f>VLOOKUP($C10,약재관리!A:J,10,FALSE)</f>
        <v>14.8</v>
      </c>
      <c r="H10" s="5">
        <f t="shared" si="1"/>
        <v>59.2</v>
      </c>
      <c r="I10" s="6">
        <f t="shared" si="2"/>
        <v>1184</v>
      </c>
      <c r="K10" s="161"/>
      <c r="L10" s="162"/>
      <c r="M10" s="163"/>
    </row>
    <row r="11" spans="2:13">
      <c r="B11" s="3">
        <v>10</v>
      </c>
      <c r="C11" t="s">
        <v>423</v>
      </c>
      <c r="D11" s="4"/>
      <c r="E11" s="88">
        <v>4</v>
      </c>
      <c r="F11" s="101">
        <f t="shared" si="0"/>
        <v>80</v>
      </c>
      <c r="G11">
        <f>VLOOKUP($C11,약재관리!A:J,10,FALSE)</f>
        <v>28.3</v>
      </c>
      <c r="H11" s="5">
        <f t="shared" si="1"/>
        <v>113.2</v>
      </c>
      <c r="I11" s="6">
        <f t="shared" si="2"/>
        <v>2264</v>
      </c>
      <c r="K11" s="161"/>
      <c r="L11" s="162"/>
      <c r="M11" s="163"/>
    </row>
    <row r="12" spans="2:13">
      <c r="B12" s="3">
        <v>11</v>
      </c>
      <c r="C12" t="s">
        <v>424</v>
      </c>
      <c r="D12" s="4"/>
      <c r="E12" s="88">
        <v>4</v>
      </c>
      <c r="F12" s="101">
        <f t="shared" si="0"/>
        <v>80</v>
      </c>
      <c r="G12">
        <f>VLOOKUP($C12,약재관리!A:J,10,FALSE)</f>
        <v>15</v>
      </c>
      <c r="H12" s="5">
        <f t="shared" si="1"/>
        <v>60</v>
      </c>
      <c r="I12" s="6">
        <f t="shared" si="2"/>
        <v>1200</v>
      </c>
      <c r="K12" s="161"/>
      <c r="L12" s="162"/>
      <c r="M12" s="163"/>
    </row>
    <row r="13" spans="2:13" ht="17.25" thickBot="1">
      <c r="B13" s="3">
        <v>12</v>
      </c>
      <c r="C13" t="s">
        <v>425</v>
      </c>
      <c r="D13" s="4"/>
      <c r="E13" s="88">
        <v>3</v>
      </c>
      <c r="F13" s="101">
        <f t="shared" si="0"/>
        <v>60</v>
      </c>
      <c r="G13">
        <f>VLOOKUP($C13,약재관리!A:J,10,FALSE)</f>
        <v>20.8</v>
      </c>
      <c r="H13" s="5">
        <f t="shared" si="1"/>
        <v>62.400000000000006</v>
      </c>
      <c r="I13" s="6">
        <f t="shared" si="2"/>
        <v>1248</v>
      </c>
      <c r="K13" s="164"/>
      <c r="L13" s="165"/>
      <c r="M13" s="166"/>
    </row>
    <row r="14" spans="2:13">
      <c r="B14" s="3">
        <v>13</v>
      </c>
      <c r="C14" t="s">
        <v>426</v>
      </c>
      <c r="D14" s="4"/>
      <c r="E14" s="88">
        <v>4</v>
      </c>
      <c r="F14" s="101">
        <f t="shared" si="0"/>
        <v>80</v>
      </c>
      <c r="G14">
        <f>VLOOKUP($C14,약재관리!A:J,10,FALSE)</f>
        <v>13.7</v>
      </c>
      <c r="H14" s="5">
        <f t="shared" si="1"/>
        <v>54.8</v>
      </c>
      <c r="I14" s="6">
        <f t="shared" si="2"/>
        <v>1096</v>
      </c>
      <c r="K14" s="92" t="s">
        <v>16</v>
      </c>
      <c r="L14" s="9">
        <v>15</v>
      </c>
      <c r="M14" s="10" t="s">
        <v>17</v>
      </c>
    </row>
    <row r="15" spans="2:13">
      <c r="B15" s="3">
        <v>14</v>
      </c>
      <c r="C15" t="s">
        <v>415</v>
      </c>
      <c r="D15" s="4"/>
      <c r="E15" s="88">
        <v>2</v>
      </c>
      <c r="F15" s="101">
        <f t="shared" si="0"/>
        <v>40</v>
      </c>
      <c r="G15">
        <f>VLOOKUP($C15,약재관리!A:J,10,FALSE)</f>
        <v>18.3</v>
      </c>
      <c r="H15" s="5">
        <f t="shared" si="1"/>
        <v>36.6</v>
      </c>
      <c r="I15" s="6">
        <f t="shared" si="2"/>
        <v>732</v>
      </c>
      <c r="K15" s="91" t="s">
        <v>18</v>
      </c>
      <c r="L15">
        <v>20</v>
      </c>
      <c r="M15" s="4" t="s">
        <v>19</v>
      </c>
    </row>
    <row r="16" spans="2:13">
      <c r="B16" s="3">
        <v>15</v>
      </c>
      <c r="C16" t="s">
        <v>429</v>
      </c>
      <c r="D16" s="4"/>
      <c r="E16" s="88">
        <v>4</v>
      </c>
      <c r="F16" s="101">
        <f t="shared" si="0"/>
        <v>80</v>
      </c>
      <c r="G16">
        <f>VLOOKUP($C16,약재관리!A:J,10,FALSE)</f>
        <v>17.600000000000001</v>
      </c>
      <c r="H16" s="5">
        <f t="shared" si="1"/>
        <v>70.400000000000006</v>
      </c>
      <c r="I16" s="6">
        <f t="shared" si="2"/>
        <v>1408</v>
      </c>
      <c r="K16" s="91" t="s">
        <v>20</v>
      </c>
      <c r="L16">
        <v>45</v>
      </c>
      <c r="M16" s="4" t="s">
        <v>21</v>
      </c>
    </row>
    <row r="17" spans="2:13" ht="17.25" thickBot="1">
      <c r="B17" s="3">
        <v>16</v>
      </c>
      <c r="C17" t="s">
        <v>416</v>
      </c>
      <c r="D17" s="4"/>
      <c r="E17" s="88">
        <v>2</v>
      </c>
      <c r="F17" s="101">
        <f t="shared" si="0"/>
        <v>40</v>
      </c>
      <c r="G17">
        <f>VLOOKUP($C17,약재관리!A:J,10,FALSE)</f>
        <v>21.8</v>
      </c>
      <c r="H17" s="5">
        <f t="shared" si="1"/>
        <v>43.6</v>
      </c>
      <c r="I17" s="6">
        <f t="shared" si="2"/>
        <v>872</v>
      </c>
      <c r="K17" s="14" t="s">
        <v>22</v>
      </c>
      <c r="L17" s="11">
        <v>110</v>
      </c>
      <c r="M17" s="12" t="s">
        <v>23</v>
      </c>
    </row>
    <row r="18" spans="2:13">
      <c r="B18" s="3">
        <v>17</v>
      </c>
      <c r="C18" t="s">
        <v>417</v>
      </c>
      <c r="D18" s="4"/>
      <c r="E18" s="88">
        <v>2</v>
      </c>
      <c r="F18" s="101">
        <f t="shared" si="0"/>
        <v>40</v>
      </c>
      <c r="G18">
        <f>VLOOKUP($C18,약재관리!A:J,10,FALSE)</f>
        <v>463.3</v>
      </c>
      <c r="H18" s="5">
        <f t="shared" si="1"/>
        <v>926.6</v>
      </c>
      <c r="I18" s="6">
        <f t="shared" si="2"/>
        <v>18532</v>
      </c>
      <c r="K18" s="92" t="s">
        <v>24</v>
      </c>
      <c r="L18" s="9">
        <f>SUM(E2:E31)</f>
        <v>69</v>
      </c>
      <c r="M18" s="10" t="s">
        <v>25</v>
      </c>
    </row>
    <row r="19" spans="2:13">
      <c r="B19" s="3">
        <v>18</v>
      </c>
      <c r="D19" s="4"/>
      <c r="F19" s="101">
        <f t="shared" si="0"/>
        <v>0</v>
      </c>
      <c r="H19" s="5">
        <f t="shared" si="1"/>
        <v>0</v>
      </c>
      <c r="I19" s="6">
        <f t="shared" si="2"/>
        <v>0</v>
      </c>
      <c r="K19" s="91" t="s">
        <v>26</v>
      </c>
      <c r="L19">
        <f>L15*L18</f>
        <v>1380</v>
      </c>
      <c r="M19" s="4" t="s">
        <v>25</v>
      </c>
    </row>
    <row r="20" spans="2:13" ht="17.25" thickBot="1">
      <c r="B20" s="3">
        <v>19</v>
      </c>
      <c r="D20" s="4"/>
      <c r="F20" s="101">
        <f t="shared" si="0"/>
        <v>0</v>
      </c>
      <c r="H20" s="5">
        <f t="shared" si="1"/>
        <v>0</v>
      </c>
      <c r="I20" s="6">
        <f t="shared" si="2"/>
        <v>0</v>
      </c>
      <c r="K20" s="14" t="s">
        <v>27</v>
      </c>
      <c r="L20" s="11">
        <f>L16*L17+L19</f>
        <v>6330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1380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2784.8</v>
      </c>
      <c r="M30" s="4" t="s">
        <v>384</v>
      </c>
    </row>
    <row r="31" spans="2:13" ht="17.25" thickBot="1">
      <c r="B31" s="13">
        <v>30</v>
      </c>
      <c r="C31" s="14"/>
      <c r="D31" s="12"/>
      <c r="E31" s="95"/>
      <c r="F31" s="102">
        <f t="shared" si="0"/>
        <v>0</v>
      </c>
      <c r="G31" s="11"/>
      <c r="H31" s="15">
        <f t="shared" si="1"/>
        <v>0</v>
      </c>
      <c r="I31" s="16">
        <f t="shared" si="2"/>
        <v>0</v>
      </c>
      <c r="K31" s="14" t="s">
        <v>383</v>
      </c>
      <c r="L31" s="15">
        <f>SUM(I2:I31)</f>
        <v>55696</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2" zoomScaleNormal="100" workbookViewId="0">
      <selection activeCell="C185" sqref="C185"/>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45766</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v>10000</v>
      </c>
      <c r="D5" s="36"/>
      <c r="E5" s="37">
        <v>11700</v>
      </c>
      <c r="F5" s="115">
        <f t="shared" si="0"/>
        <v>0</v>
      </c>
      <c r="G5" s="38">
        <f t="shared" si="0"/>
        <v>20</v>
      </c>
      <c r="H5" s="38">
        <f t="shared" si="1"/>
        <v>0</v>
      </c>
      <c r="I5" s="39">
        <f t="shared" si="1"/>
        <v>19.5</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19600</v>
      </c>
      <c r="D54" s="36">
        <v>39000</v>
      </c>
      <c r="E54" s="37">
        <v>23500</v>
      </c>
      <c r="F54" s="115">
        <f t="shared" si="6"/>
        <v>0</v>
      </c>
      <c r="G54" s="38">
        <f>C54/500</f>
        <v>39.200000000000003</v>
      </c>
      <c r="H54" s="38">
        <f t="shared" si="5"/>
        <v>65</v>
      </c>
      <c r="I54" s="39">
        <f t="shared" si="5"/>
        <v>39.166666666666664</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23.5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14000</v>
      </c>
      <c r="D58" s="36">
        <v>15000</v>
      </c>
      <c r="E58" s="37">
        <v>20200</v>
      </c>
      <c r="F58" s="115">
        <f t="shared" si="6"/>
        <v>37</v>
      </c>
      <c r="G58" s="38">
        <f>C58/500</f>
        <v>28</v>
      </c>
      <c r="H58" s="38">
        <f t="shared" si="7"/>
        <v>25</v>
      </c>
      <c r="I58" s="48">
        <f t="shared" si="7"/>
        <v>33.666666666666664</v>
      </c>
      <c r="J58" s="40">
        <v>28</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20500</v>
      </c>
      <c r="D63" s="36">
        <v>26500</v>
      </c>
      <c r="E63" s="37">
        <v>23500</v>
      </c>
      <c r="F63" s="115">
        <f t="shared" si="6"/>
        <v>0</v>
      </c>
      <c r="G63" s="72">
        <f t="shared" si="6"/>
        <v>41</v>
      </c>
      <c r="H63" s="72">
        <f>D63/500</f>
        <v>53</v>
      </c>
      <c r="I63" s="39">
        <f>E63/500</f>
        <v>47</v>
      </c>
      <c r="J63" s="40">
        <v>41</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v>10500</v>
      </c>
      <c r="D89" s="26">
        <v>16500</v>
      </c>
      <c r="E89" s="27">
        <v>12600</v>
      </c>
      <c r="F89" s="28">
        <f t="shared" si="9"/>
        <v>0</v>
      </c>
      <c r="G89" s="29">
        <f t="shared" si="9"/>
        <v>21</v>
      </c>
      <c r="H89" s="29">
        <f t="shared" si="8"/>
        <v>27.5</v>
      </c>
      <c r="I89" s="56">
        <f t="shared" si="8"/>
        <v>21</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24000</v>
      </c>
      <c r="E92" s="37">
        <v>16600</v>
      </c>
      <c r="F92" s="115">
        <f t="shared" si="9"/>
        <v>0</v>
      </c>
      <c r="G92" s="44">
        <f t="shared" si="9"/>
        <v>31.2</v>
      </c>
      <c r="H92" s="38">
        <f t="shared" si="8"/>
        <v>40</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13500</v>
      </c>
      <c r="D118" s="36">
        <v>38000</v>
      </c>
      <c r="E118" s="37">
        <v>23500</v>
      </c>
      <c r="F118" s="115">
        <f t="shared" si="12"/>
        <v>0</v>
      </c>
      <c r="G118" s="44">
        <f t="shared" si="12"/>
        <v>27</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9500</v>
      </c>
      <c r="D184" s="49">
        <v>7500</v>
      </c>
      <c r="E184" s="50">
        <v>12700</v>
      </c>
      <c r="F184" s="73">
        <f t="shared" si="21"/>
        <v>21.6</v>
      </c>
      <c r="G184" s="51">
        <f t="shared" si="21"/>
        <v>19</v>
      </c>
      <c r="H184" s="51">
        <f t="shared" si="20"/>
        <v>12.5</v>
      </c>
      <c r="I184" s="60">
        <f t="shared" si="20"/>
        <v>21.166666666666668</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2025-04-30T04:51:41Z</dcterms:modified>
</cp:coreProperties>
</file>