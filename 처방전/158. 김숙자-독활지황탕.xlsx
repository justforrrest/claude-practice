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467" documentId="8_{6EB8DC0A-AB56-415F-A9F3-EA1534264548}" xr6:coauthVersionLast="47" xr6:coauthVersionMax="47" xr10:uidLastSave="{9AC8EA51-AC37-40AB-B3D6-AACAB0F37B9E}"/>
  <bookViews>
    <workbookView xWindow="-600" yWindow="255" windowWidth="16890" windowHeight="1545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8" l="1"/>
  <c r="H15" i="8" s="1"/>
  <c r="G16" i="8"/>
  <c r="H16" i="8" s="1"/>
  <c r="G13" i="8"/>
  <c r="H13" i="8" s="1"/>
  <c r="G14" i="8"/>
  <c r="H14" i="8" s="1"/>
  <c r="I31" i="8"/>
  <c r="H31" i="8"/>
  <c r="F31" i="8"/>
  <c r="H30" i="8"/>
  <c r="F30" i="8"/>
  <c r="I30" i="8" s="1"/>
  <c r="H29" i="8"/>
  <c r="F29" i="8"/>
  <c r="I29" i="8" s="1"/>
  <c r="I28" i="8"/>
  <c r="H28" i="8"/>
  <c r="F28" i="8"/>
  <c r="H27" i="8"/>
  <c r="F27" i="8"/>
  <c r="I27" i="8" s="1"/>
  <c r="I26" i="8"/>
  <c r="H26" i="8"/>
  <c r="F26" i="8"/>
  <c r="H25" i="8"/>
  <c r="F25" i="8"/>
  <c r="I25" i="8" s="1"/>
  <c r="I24" i="8"/>
  <c r="H24" i="8"/>
  <c r="F24" i="8"/>
  <c r="H23" i="8"/>
  <c r="F23" i="8"/>
  <c r="I23" i="8" s="1"/>
  <c r="H22" i="8"/>
  <c r="F22" i="8"/>
  <c r="I22" i="8" s="1"/>
  <c r="H21" i="8"/>
  <c r="F21" i="8"/>
  <c r="I21" i="8" s="1"/>
  <c r="H20" i="8"/>
  <c r="F20" i="8"/>
  <c r="I20" i="8" s="1"/>
  <c r="I19" i="8"/>
  <c r="H19" i="8"/>
  <c r="F19" i="8"/>
  <c r="L18" i="8"/>
  <c r="L19" i="8" s="1"/>
  <c r="L20" i="8" s="1"/>
  <c r="H18" i="8"/>
  <c r="F18" i="8"/>
  <c r="I18" i="8" s="1"/>
  <c r="I17" i="8"/>
  <c r="H17" i="8"/>
  <c r="F17" i="8"/>
  <c r="F16" i="8"/>
  <c r="F15" i="8"/>
  <c r="F14" i="8"/>
  <c r="F13" i="8"/>
  <c r="G12" i="8"/>
  <c r="I12" i="8" s="1"/>
  <c r="F12" i="8"/>
  <c r="G11" i="8"/>
  <c r="F11" i="8"/>
  <c r="G10" i="8"/>
  <c r="H10" i="8" s="1"/>
  <c r="F10" i="8"/>
  <c r="G9" i="8"/>
  <c r="H9" i="8" s="1"/>
  <c r="F9" i="8"/>
  <c r="G8" i="8"/>
  <c r="F8" i="8"/>
  <c r="G7" i="8"/>
  <c r="H7" i="8" s="1"/>
  <c r="F7" i="8"/>
  <c r="G6" i="8"/>
  <c r="F6" i="8"/>
  <c r="G5" i="8"/>
  <c r="H5" i="8" s="1"/>
  <c r="F5" i="8"/>
  <c r="G4" i="8"/>
  <c r="H4" i="8" s="1"/>
  <c r="F4" i="8"/>
  <c r="G3" i="8"/>
  <c r="H3" i="8" s="1"/>
  <c r="F3" i="8"/>
  <c r="G2" i="8"/>
  <c r="F2" i="8"/>
  <c r="G12" i="7"/>
  <c r="G9" i="7"/>
  <c r="G10" i="7"/>
  <c r="G11" i="7"/>
  <c r="G3" i="7"/>
  <c r="G4" i="7"/>
  <c r="G5" i="7"/>
  <c r="G6" i="7"/>
  <c r="G7" i="7"/>
  <c r="G8" i="7"/>
  <c r="I15" i="8" l="1"/>
  <c r="I16" i="8"/>
  <c r="I13" i="8"/>
  <c r="I14" i="8"/>
  <c r="I11" i="8"/>
  <c r="I8" i="8"/>
  <c r="I6" i="8"/>
  <c r="L23" i="8"/>
  <c r="I2" i="8"/>
  <c r="I7" i="8"/>
  <c r="I4" i="8"/>
  <c r="I10" i="8"/>
  <c r="H2" i="8"/>
  <c r="H8" i="8"/>
  <c r="H11" i="8"/>
  <c r="I5" i="8"/>
  <c r="H12" i="8"/>
  <c r="H6" i="8"/>
  <c r="I3" i="8"/>
  <c r="I9" i="8"/>
  <c r="F3" i="7"/>
  <c r="F4" i="7"/>
  <c r="I4" i="7" s="1"/>
  <c r="F2" i="7"/>
  <c r="L30" i="8" l="1"/>
  <c r="L31"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<sst xmlns="http://schemas.openxmlformats.org/spreadsheetml/2006/main" count="659" uniqueCount="442">
  <si>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</si>
  <si>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</si>
  <si>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</si>
  <si>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</si>
  <si>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</si>
  <si>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</si>
  <si>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</si>
  <si>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</si>
  <si>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</si>
  <si>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</si>
  <si>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</si>
  <si>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</si>
  <si>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</si>
  <si>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</si>
  <si>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</si>
  <si>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</si>
  <si>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</si>
  <si>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</si>
  <si>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</si>
  <si>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</si>
  <si>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</si>
  <si>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</si>
  <si>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</si>
  <si>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</si>
  <si>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</si>
  <si>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</si>
  <si>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</si>
  <si>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</si>
  <si>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</si>
  <si>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</si>
  <si>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</si>
  <si>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</si>
  <si>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</si>
  <si>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</si>
  <si>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</si>
  <si>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</si>
  <si>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</si>
  <si>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</si>
  <si>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</si>
  <si>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</si>
  <si>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</si>
  <si>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</si>
  <si>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</si>
  <si>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</si>
  <si>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</si>
  <si>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</si>
  <si>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</si>
  <si>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</si>
  <si>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</si>
  <si>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</si>
  <si>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</si>
  <si>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</si>
  <si>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</si>
  <si>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</si>
  <si>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</si>
  <si>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</si>
  <si>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</si>
  <si>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</si>
  <si>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</si>
  <si>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</si>
  <si>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</si>
  <si>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</si>
  <si>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</si>
  <si>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</si>
  <si>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</si>
  <si>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</si>
  <si>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</si>
  <si>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</si>
  <si>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</si>
  <si>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</si>
  <si>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</si>
  <si>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</si>
  <si>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</si>
  <si>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</si>
  <si>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</si>
  <si>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</si>
  <si>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</si>
  <si>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</si>
  <si>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</si>
  <si>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</si>
  <si>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</si>
  <si>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</si>
  <si>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</si>
  <si>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</si>
  <si>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</si>
  <si>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</si>
  <si>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</si>
  <si>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</si>
  <si>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</si>
  <si>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</si>
  <si>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</si>
  <si>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</si>
  <si>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</si>
  <si>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</si>
  <si>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</si>
  <si>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</si>
  <si>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</si>
  <si>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</si>
  <si>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</si>
  <si>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</si>
  <si>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</si>
  <si>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</si>
  <si>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</si>
  <si>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</si>
  <si>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</si>
  <si>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</si>
  <si>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</si>
  <si>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</si>
  <si>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</si>
  <si>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</si>
  <si>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</si>
  <si>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</si>
  <si>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</si>
  <si>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</si>
  <si>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</si>
  <si>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</si>
  <si>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</si>
  <si>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</si>
  <si>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</si>
  <si>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</si>
  <si>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</si>
  <si>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</si>
  <si>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</si>
  <si>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</si>
  <si>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</si>
  <si>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</si>
  <si>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</si>
  <si>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</si>
  <si>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</si>
  <si>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</si>
  <si>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</si>
  <si>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</si>
  <si>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</si>
  <si>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</si>
  <si>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</si>
  <si>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</si>
  <si>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</si>
  <si>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</si>
  <si>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</si>
  <si>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</si>
  <si>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</si>
  <si>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</si>
  <si>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</si>
  <si>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</si>
  <si>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</si>
  <si>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</si>
  <si>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</si>
  <si>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</si>
  <si>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</si>
  <si>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</si>
  <si>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</si>
  <si>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</si>
  <si>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</si>
  <si>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</si>
  <si>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</si>
  <si>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</si>
  <si>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</si>
  <si>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</si>
  <si>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</si>
  <si>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</si>
  <si>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</si>
  <si>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</si>
  <si>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</si>
  <si>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</si>
  <si>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</si>
  <si>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</si>
  <si>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</si>
  <si>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</si>
  <si>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</si>
  <si>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</si>
  <si>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</si>
  <si>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</si>
  <si>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</si>
  <si>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</si>
  <si>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</si>
  <si>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</si>
  <si>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</si>
  <si>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</si>
  <si>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</si>
  <si>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</si>
  <si>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</si>
  <si>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</si>
  <si>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</si>
  <si>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</si>
  <si>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</si>
  <si>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</si>
  <si>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</si>
  <si>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</si>
  <si>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</si>
  <si>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</si>
  <si>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</si>
  <si>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</si>
  <si>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</si>
  <si>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</si>
  <si>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</si>
  <si>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</si>
  <si>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</si>
  <si>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</si>
  <si>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</si>
  <si>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</si>
  <si>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</si>
  <si>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</si>
  <si>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</si>
  <si>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</si>
  <si>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</si>
  <si>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</si>
  <si>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</si>
  <si>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</si>
  <si>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</si>
  <si>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</si>
  <si>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</si>
  <si>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</si>
  <si>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</si>
  <si>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</si>
  <si>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</si>
  <si>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</si>
  <si>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</si>
  <si>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</si>
  <si>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</si>
  <si>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</si>
  <si>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</si>
  <si>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</si>
  <si>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</si>
  <si>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</si>
  <si>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</si>
  <si>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</si>
  <si>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</si>
  <si>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</si>
  <si>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</si>
  <si>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</si>
  <si>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</si>
  <si>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</si>
  <si>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</si>
  <si>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</si>
  <si>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</si>
  <si>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</si>
  <si>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</si>
  <si>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</si>
  <si>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</si>
  <si>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</si>
  <si>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</si>
  <si>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</si>
  <si>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</si>
  <si>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</si>
  <si>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</si>
  <si>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</si>
  <si>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</si>
  <si>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</si>
  <si>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</si>
  <si>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</si>
  <si>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</si>
  <si>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</si>
  <si>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</si>
  <si>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</si>
  <si>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</si>
  <si>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</si>
  <si>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</si>
  <si>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</si>
  <si>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</si>
  <si>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</si>
  <si>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</si>
  <si>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</si>
  <si>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</si>
  <si>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</si>
  <si>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</si>
  <si>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</si>
  <si>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</si>
  <si>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</si>
  <si>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</si>
  <si>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</si>
  <si>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</si>
  <si>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</si>
  <si>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</si>
  <si>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</si>
  <si>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</si>
  <si>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</si>
  <si>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</si>
  <si>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</si>
  <si>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</si>
  <si>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</si>
  <si>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</si>
  <si>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</si>
  <si>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</si>
  <si>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</si>
  <si>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</si>
  <si>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</si>
  <si>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</si>
  <si>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</si>
  <si>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</si>
  <si>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</si>
  <si>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</si>
  <si>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</si>
  <si>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</si>
  <si>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</si>
  <si>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</si>
  <si>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</si>
  <si>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</si>
  <si>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</si>
  <si>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</si>
  <si>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</si>
  <si>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</si>
  <si>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</si>
  <si>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</si>
  <si>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</si>
  <si>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</si>
  <si>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</si>
  <si>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</si>
  <si>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</si>
  <si>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</si>
  <si>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</si>
  <si>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</si>
  <si>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</si>
  <si>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</si>
  <si>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</si>
  <si>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</si>
  <si>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</si>
  <si>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</si>
  <si>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</si>
  <si>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</si>
  <si>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</si>
  <si>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</si>
  <si>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</si>
  <si>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</si>
  <si>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</si>
  <si>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</si>
  <si>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</si>
  <si>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</si>
  <si>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</si>
  <si>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</si>
  <si>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</si>
  <si>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</si>
  <si>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</si>
  <si>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</si>
  <si>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</si>
  <si>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</si>
  <si>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</si>
  <si>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</si>
  <si>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</si>
  <si>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</si>
  <si>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</si>
  <si>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</si>
  <si>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</si>
  <si>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</si>
  <si>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</si>
  <si>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</si>
  <si>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</si>
  <si>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</si>
  <si>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</si>
  <si>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</si>
  <si>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</si>
  <si>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</si>
  <si>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</si>
  <si>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</si>
  <si>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</si>
  <si>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</si>
  <si>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</si>
  <si>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</si>
  <si>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</si>
  <si>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</si>
  <si>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</si>
  <si>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</si>
  <si>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</si>
  <si>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</si>
  <si>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</si>
  <si>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</si>
  <si>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</si>
  <si>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</si>
  <si>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</si>
  <si>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</si>
  <si>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</si>
  <si>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</si>
  <si>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</si>
  <si>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</si>
  <si>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</si>
  <si>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</si>
  <si>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</si>
  <si>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</si>
  <si>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</si>
  <si>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</si>
  <si>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</si>
  <si>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</si>
  <si>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</si>
  <si>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</si>
  <si>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</si>
  <si>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</si>
  <si>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</si>
  <si>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</si>
  <si>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</si>
  <si>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</si>
  <si>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</si>
  <si>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</si>
  <si>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</si>
  <si>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</si>
  <si>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</si>
  <si>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</si>
  <si>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</si>
  <si>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</si>
  <si>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</si>
  <si>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</si>
  <si>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</si>
  <si>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</si>
  <si>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</si>
  <si>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</si>
  <si>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</si>
  <si>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</si>
  <si>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</si>
  <si>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</si>
  <si>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</si>
  <si>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</si>
  <si>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</si>
  <si>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</si>
  <si>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</si>
  <si>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</si>
  <si>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</si>
  <si>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</si>
  <si>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</si>
  <si>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</si>
  <si>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황련</t>
    <phoneticPr fontId="5" type="noConversion"/>
  </si>
  <si>
    <t>복령</t>
    <phoneticPr fontId="5" type="noConversion"/>
  </si>
  <si>
    <t>독활지황탕</t>
    <phoneticPr fontId="5" type="noConversion"/>
  </si>
  <si>
    <t>김숙자</t>
    <phoneticPr fontId="5" type="noConversion"/>
  </si>
  <si>
    <t>F</t>
    <phoneticPr fontId="5" type="noConversion"/>
  </si>
  <si>
    <t>숙지황</t>
    <phoneticPr fontId="5" type="noConversion"/>
  </si>
  <si>
    <t>산수유</t>
    <phoneticPr fontId="5" type="noConversion"/>
  </si>
  <si>
    <t>목단피</t>
    <phoneticPr fontId="5" type="noConversion"/>
  </si>
  <si>
    <t>독활</t>
    <phoneticPr fontId="5" type="noConversion"/>
  </si>
  <si>
    <t>구기자</t>
    <phoneticPr fontId="5" type="noConversion"/>
  </si>
  <si>
    <t>복분자</t>
    <phoneticPr fontId="5" type="noConversion"/>
  </si>
  <si>
    <t>시호1</t>
    <phoneticPr fontId="5" type="noConversion"/>
  </si>
  <si>
    <t>방풍1</t>
    <phoneticPr fontId="5" type="noConversion"/>
  </si>
  <si>
    <t>택사1</t>
    <phoneticPr fontId="5" type="noConversion"/>
  </si>
  <si>
    <t>독활지황탕 + 구기자 시호 복분자 황련</t>
    <phoneticPr fontId="5" type="noConversion"/>
  </si>
  <si>
    <t>보신총이탕</t>
    <phoneticPr fontId="5" type="noConversion"/>
  </si>
  <si>
    <t>산약</t>
    <phoneticPr fontId="5" type="noConversion"/>
  </si>
  <si>
    <t>만형자</t>
    <phoneticPr fontId="5" type="noConversion"/>
  </si>
  <si>
    <t>석창포</t>
    <phoneticPr fontId="5" type="noConversion"/>
  </si>
  <si>
    <t>세신</t>
    <phoneticPr fontId="5" type="noConversion"/>
  </si>
  <si>
    <t>지모</t>
    <phoneticPr fontId="5" type="noConversion"/>
  </si>
  <si>
    <t>황백</t>
    <phoneticPr fontId="5" type="noConversion"/>
  </si>
  <si>
    <t>파고지</t>
    <phoneticPr fontId="5" type="noConversion"/>
  </si>
  <si>
    <t>천마</t>
    <phoneticPr fontId="5" type="noConversion"/>
  </si>
  <si>
    <t>천궁1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</si>
</sst>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13000</v>
          </cell>
          <cell r="D96">
            <v>17000</v>
          </cell>
          <cell r="E96">
            <v>13700</v>
          </cell>
          <cell r="F96">
            <v>0</v>
          </cell>
          <cell r="G96">
            <v>26</v>
          </cell>
          <cell r="H96">
            <v>28.333333333333332</v>
          </cell>
          <cell r="I96">
            <v>22.833333333333332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10000</v>
          </cell>
          <cell r="D105">
            <v>9000</v>
          </cell>
          <cell r="E105"/>
          <cell r="F105">
            <v>15</v>
          </cell>
          <cell r="G105">
            <v>20</v>
          </cell>
          <cell r="H105">
            <v>15</v>
          </cell>
          <cell r="I105">
            <v>0</v>
          </cell>
          <cell r="J105">
            <v>20</v>
          </cell>
        </row>
        <row r="106">
          <cell r="A106" t="str">
            <v>생지황</v>
          </cell>
          <cell r="B106">
            <v>10300</v>
          </cell>
          <cell r="C106">
            <v>9500</v>
          </cell>
          <cell r="D106">
            <v>9000</v>
          </cell>
          <cell r="E106"/>
          <cell r="F106">
            <v>20.6</v>
          </cell>
          <cell r="G106">
            <v>19</v>
          </cell>
          <cell r="H106">
            <v>15</v>
          </cell>
          <cell r="I106">
            <v>0</v>
          </cell>
          <cell r="J106">
            <v>19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26500</v>
          </cell>
          <cell r="D137">
            <v>26000</v>
          </cell>
          <cell r="E137">
            <v>28300</v>
          </cell>
          <cell r="F137">
            <v>0</v>
          </cell>
          <cell r="G137">
            <v>44.166666666666664</v>
          </cell>
          <cell r="H137">
            <v>43.333333333333336</v>
          </cell>
          <cell r="I137">
            <v>47.166666666666664</v>
          </cell>
          <cell r="J137">
            <v>47.2</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v>16800</v>
          </cell>
          <cell r="D143"/>
          <cell r="E143"/>
          <cell r="F143"/>
          <cell r="G143">
            <v>33.6</v>
          </cell>
          <cell r="H143"/>
          <cell r="I143"/>
          <cell r="J143">
            <v>33.6</v>
          </cell>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v>15500</v>
          </cell>
          <cell r="F146">
            <v>0</v>
          </cell>
          <cell r="G146">
            <v>27.6</v>
          </cell>
          <cell r="H146">
            <v>29.166666666666668</v>
          </cell>
          <cell r="I146">
            <v>25.833333333333332</v>
          </cell>
          <cell r="J146">
            <v>25.8</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20000</v>
          </cell>
          <cell r="D148"/>
          <cell r="E148">
            <v>18600</v>
          </cell>
          <cell r="F148">
            <v>0</v>
          </cell>
          <cell r="G148">
            <v>33.333333333333336</v>
          </cell>
          <cell r="H148">
            <v>0</v>
          </cell>
          <cell r="I148">
            <v>31</v>
          </cell>
          <cell r="J148">
            <v>31</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69600</v>
          </cell>
          <cell r="F152">
            <v>0</v>
          </cell>
          <cell r="G152">
            <v>100</v>
          </cell>
          <cell r="H152">
            <v>100</v>
          </cell>
          <cell r="I152">
            <v>116</v>
          </cell>
          <cell r="J152">
            <v>116</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5B86-F08A-4424-A0CE-23D0B0C0C4F5}">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422</v>
      </c>
      <c r="D2" s="3"/>
      <c r="E2" s="171">
        <v>12</v>
      </c>
      <c r="F2" s="173">
        <f>E2*$L$15</f>
        <v>240</v>
      </c>
      <c r="G2">
        <f>VLOOKUP($C2,[1]약재관리!$A:$J,10,FALSE)</f>
        <v>20</v>
      </c>
      <c r="H2" s="4">
        <f>G2*E2</f>
        <v>240</v>
      </c>
      <c r="I2" s="5">
        <f t="shared" ref="I2:I31" si="0">G2*F2</f>
        <v>4800</v>
      </c>
      <c r="K2" s="6" t="s">
        <v>6</v>
      </c>
      <c r="L2" s="179">
        <v>158</v>
      </c>
      <c r="M2" s="180"/>
    </row>
    <row r="3" spans="2:13">
      <c r="B3" s="2">
        <v>2</v>
      </c>
      <c r="C3" t="s">
        <v>433</v>
      </c>
      <c r="D3" s="3"/>
      <c r="E3" s="172">
        <v>12</v>
      </c>
      <c r="F3" s="97">
        <f t="shared" ref="F3:F31" si="1">E3*$L$15</f>
        <v>240</v>
      </c>
      <c r="G3">
        <f>VLOOKUP($C3,[1]약재관리!$A:$J,10,FALSE)</f>
        <v>18.3</v>
      </c>
      <c r="H3" s="4">
        <f t="shared" ref="H3:H31" si="2">G3*E3</f>
        <v>219.60000000000002</v>
      </c>
      <c r="I3" s="5">
        <f t="shared" si="0"/>
        <v>4392</v>
      </c>
      <c r="K3" s="7" t="s">
        <v>7</v>
      </c>
      <c r="L3" s="174" t="s">
        <v>432</v>
      </c>
      <c r="M3" s="175"/>
    </row>
    <row r="4" spans="2:13">
      <c r="B4" s="2">
        <v>3</v>
      </c>
      <c r="C4" t="s">
        <v>423</v>
      </c>
      <c r="D4" s="3"/>
      <c r="E4" s="172">
        <v>12</v>
      </c>
      <c r="F4" s="97">
        <f t="shared" si="1"/>
        <v>240</v>
      </c>
      <c r="G4">
        <f>VLOOKUP($C4,[1]약재관리!$A:$J,10,FALSE)</f>
        <v>27.7</v>
      </c>
      <c r="H4" s="4">
        <f t="shared" si="2"/>
        <v>332.4</v>
      </c>
      <c r="I4" s="5">
        <f t="shared" si="0"/>
        <v>6648</v>
      </c>
      <c r="K4" s="7" t="s">
        <v>8</v>
      </c>
      <c r="L4" s="181">
        <v>45978</v>
      </c>
      <c r="M4" s="175"/>
    </row>
    <row r="5" spans="2:13">
      <c r="B5" s="2">
        <v>4</v>
      </c>
      <c r="C5" t="s">
        <v>426</v>
      </c>
      <c r="D5" s="3"/>
      <c r="E5" s="172">
        <v>12</v>
      </c>
      <c r="F5" s="97">
        <f t="shared" si="1"/>
        <v>240</v>
      </c>
      <c r="G5">
        <f>VLOOKUP($C5,[1]약재관리!$A:$J,10,FALSE)</f>
        <v>13.7</v>
      </c>
      <c r="H5" s="4">
        <f t="shared" si="2"/>
        <v>164.39999999999998</v>
      </c>
      <c r="I5" s="5">
        <f t="shared" si="0"/>
        <v>3288</v>
      </c>
      <c r="K5" s="7" t="s">
        <v>9</v>
      </c>
      <c r="L5" s="174" t="s">
        <v>420</v>
      </c>
      <c r="M5" s="175"/>
    </row>
    <row r="6" spans="2:13">
      <c r="B6" s="2">
        <v>5</v>
      </c>
      <c r="C6" t="s">
        <v>434</v>
      </c>
      <c r="D6" s="3"/>
      <c r="E6" s="172">
        <v>12</v>
      </c>
      <c r="F6" s="97">
        <f t="shared" si="1"/>
        <v>240</v>
      </c>
      <c r="G6">
        <f>VLOOKUP($C6,[1]약재관리!$A:$J,10,FALSE)</f>
        <v>26.3</v>
      </c>
      <c r="H6" s="4">
        <f t="shared" si="2"/>
        <v>315.60000000000002</v>
      </c>
      <c r="I6" s="5">
        <f t="shared" si="0"/>
        <v>6312</v>
      </c>
      <c r="K6" s="7" t="s">
        <v>10</v>
      </c>
      <c r="L6" s="174">
        <v>80</v>
      </c>
      <c r="M6" s="175"/>
    </row>
    <row r="7" spans="2:13" ht="17.25" thickBot="1">
      <c r="B7" s="2">
        <v>6</v>
      </c>
      <c r="C7" t="s">
        <v>439</v>
      </c>
      <c r="D7" s="3"/>
      <c r="E7" s="172">
        <v>6</v>
      </c>
      <c r="F7" s="97">
        <f t="shared" si="1"/>
        <v>120</v>
      </c>
      <c r="G7">
        <f>VLOOKUP($C7,[1]약재관리!$A:$J,10,FALSE)</f>
        <v>9.1999999999999993</v>
      </c>
      <c r="H7" s="4">
        <f t="shared" si="2"/>
        <v>55.199999999999996</v>
      </c>
      <c r="I7" s="5">
        <f t="shared" si="0"/>
        <v>1104</v>
      </c>
      <c r="K7" s="7" t="s">
        <v>11</v>
      </c>
      <c r="L7" s="182" t="s">
        <v>421</v>
      </c>
      <c r="M7" s="183"/>
    </row>
    <row r="8" spans="2:13" ht="17.25" thickBot="1">
      <c r="B8" s="2">
        <v>7</v>
      </c>
      <c r="C8" t="s">
        <v>435</v>
      </c>
      <c r="D8" s="3"/>
      <c r="E8" s="172">
        <v>6</v>
      </c>
      <c r="F8" s="97">
        <f t="shared" si="1"/>
        <v>120</v>
      </c>
      <c r="G8">
        <f>VLOOKUP($C8,[1]약재관리!$A:$J,10,FALSE)</f>
        <v>31.5</v>
      </c>
      <c r="H8" s="4">
        <f t="shared" si="2"/>
        <v>189</v>
      </c>
      <c r="I8" s="5">
        <f t="shared" si="0"/>
        <v>3780</v>
      </c>
      <c r="K8" s="176" t="s">
        <v>12</v>
      </c>
      <c r="L8" s="177"/>
      <c r="M8" s="178"/>
    </row>
    <row r="9" spans="2:13">
      <c r="B9" s="2">
        <v>8</v>
      </c>
      <c r="C9" t="s">
        <v>418</v>
      </c>
      <c r="D9" s="3"/>
      <c r="E9" s="172">
        <v>6</v>
      </c>
      <c r="F9" s="97">
        <f t="shared" si="1"/>
        <v>120</v>
      </c>
      <c r="G9">
        <f>VLOOKUP($C9,[1]약재관리!$A:$J,10,FALSE)</f>
        <v>9</v>
      </c>
      <c r="H9" s="4">
        <f t="shared" si="2"/>
        <v>54</v>
      </c>
      <c r="I9" s="5">
        <f t="shared" si="0"/>
        <v>1080</v>
      </c>
      <c r="K9" s="184"/>
      <c r="L9" s="185"/>
      <c r="M9" s="186"/>
    </row>
    <row r="10" spans="2:13">
      <c r="B10" s="2">
        <v>9</v>
      </c>
      <c r="C10" t="s">
        <v>424</v>
      </c>
      <c r="D10" s="3"/>
      <c r="E10" s="172">
        <v>6</v>
      </c>
      <c r="F10" s="97">
        <f t="shared" si="1"/>
        <v>120</v>
      </c>
      <c r="G10">
        <f>VLOOKUP($C10,[1]약재관리!$A:$J,10,FALSE)</f>
        <v>28</v>
      </c>
      <c r="H10" s="4">
        <f t="shared" si="2"/>
        <v>168</v>
      </c>
      <c r="I10" s="5">
        <f t="shared" si="0"/>
        <v>3360</v>
      </c>
      <c r="K10" s="187"/>
      <c r="L10" s="188"/>
      <c r="M10" s="189"/>
    </row>
    <row r="11" spans="2:13">
      <c r="B11" s="2">
        <v>10</v>
      </c>
      <c r="C11" t="s">
        <v>430</v>
      </c>
      <c r="D11" s="3"/>
      <c r="E11" s="172">
        <v>6</v>
      </c>
      <c r="F11" s="97">
        <f t="shared" si="1"/>
        <v>120</v>
      </c>
      <c r="G11">
        <f>VLOOKUP($C11,[1]약재관리!$A:$J,10,FALSE)</f>
        <v>23.7</v>
      </c>
      <c r="H11" s="4">
        <f t="shared" si="2"/>
        <v>142.19999999999999</v>
      </c>
      <c r="I11" s="5">
        <f t="shared" si="0"/>
        <v>2844</v>
      </c>
      <c r="K11" s="187"/>
      <c r="L11" s="188"/>
      <c r="M11" s="189"/>
    </row>
    <row r="12" spans="2:13">
      <c r="B12" s="2">
        <v>11</v>
      </c>
      <c r="C12" t="s">
        <v>436</v>
      </c>
      <c r="D12" s="3"/>
      <c r="E12" s="172">
        <v>2</v>
      </c>
      <c r="F12" s="97">
        <f t="shared" si="1"/>
        <v>40</v>
      </c>
      <c r="G12">
        <f>VLOOKUP($C12,[1]약재관리!$A:$J,10,FALSE)</f>
        <v>145.19999999999999</v>
      </c>
      <c r="H12" s="4">
        <f t="shared" si="2"/>
        <v>290.39999999999998</v>
      </c>
      <c r="I12" s="5">
        <f t="shared" si="0"/>
        <v>5808</v>
      </c>
      <c r="K12" s="187"/>
      <c r="L12" s="188"/>
      <c r="M12" s="189"/>
    </row>
    <row r="13" spans="2:13" ht="17.25" thickBot="1">
      <c r="B13" s="2">
        <v>12</v>
      </c>
      <c r="C13" t="s">
        <v>437</v>
      </c>
      <c r="D13" s="3"/>
      <c r="E13" s="172">
        <v>2</v>
      </c>
      <c r="F13" s="97">
        <f t="shared" si="1"/>
        <v>40</v>
      </c>
      <c r="G13">
        <f>VLOOKUP($C13,[1]약재관리!$A:$J,10,FALSE)</f>
        <v>16.7</v>
      </c>
      <c r="H13" s="4">
        <f t="shared" si="2"/>
        <v>33.4</v>
      </c>
      <c r="I13" s="5">
        <f t="shared" si="0"/>
        <v>668</v>
      </c>
      <c r="K13" s="190"/>
      <c r="L13" s="191"/>
      <c r="M13" s="192"/>
    </row>
    <row r="14" spans="2:13">
      <c r="B14" s="2">
        <v>13</v>
      </c>
      <c r="C14" t="s">
        <v>438</v>
      </c>
      <c r="D14" s="3"/>
      <c r="E14" s="172">
        <v>2</v>
      </c>
      <c r="F14" s="97">
        <f t="shared" si="1"/>
        <v>40</v>
      </c>
      <c r="G14">
        <f>VLOOKUP($C14,[1]약재관리!$A:$J,10,FALSE)</f>
        <v>27.7</v>
      </c>
      <c r="H14" s="4">
        <f t="shared" si="2"/>
        <v>55.4</v>
      </c>
      <c r="I14" s="5">
        <f t="shared" si="0"/>
        <v>1108</v>
      </c>
      <c r="K14" s="90" t="s">
        <v>13</v>
      </c>
      <c r="L14" s="8">
        <v>15</v>
      </c>
      <c r="M14" s="9" t="s">
        <v>14</v>
      </c>
    </row>
    <row r="15" spans="2:13">
      <c r="B15" s="2">
        <v>14</v>
      </c>
      <c r="C15" t="s">
        <v>441</v>
      </c>
      <c r="D15" s="3"/>
      <c r="E15" s="172">
        <v>4</v>
      </c>
      <c r="F15" s="97">
        <f t="shared" si="1"/>
        <v>80</v>
      </c>
      <c r="G15">
        <f>VLOOKUP($C15,[1]약재관리!$A:$J,10,FALSE)</f>
        <v>10.8</v>
      </c>
      <c r="H15" s="4">
        <f t="shared" si="2"/>
        <v>43.2</v>
      </c>
      <c r="I15" s="5">
        <f t="shared" si="0"/>
        <v>864</v>
      </c>
      <c r="K15" s="89" t="s">
        <v>15</v>
      </c>
      <c r="L15">
        <v>20</v>
      </c>
      <c r="M15" s="3" t="s">
        <v>16</v>
      </c>
    </row>
    <row r="16" spans="2:13">
      <c r="B16" s="2">
        <v>15</v>
      </c>
      <c r="C16" t="s">
        <v>440</v>
      </c>
      <c r="D16" s="3"/>
      <c r="E16" s="172">
        <v>4</v>
      </c>
      <c r="F16" s="97">
        <f t="shared" si="1"/>
        <v>80</v>
      </c>
      <c r="G16">
        <f>VLOOKUP($C16,[1]약재관리!$A:$J,10,FALSE)</f>
        <v>52.8</v>
      </c>
      <c r="H16" s="4">
        <f t="shared" si="2"/>
        <v>211.2</v>
      </c>
      <c r="I16" s="5">
        <f t="shared" si="0"/>
        <v>4224</v>
      </c>
      <c r="K16" s="89" t="s">
        <v>17</v>
      </c>
      <c r="L16">
        <v>45</v>
      </c>
      <c r="M16" s="3" t="s">
        <v>18</v>
      </c>
    </row>
    <row r="17" spans="2:13" ht="17.25" thickBot="1">
      <c r="B17" s="2">
        <v>16</v>
      </c>
      <c r="D17" s="3"/>
      <c r="E17" s="172"/>
      <c r="F17" s="97">
        <f t="shared" si="1"/>
        <v>0</v>
      </c>
      <c r="H17" s="4">
        <f t="shared" si="2"/>
        <v>0</v>
      </c>
      <c r="I17" s="5">
        <f t="shared" si="0"/>
        <v>0</v>
      </c>
      <c r="K17" s="13" t="s">
        <v>19</v>
      </c>
      <c r="L17" s="10">
        <v>110</v>
      </c>
      <c r="M17" s="11" t="s">
        <v>20</v>
      </c>
    </row>
    <row r="18" spans="2:13">
      <c r="B18" s="2">
        <v>17</v>
      </c>
      <c r="D18" s="3"/>
      <c r="E18" s="172"/>
      <c r="F18" s="97">
        <f t="shared" si="1"/>
        <v>0</v>
      </c>
      <c r="H18" s="4">
        <f t="shared" si="2"/>
        <v>0</v>
      </c>
      <c r="I18" s="5">
        <f t="shared" si="0"/>
        <v>0</v>
      </c>
      <c r="K18" s="90" t="s">
        <v>21</v>
      </c>
      <c r="L18" s="8">
        <f>SUM(E2:E31)</f>
        <v>104</v>
      </c>
      <c r="M18" s="9" t="s">
        <v>22</v>
      </c>
    </row>
    <row r="19" spans="2:13">
      <c r="B19" s="2">
        <v>18</v>
      </c>
      <c r="D19" s="3"/>
      <c r="E19" s="172"/>
      <c r="F19" s="97">
        <f t="shared" si="1"/>
        <v>0</v>
      </c>
      <c r="H19" s="4">
        <f t="shared" si="2"/>
        <v>0</v>
      </c>
      <c r="I19" s="5">
        <f t="shared" si="0"/>
        <v>0</v>
      </c>
      <c r="K19" s="89" t="s">
        <v>23</v>
      </c>
      <c r="L19">
        <f>L15*L18</f>
        <v>2080</v>
      </c>
      <c r="M19" s="3" t="s">
        <v>22</v>
      </c>
    </row>
    <row r="20" spans="2:13" ht="17.25" thickBot="1">
      <c r="B20" s="2">
        <v>19</v>
      </c>
      <c r="D20" s="3"/>
      <c r="E20" s="172"/>
      <c r="F20" s="97">
        <f t="shared" si="1"/>
        <v>0</v>
      </c>
      <c r="H20" s="4">
        <f t="shared" si="2"/>
        <v>0</v>
      </c>
      <c r="I20" s="5">
        <f t="shared" si="0"/>
        <v>0</v>
      </c>
      <c r="K20" s="13" t="s">
        <v>24</v>
      </c>
      <c r="L20" s="10">
        <f>L16*L17+L19</f>
        <v>7030</v>
      </c>
      <c r="M20" s="11" t="s">
        <v>20</v>
      </c>
    </row>
    <row r="21" spans="2:13" ht="17.25" thickBot="1">
      <c r="B21" s="2">
        <v>20</v>
      </c>
      <c r="D21" s="3"/>
      <c r="E21" s="172"/>
      <c r="F21" s="97">
        <f t="shared" si="1"/>
        <v>0</v>
      </c>
      <c r="H21" s="4">
        <f t="shared" si="2"/>
        <v>0</v>
      </c>
      <c r="I21" s="5">
        <f t="shared" si="0"/>
        <v>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2080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2514</v>
      </c>
      <c r="M30" s="3" t="s">
        <v>33</v>
      </c>
    </row>
    <row r="31" spans="2:13" ht="17.25" thickBot="1">
      <c r="B31" s="12">
        <v>30</v>
      </c>
      <c r="C31" s="13"/>
      <c r="D31" s="11"/>
      <c r="E31" s="93"/>
      <c r="F31" s="98">
        <f t="shared" si="1"/>
        <v>0</v>
      </c>
      <c r="G31" s="10"/>
      <c r="H31" s="14">
        <f t="shared" si="2"/>
        <v>0</v>
      </c>
      <c r="I31" s="15">
        <f t="shared" si="0"/>
        <v>0</v>
      </c>
      <c r="K31" s="13" t="s">
        <v>34</v>
      </c>
      <c r="L31" s="14">
        <f>SUM(I2:I31)</f>
        <v>50280</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422</v>
      </c>
      <c r="D2" s="3"/>
      <c r="E2" s="171">
        <v>16</v>
      </c>
      <c r="F2" s="173">
        <f>E2*$L$15</f>
        <v>320</v>
      </c>
      <c r="G2">
        <f>VLOOKUP($C2,[1]약재관리!$A:$J,10,FALSE)</f>
        <v>20</v>
      </c>
      <c r="H2" s="4">
        <f>G2*E2</f>
        <v>320</v>
      </c>
      <c r="I2" s="5">
        <f t="shared" ref="I2:I7" si="0">G2*F2</f>
        <v>6400</v>
      </c>
      <c r="K2" s="6" t="s">
        <v>6</v>
      </c>
      <c r="L2" s="179">
        <v>158</v>
      </c>
      <c r="M2" s="180"/>
    </row>
    <row r="3" spans="2:13">
      <c r="B3" s="2">
        <v>2</v>
      </c>
      <c r="C3" t="s">
        <v>423</v>
      </c>
      <c r="D3" s="3"/>
      <c r="E3" s="172">
        <v>8</v>
      </c>
      <c r="F3" s="97">
        <f t="shared" ref="F3:F4" si="1">E3*$L$15</f>
        <v>160</v>
      </c>
      <c r="G3">
        <f>VLOOKUP($C3,[1]약재관리!$A:$J,10,FALSE)</f>
        <v>27.7</v>
      </c>
      <c r="H3" s="4">
        <f t="shared" ref="H3:H4" si="2">G3*E3</f>
        <v>221.6</v>
      </c>
      <c r="I3" s="5">
        <f t="shared" si="0"/>
        <v>4432</v>
      </c>
      <c r="K3" s="7" t="s">
        <v>7</v>
      </c>
      <c r="L3" s="174" t="s">
        <v>419</v>
      </c>
      <c r="M3" s="175"/>
    </row>
    <row r="4" spans="2:13">
      <c r="B4" s="2">
        <v>3</v>
      </c>
      <c r="C4" t="s">
        <v>430</v>
      </c>
      <c r="D4" s="3"/>
      <c r="E4" s="172">
        <v>6</v>
      </c>
      <c r="F4" s="97">
        <f t="shared" si="1"/>
        <v>120</v>
      </c>
      <c r="G4">
        <f>VLOOKUP($C4,[1]약재관리!$A:$J,10,FALSE)</f>
        <v>23.7</v>
      </c>
      <c r="H4" s="4">
        <f t="shared" si="2"/>
        <v>142.19999999999999</v>
      </c>
      <c r="I4" s="5">
        <f t="shared" si="0"/>
        <v>2844</v>
      </c>
      <c r="K4" s="7" t="s">
        <v>8</v>
      </c>
      <c r="L4" s="181">
        <v>45957</v>
      </c>
      <c r="M4" s="175"/>
    </row>
    <row r="5" spans="2:13">
      <c r="B5" s="2">
        <v>4</v>
      </c>
      <c r="C5" t="s">
        <v>418</v>
      </c>
      <c r="D5" s="3"/>
      <c r="E5" s="172">
        <v>6</v>
      </c>
      <c r="F5" s="97">
        <f t="shared" ref="F5:F31" si="3">E5*$L$15</f>
        <v>120</v>
      </c>
      <c r="G5">
        <f>VLOOKUP($C5,[1]약재관리!$A:$J,10,FALSE)</f>
        <v>9</v>
      </c>
      <c r="H5" s="4">
        <f t="shared" ref="H5:H31" si="4">G5*E5</f>
        <v>54</v>
      </c>
      <c r="I5" s="5">
        <f t="shared" si="0"/>
        <v>1080</v>
      </c>
      <c r="K5" s="7" t="s">
        <v>9</v>
      </c>
      <c r="L5" s="174" t="s">
        <v>420</v>
      </c>
      <c r="M5" s="175"/>
    </row>
    <row r="6" spans="2:13">
      <c r="B6" s="2">
        <v>5</v>
      </c>
      <c r="C6" t="s">
        <v>424</v>
      </c>
      <c r="D6" s="3"/>
      <c r="E6" s="172">
        <v>4</v>
      </c>
      <c r="F6" s="97">
        <f t="shared" si="3"/>
        <v>80</v>
      </c>
      <c r="G6">
        <f>VLOOKUP($C6,[1]약재관리!$A:$J,10,FALSE)</f>
        <v>28</v>
      </c>
      <c r="H6" s="4">
        <f t="shared" si="4"/>
        <v>112</v>
      </c>
      <c r="I6" s="5">
        <f t="shared" si="0"/>
        <v>2240</v>
      </c>
      <c r="K6" s="7" t="s">
        <v>10</v>
      </c>
      <c r="L6" s="174">
        <v>80</v>
      </c>
      <c r="M6" s="175"/>
    </row>
    <row r="7" spans="2:13" ht="17.25" thickBot="1">
      <c r="B7" s="2">
        <v>6</v>
      </c>
      <c r="C7" t="s">
        <v>425</v>
      </c>
      <c r="D7" s="3"/>
      <c r="E7" s="172">
        <v>4</v>
      </c>
      <c r="F7" s="97">
        <f t="shared" si="3"/>
        <v>80</v>
      </c>
      <c r="G7">
        <f>VLOOKUP($C7,[1]약재관리!$A:$J,10,FALSE)</f>
        <v>31.2</v>
      </c>
      <c r="H7" s="4">
        <f t="shared" si="4"/>
        <v>124.8</v>
      </c>
      <c r="I7" s="5">
        <f t="shared" si="0"/>
        <v>2496</v>
      </c>
      <c r="K7" s="7" t="s">
        <v>11</v>
      </c>
      <c r="L7" s="182" t="s">
        <v>421</v>
      </c>
      <c r="M7" s="183"/>
    </row>
    <row r="8" spans="2:13" ht="17.25" thickBot="1">
      <c r="B8" s="2">
        <v>7</v>
      </c>
      <c r="C8" t="s">
        <v>429</v>
      </c>
      <c r="D8" s="3"/>
      <c r="E8" s="172">
        <v>4</v>
      </c>
      <c r="F8" s="97">
        <f t="shared" si="3"/>
        <v>80</v>
      </c>
      <c r="G8">
        <f>VLOOKUP($C8,[1]약재관리!$A:$J,10,FALSE)</f>
        <v>11.7</v>
      </c>
      <c r="H8" s="4">
        <f t="shared" si="4"/>
        <v>46.8</v>
      </c>
      <c r="I8" s="5">
        <f t="shared" ref="I8:I31" si="5">G8*F8</f>
        <v>936</v>
      </c>
      <c r="K8" s="176" t="s">
        <v>12</v>
      </c>
      <c r="L8" s="177"/>
      <c r="M8" s="178"/>
    </row>
    <row r="9" spans="2:13">
      <c r="B9" s="2">
        <v>8</v>
      </c>
      <c r="C9" t="s">
        <v>426</v>
      </c>
      <c r="D9" s="3"/>
      <c r="E9" s="172">
        <v>12</v>
      </c>
      <c r="F9" s="97">
        <f t="shared" si="3"/>
        <v>240</v>
      </c>
      <c r="G9">
        <f>VLOOKUP($C9,[1]약재관리!$A:$J,10,FALSE)</f>
        <v>13.7</v>
      </c>
      <c r="H9" s="4">
        <f t="shared" si="4"/>
        <v>164.39999999999998</v>
      </c>
      <c r="I9" s="5">
        <f t="shared" si="5"/>
        <v>3288</v>
      </c>
      <c r="K9" s="184" t="s">
        <v>431</v>
      </c>
      <c r="L9" s="185"/>
      <c r="M9" s="186"/>
    </row>
    <row r="10" spans="2:13">
      <c r="B10" s="2">
        <v>9</v>
      </c>
      <c r="C10" t="s">
        <v>428</v>
      </c>
      <c r="D10" s="3"/>
      <c r="E10" s="172">
        <v>4</v>
      </c>
      <c r="F10" s="97">
        <f t="shared" si="3"/>
        <v>80</v>
      </c>
      <c r="G10">
        <f>VLOOKUP($C10,[1]약재관리!$A:$J,10,FALSE)</f>
        <v>72.7</v>
      </c>
      <c r="H10" s="4">
        <f t="shared" si="4"/>
        <v>290.8</v>
      </c>
      <c r="I10" s="5">
        <f t="shared" si="5"/>
        <v>5816</v>
      </c>
      <c r="K10" s="187"/>
      <c r="L10" s="188"/>
      <c r="M10" s="189"/>
    </row>
    <row r="11" spans="2:13">
      <c r="B11" s="2">
        <v>10</v>
      </c>
      <c r="C11" t="s">
        <v>427</v>
      </c>
      <c r="D11" s="3"/>
      <c r="E11" s="172">
        <v>4</v>
      </c>
      <c r="F11" s="97">
        <f t="shared" si="3"/>
        <v>80</v>
      </c>
      <c r="G11">
        <f>VLOOKUP($C11,[1]약재관리!$A:$J,10,FALSE)</f>
        <v>10.4</v>
      </c>
      <c r="H11" s="4">
        <f t="shared" si="4"/>
        <v>41.6</v>
      </c>
      <c r="I11" s="5">
        <f t="shared" si="5"/>
        <v>832</v>
      </c>
      <c r="K11" s="187"/>
      <c r="L11" s="188"/>
      <c r="M11" s="189"/>
    </row>
    <row r="12" spans="2:13">
      <c r="B12" s="2">
        <v>11</v>
      </c>
      <c r="C12" t="s">
        <v>417</v>
      </c>
      <c r="D12" s="3"/>
      <c r="E12" s="172">
        <v>2</v>
      </c>
      <c r="F12" s="97">
        <f t="shared" si="3"/>
        <v>40</v>
      </c>
      <c r="G12">
        <f>VLOOKUP($C12,[1]약재관리!$A:$J,10,FALSE)</f>
        <v>136.80000000000001</v>
      </c>
      <c r="H12" s="4">
        <f t="shared" si="4"/>
        <v>273.60000000000002</v>
      </c>
      <c r="I12" s="5">
        <f t="shared" si="5"/>
        <v>5472</v>
      </c>
      <c r="K12" s="187"/>
      <c r="L12" s="188"/>
      <c r="M12" s="189"/>
    </row>
    <row r="13" spans="2:13" ht="17.25" thickBot="1">
      <c r="B13" s="2">
        <v>12</v>
      </c>
      <c r="D13" s="3"/>
      <c r="E13" s="172"/>
      <c r="F13" s="97">
        <f t="shared" si="3"/>
        <v>0</v>
      </c>
      <c r="H13" s="4">
        <f t="shared" si="4"/>
        <v>0</v>
      </c>
      <c r="I13" s="5">
        <f t="shared" si="5"/>
        <v>0</v>
      </c>
      <c r="K13" s="190"/>
      <c r="L13" s="191"/>
      <c r="M13" s="192"/>
    </row>
    <row r="14" spans="2:13">
      <c r="B14" s="2">
        <v>13</v>
      </c>
      <c r="D14" s="3"/>
      <c r="E14" s="172"/>
      <c r="F14" s="97">
        <f t="shared" si="3"/>
        <v>0</v>
      </c>
      <c r="H14" s="4">
        <f t="shared" si="4"/>
        <v>0</v>
      </c>
      <c r="I14" s="5">
        <f t="shared" si="5"/>
        <v>0</v>
      </c>
      <c r="K14" s="90" t="s">
        <v>13</v>
      </c>
      <c r="L14" s="8">
        <v>15</v>
      </c>
      <c r="M14" s="9" t="s">
        <v>14</v>
      </c>
    </row>
    <row r="15" spans="2:13">
      <c r="B15" s="2">
        <v>14</v>
      </c>
      <c r="D15" s="3"/>
      <c r="E15" s="172"/>
      <c r="F15" s="97">
        <f t="shared" si="3"/>
        <v>0</v>
      </c>
      <c r="H15" s="4">
        <f t="shared" si="4"/>
        <v>0</v>
      </c>
      <c r="I15" s="5">
        <f t="shared" si="5"/>
        <v>0</v>
      </c>
      <c r="K15" s="89" t="s">
        <v>15</v>
      </c>
      <c r="L15">
        <v>20</v>
      </c>
      <c r="M15" s="3" t="s">
        <v>16</v>
      </c>
    </row>
    <row r="16" spans="2:13">
      <c r="B16" s="2">
        <v>15</v>
      </c>
      <c r="D16" s="3"/>
      <c r="E16" s="172"/>
      <c r="F16" s="97">
        <f t="shared" si="3"/>
        <v>0</v>
      </c>
      <c r="H16" s="4">
        <f t="shared" si="4"/>
        <v>0</v>
      </c>
      <c r="I16" s="5">
        <f t="shared" si="5"/>
        <v>0</v>
      </c>
      <c r="K16" s="89" t="s">
        <v>17</v>
      </c>
      <c r="L16">
        <v>45</v>
      </c>
      <c r="M16" s="3" t="s">
        <v>18</v>
      </c>
    </row>
    <row r="17" spans="2:13" ht="17.25" thickBot="1">
      <c r="B17" s="2">
        <v>16</v>
      </c>
      <c r="D17" s="3"/>
      <c r="E17" s="172"/>
      <c r="F17" s="97">
        <f t="shared" si="3"/>
        <v>0</v>
      </c>
      <c r="H17" s="4">
        <f t="shared" si="4"/>
        <v>0</v>
      </c>
      <c r="I17" s="5">
        <f t="shared" si="5"/>
        <v>0</v>
      </c>
      <c r="K17" s="13" t="s">
        <v>19</v>
      </c>
      <c r="L17" s="10">
        <v>110</v>
      </c>
      <c r="M17" s="11" t="s">
        <v>20</v>
      </c>
    </row>
    <row r="18" spans="2:13">
      <c r="B18" s="2">
        <v>17</v>
      </c>
      <c r="D18" s="3"/>
      <c r="E18" s="172"/>
      <c r="F18" s="97">
        <f t="shared" si="3"/>
        <v>0</v>
      </c>
      <c r="H18" s="4">
        <f t="shared" si="4"/>
        <v>0</v>
      </c>
      <c r="I18" s="5">
        <f t="shared" si="5"/>
        <v>0</v>
      </c>
      <c r="K18" s="90" t="s">
        <v>21</v>
      </c>
      <c r="L18" s="8">
        <f>SUM(E2:E31)</f>
        <v>70</v>
      </c>
      <c r="M18" s="9" t="s">
        <v>22</v>
      </c>
    </row>
    <row r="19" spans="2:13">
      <c r="B19" s="2">
        <v>18</v>
      </c>
      <c r="D19" s="3"/>
      <c r="E19" s="172"/>
      <c r="F19" s="97">
        <f t="shared" si="3"/>
        <v>0</v>
      </c>
      <c r="H19" s="4">
        <f t="shared" si="4"/>
        <v>0</v>
      </c>
      <c r="I19" s="5">
        <f t="shared" si="5"/>
        <v>0</v>
      </c>
      <c r="K19" s="89" t="s">
        <v>23</v>
      </c>
      <c r="L19">
        <f>L15*L18</f>
        <v>1400</v>
      </c>
      <c r="M19" s="3" t="s">
        <v>22</v>
      </c>
    </row>
    <row r="20" spans="2:13" ht="17.25" thickBot="1">
      <c r="B20" s="2">
        <v>19</v>
      </c>
      <c r="D20" s="3"/>
      <c r="E20" s="172"/>
      <c r="F20" s="97">
        <f t="shared" si="3"/>
        <v>0</v>
      </c>
      <c r="H20" s="4">
        <f t="shared" si="4"/>
        <v>0</v>
      </c>
      <c r="I20" s="5">
        <f t="shared" si="5"/>
        <v>0</v>
      </c>
      <c r="K20" s="13" t="s">
        <v>24</v>
      </c>
      <c r="L20" s="10">
        <f>L16*L17+L19</f>
        <v>6350</v>
      </c>
      <c r="M20" s="11" t="s">
        <v>20</v>
      </c>
    </row>
    <row r="21" spans="2:13" ht="17.25" thickBot="1">
      <c r="B21" s="2">
        <v>20</v>
      </c>
      <c r="D21" s="3"/>
      <c r="E21" s="172"/>
      <c r="F21" s="97">
        <f t="shared" si="3"/>
        <v>0</v>
      </c>
      <c r="H21" s="4">
        <f t="shared" si="4"/>
        <v>0</v>
      </c>
      <c r="I21" s="5">
        <f t="shared" si="5"/>
        <v>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1400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1791.7999999999997</v>
      </c>
      <c r="M30" s="3" t="s">
        <v>33</v>
      </c>
    </row>
    <row r="31" spans="2:13" ht="17.25" thickBot="1">
      <c r="B31" s="12">
        <v>30</v>
      </c>
      <c r="C31" s="13"/>
      <c r="D31" s="11"/>
      <c r="E31" s="93"/>
      <c r="F31" s="98">
        <f t="shared" si="3"/>
        <v>0</v>
      </c>
      <c r="G31" s="10"/>
      <c r="H31" s="14">
        <f t="shared" si="4"/>
        <v>0</v>
      </c>
      <c r="I31" s="15">
        <f t="shared" si="5"/>
        <v>0</v>
      </c>
      <c r="K31" s="13" t="s">
        <v>34</v>
      </c>
      <c r="L31" s="14">
        <f>SUM(I2:I31)</f>
        <v>35836</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2025-10-24T01:02:58Z</cp:lastPrinted>
  <dcterms:created xsi:type="dcterms:W3CDTF">2024-09-12T16:35:01Z</dcterms:created>
  <dcterms:modified xsi:type="dcterms:W3CDTF">2025-11-14T09:24:25Z</dcterms:modified>
  <cp:category/>
  <cp:contentStatus/>
</cp:coreProperties>
</file>