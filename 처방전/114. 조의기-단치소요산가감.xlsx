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54" documentId="8_{6EB8DC0A-AB56-415F-A9F3-EA1534264548}" xr6:coauthVersionLast="47" xr6:coauthVersionMax="47" xr10:uidLastSave="{33658935-EB8E-49AA-A676-36ED1914323C}"/>
  <bookViews>
    <workbookView xWindow="-120" yWindow="-120" windowWidth="29040" windowHeight="15720" activeTab="1" xr2:uid="{8B9F1886-173A-4475-B0CF-D9F36CE30773}"/>
  </bookViews>
  <sheets>
    <sheet name="처방전양식 (4)" sheetId="9" r:id="rId1"/>
    <sheet name="처방전양식 (3)" sheetId="7" r:id="rId2"/>
    <sheet name="처방전양식" sheetId="4" r:id="rId3"/>
    <sheet name="처방전양식 (2)" sheetId="6" r:id="rId4"/>
    <sheet name="약재관리" sheetId="5"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 l="1"/>
  <c r="I3" i="9" s="1"/>
  <c r="G4" i="9"/>
  <c r="I4" i="9" s="1"/>
  <c r="G5" i="9"/>
  <c r="G6" i="9"/>
  <c r="G7" i="9"/>
  <c r="G8" i="9"/>
  <c r="G9" i="9"/>
  <c r="G10" i="9"/>
  <c r="G11" i="9"/>
  <c r="G12" i="9"/>
  <c r="G13" i="9"/>
  <c r="G14" i="9"/>
  <c r="G15" i="9"/>
  <c r="I15" i="9" s="1"/>
  <c r="G16" i="9"/>
  <c r="G17" i="9"/>
  <c r="G18" i="9"/>
  <c r="G19" i="9"/>
  <c r="H19" i="9" s="1"/>
  <c r="H20" i="9"/>
  <c r="H21" i="9"/>
  <c r="H31" i="9"/>
  <c r="F31" i="9"/>
  <c r="I31" i="9" s="1"/>
  <c r="H30" i="9"/>
  <c r="F30" i="9"/>
  <c r="I30" i="9" s="1"/>
  <c r="I29" i="9"/>
  <c r="H29" i="9"/>
  <c r="F29" i="9"/>
  <c r="H28" i="9"/>
  <c r="F28" i="9"/>
  <c r="I28" i="9" s="1"/>
  <c r="H27" i="9"/>
  <c r="F27" i="9"/>
  <c r="I27" i="9" s="1"/>
  <c r="H26" i="9"/>
  <c r="F26" i="9"/>
  <c r="I26" i="9" s="1"/>
  <c r="H25" i="9"/>
  <c r="F25" i="9"/>
  <c r="I25" i="9" s="1"/>
  <c r="I24" i="9"/>
  <c r="H24" i="9"/>
  <c r="F24" i="9"/>
  <c r="H23" i="9"/>
  <c r="F23" i="9"/>
  <c r="I23" i="9" s="1"/>
  <c r="H22" i="9"/>
  <c r="F22" i="9"/>
  <c r="I22" i="9" s="1"/>
  <c r="F21" i="9"/>
  <c r="F20" i="9"/>
  <c r="F19" i="9"/>
  <c r="L18" i="9"/>
  <c r="L19" i="9" s="1"/>
  <c r="L20" i="9" s="1"/>
  <c r="F18" i="9"/>
  <c r="F17" i="9"/>
  <c r="F16" i="9"/>
  <c r="F15" i="9"/>
  <c r="F14" i="9"/>
  <c r="F13" i="9"/>
  <c r="F12" i="9"/>
  <c r="F11" i="9"/>
  <c r="F10" i="9"/>
  <c r="F9" i="9"/>
  <c r="I9" i="9" s="1"/>
  <c r="H8" i="9"/>
  <c r="F8" i="9"/>
  <c r="I8" i="9" s="1"/>
  <c r="F7" i="9"/>
  <c r="F6" i="9"/>
  <c r="I6" i="9" s="1"/>
  <c r="F5" i="9"/>
  <c r="F4" i="9"/>
  <c r="F3" i="9"/>
  <c r="G2" i="9"/>
  <c r="I2" i="9" s="1"/>
  <c r="F2" i="9"/>
  <c r="I21" i="9" l="1"/>
  <c r="I10" i="9"/>
  <c r="I16" i="9"/>
  <c r="I19" i="9"/>
  <c r="I20" i="9"/>
  <c r="I5" i="9"/>
  <c r="I11" i="9"/>
  <c r="I17" i="9"/>
  <c r="I13" i="9"/>
  <c r="I12" i="9"/>
  <c r="I14" i="9"/>
  <c r="L23" i="9"/>
  <c r="I18" i="9"/>
  <c r="I7" i="9"/>
  <c r="H9" i="9"/>
  <c r="H12" i="9"/>
  <c r="H15" i="9"/>
  <c r="H18" i="9"/>
  <c r="H3" i="9"/>
  <c r="H6" i="9"/>
  <c r="H10" i="9"/>
  <c r="H16" i="9"/>
  <c r="H13" i="9"/>
  <c r="H4" i="9"/>
  <c r="H7" i="9"/>
  <c r="H11" i="9"/>
  <c r="H14" i="9"/>
  <c r="H17" i="9"/>
  <c r="H2" i="9"/>
  <c r="H5" i="9"/>
  <c r="L31" i="9" l="1"/>
  <c r="L30" i="9"/>
  <c r="G3" i="7" l="1"/>
  <c r="G4" i="7"/>
  <c r="G5" i="7"/>
  <c r="G6" i="7"/>
  <c r="G7" i="7"/>
  <c r="G8" i="7"/>
  <c r="G9" i="7"/>
  <c r="G10" i="7"/>
  <c r="G11" i="7"/>
  <c r="G12" i="7"/>
  <c r="G13" i="7"/>
  <c r="G14" i="7"/>
  <c r="G15" i="7"/>
  <c r="G16" i="7"/>
  <c r="G17" i="7"/>
  <c r="G18" i="7"/>
  <c r="G19" i="7"/>
  <c r="H19" i="7" s="1"/>
  <c r="G20" i="7"/>
  <c r="H20" i="7" s="1"/>
  <c r="G21" i="7"/>
  <c r="H21" i="7" s="1"/>
  <c r="G22" i="7"/>
  <c r="H22" i="7" s="1"/>
  <c r="H31" i="7"/>
  <c r="F31" i="7"/>
  <c r="I31" i="7" s="1"/>
  <c r="H30" i="7"/>
  <c r="F30" i="7"/>
  <c r="I30" i="7" s="1"/>
  <c r="H29" i="7"/>
  <c r="F29" i="7"/>
  <c r="I29" i="7" s="1"/>
  <c r="I28" i="7"/>
  <c r="H28" i="7"/>
  <c r="F28" i="7"/>
  <c r="I27" i="7"/>
  <c r="H27" i="7"/>
  <c r="F27" i="7"/>
  <c r="H26" i="7"/>
  <c r="F26" i="7"/>
  <c r="I26" i="7" s="1"/>
  <c r="H25" i="7"/>
  <c r="F25" i="7"/>
  <c r="I25" i="7" s="1"/>
  <c r="I24" i="7"/>
  <c r="H24" i="7"/>
  <c r="F24" i="7"/>
  <c r="H23" i="7"/>
  <c r="F23" i="7"/>
  <c r="I23" i="7" s="1"/>
  <c r="F22" i="7"/>
  <c r="F21" i="7"/>
  <c r="F20" i="7"/>
  <c r="I20" i="7" s="1"/>
  <c r="F19" i="7"/>
  <c r="L18" i="7"/>
  <c r="L19" i="7" s="1"/>
  <c r="L20" i="7" s="1"/>
  <c r="H18" i="7"/>
  <c r="F18" i="7"/>
  <c r="I18" i="7" s="1"/>
  <c r="F17" i="7"/>
  <c r="F16" i="7"/>
  <c r="F15" i="7"/>
  <c r="F14" i="7"/>
  <c r="F13" i="7"/>
  <c r="F12" i="7"/>
  <c r="F11" i="7"/>
  <c r="F10" i="7"/>
  <c r="F9" i="7"/>
  <c r="F8" i="7"/>
  <c r="F7" i="7"/>
  <c r="F6" i="7"/>
  <c r="F5" i="7"/>
  <c r="F4" i="7"/>
  <c r="F3" i="7"/>
  <c r="G2" i="7"/>
  <c r="F2" i="7"/>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F17" i="6"/>
  <c r="I16" i="6"/>
  <c r="F16" i="6"/>
  <c r="I15" i="6"/>
  <c r="F15" i="6"/>
  <c r="F14" i="6"/>
  <c r="F13" i="6"/>
  <c r="F12" i="6"/>
  <c r="F11" i="6"/>
  <c r="I10" i="6"/>
  <c r="F10" i="6"/>
  <c r="I9" i="6"/>
  <c r="F9" i="6"/>
  <c r="F8" i="6"/>
  <c r="F7" i="6"/>
  <c r="F6" i="6"/>
  <c r="F5" i="6"/>
  <c r="F4" i="6"/>
  <c r="G3" i="6"/>
  <c r="F3" i="6"/>
  <c r="G2" i="6"/>
  <c r="F2" i="6"/>
  <c r="G16" i="4"/>
  <c r="G17" i="4"/>
  <c r="G15" i="4"/>
  <c r="G14" i="4"/>
  <c r="I21" i="7" l="1"/>
  <c r="I19" i="7"/>
  <c r="I22" i="7"/>
  <c r="I17" i="7"/>
  <c r="I16" i="7"/>
  <c r="I15" i="7"/>
  <c r="I12" i="7"/>
  <c r="I14" i="7"/>
  <c r="I13" i="7"/>
  <c r="I11" i="7"/>
  <c r="I9" i="7"/>
  <c r="I8" i="7"/>
  <c r="I7" i="7"/>
  <c r="I6" i="7"/>
  <c r="I5" i="7"/>
  <c r="I4" i="7"/>
  <c r="I3" i="7"/>
  <c r="I2" i="7"/>
  <c r="L23" i="7"/>
  <c r="I10" i="7"/>
  <c r="H3" i="7"/>
  <c r="H6" i="7"/>
  <c r="H9" i="7"/>
  <c r="H12" i="7"/>
  <c r="H15" i="7"/>
  <c r="H10" i="7"/>
  <c r="H4" i="7"/>
  <c r="H7" i="7"/>
  <c r="H13" i="7"/>
  <c r="H16" i="7"/>
  <c r="H2" i="7"/>
  <c r="H5" i="7"/>
  <c r="H8" i="7"/>
  <c r="H11" i="7"/>
  <c r="H14" i="7"/>
  <c r="H17" i="7"/>
  <c r="I4" i="6"/>
  <c r="I17" i="6"/>
  <c r="I6" i="6"/>
  <c r="I13" i="6"/>
  <c r="I14" i="6"/>
  <c r="I5" i="6"/>
  <c r="I7" i="6"/>
  <c r="I8" i="6"/>
  <c r="I11" i="6"/>
  <c r="I12" i="6"/>
  <c r="I3" i="6"/>
  <c r="I2" i="6"/>
  <c r="L23" i="6"/>
  <c r="H9" i="6"/>
  <c r="H15" i="6"/>
  <c r="H3" i="6"/>
  <c r="H12" i="6"/>
  <c r="H6" i="6"/>
  <c r="H4" i="6"/>
  <c r="H7" i="6"/>
  <c r="H10" i="6"/>
  <c r="H13" i="6"/>
  <c r="H16" i="6"/>
  <c r="H2" i="6"/>
  <c r="H5" i="6"/>
  <c r="H8" i="6"/>
  <c r="H11" i="6"/>
  <c r="H14" i="6"/>
  <c r="H17" i="6"/>
  <c r="H57" i="5"/>
  <c r="I86" i="5"/>
  <c r="I53" i="5"/>
  <c r="I54" i="5"/>
  <c r="I127" i="5"/>
  <c r="G142" i="5"/>
  <c r="I145" i="5"/>
  <c r="H145" i="5"/>
  <c r="G145" i="5"/>
  <c r="F145" i="5"/>
  <c r="G171" i="5"/>
  <c r="G3" i="4"/>
  <c r="G4" i="4"/>
  <c r="G5" i="4"/>
  <c r="G6" i="4"/>
  <c r="G7" i="4"/>
  <c r="G8" i="4"/>
  <c r="G9" i="4"/>
  <c r="G10" i="4"/>
  <c r="G11" i="4"/>
  <c r="G12" i="4"/>
  <c r="G13"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7" l="1"/>
  <c r="L30" i="7"/>
  <c r="L31" i="6"/>
  <c r="L30" i="6"/>
  <c r="F2" i="4"/>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<sst xmlns="http://schemas.openxmlformats.org/spreadsheetml/2006/main" count="788" uniqueCount="455">
  <si>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</si>
  <si>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</si>
  <si>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</si>
  <si>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</si>
  <si>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</si>
  <si>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</si>
  <si>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</si>
  <si>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</si>
  <si>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</si>
  <si>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</si>
  <si>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</si>
  <si>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</si>
  <si>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</si>
  <si>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</si>
  <si>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</si>
  <si>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</si>
  <si>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</si>
  <si>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</si>
  <si>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</si>
  <si>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</si>
  <si>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</si>
  <si>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</si>
  <si>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</si>
  <si>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</si>
  <si>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</si>
  <si>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</si>
  <si>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</si>
  <si>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</si>
  <si>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</si>
  <si>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</si>
  <si>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</si>
  <si>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</si>
  <si>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</si>
  <si>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</si>
  <si>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</si>
  <si>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</si>
  <si>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</si>
  <si>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</si>
  <si>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</si>
  <si>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</si>
  <si>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</si>
  <si>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</si>
  <si>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</si>
  <si>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</si>
  <si>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</si>
  <si>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</si>
  <si>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</si>
  <si>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</si>
  <si>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</si>
  <si>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</si>
  <si>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</si>
  <si>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</si>
  <si>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</si>
  <si>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</si>
  <si>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</si>
  <si>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</si>
  <si>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</si>
  <si>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</si>
  <si>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</si>
  <si>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</si>
  <si>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</si>
  <si>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</si>
  <si>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</si>
  <si>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</si>
  <si>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</si>
  <si>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</si>
  <si>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</si>
  <si>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</si>
  <si>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</si>
  <si>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</si>
  <si>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</si>
  <si>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</si>
  <si>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</si>
  <si>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</si>
  <si>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</si>
  <si>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</si>
  <si>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</si>
  <si>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</si>
  <si>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</si>
  <si>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</si>
  <si>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</si>
  <si>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</si>
  <si>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</si>
  <si>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</si>
  <si>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</si>
  <si>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</si>
  <si>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</si>
  <si>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</si>
  <si>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</si>
  <si>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</si>
  <si>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</si>
  <si>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</si>
  <si>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</si>
  <si>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</si>
  <si>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</si>
  <si>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</si>
  <si>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</si>
  <si>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</si>
  <si>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</si>
  <si>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</si>
  <si>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</si>
  <si>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</si>
  <si>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</si>
  <si>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</si>
  <si>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</si>
  <si>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</si>
  <si>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</si>
  <si>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</si>
  <si>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</si>
  <si>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</si>
  <si>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</si>
  <si>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</si>
  <si>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</si>
  <si>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</si>
  <si>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</si>
  <si>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</si>
  <si>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</si>
  <si>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</si>
  <si>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</si>
  <si>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</si>
  <si>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</si>
  <si>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</si>
  <si>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</si>
  <si>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</si>
  <si>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</si>
  <si>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</si>
  <si>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</si>
  <si>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</si>
  <si>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</si>
  <si>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</si>
  <si>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</si>
  <si>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</si>
  <si>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</si>
  <si>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</si>
  <si>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</si>
  <si>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</si>
  <si>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</si>
  <si>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</si>
  <si>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</si>
  <si>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</si>
  <si>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</si>
  <si>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</si>
  <si>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</si>
  <si>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</si>
  <si>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</si>
  <si>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</si>
  <si>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</si>
  <si>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</si>
  <si>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</si>
  <si>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</si>
  <si>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</si>
  <si>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</si>
  <si>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</si>
  <si>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</si>
  <si>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</si>
  <si>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</si>
  <si>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</si>
  <si>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</si>
  <si>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</si>
  <si>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</si>
  <si>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</si>
  <si>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</si>
  <si>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</si>
  <si>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</si>
  <si>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</si>
  <si>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</si>
  <si>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</si>
  <si>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</si>
  <si>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</si>
  <si>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</si>
  <si>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</si>
  <si>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</si>
  <si>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</si>
  <si>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</si>
  <si>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</si>
  <si>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</si>
  <si>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</si>
  <si>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</si>
  <si>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</si>
  <si>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</si>
  <si>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</si>
  <si>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</si>
  <si>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</si>
  <si>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</si>
  <si>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</si>
  <si>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</si>
  <si>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</si>
  <si>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</si>
  <si>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</si>
  <si>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</si>
  <si>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</si>
  <si>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</si>
  <si>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</si>
  <si>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</si>
  <si>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</si>
  <si>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</si>
  <si>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</si>
  <si>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</si>
  <si>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</si>
  <si>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</si>
  <si>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</si>
  <si>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</si>
  <si>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</si>
  <si>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</si>
  <si>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</si>
  <si>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</si>
  <si>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</si>
  <si>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</si>
  <si>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</si>
  <si>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</si>
  <si>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</si>
  <si>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</si>
  <si>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</si>
  <si>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</si>
  <si>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</si>
  <si>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</si>
  <si>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</si>
  <si>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</si>
  <si>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</si>
  <si>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</si>
  <si>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</si>
  <si>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</si>
  <si>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</si>
  <si>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</si>
  <si>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</si>
  <si>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</si>
  <si>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</si>
  <si>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</si>
  <si>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</si>
  <si>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</si>
  <si>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</si>
  <si>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</si>
  <si>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</si>
  <si>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</si>
  <si>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</si>
  <si>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</si>
  <si>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</si>
  <si>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</si>
  <si>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</si>
  <si>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</si>
  <si>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</si>
  <si>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</si>
  <si>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</si>
  <si>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</si>
  <si>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</si>
  <si>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</si>
  <si>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</si>
  <si>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</si>
  <si>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</si>
  <si>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</si>
  <si>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</si>
  <si>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</si>
  <si>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</si>
  <si>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</si>
  <si>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</si>
  <si>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</si>
  <si>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</si>
  <si>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</si>
  <si>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</si>
  <si>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</si>
  <si>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</si>
  <si>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</si>
  <si>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</si>
  <si>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</si>
  <si>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</si>
  <si>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</si>
  <si>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</si>
  <si>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</si>
  <si>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</si>
  <si>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</si>
  <si>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</si>
  <si>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</si>
  <si>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</si>
  <si>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</si>
  <si>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</si>
  <si>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</si>
  <si>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</si>
  <si>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</si>
  <si>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</si>
  <si>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</si>
  <si>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</si>
  <si>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</si>
  <si>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</si>
  <si>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</si>
  <si>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</si>
  <si>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</si>
  <si>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</si>
  <si>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</si>
  <si>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</si>
  <si>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</si>
  <si>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</si>
  <si>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</si>
  <si>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</si>
  <si>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</si>
  <si>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</si>
  <si>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</si>
  <si>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</si>
  <si>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</si>
  <si>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</si>
  <si>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</si>
  <si>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</si>
  <si>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</si>
  <si>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</si>
  <si>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</si>
  <si>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</si>
  <si>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</si>
  <si>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</si>
  <si>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</si>
  <si>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</si>
  <si>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</si>
  <si>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</si>
  <si>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</si>
  <si>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</si>
  <si>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</si>
  <si>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</si>
  <si>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</si>
  <si>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</si>
  <si>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</si>
  <si>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</si>
  <si>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</si>
  <si>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</si>
  <si>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</si>
  <si>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</si>
  <si>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</si>
  <si>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</si>
  <si>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</si>
  <si>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</si>
  <si>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</si>
  <si>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</si>
  <si>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</si>
  <si>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</si>
  <si>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</si>
  <si>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</si>
  <si>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</si>
  <si>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</si>
  <si>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</si>
  <si>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</si>
  <si>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</si>
  <si>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</si>
  <si>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</si>
  <si>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</si>
  <si>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</si>
  <si>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</si>
  <si>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</si>
  <si>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</si>
  <si>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</si>
  <si>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</si>
  <si>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</si>
  <si>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</si>
  <si>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</si>
  <si>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</si>
  <si>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</si>
  <si>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</si>
  <si>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</si>
  <si>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</si>
  <si>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</si>
  <si>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</si>
  <si>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</si>
  <si>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</si>
  <si>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</si>
  <si>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</si>
  <si>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</si>
  <si>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</si>
  <si>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</si>
  <si>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</si>
  <si>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</si>
  <si>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</si>
  <si>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</si>
  <si>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</si>
  <si>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</si>
  <si>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</si>
  <si>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</si>
  <si>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</si>
  <si>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</si>
  <si>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</si>
  <si>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</si>
  <si>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</si>
  <si>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</si>
  <si>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</si>
  <si>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</si>
  <si>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</si>
  <si>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</si>
  <si>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</si>
  <si>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</si>
  <si>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</si>
  <si>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</si>
  <si>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</si>
  <si>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</si>
  <si>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</si>
  <si>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</si>
  <si>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</si>
  <si>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</si>
  <si>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</si>
  <si>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</si>
  <si>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</si>
  <si>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</si>
  <si>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</si>
  <si>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</si>
  <si>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</si>
  <si>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</si>
  <si>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</si>
  <si>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</si>
  <si>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</si>
  <si>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</si>
  <si>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</si>
  <si>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</si>
  <si>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</si>
  <si>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</si>
  <si>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</si>
  <si>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</si>
  <si>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</si>
  <si>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</si>
  <si>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</si>
  <si>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백작약</t>
    <phoneticPr fontId="5" type="noConversion"/>
  </si>
  <si>
    <t>백출</t>
    <phoneticPr fontId="5" type="noConversion"/>
  </si>
  <si>
    <t>지모</t>
    <phoneticPr fontId="5" type="noConversion"/>
  </si>
  <si>
    <t>지골피</t>
    <phoneticPr fontId="5" type="noConversion"/>
  </si>
  <si>
    <t>복령</t>
    <phoneticPr fontId="5" type="noConversion"/>
  </si>
  <si>
    <t>맥문동</t>
    <phoneticPr fontId="5" type="noConversion"/>
  </si>
  <si>
    <t>치자</t>
    <phoneticPr fontId="5" type="noConversion"/>
  </si>
  <si>
    <t>황백</t>
    <phoneticPr fontId="5" type="noConversion"/>
  </si>
  <si>
    <t>길경</t>
    <phoneticPr fontId="5" type="noConversion"/>
  </si>
  <si>
    <t>감초</t>
    <phoneticPr fontId="5" type="noConversion"/>
  </si>
  <si>
    <t>당귀1</t>
    <phoneticPr fontId="5" type="noConversion"/>
  </si>
  <si>
    <t>건강</t>
    <phoneticPr fontId="5" type="noConversion"/>
  </si>
  <si>
    <t>목단피</t>
    <phoneticPr fontId="5" type="noConversion"/>
  </si>
  <si>
    <t>건지황</t>
    <phoneticPr fontId="5" type="noConversion"/>
  </si>
  <si>
    <t>신곡</t>
    <phoneticPr fontId="5" type="noConversion"/>
  </si>
  <si>
    <t>맥아</t>
    <phoneticPr fontId="5" type="noConversion"/>
  </si>
  <si>
    <t>단치소요산가감</t>
    <phoneticPr fontId="5" type="noConversion"/>
  </si>
  <si>
    <t>조의기</t>
    <phoneticPr fontId="5" type="noConversion"/>
  </si>
  <si>
    <t>F</t>
    <phoneticPr fontId="5" type="noConversion"/>
  </si>
  <si>
    <t xml:space="preserve">단치소요산 + 지모 지골피 건지황 황백 길경 신곡 맥아 건강
</t>
    <phoneticPr fontId="5" type="noConversion"/>
  </si>
  <si>
    <t xml:space="preserve">
</t>
    <phoneticPr fontId="5" type="noConversion"/>
  </si>
  <si>
    <t>향시</t>
    <phoneticPr fontId="5" type="noConversion"/>
  </si>
  <si>
    <t>치자시탕</t>
    <phoneticPr fontId="5" type="noConversion"/>
  </si>
  <si>
    <t>생강</t>
    <phoneticPr fontId="5" type="noConversion"/>
  </si>
  <si>
    <t>황기</t>
    <phoneticPr fontId="5" type="noConversion"/>
  </si>
  <si>
    <t>원육</t>
    <phoneticPr fontId="5" type="noConversion"/>
  </si>
  <si>
    <t>사인</t>
    <phoneticPr fontId="5" type="noConversion"/>
  </si>
  <si>
    <t>황련</t>
    <phoneticPr fontId="5" type="noConversion"/>
  </si>
  <si>
    <t>주초</t>
    <phoneticPr fontId="5" type="noConversion"/>
  </si>
  <si>
    <t>시호1</t>
    <phoneticPr fontId="5" type="noConversion"/>
  </si>
  <si>
    <t>진피1</t>
    <phoneticPr fontId="5" type="noConversion"/>
  </si>
  <si>
    <t xml:space="preserve">단치소요산 + 황기 지모 황백 지골피 신곡 맥아 사인 원육 건지황 황련
</t>
    <phoneticPr fontId="5" type="noConversion"/>
  </si>
  <si>
    <t>팔진탕가감</t>
    <phoneticPr fontId="5" type="noConversion"/>
  </si>
  <si>
    <t>구기자</t>
    <phoneticPr fontId="5" type="noConversion"/>
  </si>
  <si>
    <t>음양곽</t>
    <phoneticPr fontId="5" type="noConversion"/>
  </si>
  <si>
    <t>인삼</t>
    <phoneticPr fontId="5" type="noConversion"/>
  </si>
  <si>
    <t>녹용</t>
    <phoneticPr fontId="5" type="noConversion"/>
  </si>
  <si>
    <t>합환피</t>
    <phoneticPr fontId="5" type="noConversion"/>
  </si>
  <si>
    <t>야교등</t>
    <phoneticPr fontId="5" type="noConversion"/>
  </si>
  <si>
    <t>현삼</t>
    <phoneticPr fontId="5" type="noConversion"/>
  </si>
  <si>
    <t>천궁1</t>
    <phoneticPr fontId="5" type="noConversion"/>
  </si>
  <si>
    <t>팔진탕 + 합환피 야교등 치자 지골피 목단피 현삼 구기자 음양곽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</si>
</sst>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ECF2-F485-49A1-9FF8-7FB60135198B}">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4</v>
      </c>
      <c r="G1" s="145" t="s">
        <v>5</v>
      </c>
      <c r="H1" s="146" t="s">
        <v>6</v>
      </c>
      <c r="I1" s="147" t="s">
        <v>7</v>
      </c>
      <c r="K1" s="151" t="s">
        <v>8</v>
      </c>
      <c r="L1" s="152"/>
      <c r="M1" s="153"/>
    </row>
    <row r="2" spans="2:13">
      <c r="B2" s="2">
        <v>1</v>
      </c>
      <c r="C2" t="s">
        <v>437</v>
      </c>
      <c r="D2" s="3"/>
      <c r="E2" s="87">
        <v>10</v>
      </c>
      <c r="F2" s="148">
        <f>E2*$L$15</f>
        <v>200</v>
      </c>
      <c r="G2">
        <f>VLOOKUP($C2,[1]약재관리!$A:$J,10,FALSE)</f>
        <v>22.3</v>
      </c>
      <c r="H2" s="4">
        <f>G2*E2</f>
        <v>223</v>
      </c>
      <c r="I2" s="89">
        <f>G2*E2</f>
        <v>223</v>
      </c>
      <c r="K2" s="6" t="s">
        <v>9</v>
      </c>
      <c r="L2" s="163">
        <v>114</v>
      </c>
      <c r="M2" s="164"/>
    </row>
    <row r="3" spans="2:13">
      <c r="B3" s="2">
        <v>2</v>
      </c>
      <c r="C3" t="s">
        <v>446</v>
      </c>
      <c r="D3" s="3"/>
      <c r="E3" s="87">
        <v>6</v>
      </c>
      <c r="F3" s="98">
        <f t="shared" ref="F3:F31" si="0">E3*$L$15</f>
        <v>120</v>
      </c>
      <c r="G3">
        <f>VLOOKUP($C3,[1]약재관리!$A:$J,10,FALSE)</f>
        <v>13.7</v>
      </c>
      <c r="H3" s="4">
        <f t="shared" ref="H3:H31" si="1">G3*E3</f>
        <v>82.199999999999989</v>
      </c>
      <c r="I3" s="5">
        <f>G3*E3</f>
        <v>82.199999999999989</v>
      </c>
      <c r="K3" s="7" t="s">
        <v>10</v>
      </c>
      <c r="L3" s="165" t="s">
        <v>445</v>
      </c>
      <c r="M3" s="166"/>
    </row>
    <row r="4" spans="2:13">
      <c r="B4" s="2">
        <v>3</v>
      </c>
      <c r="C4" t="s">
        <v>447</v>
      </c>
      <c r="D4" s="3"/>
      <c r="E4" s="87">
        <v>6</v>
      </c>
      <c r="F4" s="98">
        <f t="shared" si="0"/>
        <v>120</v>
      </c>
      <c r="G4">
        <f>VLOOKUP($C4,[1]약재관리!$A:$J,10,FALSE)</f>
        <v>31</v>
      </c>
      <c r="H4" s="4">
        <f t="shared" si="1"/>
        <v>186</v>
      </c>
      <c r="I4" s="5">
        <f>G4*E4</f>
        <v>186</v>
      </c>
      <c r="K4" s="7" t="s">
        <v>11</v>
      </c>
      <c r="L4" s="167">
        <v>45947</v>
      </c>
      <c r="M4" s="166"/>
    </row>
    <row r="5" spans="2:13">
      <c r="B5" s="2">
        <v>4</v>
      </c>
      <c r="C5" t="s">
        <v>414</v>
      </c>
      <c r="D5" s="3"/>
      <c r="E5" s="87">
        <v>6</v>
      </c>
      <c r="F5" s="98">
        <f t="shared" si="0"/>
        <v>120</v>
      </c>
      <c r="G5">
        <f>VLOOKUP($C5,[1]약재관리!$A:$J,10,FALSE)</f>
        <v>13</v>
      </c>
      <c r="H5" s="4">
        <f t="shared" si="1"/>
        <v>78</v>
      </c>
      <c r="I5" s="5">
        <f t="shared" ref="I5:I31" si="2">G5*F5</f>
        <v>1560</v>
      </c>
      <c r="K5" s="7" t="s">
        <v>12</v>
      </c>
      <c r="L5" s="165" t="s">
        <v>430</v>
      </c>
      <c r="M5" s="166"/>
    </row>
    <row r="6" spans="2:13">
      <c r="B6" s="2">
        <v>5</v>
      </c>
      <c r="C6" t="s">
        <v>423</v>
      </c>
      <c r="D6" s="3"/>
      <c r="E6" s="87">
        <v>4</v>
      </c>
      <c r="F6" s="98">
        <f t="shared" si="0"/>
        <v>80</v>
      </c>
      <c r="G6">
        <f>VLOOKUP($C6,[1]약재관리!$A:$J,10,FALSE)</f>
        <v>31.7</v>
      </c>
      <c r="H6" s="4">
        <f t="shared" si="1"/>
        <v>126.8</v>
      </c>
      <c r="I6" s="5">
        <f t="shared" si="2"/>
        <v>2536</v>
      </c>
      <c r="K6" s="7" t="s">
        <v>13</v>
      </c>
      <c r="L6" s="165">
        <v>51</v>
      </c>
      <c r="M6" s="166"/>
    </row>
    <row r="7" spans="2:13" ht="17.25" thickBot="1">
      <c r="B7" s="2">
        <v>6</v>
      </c>
      <c r="C7" t="s">
        <v>453</v>
      </c>
      <c r="D7" s="3"/>
      <c r="E7" s="87">
        <v>4</v>
      </c>
      <c r="F7" s="98">
        <f t="shared" si="0"/>
        <v>80</v>
      </c>
      <c r="G7">
        <f>VLOOKUP($C7,[1]약재관리!$A:$J,10,FALSE)</f>
        <v>10.8</v>
      </c>
      <c r="H7" s="4">
        <f t="shared" si="1"/>
        <v>43.2</v>
      </c>
      <c r="I7" s="5">
        <f t="shared" si="2"/>
        <v>864</v>
      </c>
      <c r="K7" s="7" t="s">
        <v>14</v>
      </c>
      <c r="L7" s="149" t="s">
        <v>431</v>
      </c>
      <c r="M7" s="150"/>
    </row>
    <row r="8" spans="2:13" ht="17.25" thickBot="1">
      <c r="B8" s="2">
        <v>7</v>
      </c>
      <c r="C8" t="s">
        <v>413</v>
      </c>
      <c r="D8" s="3"/>
      <c r="E8" s="87">
        <v>4</v>
      </c>
      <c r="F8" s="98">
        <f t="shared" si="0"/>
        <v>80</v>
      </c>
      <c r="G8">
        <f>VLOOKUP($C8,[1]약재관리!$A:$J,10,FALSE)</f>
        <v>19.600000000000001</v>
      </c>
      <c r="H8" s="4">
        <f t="shared" si="1"/>
        <v>78.400000000000006</v>
      </c>
      <c r="I8" s="5">
        <f t="shared" si="2"/>
        <v>1568</v>
      </c>
      <c r="K8" s="151" t="s">
        <v>15</v>
      </c>
      <c r="L8" s="152"/>
      <c r="M8" s="153"/>
    </row>
    <row r="9" spans="2:13">
      <c r="B9" s="2">
        <v>8</v>
      </c>
      <c r="C9" t="s">
        <v>426</v>
      </c>
      <c r="D9" s="3"/>
      <c r="E9" s="87">
        <v>4</v>
      </c>
      <c r="F9" s="98">
        <f t="shared" si="0"/>
        <v>80</v>
      </c>
      <c r="G9">
        <f>VLOOKUP($C9,[1]약재관리!$A:$J,10,FALSE)</f>
        <v>18.3</v>
      </c>
      <c r="H9" s="4">
        <f t="shared" si="1"/>
        <v>73.2</v>
      </c>
      <c r="I9" s="5">
        <f t="shared" si="2"/>
        <v>1464</v>
      </c>
      <c r="K9" s="154" t="s">
        <v>454</v>
      </c>
      <c r="L9" s="155"/>
      <c r="M9" s="156"/>
    </row>
    <row r="10" spans="2:13">
      <c r="B10" s="2">
        <v>9</v>
      </c>
      <c r="C10" t="s">
        <v>417</v>
      </c>
      <c r="D10" s="3"/>
      <c r="E10" s="87">
        <v>6</v>
      </c>
      <c r="F10" s="98">
        <f t="shared" si="0"/>
        <v>120</v>
      </c>
      <c r="G10">
        <f>VLOOKUP($C10,[1]약재관리!$A:$J,10,FALSE)</f>
        <v>8.6999999999999993</v>
      </c>
      <c r="H10" s="4">
        <f t="shared" si="1"/>
        <v>52.199999999999996</v>
      </c>
      <c r="I10" s="5">
        <f t="shared" si="2"/>
        <v>1044</v>
      </c>
      <c r="K10" s="157"/>
      <c r="L10" s="158"/>
      <c r="M10" s="159"/>
    </row>
    <row r="11" spans="2:13">
      <c r="B11" s="2">
        <v>10</v>
      </c>
      <c r="C11" t="s">
        <v>448</v>
      </c>
      <c r="D11" s="3"/>
      <c r="E11" s="87">
        <v>4</v>
      </c>
      <c r="F11" s="98">
        <f t="shared" si="0"/>
        <v>80</v>
      </c>
      <c r="G11">
        <f>VLOOKUP($C11,[1]약재관리!$A:$J,10,FALSE)</f>
        <v>120</v>
      </c>
      <c r="H11" s="4">
        <f t="shared" si="1"/>
        <v>480</v>
      </c>
      <c r="I11" s="5">
        <f t="shared" si="2"/>
        <v>9600</v>
      </c>
      <c r="K11" s="157"/>
      <c r="L11" s="158"/>
      <c r="M11" s="159"/>
    </row>
    <row r="12" spans="2:13">
      <c r="B12" s="2">
        <v>11</v>
      </c>
      <c r="C12" t="s">
        <v>422</v>
      </c>
      <c r="D12" s="3"/>
      <c r="E12" s="87">
        <v>4</v>
      </c>
      <c r="F12" s="98">
        <f t="shared" si="0"/>
        <v>80</v>
      </c>
      <c r="G12">
        <f>VLOOKUP($C12,[1]약재관리!$A:$J,10,FALSE)</f>
        <v>30</v>
      </c>
      <c r="H12" s="4">
        <f t="shared" si="1"/>
        <v>120</v>
      </c>
      <c r="I12" s="5">
        <f t="shared" si="2"/>
        <v>2400</v>
      </c>
      <c r="K12" s="157"/>
      <c r="L12" s="158"/>
      <c r="M12" s="159"/>
    </row>
    <row r="13" spans="2:13" ht="17.25" thickBot="1">
      <c r="B13" s="2">
        <v>12</v>
      </c>
      <c r="C13" t="s">
        <v>449</v>
      </c>
      <c r="D13" s="3"/>
      <c r="E13" s="87">
        <v>2</v>
      </c>
      <c r="F13" s="98">
        <f t="shared" si="0"/>
        <v>40</v>
      </c>
      <c r="G13">
        <f>VLOOKUP($C13,[1]약재관리!$A:$J,10,FALSE)</f>
        <v>550</v>
      </c>
      <c r="H13" s="4">
        <f t="shared" si="1"/>
        <v>1100</v>
      </c>
      <c r="I13" s="5">
        <f t="shared" si="2"/>
        <v>22000</v>
      </c>
      <c r="K13" s="160"/>
      <c r="L13" s="161"/>
      <c r="M13" s="162"/>
    </row>
    <row r="14" spans="2:13">
      <c r="B14" s="2">
        <v>13</v>
      </c>
      <c r="C14" t="s">
        <v>450</v>
      </c>
      <c r="D14" s="3"/>
      <c r="E14" s="87">
        <v>10</v>
      </c>
      <c r="F14" s="98">
        <f t="shared" si="0"/>
        <v>200</v>
      </c>
      <c r="G14">
        <f>VLOOKUP($C14,[1]약재관리!$A:$J,10,FALSE)</f>
        <v>18.2</v>
      </c>
      <c r="H14" s="4">
        <f t="shared" si="1"/>
        <v>182</v>
      </c>
      <c r="I14" s="5">
        <f t="shared" si="2"/>
        <v>3640</v>
      </c>
      <c r="K14" s="91" t="s">
        <v>16</v>
      </c>
      <c r="L14" s="8">
        <v>15</v>
      </c>
      <c r="M14" s="9" t="s">
        <v>17</v>
      </c>
    </row>
    <row r="15" spans="2:13">
      <c r="B15" s="2">
        <v>14</v>
      </c>
      <c r="C15" t="s">
        <v>451</v>
      </c>
      <c r="D15" s="3"/>
      <c r="E15" s="87">
        <v>10</v>
      </c>
      <c r="F15" s="98">
        <f t="shared" si="0"/>
        <v>200</v>
      </c>
      <c r="G15">
        <f>VLOOKUP($C15,[1]약재관리!$A:$J,10,FALSE)</f>
        <v>11.3</v>
      </c>
      <c r="H15" s="4">
        <f t="shared" si="1"/>
        <v>113</v>
      </c>
      <c r="I15" s="5">
        <f t="shared" si="2"/>
        <v>2260</v>
      </c>
      <c r="K15" s="90" t="s">
        <v>18</v>
      </c>
      <c r="L15">
        <v>20</v>
      </c>
      <c r="M15" s="3" t="s">
        <v>19</v>
      </c>
    </row>
    <row r="16" spans="2:13">
      <c r="B16" s="2">
        <v>15</v>
      </c>
      <c r="C16" t="s">
        <v>419</v>
      </c>
      <c r="D16" s="3"/>
      <c r="E16" s="87">
        <v>3</v>
      </c>
      <c r="F16" s="98">
        <f t="shared" si="0"/>
        <v>60</v>
      </c>
      <c r="G16">
        <f>VLOOKUP($C16,[1]약재관리!$A:$J,10,FALSE)</f>
        <v>26</v>
      </c>
      <c r="H16" s="4">
        <f t="shared" si="1"/>
        <v>78</v>
      </c>
      <c r="I16" s="5">
        <f t="shared" si="2"/>
        <v>1560</v>
      </c>
      <c r="K16" s="90" t="s">
        <v>20</v>
      </c>
      <c r="L16">
        <v>45</v>
      </c>
      <c r="M16" s="3" t="s">
        <v>21</v>
      </c>
    </row>
    <row r="17" spans="2:13" ht="17.25" thickBot="1">
      <c r="B17" s="2">
        <v>16</v>
      </c>
      <c r="C17" t="s">
        <v>416</v>
      </c>
      <c r="D17" s="3"/>
      <c r="E17" s="87">
        <v>4</v>
      </c>
      <c r="F17" s="98">
        <f t="shared" si="0"/>
        <v>80</v>
      </c>
      <c r="G17">
        <f>VLOOKUP($C17,[1]약재관리!$A:$J,10,FALSE)</f>
        <v>21.7</v>
      </c>
      <c r="H17" s="4">
        <f t="shared" si="1"/>
        <v>86.8</v>
      </c>
      <c r="I17" s="5">
        <f t="shared" si="2"/>
        <v>1736</v>
      </c>
      <c r="K17" s="13" t="s">
        <v>22</v>
      </c>
      <c r="L17" s="10">
        <v>110</v>
      </c>
      <c r="M17" s="11" t="s">
        <v>23</v>
      </c>
    </row>
    <row r="18" spans="2:13">
      <c r="B18" s="2">
        <v>17</v>
      </c>
      <c r="C18" t="s">
        <v>425</v>
      </c>
      <c r="D18" s="3"/>
      <c r="E18" s="87">
        <v>4</v>
      </c>
      <c r="F18" s="98">
        <f t="shared" si="0"/>
        <v>80</v>
      </c>
      <c r="G18">
        <f>VLOOKUP($C18,[1]약재관리!$A:$J,10,FALSE)</f>
        <v>33.700000000000003</v>
      </c>
      <c r="H18" s="4">
        <f t="shared" si="1"/>
        <v>134.80000000000001</v>
      </c>
      <c r="I18" s="5">
        <f t="shared" si="2"/>
        <v>2696</v>
      </c>
      <c r="K18" s="91" t="s">
        <v>24</v>
      </c>
      <c r="L18" s="8">
        <f>SUM(E2:E31)</f>
        <v>94</v>
      </c>
      <c r="M18" s="9" t="s">
        <v>25</v>
      </c>
    </row>
    <row r="19" spans="2:13">
      <c r="B19" s="2">
        <v>18</v>
      </c>
      <c r="C19" t="s">
        <v>452</v>
      </c>
      <c r="D19" s="3"/>
      <c r="E19" s="87">
        <v>3</v>
      </c>
      <c r="F19" s="98">
        <f t="shared" si="0"/>
        <v>60</v>
      </c>
      <c r="G19">
        <f>VLOOKUP($C19,[1]약재관리!$A:$J,10,FALSE)</f>
        <v>27.5</v>
      </c>
      <c r="H19" s="4">
        <f t="shared" si="1"/>
        <v>82.5</v>
      </c>
      <c r="I19" s="5">
        <f t="shared" si="2"/>
        <v>1650</v>
      </c>
      <c r="K19" s="90" t="s">
        <v>26</v>
      </c>
      <c r="L19">
        <f>L15*L18</f>
        <v>1880</v>
      </c>
      <c r="M19" s="3" t="s">
        <v>25</v>
      </c>
    </row>
    <row r="20" spans="2:13" ht="17.25" thickBot="1">
      <c r="B20" s="2">
        <v>19</v>
      </c>
      <c r="D20" s="3"/>
      <c r="F20" s="98">
        <f t="shared" si="0"/>
        <v>0</v>
      </c>
      <c r="H20" s="4">
        <f t="shared" si="1"/>
        <v>0</v>
      </c>
      <c r="I20" s="5">
        <f t="shared" si="2"/>
        <v>0</v>
      </c>
      <c r="K20" s="13" t="s">
        <v>27</v>
      </c>
      <c r="L20" s="10">
        <f>L16*L17+L19</f>
        <v>6830</v>
      </c>
      <c r="M20" s="11" t="s">
        <v>23</v>
      </c>
    </row>
    <row r="21" spans="2:13" ht="17.25" thickBot="1">
      <c r="B21" s="2">
        <v>20</v>
      </c>
      <c r="D21" s="3"/>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51" t="s">
        <v>28</v>
      </c>
      <c r="L22" s="152"/>
      <c r="M22" s="153"/>
    </row>
    <row r="23" spans="2:13">
      <c r="B23" s="2">
        <v>22</v>
      </c>
      <c r="D23" s="3"/>
      <c r="E23"/>
      <c r="F23" s="98">
        <f t="shared" si="0"/>
        <v>0</v>
      </c>
      <c r="H23" s="4">
        <f t="shared" si="1"/>
        <v>0</v>
      </c>
      <c r="I23" s="5">
        <f t="shared" si="2"/>
        <v>0</v>
      </c>
      <c r="K23" s="90" t="s">
        <v>29</v>
      </c>
      <c r="L23">
        <f>SUM(F2:F31)</f>
        <v>1880</v>
      </c>
      <c r="M23" s="3" t="s">
        <v>25</v>
      </c>
    </row>
    <row r="24" spans="2:13">
      <c r="B24" s="2">
        <v>23</v>
      </c>
      <c r="D24" s="3"/>
      <c r="E24"/>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3320.1000000000004</v>
      </c>
      <c r="M30" s="3" t="s">
        <v>36</v>
      </c>
    </row>
    <row r="31" spans="2:13" ht="17.25" thickBot="1">
      <c r="B31" s="12">
        <v>30</v>
      </c>
      <c r="C31" s="13"/>
      <c r="D31" s="11"/>
      <c r="E31" s="94"/>
      <c r="F31" s="99">
        <f t="shared" si="0"/>
        <v>0</v>
      </c>
      <c r="G31" s="10"/>
      <c r="H31" s="14">
        <f t="shared" si="1"/>
        <v>0</v>
      </c>
      <c r="I31" s="15">
        <f t="shared" si="2"/>
        <v>0</v>
      </c>
      <c r="K31" s="13" t="s">
        <v>37</v>
      </c>
      <c r="L31" s="14">
        <f>SUM(I2:I31)</f>
        <v>57069.2</v>
      </c>
      <c r="M31" s="11" t="s">
        <v>36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FA673-4975-4326-AA2F-141415446328}">
  <sheetPr>
    <pageSetUpPr fitToPage="1"/>
  </sheetPr>
  <dimension ref="B1:M31"/>
  <sheetViews>
    <sheetView tabSelected="1" workbookViewId="0">
      <selection activeCell="C24" sqref="C2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414</v>
      </c>
      <c r="D2" s="3"/>
      <c r="E2" s="87">
        <v>6</v>
      </c>
      <c r="F2" s="98">
        <f>E2*$L$15</f>
        <v>120</v>
      </c>
      <c r="G2">
        <f>VLOOKUP($C2,약재관리!A:J,10,FALSE)</f>
        <v>30.3</v>
      </c>
      <c r="H2" s="4">
        <f>G2*E2</f>
        <v>181.8</v>
      </c>
      <c r="I2" s="89">
        <f>G2*F2</f>
        <v>3636</v>
      </c>
      <c r="K2" s="6" t="s">
        <v>9</v>
      </c>
      <c r="L2" s="163">
        <v>114</v>
      </c>
      <c r="M2" s="164"/>
    </row>
    <row r="3" spans="2:13">
      <c r="B3" s="2">
        <v>2</v>
      </c>
      <c r="C3" t="s">
        <v>413</v>
      </c>
      <c r="D3" s="3"/>
      <c r="E3" s="87">
        <v>4</v>
      </c>
      <c r="F3" s="98">
        <f t="shared" ref="F3:F31" si="0">E3*$L$15</f>
        <v>80</v>
      </c>
      <c r="G3">
        <f>VLOOKUP($C3,약재관리!A:J,10,FALSE)</f>
        <v>19.600000000000001</v>
      </c>
      <c r="H3" s="4">
        <f t="shared" ref="H3:H31" si="1">G3*E3</f>
        <v>78.400000000000006</v>
      </c>
      <c r="I3" s="5">
        <f t="shared" ref="I3:I31" si="2">G3*F3</f>
        <v>1568</v>
      </c>
      <c r="K3" s="7" t="s">
        <v>10</v>
      </c>
      <c r="L3" s="165" t="s">
        <v>429</v>
      </c>
      <c r="M3" s="166"/>
    </row>
    <row r="4" spans="2:13">
      <c r="B4" s="2">
        <v>3</v>
      </c>
      <c r="C4" t="s">
        <v>417</v>
      </c>
      <c r="D4" s="3"/>
      <c r="E4" s="87">
        <v>4</v>
      </c>
      <c r="F4" s="98">
        <f t="shared" si="0"/>
        <v>80</v>
      </c>
      <c r="G4">
        <f>VLOOKUP($C4,약재관리!A:J,10,FALSE)</f>
        <v>9.8000000000000007</v>
      </c>
      <c r="H4" s="4">
        <f t="shared" si="1"/>
        <v>39.200000000000003</v>
      </c>
      <c r="I4" s="5">
        <f t="shared" si="2"/>
        <v>784</v>
      </c>
      <c r="K4" s="7" t="s">
        <v>11</v>
      </c>
      <c r="L4" s="167">
        <v>45826</v>
      </c>
      <c r="M4" s="166"/>
    </row>
    <row r="5" spans="2:13">
      <c r="B5" s="2">
        <v>4</v>
      </c>
      <c r="C5" t="s">
        <v>442</v>
      </c>
      <c r="D5" s="3"/>
      <c r="E5" s="87">
        <v>4</v>
      </c>
      <c r="F5" s="98">
        <f t="shared" si="0"/>
        <v>80</v>
      </c>
      <c r="G5">
        <f>VLOOKUP($C5,약재관리!A:J,10,FALSE)</f>
        <v>72.7</v>
      </c>
      <c r="H5" s="4">
        <f t="shared" si="1"/>
        <v>290.8</v>
      </c>
      <c r="I5" s="5">
        <f t="shared" si="2"/>
        <v>5816</v>
      </c>
      <c r="K5" s="7" t="s">
        <v>12</v>
      </c>
      <c r="L5" s="165" t="s">
        <v>430</v>
      </c>
      <c r="M5" s="166"/>
    </row>
    <row r="6" spans="2:13">
      <c r="B6" s="2">
        <v>5</v>
      </c>
      <c r="C6" t="s">
        <v>423</v>
      </c>
      <c r="D6" s="3"/>
      <c r="E6" s="87">
        <v>4</v>
      </c>
      <c r="F6" s="98">
        <f t="shared" si="0"/>
        <v>80</v>
      </c>
      <c r="G6">
        <f>VLOOKUP($C6,약재관리!A:J,10,FALSE)</f>
        <v>27.2</v>
      </c>
      <c r="H6" s="4">
        <f t="shared" si="1"/>
        <v>108.8</v>
      </c>
      <c r="I6" s="5">
        <f t="shared" si="2"/>
        <v>2176</v>
      </c>
      <c r="K6" s="7" t="s">
        <v>13</v>
      </c>
      <c r="L6" s="165">
        <v>51</v>
      </c>
      <c r="M6" s="166"/>
    </row>
    <row r="7" spans="2:13" ht="17.25" thickBot="1">
      <c r="B7" s="2">
        <v>6</v>
      </c>
      <c r="C7" t="s">
        <v>418</v>
      </c>
      <c r="D7" s="3"/>
      <c r="E7" s="87">
        <v>4</v>
      </c>
      <c r="F7" s="98">
        <f t="shared" si="0"/>
        <v>80</v>
      </c>
      <c r="G7">
        <f>VLOOKUP($C7,약재관리!A:J,10,FALSE)</f>
        <v>44.3</v>
      </c>
      <c r="H7" s="4">
        <f t="shared" si="1"/>
        <v>177.2</v>
      </c>
      <c r="I7" s="5">
        <f t="shared" si="2"/>
        <v>3544</v>
      </c>
      <c r="K7" s="7" t="s">
        <v>14</v>
      </c>
      <c r="L7" s="149" t="s">
        <v>431</v>
      </c>
      <c r="M7" s="150"/>
    </row>
    <row r="8" spans="2:13" ht="17.25" thickBot="1">
      <c r="B8" s="2">
        <v>7</v>
      </c>
      <c r="C8" t="s">
        <v>425</v>
      </c>
      <c r="D8" s="3"/>
      <c r="E8" s="87">
        <v>4</v>
      </c>
      <c r="F8" s="98">
        <f t="shared" si="0"/>
        <v>80</v>
      </c>
      <c r="G8">
        <f>VLOOKUP($C8,약재관리!A:J,10,FALSE)</f>
        <v>28</v>
      </c>
      <c r="H8" s="4">
        <f t="shared" si="1"/>
        <v>112</v>
      </c>
      <c r="I8" s="5">
        <f t="shared" si="2"/>
        <v>2240</v>
      </c>
      <c r="K8" s="151" t="s">
        <v>15</v>
      </c>
      <c r="L8" s="152"/>
      <c r="M8" s="153"/>
    </row>
    <row r="9" spans="2:13">
      <c r="B9" s="2">
        <v>8</v>
      </c>
      <c r="C9" t="s">
        <v>419</v>
      </c>
      <c r="D9" s="3"/>
      <c r="E9" s="87">
        <v>4</v>
      </c>
      <c r="F9" s="98">
        <f t="shared" si="0"/>
        <v>80</v>
      </c>
      <c r="G9">
        <f>VLOOKUP($C9,약재관리!A:J,10,FALSE)</f>
        <v>26</v>
      </c>
      <c r="H9" s="4">
        <f t="shared" si="1"/>
        <v>104</v>
      </c>
      <c r="I9" s="5">
        <f t="shared" si="2"/>
        <v>2080</v>
      </c>
      <c r="K9" s="154" t="s">
        <v>444</v>
      </c>
      <c r="L9" s="155"/>
      <c r="M9" s="156"/>
    </row>
    <row r="10" spans="2:13">
      <c r="B10" s="2">
        <v>9</v>
      </c>
      <c r="C10" t="s">
        <v>443</v>
      </c>
      <c r="D10" s="3"/>
      <c r="E10" s="87">
        <v>4</v>
      </c>
      <c r="F10" s="98">
        <f t="shared" si="0"/>
        <v>80</v>
      </c>
      <c r="G10">
        <f>VLOOKUP($C10,약재관리!A:J,10,FALSE)</f>
        <v>17.600000000000001</v>
      </c>
      <c r="H10" s="4">
        <f t="shared" si="1"/>
        <v>70.400000000000006</v>
      </c>
      <c r="I10" s="5">
        <f t="shared" si="2"/>
        <v>1408</v>
      </c>
      <c r="K10" s="157"/>
      <c r="L10" s="158"/>
      <c r="M10" s="159"/>
    </row>
    <row r="11" spans="2:13">
      <c r="B11" s="2">
        <v>10</v>
      </c>
      <c r="C11" t="s">
        <v>422</v>
      </c>
      <c r="D11" s="3"/>
      <c r="E11" s="87">
        <v>2</v>
      </c>
      <c r="F11" s="98">
        <f t="shared" si="0"/>
        <v>40</v>
      </c>
      <c r="G11">
        <f>VLOOKUP($C11,약재관리!A:J,10,FALSE)</f>
        <v>28.3</v>
      </c>
      <c r="H11" s="4">
        <f t="shared" si="1"/>
        <v>56.6</v>
      </c>
      <c r="I11" s="5">
        <f t="shared" si="2"/>
        <v>1132</v>
      </c>
      <c r="K11" s="157"/>
      <c r="L11" s="158"/>
      <c r="M11" s="159"/>
    </row>
    <row r="12" spans="2:13">
      <c r="B12" s="2">
        <v>11</v>
      </c>
      <c r="C12" t="s">
        <v>437</v>
      </c>
      <c r="D12" s="3"/>
      <c r="E12" s="87">
        <v>6</v>
      </c>
      <c r="F12" s="98">
        <f t="shared" si="0"/>
        <v>120</v>
      </c>
      <c r="G12">
        <f>VLOOKUP($C12,약재관리!A:J,10,FALSE)</f>
        <v>22</v>
      </c>
      <c r="H12" s="4">
        <f t="shared" si="1"/>
        <v>132</v>
      </c>
      <c r="I12" s="5">
        <f t="shared" si="2"/>
        <v>2640</v>
      </c>
      <c r="K12" s="157"/>
      <c r="L12" s="158"/>
      <c r="M12" s="159"/>
    </row>
    <row r="13" spans="2:13" ht="17.25" thickBot="1">
      <c r="B13" s="2">
        <v>12</v>
      </c>
      <c r="C13" t="s">
        <v>436</v>
      </c>
      <c r="D13" s="3"/>
      <c r="E13" s="87">
        <v>4</v>
      </c>
      <c r="F13" s="98">
        <f t="shared" si="0"/>
        <v>80</v>
      </c>
      <c r="G13">
        <f>VLOOKUP($C13,약재관리!A:J,10,FALSE)</f>
        <v>15</v>
      </c>
      <c r="H13" s="4">
        <f t="shared" si="1"/>
        <v>60</v>
      </c>
      <c r="I13" s="5">
        <f t="shared" si="2"/>
        <v>1200</v>
      </c>
      <c r="K13" s="160"/>
      <c r="L13" s="161"/>
      <c r="M13" s="162"/>
    </row>
    <row r="14" spans="2:13">
      <c r="B14" s="2">
        <v>13</v>
      </c>
      <c r="C14" t="s">
        <v>438</v>
      </c>
      <c r="D14" s="3"/>
      <c r="E14" s="87">
        <v>4</v>
      </c>
      <c r="F14" s="98">
        <f t="shared" si="0"/>
        <v>80</v>
      </c>
      <c r="G14">
        <f>VLOOKUP($C14,약재관리!A:J,10,FALSE)</f>
        <v>19.2</v>
      </c>
      <c r="H14" s="4">
        <f t="shared" si="1"/>
        <v>76.8</v>
      </c>
      <c r="I14" s="5">
        <f t="shared" si="2"/>
        <v>1536</v>
      </c>
      <c r="K14" s="91" t="s">
        <v>16</v>
      </c>
      <c r="L14" s="8">
        <v>15</v>
      </c>
      <c r="M14" s="9" t="s">
        <v>17</v>
      </c>
    </row>
    <row r="15" spans="2:13">
      <c r="B15" s="2">
        <v>14</v>
      </c>
      <c r="C15" t="s">
        <v>415</v>
      </c>
      <c r="D15" s="3"/>
      <c r="E15" s="87">
        <v>4</v>
      </c>
      <c r="F15" s="98">
        <f t="shared" si="0"/>
        <v>80</v>
      </c>
      <c r="G15">
        <f>VLOOKUP($C15,약재관리!A:J,10,FALSE)</f>
        <v>16.7</v>
      </c>
      <c r="H15" s="4">
        <f t="shared" si="1"/>
        <v>66.8</v>
      </c>
      <c r="I15" s="5">
        <f t="shared" si="2"/>
        <v>1336</v>
      </c>
      <c r="K15" s="90" t="s">
        <v>18</v>
      </c>
      <c r="L15">
        <v>20</v>
      </c>
      <c r="M15" s="3" t="s">
        <v>19</v>
      </c>
    </row>
    <row r="16" spans="2:13">
      <c r="B16" s="2">
        <v>15</v>
      </c>
      <c r="C16" t="s">
        <v>420</v>
      </c>
      <c r="D16" s="3"/>
      <c r="E16" s="87">
        <v>4</v>
      </c>
      <c r="F16" s="98">
        <f t="shared" si="0"/>
        <v>80</v>
      </c>
      <c r="G16">
        <f>VLOOKUP($C16,약재관리!A:J,10,FALSE)</f>
        <v>27.7</v>
      </c>
      <c r="H16" s="4">
        <f t="shared" si="1"/>
        <v>110.8</v>
      </c>
      <c r="I16" s="5">
        <f t="shared" si="2"/>
        <v>2216</v>
      </c>
      <c r="K16" s="90" t="s">
        <v>20</v>
      </c>
      <c r="L16">
        <v>45</v>
      </c>
      <c r="M16" s="3" t="s">
        <v>21</v>
      </c>
    </row>
    <row r="17" spans="2:13" ht="17.25" thickBot="1">
      <c r="B17" s="2">
        <v>16</v>
      </c>
      <c r="C17" t="s">
        <v>416</v>
      </c>
      <c r="D17" s="3"/>
      <c r="E17" s="87">
        <v>4</v>
      </c>
      <c r="F17" s="98">
        <f t="shared" si="0"/>
        <v>80</v>
      </c>
      <c r="G17">
        <f>VLOOKUP($C17,약재관리!A:J,10,FALSE)</f>
        <v>21.7</v>
      </c>
      <c r="H17" s="4">
        <f t="shared" si="1"/>
        <v>86.8</v>
      </c>
      <c r="I17" s="5">
        <f t="shared" si="2"/>
        <v>1736</v>
      </c>
      <c r="K17" s="13" t="s">
        <v>22</v>
      </c>
      <c r="L17" s="10">
        <v>110</v>
      </c>
      <c r="M17" s="11" t="s">
        <v>23</v>
      </c>
    </row>
    <row r="18" spans="2:13">
      <c r="B18" s="2">
        <v>17</v>
      </c>
      <c r="C18" t="s">
        <v>426</v>
      </c>
      <c r="D18" s="3"/>
      <c r="E18" s="87">
        <v>4</v>
      </c>
      <c r="F18" s="98">
        <f t="shared" si="0"/>
        <v>80</v>
      </c>
      <c r="G18">
        <f>VLOOKUP($C18,약재관리!A:J,10,FALSE)</f>
        <v>14.4</v>
      </c>
      <c r="H18" s="4">
        <f t="shared" si="1"/>
        <v>57.6</v>
      </c>
      <c r="I18" s="5">
        <f t="shared" si="2"/>
        <v>1152</v>
      </c>
      <c r="K18" s="91" t="s">
        <v>24</v>
      </c>
      <c r="L18" s="8">
        <f>SUM(E2:E31)</f>
        <v>84</v>
      </c>
      <c r="M18" s="9" t="s">
        <v>25</v>
      </c>
    </row>
    <row r="19" spans="2:13">
      <c r="B19" s="2">
        <v>18</v>
      </c>
      <c r="C19" t="s">
        <v>427</v>
      </c>
      <c r="D19" s="3"/>
      <c r="E19" s="87">
        <v>4</v>
      </c>
      <c r="F19" s="98">
        <f t="shared" si="0"/>
        <v>80</v>
      </c>
      <c r="G19">
        <f>VLOOKUP($C19,약재관리!A:J,10,FALSE)</f>
        <v>8</v>
      </c>
      <c r="H19" s="4">
        <f t="shared" si="1"/>
        <v>32</v>
      </c>
      <c r="I19" s="5">
        <f t="shared" si="2"/>
        <v>640</v>
      </c>
      <c r="K19" s="90" t="s">
        <v>26</v>
      </c>
      <c r="L19">
        <f>L15*L18</f>
        <v>1680</v>
      </c>
      <c r="M19" s="3" t="s">
        <v>25</v>
      </c>
    </row>
    <row r="20" spans="2:13" ht="17.25" thickBot="1">
      <c r="B20" s="2">
        <v>19</v>
      </c>
      <c r="C20" t="s">
        <v>428</v>
      </c>
      <c r="D20" s="3"/>
      <c r="E20" s="87">
        <v>4</v>
      </c>
      <c r="F20" s="98">
        <f t="shared" si="0"/>
        <v>80</v>
      </c>
      <c r="G20">
        <f>VLOOKUP($C20,약재관리!A:J,10,FALSE)</f>
        <v>7.5</v>
      </c>
      <c r="H20" s="4">
        <f t="shared" si="1"/>
        <v>30</v>
      </c>
      <c r="I20" s="5">
        <f t="shared" si="2"/>
        <v>600</v>
      </c>
      <c r="K20" s="13" t="s">
        <v>27</v>
      </c>
      <c r="L20" s="10">
        <f>L16*L17+L19</f>
        <v>6630</v>
      </c>
      <c r="M20" s="11" t="s">
        <v>23</v>
      </c>
    </row>
    <row r="21" spans="2:13" ht="17.25" thickBot="1">
      <c r="B21" s="2">
        <v>20</v>
      </c>
      <c r="C21" t="s">
        <v>439</v>
      </c>
      <c r="D21" s="3"/>
      <c r="E21" s="87">
        <v>4</v>
      </c>
      <c r="F21" s="98">
        <f t="shared" si="0"/>
        <v>80</v>
      </c>
      <c r="G21">
        <f>VLOOKUP($C21,약재관리!A:J,10,FALSE)</f>
        <v>21.8</v>
      </c>
      <c r="H21" s="4">
        <f t="shared" si="1"/>
        <v>87.2</v>
      </c>
      <c r="I21" s="5">
        <f t="shared" si="2"/>
        <v>1744</v>
      </c>
      <c r="J21" s="90"/>
      <c r="M21" s="93"/>
    </row>
    <row r="22" spans="2:13" ht="17.25" thickBot="1">
      <c r="B22" s="2">
        <v>21</v>
      </c>
      <c r="C22" t="s">
        <v>440</v>
      </c>
      <c r="D22" s="3" t="s">
        <v>441</v>
      </c>
      <c r="E22" s="87">
        <v>2</v>
      </c>
      <c r="F22" s="98">
        <f t="shared" si="0"/>
        <v>40</v>
      </c>
      <c r="G22">
        <f>VLOOKUP($C22,약재관리!A:J,10,FALSE)</f>
        <v>136.80000000000001</v>
      </c>
      <c r="H22" s="4">
        <f t="shared" si="1"/>
        <v>273.60000000000002</v>
      </c>
      <c r="I22" s="5">
        <f t="shared" si="2"/>
        <v>5472</v>
      </c>
      <c r="K22" s="151" t="s">
        <v>28</v>
      </c>
      <c r="L22" s="152"/>
      <c r="M22" s="153"/>
    </row>
    <row r="23" spans="2:13">
      <c r="B23" s="2">
        <v>22</v>
      </c>
      <c r="D23" s="3"/>
      <c r="F23" s="98">
        <f t="shared" si="0"/>
        <v>0</v>
      </c>
      <c r="H23" s="4">
        <f t="shared" si="1"/>
        <v>0</v>
      </c>
      <c r="I23" s="5">
        <f t="shared" si="2"/>
        <v>0</v>
      </c>
      <c r="K23" s="90" t="s">
        <v>29</v>
      </c>
      <c r="L23">
        <f>SUM(F2:F31)</f>
        <v>1680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2232.7999999999997</v>
      </c>
      <c r="M30" s="3" t="s">
        <v>36</v>
      </c>
    </row>
    <row r="31" spans="2:13" ht="17.25" thickBot="1">
      <c r="B31" s="12">
        <v>30</v>
      </c>
      <c r="C31" s="13"/>
      <c r="D31" s="11"/>
      <c r="E31" s="94"/>
      <c r="F31" s="99">
        <f t="shared" si="0"/>
        <v>0</v>
      </c>
      <c r="G31" s="10"/>
      <c r="H31" s="14">
        <f t="shared" si="1"/>
        <v>0</v>
      </c>
      <c r="I31" s="15">
        <f t="shared" si="2"/>
        <v>0</v>
      </c>
      <c r="K31" s="13" t="s">
        <v>37</v>
      </c>
      <c r="L31" s="14">
        <f>SUM(I2:I31)</f>
        <v>44656</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413</v>
      </c>
      <c r="D2" s="3"/>
      <c r="E2" s="87">
        <v>6</v>
      </c>
      <c r="F2" s="98">
        <f>E2*$L$15</f>
        <v>120</v>
      </c>
      <c r="G2">
        <f>VLOOKUP($C2,약재관리!A:J,10,FALSE)</f>
        <v>19.600000000000001</v>
      </c>
      <c r="H2" s="4">
        <f>G2*E2</f>
        <v>117.60000000000001</v>
      </c>
      <c r="I2" s="89">
        <f>G2*F2</f>
        <v>2352</v>
      </c>
      <c r="K2" s="6" t="s">
        <v>9</v>
      </c>
      <c r="L2" s="163">
        <v>114</v>
      </c>
      <c r="M2" s="164"/>
    </row>
    <row r="3" spans="2:13">
      <c r="B3" s="2">
        <v>2</v>
      </c>
      <c r="C3" t="s">
        <v>414</v>
      </c>
      <c r="D3" s="3"/>
      <c r="E3" s="87">
        <v>6</v>
      </c>
      <c r="F3" s="98">
        <f t="shared" ref="F3:F31" si="0">E3*$L$15</f>
        <v>120</v>
      </c>
      <c r="G3">
        <f>VLOOKUP($C3,약재관리!A:J,10,FALSE)</f>
        <v>30.3</v>
      </c>
      <c r="H3" s="4">
        <f t="shared" ref="H3:H31" si="1">G3*E3</f>
        <v>181.8</v>
      </c>
      <c r="I3" s="5">
        <f t="shared" ref="I3:I31" si="2">G3*F3</f>
        <v>3636</v>
      </c>
      <c r="K3" s="7" t="s">
        <v>10</v>
      </c>
      <c r="L3" s="165" t="s">
        <v>429</v>
      </c>
      <c r="M3" s="166"/>
    </row>
    <row r="4" spans="2:13">
      <c r="B4" s="2">
        <v>3</v>
      </c>
      <c r="C4" t="s">
        <v>415</v>
      </c>
      <c r="D4" s="3"/>
      <c r="E4" s="87">
        <v>4</v>
      </c>
      <c r="F4" s="98">
        <f t="shared" si="0"/>
        <v>80</v>
      </c>
      <c r="G4">
        <f>VLOOKUP($C4,약재관리!A:J,10,FALSE)</f>
        <v>16.7</v>
      </c>
      <c r="H4" s="4">
        <f t="shared" si="1"/>
        <v>66.8</v>
      </c>
      <c r="I4" s="5">
        <f t="shared" si="2"/>
        <v>1336</v>
      </c>
      <c r="K4" s="7" t="s">
        <v>11</v>
      </c>
      <c r="L4" s="167">
        <v>45826</v>
      </c>
      <c r="M4" s="166"/>
    </row>
    <row r="5" spans="2:13">
      <c r="B5" s="2">
        <v>4</v>
      </c>
      <c r="C5" t="s">
        <v>416</v>
      </c>
      <c r="D5" s="3"/>
      <c r="E5" s="87">
        <v>4</v>
      </c>
      <c r="F5" s="98">
        <f t="shared" si="0"/>
        <v>80</v>
      </c>
      <c r="G5">
        <f>VLOOKUP($C5,약재관리!A:J,10,FALSE)</f>
        <v>21.7</v>
      </c>
      <c r="H5" s="4">
        <f t="shared" si="1"/>
        <v>86.8</v>
      </c>
      <c r="I5" s="5">
        <f t="shared" si="2"/>
        <v>1736</v>
      </c>
      <c r="K5" s="7" t="s">
        <v>12</v>
      </c>
      <c r="L5" s="165" t="s">
        <v>430</v>
      </c>
      <c r="M5" s="166"/>
    </row>
    <row r="6" spans="2:13">
      <c r="B6" s="2">
        <v>5</v>
      </c>
      <c r="C6" t="s">
        <v>423</v>
      </c>
      <c r="D6" s="3"/>
      <c r="E6" s="87">
        <v>4</v>
      </c>
      <c r="F6" s="98">
        <f t="shared" si="0"/>
        <v>80</v>
      </c>
      <c r="G6">
        <f>VLOOKUP($C6,약재관리!A:J,10,FALSE)</f>
        <v>27.2</v>
      </c>
      <c r="H6" s="4">
        <f t="shared" si="1"/>
        <v>108.8</v>
      </c>
      <c r="I6" s="5">
        <f t="shared" si="2"/>
        <v>2176</v>
      </c>
      <c r="K6" s="7" t="s">
        <v>13</v>
      </c>
      <c r="L6" s="165">
        <v>51</v>
      </c>
      <c r="M6" s="166"/>
    </row>
    <row r="7" spans="2:13" ht="17.25" thickBot="1">
      <c r="B7" s="2">
        <v>6</v>
      </c>
      <c r="C7" t="s">
        <v>417</v>
      </c>
      <c r="D7" s="3"/>
      <c r="E7" s="87">
        <v>4</v>
      </c>
      <c r="F7" s="98">
        <f t="shared" si="0"/>
        <v>80</v>
      </c>
      <c r="G7">
        <f>VLOOKUP($C7,약재관리!A:J,10,FALSE)</f>
        <v>9.8000000000000007</v>
      </c>
      <c r="H7" s="4">
        <f t="shared" si="1"/>
        <v>39.200000000000003</v>
      </c>
      <c r="I7" s="5">
        <f t="shared" si="2"/>
        <v>784</v>
      </c>
      <c r="K7" s="7" t="s">
        <v>14</v>
      </c>
      <c r="L7" s="149" t="s">
        <v>431</v>
      </c>
      <c r="M7" s="150"/>
    </row>
    <row r="8" spans="2:13" ht="17.25" thickBot="1">
      <c r="B8" s="2">
        <v>7</v>
      </c>
      <c r="C8" t="s">
        <v>418</v>
      </c>
      <c r="D8" s="3"/>
      <c r="E8" s="87">
        <v>3</v>
      </c>
      <c r="F8" s="98">
        <f t="shared" si="0"/>
        <v>60</v>
      </c>
      <c r="G8">
        <f>VLOOKUP($C8,약재관리!A:J,10,FALSE)</f>
        <v>44.3</v>
      </c>
      <c r="H8" s="4">
        <f t="shared" si="1"/>
        <v>132.89999999999998</v>
      </c>
      <c r="I8" s="5">
        <f t="shared" si="2"/>
        <v>2658</v>
      </c>
      <c r="K8" s="151" t="s">
        <v>15</v>
      </c>
      <c r="L8" s="152"/>
      <c r="M8" s="153"/>
    </row>
    <row r="9" spans="2:13">
      <c r="B9" s="2">
        <v>8</v>
      </c>
      <c r="C9" t="s">
        <v>426</v>
      </c>
      <c r="D9" s="3"/>
      <c r="E9" s="87">
        <v>3</v>
      </c>
      <c r="F9" s="98">
        <f t="shared" si="0"/>
        <v>60</v>
      </c>
      <c r="G9">
        <f>VLOOKUP($C9,약재관리!A:J,10,FALSE)</f>
        <v>14.4</v>
      </c>
      <c r="H9" s="4">
        <f t="shared" si="1"/>
        <v>43.2</v>
      </c>
      <c r="I9" s="5">
        <f t="shared" si="2"/>
        <v>864</v>
      </c>
      <c r="K9" s="154" t="s">
        <v>432</v>
      </c>
      <c r="L9" s="155"/>
      <c r="M9" s="156"/>
    </row>
    <row r="10" spans="2:13">
      <c r="B10" s="2">
        <v>9</v>
      </c>
      <c r="C10" t="s">
        <v>419</v>
      </c>
      <c r="D10" s="3"/>
      <c r="E10" s="87">
        <v>2</v>
      </c>
      <c r="F10" s="98">
        <f t="shared" si="0"/>
        <v>40</v>
      </c>
      <c r="G10">
        <f>VLOOKUP($C10,약재관리!A:J,10,FALSE)</f>
        <v>26</v>
      </c>
      <c r="H10" s="4">
        <f t="shared" si="1"/>
        <v>52</v>
      </c>
      <c r="I10" s="5">
        <f t="shared" si="2"/>
        <v>1040</v>
      </c>
      <c r="K10" s="157"/>
      <c r="L10" s="158"/>
      <c r="M10" s="159"/>
    </row>
    <row r="11" spans="2:13">
      <c r="B11" s="2">
        <v>10</v>
      </c>
      <c r="C11" t="s">
        <v>420</v>
      </c>
      <c r="D11" s="3"/>
      <c r="E11" s="87">
        <v>2</v>
      </c>
      <c r="F11" s="98">
        <f t="shared" si="0"/>
        <v>40</v>
      </c>
      <c r="G11">
        <f>VLOOKUP($C11,약재관리!A:J,10,FALSE)</f>
        <v>27.7</v>
      </c>
      <c r="H11" s="4">
        <f t="shared" si="1"/>
        <v>55.4</v>
      </c>
      <c r="I11" s="5">
        <f t="shared" si="2"/>
        <v>1108</v>
      </c>
      <c r="K11" s="157"/>
      <c r="L11" s="158"/>
      <c r="M11" s="159"/>
    </row>
    <row r="12" spans="2:13">
      <c r="B12" s="2">
        <v>11</v>
      </c>
      <c r="C12" t="s">
        <v>421</v>
      </c>
      <c r="D12" s="3"/>
      <c r="E12" s="87">
        <v>2</v>
      </c>
      <c r="F12" s="98">
        <f t="shared" si="0"/>
        <v>40</v>
      </c>
      <c r="G12">
        <f>VLOOKUP($C12,약재관리!A:J,10,FALSE)</f>
        <v>11.5</v>
      </c>
      <c r="H12" s="4">
        <f t="shared" si="1"/>
        <v>23</v>
      </c>
      <c r="I12" s="5">
        <f t="shared" si="2"/>
        <v>460</v>
      </c>
      <c r="K12" s="157"/>
      <c r="L12" s="158"/>
      <c r="M12" s="159"/>
    </row>
    <row r="13" spans="2:13" ht="17.25" thickBot="1">
      <c r="B13" s="2">
        <v>12</v>
      </c>
      <c r="C13" t="s">
        <v>422</v>
      </c>
      <c r="D13" s="3"/>
      <c r="E13" s="87">
        <v>2</v>
      </c>
      <c r="F13" s="98">
        <f t="shared" si="0"/>
        <v>40</v>
      </c>
      <c r="G13">
        <f>VLOOKUP($C13,약재관리!A:J,10,FALSE)</f>
        <v>28.3</v>
      </c>
      <c r="H13" s="4">
        <f t="shared" si="1"/>
        <v>56.6</v>
      </c>
      <c r="I13" s="5">
        <f t="shared" si="2"/>
        <v>1132</v>
      </c>
      <c r="K13" s="160"/>
      <c r="L13" s="161"/>
      <c r="M13" s="162"/>
    </row>
    <row r="14" spans="2:13">
      <c r="B14" s="2">
        <v>13</v>
      </c>
      <c r="C14" t="s">
        <v>424</v>
      </c>
      <c r="D14" s="3"/>
      <c r="E14" s="87">
        <v>4</v>
      </c>
      <c r="F14" s="98">
        <f t="shared" si="0"/>
        <v>80</v>
      </c>
      <c r="G14">
        <f>VLOOKUP($C14,약재관리!A:J,10,FALSE)</f>
        <v>9.5</v>
      </c>
      <c r="H14" s="4">
        <f t="shared" si="1"/>
        <v>38</v>
      </c>
      <c r="I14" s="5">
        <f t="shared" si="2"/>
        <v>760</v>
      </c>
      <c r="K14" s="91" t="s">
        <v>16</v>
      </c>
      <c r="L14" s="8">
        <v>15</v>
      </c>
      <c r="M14" s="9" t="s">
        <v>17</v>
      </c>
    </row>
    <row r="15" spans="2:13">
      <c r="B15" s="2">
        <v>14</v>
      </c>
      <c r="C15" t="s">
        <v>425</v>
      </c>
      <c r="D15" s="3"/>
      <c r="E15" s="87">
        <v>4</v>
      </c>
      <c r="F15" s="98">
        <f t="shared" si="0"/>
        <v>80</v>
      </c>
      <c r="G15">
        <f>VLOOKUP($C15,약재관리!A:J,10,FALSE)</f>
        <v>28</v>
      </c>
      <c r="H15" s="4">
        <f t="shared" si="1"/>
        <v>112</v>
      </c>
      <c r="I15" s="5">
        <f t="shared" si="2"/>
        <v>2240</v>
      </c>
      <c r="K15" s="90" t="s">
        <v>18</v>
      </c>
      <c r="L15">
        <v>20</v>
      </c>
      <c r="M15" s="3" t="s">
        <v>19</v>
      </c>
    </row>
    <row r="16" spans="2:13">
      <c r="B16" s="2">
        <v>15</v>
      </c>
      <c r="C16" t="s">
        <v>427</v>
      </c>
      <c r="D16" s="3"/>
      <c r="E16" s="87">
        <v>4</v>
      </c>
      <c r="F16" s="98">
        <f t="shared" si="0"/>
        <v>80</v>
      </c>
      <c r="G16">
        <f>VLOOKUP($C16,약재관리!A:J,10,FALSE)</f>
        <v>8</v>
      </c>
      <c r="H16" s="4">
        <f t="shared" si="1"/>
        <v>32</v>
      </c>
      <c r="I16" s="5">
        <f t="shared" si="2"/>
        <v>640</v>
      </c>
      <c r="K16" s="90" t="s">
        <v>20</v>
      </c>
      <c r="L16">
        <v>45</v>
      </c>
      <c r="M16" s="3" t="s">
        <v>21</v>
      </c>
    </row>
    <row r="17" spans="2:13" ht="17.25" thickBot="1">
      <c r="B17" s="2">
        <v>16</v>
      </c>
      <c r="C17" t="s">
        <v>428</v>
      </c>
      <c r="D17" s="3"/>
      <c r="E17" s="87">
        <v>4</v>
      </c>
      <c r="F17" s="98">
        <f t="shared" si="0"/>
        <v>80</v>
      </c>
      <c r="G17">
        <f>VLOOKUP($C17,약재관리!A:J,10,FALSE)</f>
        <v>7.5</v>
      </c>
      <c r="H17" s="4">
        <f t="shared" si="1"/>
        <v>30</v>
      </c>
      <c r="I17" s="5">
        <f t="shared" si="2"/>
        <v>600</v>
      </c>
      <c r="K17" s="13" t="s">
        <v>22</v>
      </c>
      <c r="L17" s="10">
        <v>110</v>
      </c>
      <c r="M17" s="11" t="s">
        <v>23</v>
      </c>
    </row>
    <row r="18" spans="2:13">
      <c r="B18" s="2">
        <v>17</v>
      </c>
      <c r="D18" s="3"/>
      <c r="F18" s="98">
        <f t="shared" si="0"/>
        <v>0</v>
      </c>
      <c r="H18" s="4">
        <f t="shared" si="1"/>
        <v>0</v>
      </c>
      <c r="I18" s="5">
        <f t="shared" si="2"/>
        <v>0</v>
      </c>
      <c r="K18" s="91" t="s">
        <v>24</v>
      </c>
      <c r="L18" s="8">
        <f>SUM(E2:E31)</f>
        <v>58</v>
      </c>
      <c r="M18" s="9" t="s">
        <v>25</v>
      </c>
    </row>
    <row r="19" spans="2:13">
      <c r="B19" s="2">
        <v>18</v>
      </c>
      <c r="D19" s="3"/>
      <c r="F19" s="98">
        <f t="shared" si="0"/>
        <v>0</v>
      </c>
      <c r="H19" s="4">
        <f t="shared" si="1"/>
        <v>0</v>
      </c>
      <c r="I19" s="5">
        <f t="shared" si="2"/>
        <v>0</v>
      </c>
      <c r="K19" s="90" t="s">
        <v>26</v>
      </c>
      <c r="L19">
        <f>L15*L18</f>
        <v>1160</v>
      </c>
      <c r="M19" s="3" t="s">
        <v>25</v>
      </c>
    </row>
    <row r="20" spans="2:13" ht="17.25" thickBot="1">
      <c r="B20" s="2">
        <v>19</v>
      </c>
      <c r="D20" s="3"/>
      <c r="F20" s="98">
        <f t="shared" si="0"/>
        <v>0</v>
      </c>
      <c r="H20" s="4">
        <f t="shared" si="1"/>
        <v>0</v>
      </c>
      <c r="I20" s="5">
        <f t="shared" si="2"/>
        <v>0</v>
      </c>
      <c r="K20" s="13" t="s">
        <v>27</v>
      </c>
      <c r="L20" s="10">
        <f>L16*L17+L19</f>
        <v>6110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1160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1176.1000000000001</v>
      </c>
      <c r="M30" s="3" t="s">
        <v>36</v>
      </c>
    </row>
    <row r="31" spans="2:13" ht="17.25" thickBot="1">
      <c r="B31" s="12">
        <v>30</v>
      </c>
      <c r="C31" s="13"/>
      <c r="D31" s="11"/>
      <c r="E31" s="94"/>
      <c r="F31" s="99">
        <f t="shared" si="0"/>
        <v>0</v>
      </c>
      <c r="G31" s="10"/>
      <c r="H31" s="14">
        <f t="shared" si="1"/>
        <v>0</v>
      </c>
      <c r="I31" s="15">
        <f t="shared" si="2"/>
        <v>0</v>
      </c>
      <c r="K31" s="13" t="s">
        <v>37</v>
      </c>
      <c r="L31" s="14">
        <f>SUM(I2:I31)</f>
        <v>23522</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71B6-63F2-41D1-A5B4-373F4581E35B}">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434</v>
      </c>
      <c r="D2" s="3"/>
      <c r="E2" s="87">
        <v>30</v>
      </c>
      <c r="F2" s="98">
        <f>E2*$L$15</f>
        <v>450</v>
      </c>
      <c r="G2">
        <f>VLOOKUP($C2,약재관리!A:J,10,FALSE)</f>
        <v>39</v>
      </c>
      <c r="H2" s="4">
        <f>G2*E2</f>
        <v>1170</v>
      </c>
      <c r="I2" s="89">
        <f>G2*F2</f>
        <v>17550</v>
      </c>
      <c r="K2" s="6" t="s">
        <v>9</v>
      </c>
      <c r="L2" s="163">
        <v>114</v>
      </c>
      <c r="M2" s="164"/>
    </row>
    <row r="3" spans="2:13">
      <c r="B3" s="2">
        <v>2</v>
      </c>
      <c r="C3" t="s">
        <v>419</v>
      </c>
      <c r="D3" s="3"/>
      <c r="E3" s="87">
        <v>6</v>
      </c>
      <c r="F3" s="98">
        <f t="shared" ref="F3:F31" si="0">E3*$L$15</f>
        <v>90</v>
      </c>
      <c r="G3">
        <f>VLOOKUP($C3,약재관리!A:J,10,FALSE)</f>
        <v>26</v>
      </c>
      <c r="H3" s="4">
        <f t="shared" ref="H3:H31" si="1">G3*E3</f>
        <v>156</v>
      </c>
      <c r="I3" s="5">
        <f t="shared" ref="I3:I31" si="2">G3*F3</f>
        <v>2340</v>
      </c>
      <c r="K3" s="7" t="s">
        <v>10</v>
      </c>
      <c r="L3" s="165" t="s">
        <v>435</v>
      </c>
      <c r="M3" s="166"/>
    </row>
    <row r="4" spans="2:13">
      <c r="B4" s="2">
        <v>3</v>
      </c>
      <c r="D4" s="3"/>
      <c r="F4" s="98">
        <f t="shared" si="0"/>
        <v>0</v>
      </c>
      <c r="H4" s="4">
        <f t="shared" si="1"/>
        <v>0</v>
      </c>
      <c r="I4" s="5">
        <f t="shared" si="2"/>
        <v>0</v>
      </c>
      <c r="K4" s="7" t="s">
        <v>11</v>
      </c>
      <c r="L4" s="167">
        <v>45839</v>
      </c>
      <c r="M4" s="166"/>
    </row>
    <row r="5" spans="2:13">
      <c r="B5" s="2">
        <v>4</v>
      </c>
      <c r="D5" s="3"/>
      <c r="F5" s="98">
        <f t="shared" si="0"/>
        <v>0</v>
      </c>
      <c r="H5" s="4">
        <f t="shared" si="1"/>
        <v>0</v>
      </c>
      <c r="I5" s="5">
        <f t="shared" si="2"/>
        <v>0</v>
      </c>
      <c r="K5" s="7" t="s">
        <v>12</v>
      </c>
      <c r="L5" s="165" t="s">
        <v>430</v>
      </c>
      <c r="M5" s="166"/>
    </row>
    <row r="6" spans="2:13">
      <c r="B6" s="2">
        <v>5</v>
      </c>
      <c r="D6" s="3"/>
      <c r="F6" s="98">
        <f t="shared" si="0"/>
        <v>0</v>
      </c>
      <c r="H6" s="4">
        <f t="shared" si="1"/>
        <v>0</v>
      </c>
      <c r="I6" s="5">
        <f t="shared" si="2"/>
        <v>0</v>
      </c>
      <c r="K6" s="7" t="s">
        <v>13</v>
      </c>
      <c r="L6" s="165">
        <v>51</v>
      </c>
      <c r="M6" s="166"/>
    </row>
    <row r="7" spans="2:13" ht="17.25" thickBot="1">
      <c r="B7" s="2">
        <v>6</v>
      </c>
      <c r="D7" s="3"/>
      <c r="F7" s="98">
        <f t="shared" si="0"/>
        <v>0</v>
      </c>
      <c r="H7" s="4">
        <f t="shared" si="1"/>
        <v>0</v>
      </c>
      <c r="I7" s="5">
        <f t="shared" si="2"/>
        <v>0</v>
      </c>
      <c r="K7" s="7" t="s">
        <v>14</v>
      </c>
      <c r="L7" s="149" t="s">
        <v>431</v>
      </c>
      <c r="M7" s="150"/>
    </row>
    <row r="8" spans="2:13" ht="17.25" thickBot="1">
      <c r="B8" s="2">
        <v>7</v>
      </c>
      <c r="D8" s="3"/>
      <c r="F8" s="98">
        <f t="shared" si="0"/>
        <v>0</v>
      </c>
      <c r="H8" s="4">
        <f t="shared" si="1"/>
        <v>0</v>
      </c>
      <c r="I8" s="5">
        <f t="shared" si="2"/>
        <v>0</v>
      </c>
      <c r="K8" s="151" t="s">
        <v>15</v>
      </c>
      <c r="L8" s="152"/>
      <c r="M8" s="153"/>
    </row>
    <row r="9" spans="2:13">
      <c r="B9" s="2">
        <v>8</v>
      </c>
      <c r="D9" s="3"/>
      <c r="F9" s="98">
        <f t="shared" si="0"/>
        <v>0</v>
      </c>
      <c r="H9" s="4">
        <f t="shared" si="1"/>
        <v>0</v>
      </c>
      <c r="I9" s="5">
        <f t="shared" si="2"/>
        <v>0</v>
      </c>
      <c r="K9" s="154" t="s">
        <v>433</v>
      </c>
      <c r="L9" s="155"/>
      <c r="M9" s="156"/>
    </row>
    <row r="10" spans="2:13">
      <c r="B10" s="2">
        <v>9</v>
      </c>
      <c r="D10" s="3"/>
      <c r="F10" s="98">
        <f t="shared" si="0"/>
        <v>0</v>
      </c>
      <c r="H10" s="4">
        <f t="shared" si="1"/>
        <v>0</v>
      </c>
      <c r="I10" s="5">
        <f t="shared" si="2"/>
        <v>0</v>
      </c>
      <c r="K10" s="157"/>
      <c r="L10" s="158"/>
      <c r="M10" s="159"/>
    </row>
    <row r="11" spans="2:13">
      <c r="B11" s="2">
        <v>10</v>
      </c>
      <c r="D11" s="3"/>
      <c r="F11" s="98">
        <f t="shared" si="0"/>
        <v>0</v>
      </c>
      <c r="H11" s="4">
        <f t="shared" si="1"/>
        <v>0</v>
      </c>
      <c r="I11" s="5">
        <f t="shared" si="2"/>
        <v>0</v>
      </c>
      <c r="K11" s="157"/>
      <c r="L11" s="158"/>
      <c r="M11" s="159"/>
    </row>
    <row r="12" spans="2:13">
      <c r="B12" s="2">
        <v>11</v>
      </c>
      <c r="D12" s="3"/>
      <c r="F12" s="98">
        <f t="shared" si="0"/>
        <v>0</v>
      </c>
      <c r="H12" s="4">
        <f t="shared" si="1"/>
        <v>0</v>
      </c>
      <c r="I12" s="5">
        <f t="shared" si="2"/>
        <v>0</v>
      </c>
      <c r="K12" s="157"/>
      <c r="L12" s="158"/>
      <c r="M12" s="159"/>
    </row>
    <row r="13" spans="2:13" ht="17.25" thickBot="1">
      <c r="B13" s="2">
        <v>12</v>
      </c>
      <c r="D13" s="3"/>
      <c r="F13" s="98">
        <f t="shared" si="0"/>
        <v>0</v>
      </c>
      <c r="H13" s="4">
        <f t="shared" si="1"/>
        <v>0</v>
      </c>
      <c r="I13" s="5">
        <f t="shared" si="2"/>
        <v>0</v>
      </c>
      <c r="K13" s="160"/>
      <c r="L13" s="161"/>
      <c r="M13" s="162"/>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15</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36</v>
      </c>
      <c r="M18" s="9" t="s">
        <v>25</v>
      </c>
    </row>
    <row r="19" spans="2:13">
      <c r="B19" s="2">
        <v>18</v>
      </c>
      <c r="D19" s="3"/>
      <c r="F19" s="98">
        <f t="shared" si="0"/>
        <v>0</v>
      </c>
      <c r="H19" s="4">
        <f t="shared" si="1"/>
        <v>0</v>
      </c>
      <c r="I19" s="5">
        <f t="shared" si="2"/>
        <v>0</v>
      </c>
      <c r="K19" s="90" t="s">
        <v>26</v>
      </c>
      <c r="L19">
        <f>L15*L18</f>
        <v>540</v>
      </c>
      <c r="M19" s="3" t="s">
        <v>25</v>
      </c>
    </row>
    <row r="20" spans="2:13" ht="17.25" thickBot="1">
      <c r="B20" s="2">
        <v>19</v>
      </c>
      <c r="D20" s="3"/>
      <c r="F20" s="98">
        <f t="shared" si="0"/>
        <v>0</v>
      </c>
      <c r="H20" s="4">
        <f t="shared" si="1"/>
        <v>0</v>
      </c>
      <c r="I20" s="5">
        <f t="shared" si="2"/>
        <v>0</v>
      </c>
      <c r="K20" s="13" t="s">
        <v>27</v>
      </c>
      <c r="L20" s="10">
        <f>L16*L17+L19</f>
        <v>5490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540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1326</v>
      </c>
      <c r="M30" s="3" t="s">
        <v>36</v>
      </c>
    </row>
    <row r="31" spans="2:13" ht="17.25" thickBot="1">
      <c r="B31" s="12">
        <v>30</v>
      </c>
      <c r="C31" s="13"/>
      <c r="D31" s="11"/>
      <c r="E31" s="94"/>
      <c r="F31" s="99">
        <f t="shared" si="0"/>
        <v>0</v>
      </c>
      <c r="G31" s="10"/>
      <c r="H31" s="14">
        <f t="shared" si="1"/>
        <v>0</v>
      </c>
      <c r="I31" s="15">
        <f t="shared" si="2"/>
        <v>0</v>
      </c>
      <c r="K31" s="13" t="s">
        <v>37</v>
      </c>
      <c r="L31" s="14">
        <f>SUM(I2:I31)</f>
        <v>19890</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54" zoomScaleNormal="100" workbookViewId="0">
      <selection activeCell="E185" sqref="E185"/>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11200</v>
      </c>
      <c r="F184" s="72">
        <f t="shared" si="21"/>
        <v>21.6</v>
      </c>
      <c r="G184" s="50">
        <f t="shared" si="21"/>
        <v>19</v>
      </c>
      <c r="H184" s="50">
        <f t="shared" si="20"/>
        <v>12.5</v>
      </c>
      <c r="I184" s="59">
        <f t="shared" si="20"/>
        <v>18.666666666666668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vt:lpstr>
      <vt:lpstr>처방전양식 (2)</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2025-10-17T03:04:45Z</cp:lastPrinted>
  <dcterms:created xsi:type="dcterms:W3CDTF">2024-09-12T16:35:01Z</dcterms:created>
  <dcterms:modified xsi:type="dcterms:W3CDTF">2026-04-28T04:22:47Z</dcterms:modified>
  <cp:category/>
  <cp:contentStatus/>
</cp:coreProperties>
</file>