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387" documentId="8_{6EB8DC0A-AB56-415F-A9F3-EA1534264548}" xr6:coauthVersionLast="47" xr6:coauthVersionMax="47" xr10:uidLastSave="{CC6396A8-F208-445A-BCAC-20BDA100BF55}"/>
  <bookViews>
    <workbookView xWindow="12600" yWindow="720" windowWidth="16890" windowHeight="1545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8" l="1"/>
  <c r="H31" i="8"/>
  <c r="F31" i="8"/>
  <c r="H30" i="8"/>
  <c r="F30" i="8"/>
  <c r="I30" i="8" s="1"/>
  <c r="H29" i="8"/>
  <c r="F29" i="8"/>
  <c r="I29" i="8" s="1"/>
  <c r="I28" i="8"/>
  <c r="H28" i="8"/>
  <c r="F28" i="8"/>
  <c r="I27" i="8"/>
  <c r="H27" i="8"/>
  <c r="F27" i="8"/>
  <c r="H26" i="8"/>
  <c r="F26" i="8"/>
  <c r="I26" i="8" s="1"/>
  <c r="H25" i="8"/>
  <c r="F25" i="8"/>
  <c r="I25" i="8" s="1"/>
  <c r="I24" i="8"/>
  <c r="H24" i="8"/>
  <c r="F24" i="8"/>
  <c r="I23" i="8"/>
  <c r="H23" i="8"/>
  <c r="F23" i="8"/>
  <c r="H22" i="8"/>
  <c r="F22" i="8"/>
  <c r="I22" i="8" s="1"/>
  <c r="G21" i="8"/>
  <c r="H21" i="8" s="1"/>
  <c r="F21" i="8"/>
  <c r="G20" i="8"/>
  <c r="F20" i="8"/>
  <c r="G19" i="8"/>
  <c r="I19" i="8" s="1"/>
  <c r="F19" i="8"/>
  <c r="L18" i="8"/>
  <c r="L19" i="8" s="1"/>
  <c r="L20" i="8" s="1"/>
  <c r="G18" i="8"/>
  <c r="I18" i="8" s="1"/>
  <c r="F18" i="8"/>
  <c r="G17" i="8"/>
  <c r="I17" i="8" s="1"/>
  <c r="F17" i="8"/>
  <c r="G16" i="8"/>
  <c r="H16" i="8" s="1"/>
  <c r="F16" i="8"/>
  <c r="G15" i="8"/>
  <c r="I15" i="8" s="1"/>
  <c r="F15" i="8"/>
  <c r="G14" i="8"/>
  <c r="I14" i="8" s="1"/>
  <c r="F14" i="8"/>
  <c r="G13" i="8"/>
  <c r="H13" i="8" s="1"/>
  <c r="F13" i="8"/>
  <c r="G12" i="8"/>
  <c r="I12" i="8" s="1"/>
  <c r="F12" i="8"/>
  <c r="G11" i="8"/>
  <c r="I11" i="8" s="1"/>
  <c r="F11" i="8"/>
  <c r="G10" i="8"/>
  <c r="H10" i="8" s="1"/>
  <c r="F10" i="8"/>
  <c r="G9" i="8"/>
  <c r="I9" i="8" s="1"/>
  <c r="F9" i="8"/>
  <c r="G8" i="8"/>
  <c r="I8" i="8" s="1"/>
  <c r="F8" i="8"/>
  <c r="G7" i="8"/>
  <c r="H7" i="8" s="1"/>
  <c r="F7" i="8"/>
  <c r="G6" i="8"/>
  <c r="I6" i="8" s="1"/>
  <c r="F6" i="8"/>
  <c r="G5" i="8"/>
  <c r="I5" i="8" s="1"/>
  <c r="F5" i="8"/>
  <c r="G4" i="8"/>
  <c r="H4" i="8" s="1"/>
  <c r="F4" i="8"/>
  <c r="G3" i="8"/>
  <c r="I3" i="8" s="1"/>
  <c r="F3" i="8"/>
  <c r="G2" i="8"/>
  <c r="I2" i="8" s="1"/>
  <c r="F2" i="8"/>
  <c r="G9" i="7"/>
  <c r="G10" i="7"/>
  <c r="G11" i="7"/>
  <c r="G12" i="7"/>
  <c r="G13" i="7"/>
  <c r="G14" i="7"/>
  <c r="G15" i="7"/>
  <c r="G16" i="7"/>
  <c r="G17" i="7"/>
  <c r="G18" i="7"/>
  <c r="G19" i="7"/>
  <c r="G20" i="7"/>
  <c r="G21" i="7"/>
  <c r="G3" i="7"/>
  <c r="G4" i="7"/>
  <c r="G5" i="7"/>
  <c r="G6" i="7"/>
  <c r="G7" i="7"/>
  <c r="G8" i="7"/>
  <c r="I21" i="8" l="1"/>
  <c r="L23" i="8"/>
  <c r="I20" i="8"/>
  <c r="I4" i="8"/>
  <c r="I7" i="8"/>
  <c r="I10" i="8"/>
  <c r="I13" i="8"/>
  <c r="I16" i="8"/>
  <c r="H19" i="8"/>
  <c r="H2" i="8"/>
  <c r="H5" i="8"/>
  <c r="H8" i="8"/>
  <c r="H11" i="8"/>
  <c r="H14" i="8"/>
  <c r="H17" i="8"/>
  <c r="H20" i="8"/>
  <c r="H3" i="8"/>
  <c r="H6" i="8"/>
  <c r="H9" i="8"/>
  <c r="H12" i="8"/>
  <c r="H15" i="8"/>
  <c r="H18" i="8"/>
  <c r="F3" i="7"/>
  <c r="F4" i="7"/>
  <c r="I4" i="7" s="1"/>
  <c r="F2" i="7"/>
  <c r="L31" i="8" l="1"/>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<sst xmlns="http://schemas.openxmlformats.org/spreadsheetml/2006/main" count="674" uniqueCount="441">
  <si>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</si>
  <si>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</si>
  <si>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</si>
  <si>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</si>
  <si>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</si>
  <si>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</si>
  <si>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</si>
  <si>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</si>
  <si>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</si>
  <si>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</si>
  <si>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</si>
  <si>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</si>
  <si>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</si>
  <si>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</si>
  <si>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</si>
  <si>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</si>
  <si>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</si>
  <si>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</si>
  <si>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</si>
  <si>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</si>
  <si>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</si>
  <si>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</si>
  <si>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</si>
  <si>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</si>
  <si>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</si>
  <si>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</si>
  <si>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</si>
  <si>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</si>
  <si>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</si>
  <si>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</si>
  <si>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</si>
  <si>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</si>
  <si>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</si>
  <si>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</si>
  <si>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</si>
  <si>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</si>
  <si>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</si>
  <si>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</si>
  <si>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</si>
  <si>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</si>
  <si>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</si>
  <si>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</si>
  <si>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</si>
  <si>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</si>
  <si>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</si>
  <si>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</si>
  <si>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</si>
  <si>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</si>
  <si>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</si>
  <si>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</si>
  <si>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</si>
  <si>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</si>
  <si>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</si>
  <si>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</si>
  <si>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</si>
  <si>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</si>
  <si>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</si>
  <si>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</si>
  <si>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</si>
  <si>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</si>
  <si>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</si>
  <si>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</si>
  <si>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</si>
  <si>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</si>
  <si>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</si>
  <si>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</si>
  <si>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</si>
  <si>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</si>
  <si>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</si>
  <si>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</si>
  <si>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</si>
  <si>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</si>
  <si>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</si>
  <si>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</si>
  <si>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</si>
  <si>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</si>
  <si>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</si>
  <si>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</si>
  <si>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</si>
  <si>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</si>
  <si>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</si>
  <si>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</si>
  <si>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</si>
  <si>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</si>
  <si>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</si>
  <si>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</si>
  <si>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</si>
  <si>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</si>
  <si>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</si>
  <si>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</si>
  <si>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</si>
  <si>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</si>
  <si>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</si>
  <si>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</si>
  <si>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</si>
  <si>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</si>
  <si>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</si>
  <si>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</si>
  <si>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</si>
  <si>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</si>
  <si>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</si>
  <si>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</si>
  <si>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</si>
  <si>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</si>
  <si>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</si>
  <si>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</si>
  <si>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</si>
  <si>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</si>
  <si>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</si>
  <si>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</si>
  <si>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</si>
  <si>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</si>
  <si>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</si>
  <si>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</si>
  <si>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</si>
  <si>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</si>
  <si>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</si>
  <si>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</si>
  <si>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</si>
  <si>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</si>
  <si>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</si>
  <si>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</si>
  <si>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</si>
  <si>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</si>
  <si>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</si>
  <si>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</si>
  <si>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</si>
  <si>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</si>
  <si>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</si>
  <si>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</si>
  <si>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</si>
  <si>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</si>
  <si>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</si>
  <si>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</si>
  <si>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</si>
  <si>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</si>
  <si>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</si>
  <si>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</si>
  <si>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</si>
  <si>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</si>
  <si>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</si>
  <si>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</si>
  <si>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</si>
  <si>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</si>
  <si>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</si>
  <si>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</si>
  <si>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</si>
  <si>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</si>
  <si>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</si>
  <si>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</si>
  <si>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</si>
  <si>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</si>
  <si>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</si>
  <si>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</si>
  <si>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</si>
  <si>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</si>
  <si>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</si>
  <si>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</si>
  <si>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</si>
  <si>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</si>
  <si>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</si>
  <si>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</si>
  <si>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</si>
  <si>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</si>
  <si>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</si>
  <si>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</si>
  <si>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</si>
  <si>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</si>
  <si>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</si>
  <si>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</si>
  <si>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</si>
  <si>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</si>
  <si>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</si>
  <si>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</si>
  <si>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</si>
  <si>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</si>
  <si>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</si>
  <si>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</si>
  <si>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</si>
  <si>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</si>
  <si>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</si>
  <si>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</si>
  <si>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</si>
  <si>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</si>
  <si>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</si>
  <si>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</si>
  <si>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</si>
  <si>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</si>
  <si>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</si>
  <si>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</si>
  <si>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</si>
  <si>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</si>
  <si>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</si>
  <si>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</si>
  <si>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</si>
  <si>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</si>
  <si>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</si>
  <si>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</si>
  <si>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</si>
  <si>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</si>
  <si>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</si>
  <si>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</si>
  <si>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</si>
  <si>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</si>
  <si>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</si>
  <si>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</si>
  <si>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</si>
  <si>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</si>
  <si>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</si>
  <si>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</si>
  <si>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</si>
  <si>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</si>
  <si>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</si>
  <si>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</si>
  <si>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</si>
  <si>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</si>
  <si>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</si>
  <si>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</si>
  <si>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</si>
  <si>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</si>
  <si>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</si>
  <si>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</si>
  <si>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</si>
  <si>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</si>
  <si>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</si>
  <si>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</si>
  <si>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</si>
  <si>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</si>
  <si>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</si>
  <si>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</si>
  <si>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</si>
  <si>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</si>
  <si>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</si>
  <si>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</si>
  <si>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</si>
  <si>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</si>
  <si>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</si>
  <si>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</si>
  <si>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</si>
  <si>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</si>
  <si>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</si>
  <si>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</si>
  <si>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</si>
  <si>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</si>
  <si>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</si>
  <si>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</si>
  <si>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</si>
  <si>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</si>
  <si>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</si>
  <si>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</si>
  <si>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</si>
  <si>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</si>
  <si>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</si>
  <si>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</si>
  <si>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</si>
  <si>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</si>
  <si>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</si>
  <si>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</si>
  <si>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</si>
  <si>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</si>
  <si>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</si>
  <si>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</si>
  <si>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</si>
  <si>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</si>
  <si>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</si>
  <si>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</si>
  <si>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</si>
  <si>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</si>
  <si>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</si>
  <si>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</si>
  <si>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</si>
  <si>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</si>
  <si>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</si>
  <si>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</si>
  <si>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</si>
  <si>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</si>
  <si>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</si>
  <si>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</si>
  <si>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</si>
  <si>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</si>
  <si>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</si>
  <si>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</si>
  <si>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</si>
  <si>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</si>
  <si>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</si>
  <si>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</si>
  <si>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</si>
  <si>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</si>
  <si>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</si>
  <si>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</si>
  <si>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</si>
  <si>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</si>
  <si>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</si>
  <si>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</si>
  <si>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</si>
  <si>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</si>
  <si>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</si>
  <si>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</si>
  <si>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</si>
  <si>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</si>
  <si>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</si>
  <si>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</si>
  <si>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</si>
  <si>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</si>
  <si>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</si>
  <si>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</si>
  <si>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</si>
  <si>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</si>
  <si>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</si>
  <si>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</si>
  <si>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</si>
  <si>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</si>
  <si>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</si>
  <si>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</si>
  <si>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</si>
  <si>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</si>
  <si>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</si>
  <si>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</si>
  <si>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</si>
  <si>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</si>
  <si>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</si>
  <si>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</si>
  <si>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</si>
  <si>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</si>
  <si>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</si>
  <si>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</si>
  <si>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</si>
  <si>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</si>
  <si>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</si>
  <si>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</si>
  <si>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</si>
  <si>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</si>
  <si>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</si>
  <si>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</si>
  <si>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</si>
  <si>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</si>
  <si>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</si>
  <si>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</si>
  <si>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</si>
  <si>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</si>
  <si>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</si>
  <si>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</si>
  <si>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</si>
  <si>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</si>
  <si>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</si>
  <si>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</si>
  <si>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</si>
  <si>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</si>
  <si>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</si>
  <si>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</si>
  <si>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</si>
  <si>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</si>
  <si>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</si>
  <si>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</si>
  <si>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</si>
  <si>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</si>
  <si>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</si>
  <si>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</si>
  <si>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</si>
  <si>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</si>
  <si>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</si>
  <si>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</si>
  <si>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</si>
  <si>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</si>
  <si>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</si>
  <si>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</si>
  <si>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</si>
  <si>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</si>
  <si>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</si>
  <si>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</si>
  <si>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</si>
  <si>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</si>
  <si>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</si>
  <si>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</si>
  <si>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</si>
  <si>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</si>
  <si>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</si>
  <si>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</si>
  <si>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</si>
  <si>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</si>
  <si>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</si>
  <si>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</si>
  <si>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</si>
  <si>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</si>
  <si>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</si>
  <si>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</si>
  <si>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</si>
  <si>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</si>
  <si>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</si>
  <si>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</si>
  <si>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</si>
  <si>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</si>
  <si>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</si>
  <si>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</si>
  <si>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</si>
  <si>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</si>
  <si>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</si>
  <si>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</si>
  <si>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</si>
  <si>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</si>
  <si>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</si>
  <si>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</si>
  <si>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</si>
  <si>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</si>
  <si>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</si>
  <si>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</si>
  <si>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</si>
  <si>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</si>
  <si>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</si>
  <si>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</si>
  <si>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</si>
  <si>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</si>
  <si>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</si>
  <si>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</si>
  <si>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</si>
  <si>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</si>
  <si>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</si>
  <si>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생강</t>
    <phoneticPr fontId="5" type="noConversion"/>
  </si>
  <si>
    <t>진피1</t>
    <phoneticPr fontId="5" type="noConversion"/>
  </si>
  <si>
    <t>김대희</t>
    <phoneticPr fontId="5" type="noConversion"/>
  </si>
  <si>
    <t>M</t>
    <phoneticPr fontId="5" type="noConversion"/>
  </si>
  <si>
    <t>반하</t>
    <phoneticPr fontId="5" type="noConversion"/>
  </si>
  <si>
    <t>황련</t>
    <phoneticPr fontId="5" type="noConversion"/>
  </si>
  <si>
    <t>육울탕가감</t>
    <phoneticPr fontId="5" type="noConversion"/>
  </si>
  <si>
    <t>향부자</t>
    <phoneticPr fontId="5" type="noConversion"/>
  </si>
  <si>
    <t>소엽</t>
    <phoneticPr fontId="5" type="noConversion"/>
  </si>
  <si>
    <t>산사</t>
    <phoneticPr fontId="5" type="noConversion"/>
  </si>
  <si>
    <t>신곡</t>
    <phoneticPr fontId="5" type="noConversion"/>
  </si>
  <si>
    <t>맥아</t>
    <phoneticPr fontId="5" type="noConversion"/>
  </si>
  <si>
    <t>나복자</t>
    <phoneticPr fontId="5" type="noConversion"/>
  </si>
  <si>
    <t>창출1</t>
    <phoneticPr fontId="5" type="noConversion"/>
  </si>
  <si>
    <t>복령</t>
    <phoneticPr fontId="5" type="noConversion"/>
  </si>
  <si>
    <t>연교</t>
    <phoneticPr fontId="5" type="noConversion"/>
  </si>
  <si>
    <t>후박</t>
    <phoneticPr fontId="5" type="noConversion"/>
  </si>
  <si>
    <t>사인</t>
    <phoneticPr fontId="5" type="noConversion"/>
  </si>
  <si>
    <t>빈랑</t>
    <phoneticPr fontId="5" type="noConversion"/>
  </si>
  <si>
    <t>치자</t>
    <phoneticPr fontId="5" type="noConversion"/>
  </si>
  <si>
    <t>목향</t>
    <phoneticPr fontId="5" type="noConversion"/>
  </si>
  <si>
    <t>천궁1</t>
    <phoneticPr fontId="5" type="noConversion"/>
  </si>
  <si>
    <t>곽향1</t>
    <phoneticPr fontId="5" type="noConversion"/>
  </si>
  <si>
    <t>양진한치ver. 육울탕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</si>
</sst>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17000</v>
          </cell>
          <cell r="E96">
            <v>13100</v>
          </cell>
          <cell r="F96">
            <v>0</v>
          </cell>
          <cell r="G96">
            <v>26.4</v>
          </cell>
          <cell r="H96">
            <v>28.333333333333332</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10000</v>
          </cell>
          <cell r="D105">
            <v>9000</v>
          </cell>
          <cell r="E105"/>
          <cell r="F105">
            <v>15</v>
          </cell>
          <cell r="G105">
            <v>20</v>
          </cell>
          <cell r="H105">
            <v>15</v>
          </cell>
          <cell r="I105">
            <v>0</v>
          </cell>
          <cell r="J105">
            <v>20</v>
          </cell>
        </row>
        <row r="106">
          <cell r="A106" t="str">
            <v>생지황</v>
          </cell>
          <cell r="B106">
            <v>10300</v>
          </cell>
          <cell r="C106">
            <v>9500</v>
          </cell>
          <cell r="D106">
            <v>9000</v>
          </cell>
          <cell r="E106"/>
          <cell r="F106">
            <v>20.6</v>
          </cell>
          <cell r="G106">
            <v>19</v>
          </cell>
          <cell r="H106">
            <v>15</v>
          </cell>
          <cell r="I106">
            <v>0</v>
          </cell>
          <cell r="J106">
            <v>19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v>16800</v>
          </cell>
          <cell r="D143"/>
          <cell r="E143"/>
          <cell r="F143"/>
          <cell r="G143">
            <v>33.6</v>
          </cell>
          <cell r="H143"/>
          <cell r="I143"/>
          <cell r="J143">
            <v>33.6</v>
          </cell>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20000</v>
          </cell>
          <cell r="D148"/>
          <cell r="E148">
            <v>18600</v>
          </cell>
          <cell r="F148">
            <v>0</v>
          </cell>
          <cell r="G148">
            <v>33.333333333333336</v>
          </cell>
          <cell r="H148">
            <v>0</v>
          </cell>
          <cell r="I148">
            <v>31</v>
          </cell>
          <cell r="J148">
            <v>31</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67500</v>
          </cell>
          <cell r="F152">
            <v>0</v>
          </cell>
          <cell r="G152">
            <v>100</v>
          </cell>
          <cell r="H152">
            <v>100</v>
          </cell>
          <cell r="I152">
            <v>112.5</v>
          </cell>
          <cell r="J152">
            <v>108.3</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5D0B-70F2-44A2-9794-E34C36A7C9C3}">
  <sheetPr>
    <pageSetUpPr fitToPage="1"/>
  </sheetPr>
  <dimension ref="B1:M31"/>
  <sheetViews>
    <sheetView tabSelected="1" topLeftCell="B12" workbookViewId="0">
      <selection activeCell="E19" sqref="E1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424</v>
      </c>
      <c r="D2" s="3"/>
      <c r="E2" s="171">
        <v>8</v>
      </c>
      <c r="F2" s="173">
        <f>E2*$L$15</f>
        <v>80</v>
      </c>
      <c r="G2">
        <f>VLOOKUP($C2,[1]약재관리!$A:$J,10,FALSE)</f>
        <v>14.7</v>
      </c>
      <c r="H2" s="4">
        <f>G2*E2</f>
        <v>117.6</v>
      </c>
      <c r="I2" s="5">
        <f t="shared" ref="I2:I31" si="0">G2*F2</f>
        <v>1176</v>
      </c>
      <c r="K2" s="6" t="s">
        <v>6</v>
      </c>
      <c r="L2" s="188">
        <v>157</v>
      </c>
      <c r="M2" s="189"/>
    </row>
    <row r="3" spans="2:13">
      <c r="B3" s="2">
        <v>2</v>
      </c>
      <c r="C3" t="s">
        <v>425</v>
      </c>
      <c r="D3" s="3"/>
      <c r="E3" s="172">
        <v>6</v>
      </c>
      <c r="F3" s="97">
        <f t="shared" ref="F3:F31" si="1">E3*$L$15</f>
        <v>60</v>
      </c>
      <c r="G3">
        <f>VLOOKUP($C3,[1]약재관리!$A:$J,10,FALSE)</f>
        <v>12</v>
      </c>
      <c r="H3" s="4">
        <f t="shared" ref="H3:H31" si="2">G3*E3</f>
        <v>72</v>
      </c>
      <c r="I3" s="5">
        <f t="shared" si="0"/>
        <v>720</v>
      </c>
      <c r="K3" s="7" t="s">
        <v>7</v>
      </c>
      <c r="L3" s="190" t="s">
        <v>423</v>
      </c>
      <c r="M3" s="191"/>
    </row>
    <row r="4" spans="2:13">
      <c r="B4" s="2">
        <v>3</v>
      </c>
      <c r="C4" t="s">
        <v>426</v>
      </c>
      <c r="D4" s="3"/>
      <c r="E4" s="172">
        <v>6</v>
      </c>
      <c r="F4" s="97">
        <f t="shared" si="1"/>
        <v>60</v>
      </c>
      <c r="G4">
        <f>VLOOKUP($C4,[1]약재관리!$A:$J,10,FALSE)</f>
        <v>7</v>
      </c>
      <c r="H4" s="4">
        <f t="shared" si="2"/>
        <v>42</v>
      </c>
      <c r="I4" s="5">
        <f t="shared" si="0"/>
        <v>420</v>
      </c>
      <c r="K4" s="7" t="s">
        <v>8</v>
      </c>
      <c r="L4" s="192">
        <v>45954</v>
      </c>
      <c r="M4" s="191"/>
    </row>
    <row r="5" spans="2:13">
      <c r="B5" s="2">
        <v>4</v>
      </c>
      <c r="C5" t="s">
        <v>427</v>
      </c>
      <c r="D5" s="3"/>
      <c r="E5" s="172">
        <v>6</v>
      </c>
      <c r="F5" s="97">
        <f t="shared" si="1"/>
        <v>60</v>
      </c>
      <c r="G5">
        <f>VLOOKUP($C5,[1]약재관리!$A:$J,10,FALSE)</f>
        <v>8</v>
      </c>
      <c r="H5" s="4">
        <f t="shared" si="2"/>
        <v>48</v>
      </c>
      <c r="I5" s="5">
        <f t="shared" si="0"/>
        <v>480</v>
      </c>
      <c r="K5" s="7" t="s">
        <v>9</v>
      </c>
      <c r="L5" s="190" t="s">
        <v>419</v>
      </c>
      <c r="M5" s="191"/>
    </row>
    <row r="6" spans="2:13">
      <c r="B6" s="2">
        <v>5</v>
      </c>
      <c r="C6" t="s">
        <v>428</v>
      </c>
      <c r="D6" s="3"/>
      <c r="E6" s="172">
        <v>6</v>
      </c>
      <c r="F6" s="97">
        <f t="shared" si="1"/>
        <v>60</v>
      </c>
      <c r="G6">
        <f>VLOOKUP($C6,[1]약재관리!$A:$J,10,FALSE)</f>
        <v>7.5</v>
      </c>
      <c r="H6" s="4">
        <f t="shared" si="2"/>
        <v>45</v>
      </c>
      <c r="I6" s="5">
        <f t="shared" si="0"/>
        <v>450</v>
      </c>
      <c r="K6" s="7" t="s">
        <v>10</v>
      </c>
      <c r="L6" s="190">
        <v>75</v>
      </c>
      <c r="M6" s="191"/>
    </row>
    <row r="7" spans="2:13" ht="17.25" thickBot="1">
      <c r="B7" s="2">
        <v>6</v>
      </c>
      <c r="C7" t="s">
        <v>429</v>
      </c>
      <c r="D7" s="3"/>
      <c r="E7" s="172">
        <v>6</v>
      </c>
      <c r="F7" s="97">
        <f t="shared" si="1"/>
        <v>60</v>
      </c>
      <c r="G7">
        <f>VLOOKUP($C7,[1]약재관리!$A:$J,10,FALSE)</f>
        <v>6</v>
      </c>
      <c r="H7" s="4">
        <f t="shared" si="2"/>
        <v>36</v>
      </c>
      <c r="I7" s="5">
        <f t="shared" si="0"/>
        <v>360</v>
      </c>
      <c r="K7" s="7" t="s">
        <v>11</v>
      </c>
      <c r="L7" s="174" t="s">
        <v>420</v>
      </c>
      <c r="M7" s="175"/>
    </row>
    <row r="8" spans="2:13" ht="17.25" thickBot="1">
      <c r="B8" s="2">
        <v>7</v>
      </c>
      <c r="C8" t="s">
        <v>418</v>
      </c>
      <c r="D8" s="3"/>
      <c r="E8" s="172">
        <v>4</v>
      </c>
      <c r="F8" s="97">
        <f t="shared" si="1"/>
        <v>40</v>
      </c>
      <c r="G8">
        <f>VLOOKUP($C8,[1]약재관리!$A:$J,10,FALSE)</f>
        <v>17.600000000000001</v>
      </c>
      <c r="H8" s="4">
        <f t="shared" si="2"/>
        <v>70.400000000000006</v>
      </c>
      <c r="I8" s="5">
        <f t="shared" si="0"/>
        <v>704</v>
      </c>
      <c r="K8" s="176" t="s">
        <v>12</v>
      </c>
      <c r="L8" s="177"/>
      <c r="M8" s="178"/>
    </row>
    <row r="9" spans="2:13">
      <c r="B9" s="2">
        <v>8</v>
      </c>
      <c r="C9" t="s">
        <v>430</v>
      </c>
      <c r="D9" s="3"/>
      <c r="E9" s="172">
        <v>4</v>
      </c>
      <c r="F9" s="97">
        <f t="shared" si="1"/>
        <v>40</v>
      </c>
      <c r="G9">
        <f>VLOOKUP($C9,[1]약재관리!$A:$J,10,FALSE)</f>
        <v>25</v>
      </c>
      <c r="H9" s="4">
        <f t="shared" si="2"/>
        <v>100</v>
      </c>
      <c r="I9" s="5">
        <f t="shared" si="0"/>
        <v>1000</v>
      </c>
      <c r="K9" s="179" t="s">
        <v>440</v>
      </c>
      <c r="L9" s="180"/>
      <c r="M9" s="181"/>
    </row>
    <row r="10" spans="2:13">
      <c r="B10" s="2">
        <v>9</v>
      </c>
      <c r="C10" t="s">
        <v>431</v>
      </c>
      <c r="D10" s="3"/>
      <c r="E10" s="172">
        <v>4</v>
      </c>
      <c r="F10" s="97">
        <f t="shared" si="1"/>
        <v>40</v>
      </c>
      <c r="G10">
        <f>VLOOKUP($C10,[1]약재관리!$A:$J,10,FALSE)</f>
        <v>9</v>
      </c>
      <c r="H10" s="4">
        <f t="shared" si="2"/>
        <v>36</v>
      </c>
      <c r="I10" s="5">
        <f t="shared" si="0"/>
        <v>360</v>
      </c>
      <c r="K10" s="182"/>
      <c r="L10" s="183"/>
      <c r="M10" s="184"/>
    </row>
    <row r="11" spans="2:13">
      <c r="B11" s="2">
        <v>10</v>
      </c>
      <c r="C11" t="s">
        <v>421</v>
      </c>
      <c r="D11" s="3"/>
      <c r="E11" s="172">
        <v>4</v>
      </c>
      <c r="F11" s="97">
        <f t="shared" si="1"/>
        <v>40</v>
      </c>
      <c r="G11">
        <f>VLOOKUP($C11,[1]약재관리!$A:$J,10,FALSE)</f>
        <v>41</v>
      </c>
      <c r="H11" s="4">
        <f t="shared" si="2"/>
        <v>164</v>
      </c>
      <c r="I11" s="5">
        <f t="shared" si="0"/>
        <v>1640</v>
      </c>
      <c r="K11" s="182"/>
      <c r="L11" s="183"/>
      <c r="M11" s="184"/>
    </row>
    <row r="12" spans="2:13">
      <c r="B12" s="2">
        <v>11</v>
      </c>
      <c r="C12" t="s">
        <v>438</v>
      </c>
      <c r="D12" s="3"/>
      <c r="E12" s="172">
        <v>4</v>
      </c>
      <c r="F12" s="97">
        <f t="shared" si="1"/>
        <v>40</v>
      </c>
      <c r="G12">
        <f>VLOOKUP($C12,[1]약재관리!$A:$J,10,FALSE)</f>
        <v>10.8</v>
      </c>
      <c r="H12" s="4">
        <f t="shared" si="2"/>
        <v>43.2</v>
      </c>
      <c r="I12" s="5">
        <f t="shared" si="0"/>
        <v>432</v>
      </c>
      <c r="K12" s="182"/>
      <c r="L12" s="183"/>
      <c r="M12" s="184"/>
    </row>
    <row r="13" spans="2:13" ht="17.25" thickBot="1">
      <c r="B13" s="2">
        <v>12</v>
      </c>
      <c r="C13" t="s">
        <v>432</v>
      </c>
      <c r="D13" s="3"/>
      <c r="E13" s="172">
        <v>4</v>
      </c>
      <c r="F13" s="97">
        <f t="shared" si="1"/>
        <v>40</v>
      </c>
      <c r="G13">
        <f>VLOOKUP($C13,[1]약재관리!$A:$J,10,FALSE)</f>
        <v>28</v>
      </c>
      <c r="H13" s="4">
        <f t="shared" si="2"/>
        <v>112</v>
      </c>
      <c r="I13" s="5">
        <f t="shared" si="0"/>
        <v>1120</v>
      </c>
      <c r="K13" s="185"/>
      <c r="L13" s="186"/>
      <c r="M13" s="187"/>
    </row>
    <row r="14" spans="2:13">
      <c r="B14" s="2">
        <v>13</v>
      </c>
      <c r="C14" t="s">
        <v>433</v>
      </c>
      <c r="D14" s="3"/>
      <c r="E14" s="172">
        <v>4</v>
      </c>
      <c r="F14" s="97">
        <f t="shared" si="1"/>
        <v>40</v>
      </c>
      <c r="G14">
        <f>VLOOKUP($C14,[1]약재관리!$A:$J,10,FALSE)</f>
        <v>8.8000000000000007</v>
      </c>
      <c r="H14" s="4">
        <f t="shared" si="2"/>
        <v>35.200000000000003</v>
      </c>
      <c r="I14" s="5">
        <f t="shared" si="0"/>
        <v>352</v>
      </c>
      <c r="K14" s="90" t="s">
        <v>13</v>
      </c>
      <c r="L14" s="8">
        <v>10</v>
      </c>
      <c r="M14" s="9" t="s">
        <v>14</v>
      </c>
    </row>
    <row r="15" spans="2:13">
      <c r="B15" s="2">
        <v>14</v>
      </c>
      <c r="C15" t="s">
        <v>434</v>
      </c>
      <c r="D15" s="3"/>
      <c r="E15" s="172">
        <v>4</v>
      </c>
      <c r="F15" s="97">
        <f t="shared" si="1"/>
        <v>40</v>
      </c>
      <c r="G15">
        <f>VLOOKUP($C15,[1]약재관리!$A:$J,10,FALSE)</f>
        <v>21.8</v>
      </c>
      <c r="H15" s="4">
        <f t="shared" si="2"/>
        <v>87.2</v>
      </c>
      <c r="I15" s="5">
        <f t="shared" si="0"/>
        <v>872</v>
      </c>
      <c r="K15" s="89" t="s">
        <v>15</v>
      </c>
      <c r="L15">
        <v>10</v>
      </c>
      <c r="M15" s="3" t="s">
        <v>16</v>
      </c>
    </row>
    <row r="16" spans="2:13">
      <c r="B16" s="2">
        <v>15</v>
      </c>
      <c r="C16" t="s">
        <v>435</v>
      </c>
      <c r="D16" s="3"/>
      <c r="E16" s="172">
        <v>4</v>
      </c>
      <c r="F16" s="97">
        <f t="shared" si="1"/>
        <v>40</v>
      </c>
      <c r="G16">
        <f>VLOOKUP($C16,[1]약재관리!$A:$J,10,FALSE)</f>
        <v>8.3000000000000007</v>
      </c>
      <c r="H16" s="4">
        <f t="shared" si="2"/>
        <v>33.200000000000003</v>
      </c>
      <c r="I16" s="5">
        <f t="shared" si="0"/>
        <v>332</v>
      </c>
      <c r="K16" s="89" t="s">
        <v>17</v>
      </c>
      <c r="L16">
        <v>20</v>
      </c>
      <c r="M16" s="3" t="s">
        <v>18</v>
      </c>
    </row>
    <row r="17" spans="2:13" ht="17.25" thickBot="1">
      <c r="B17" s="2">
        <v>16</v>
      </c>
      <c r="C17" t="s">
        <v>436</v>
      </c>
      <c r="D17" s="3"/>
      <c r="E17" s="172">
        <v>3</v>
      </c>
      <c r="F17" s="97">
        <f t="shared" si="1"/>
        <v>30</v>
      </c>
      <c r="G17">
        <f>VLOOKUP($C17,[1]약재관리!$A:$J,10,FALSE)</f>
        <v>26</v>
      </c>
      <c r="H17" s="4">
        <f t="shared" si="2"/>
        <v>78</v>
      </c>
      <c r="I17" s="5">
        <f t="shared" si="0"/>
        <v>780</v>
      </c>
      <c r="K17" s="13" t="s">
        <v>19</v>
      </c>
      <c r="L17" s="10">
        <v>110</v>
      </c>
      <c r="M17" s="11" t="s">
        <v>20</v>
      </c>
    </row>
    <row r="18" spans="2:13">
      <c r="B18" s="2">
        <v>17</v>
      </c>
      <c r="C18" t="s">
        <v>437</v>
      </c>
      <c r="D18" s="3"/>
      <c r="E18" s="172">
        <v>2</v>
      </c>
      <c r="F18" s="97">
        <f t="shared" si="1"/>
        <v>20</v>
      </c>
      <c r="G18">
        <f>VLOOKUP($C18,[1]약재관리!$A:$J,10,FALSE)</f>
        <v>12.2</v>
      </c>
      <c r="H18" s="4">
        <f t="shared" si="2"/>
        <v>24.4</v>
      </c>
      <c r="I18" s="5">
        <f t="shared" si="0"/>
        <v>244</v>
      </c>
      <c r="K18" s="90" t="s">
        <v>21</v>
      </c>
      <c r="L18" s="8">
        <f>SUM(E2:E31)</f>
        <v>91</v>
      </c>
      <c r="M18" s="9" t="s">
        <v>22</v>
      </c>
    </row>
    <row r="19" spans="2:13">
      <c r="B19" s="2">
        <v>18</v>
      </c>
      <c r="C19" t="s">
        <v>422</v>
      </c>
      <c r="D19" s="3"/>
      <c r="E19" s="172">
        <v>2</v>
      </c>
      <c r="F19" s="97">
        <f t="shared" si="1"/>
        <v>20</v>
      </c>
      <c r="G19">
        <f>VLOOKUP($C19,[1]약재관리!$A:$J,10,FALSE)</f>
        <v>136.80000000000001</v>
      </c>
      <c r="H19" s="4">
        <f t="shared" si="2"/>
        <v>273.60000000000002</v>
      </c>
      <c r="I19" s="5">
        <f t="shared" si="0"/>
        <v>2736</v>
      </c>
      <c r="K19" s="89" t="s">
        <v>23</v>
      </c>
      <c r="L19">
        <f>L15*L18</f>
        <v>910</v>
      </c>
      <c r="M19" s="3" t="s">
        <v>22</v>
      </c>
    </row>
    <row r="20" spans="2:13" ht="17.25" thickBot="1">
      <c r="B20" s="2">
        <v>19</v>
      </c>
      <c r="C20" t="s">
        <v>439</v>
      </c>
      <c r="D20" s="3"/>
      <c r="E20" s="172">
        <v>6</v>
      </c>
      <c r="F20" s="97">
        <f t="shared" si="1"/>
        <v>60</v>
      </c>
      <c r="G20">
        <f>VLOOKUP($C20,[1]약재관리!$A:$J,10,FALSE)</f>
        <v>13.8</v>
      </c>
      <c r="H20" s="4">
        <f t="shared" si="2"/>
        <v>82.800000000000011</v>
      </c>
      <c r="I20" s="5">
        <f t="shared" si="0"/>
        <v>828</v>
      </c>
      <c r="K20" s="13" t="s">
        <v>24</v>
      </c>
      <c r="L20" s="10">
        <f>L16*L17+L19</f>
        <v>3110</v>
      </c>
      <c r="M20" s="11" t="s">
        <v>20</v>
      </c>
    </row>
    <row r="21" spans="2:13" ht="17.25" thickBot="1">
      <c r="B21" s="2">
        <v>20</v>
      </c>
      <c r="C21" t="s">
        <v>417</v>
      </c>
      <c r="D21" s="3"/>
      <c r="E21" s="172">
        <v>4</v>
      </c>
      <c r="F21" s="97">
        <f t="shared" si="1"/>
        <v>40</v>
      </c>
      <c r="G21">
        <f>VLOOKUP($C21,[1]약재관리!$A:$J,10,FALSE)</f>
        <v>20</v>
      </c>
      <c r="H21" s="4">
        <f t="shared" si="2"/>
        <v>80</v>
      </c>
      <c r="I21" s="5">
        <f t="shared" si="0"/>
        <v>800</v>
      </c>
      <c r="J21" s="89"/>
      <c r="M21" s="92"/>
    </row>
    <row r="22" spans="2:13" ht="17.25" thickBot="1">
      <c r="B22" s="2">
        <v>21</v>
      </c>
      <c r="D22" s="3"/>
      <c r="E22"/>
      <c r="F22" s="97">
        <f t="shared" si="1"/>
        <v>0</v>
      </c>
      <c r="H22" s="4">
        <f t="shared" si="2"/>
        <v>0</v>
      </c>
      <c r="I22" s="5">
        <f t="shared" si="0"/>
        <v>0</v>
      </c>
      <c r="K22" s="176" t="s">
        <v>25</v>
      </c>
      <c r="L22" s="177"/>
      <c r="M22" s="178"/>
    </row>
    <row r="23" spans="2:13">
      <c r="B23" s="2">
        <v>22</v>
      </c>
      <c r="D23" s="3"/>
      <c r="E23"/>
      <c r="F23" s="97">
        <f t="shared" si="1"/>
        <v>0</v>
      </c>
      <c r="H23" s="4">
        <f t="shared" si="2"/>
        <v>0</v>
      </c>
      <c r="I23" s="5">
        <f t="shared" si="0"/>
        <v>0</v>
      </c>
      <c r="K23" s="89" t="s">
        <v>26</v>
      </c>
      <c r="L23">
        <f>SUM(F2:F31)</f>
        <v>910</v>
      </c>
      <c r="M23" s="3" t="s">
        <v>22</v>
      </c>
    </row>
    <row r="24" spans="2:13">
      <c r="B24" s="2">
        <v>23</v>
      </c>
      <c r="D24" s="3"/>
      <c r="E24"/>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6" t="s">
        <v>32</v>
      </c>
      <c r="L29" s="177"/>
      <c r="M29" s="178"/>
    </row>
    <row r="30" spans="2:13">
      <c r="B30" s="2">
        <v>29</v>
      </c>
      <c r="D30" s="3"/>
      <c r="F30" s="97">
        <f t="shared" si="1"/>
        <v>0</v>
      </c>
      <c r="H30" s="4">
        <f t="shared" si="2"/>
        <v>0</v>
      </c>
      <c r="I30" s="5">
        <f t="shared" si="0"/>
        <v>0</v>
      </c>
      <c r="K30" s="89" t="s">
        <v>28</v>
      </c>
      <c r="L30" s="4">
        <f>SUM(H2:H31)</f>
        <v>1580.6000000000001</v>
      </c>
      <c r="M30" s="3" t="s">
        <v>33</v>
      </c>
    </row>
    <row r="31" spans="2:13" ht="17.25" thickBot="1">
      <c r="B31" s="12">
        <v>30</v>
      </c>
      <c r="C31" s="13"/>
      <c r="D31" s="11"/>
      <c r="E31" s="93"/>
      <c r="F31" s="98">
        <f t="shared" si="1"/>
        <v>0</v>
      </c>
      <c r="G31" s="10"/>
      <c r="H31" s="14">
        <f t="shared" si="2"/>
        <v>0</v>
      </c>
      <c r="I31" s="15">
        <f t="shared" si="0"/>
        <v>0</v>
      </c>
      <c r="K31" s="13" t="s">
        <v>34</v>
      </c>
      <c r="L31" s="14">
        <f>SUM(I2:I31)</f>
        <v>15806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G27" sqref="G2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424</v>
      </c>
      <c r="D2" s="3"/>
      <c r="E2" s="171">
        <v>8</v>
      </c>
      <c r="F2" s="173">
        <f>E2*$L$15</f>
        <v>80</v>
      </c>
      <c r="G2">
        <f>VLOOKUP($C2,[1]약재관리!$A:$J,10,FALSE)</f>
        <v>14.7</v>
      </c>
      <c r="H2" s="4">
        <f>G2*E2</f>
        <v>117.6</v>
      </c>
      <c r="I2" s="5">
        <f t="shared" ref="I2:I7" si="0">G2*F2</f>
        <v>1176</v>
      </c>
      <c r="K2" s="6" t="s">
        <v>6</v>
      </c>
      <c r="L2" s="188">
        <v>157</v>
      </c>
      <c r="M2" s="189"/>
    </row>
    <row r="3" spans="2:13">
      <c r="B3" s="2">
        <v>2</v>
      </c>
      <c r="C3" t="s">
        <v>425</v>
      </c>
      <c r="D3" s="3"/>
      <c r="E3" s="172">
        <v>6</v>
      </c>
      <c r="F3" s="97">
        <f t="shared" ref="F3:F4" si="1">E3*$L$15</f>
        <v>60</v>
      </c>
      <c r="G3">
        <f>VLOOKUP($C3,[1]약재관리!$A:$J,10,FALSE)</f>
        <v>12</v>
      </c>
      <c r="H3" s="4">
        <f t="shared" ref="H3:H4" si="2">G3*E3</f>
        <v>72</v>
      </c>
      <c r="I3" s="5">
        <f t="shared" si="0"/>
        <v>720</v>
      </c>
      <c r="K3" s="7" t="s">
        <v>7</v>
      </c>
      <c r="L3" s="190" t="s">
        <v>423</v>
      </c>
      <c r="M3" s="191"/>
    </row>
    <row r="4" spans="2:13">
      <c r="B4" s="2">
        <v>3</v>
      </c>
      <c r="C4" t="s">
        <v>426</v>
      </c>
      <c r="D4" s="3"/>
      <c r="E4" s="172">
        <v>6</v>
      </c>
      <c r="F4" s="97">
        <f t="shared" si="1"/>
        <v>60</v>
      </c>
      <c r="G4">
        <f>VLOOKUP($C4,[1]약재관리!$A:$J,10,FALSE)</f>
        <v>7</v>
      </c>
      <c r="H4" s="4">
        <f t="shared" si="2"/>
        <v>42</v>
      </c>
      <c r="I4" s="5">
        <f t="shared" si="0"/>
        <v>420</v>
      </c>
      <c r="K4" s="7" t="s">
        <v>8</v>
      </c>
      <c r="L4" s="192">
        <v>45954</v>
      </c>
      <c r="M4" s="191"/>
    </row>
    <row r="5" spans="2:13">
      <c r="B5" s="2">
        <v>4</v>
      </c>
      <c r="C5" t="s">
        <v>427</v>
      </c>
      <c r="D5" s="3"/>
      <c r="E5" s="172">
        <v>6</v>
      </c>
      <c r="F5" s="97">
        <f t="shared" ref="F5:F31" si="3">E5*$L$15</f>
        <v>60</v>
      </c>
      <c r="G5">
        <f>VLOOKUP($C5,[1]약재관리!$A:$J,10,FALSE)</f>
        <v>8</v>
      </c>
      <c r="H5" s="4">
        <f t="shared" ref="H5:H31" si="4">G5*E5</f>
        <v>48</v>
      </c>
      <c r="I5" s="5">
        <f t="shared" si="0"/>
        <v>480</v>
      </c>
      <c r="K5" s="7" t="s">
        <v>9</v>
      </c>
      <c r="L5" s="190" t="s">
        <v>419</v>
      </c>
      <c r="M5" s="191"/>
    </row>
    <row r="6" spans="2:13">
      <c r="B6" s="2">
        <v>5</v>
      </c>
      <c r="C6" t="s">
        <v>428</v>
      </c>
      <c r="D6" s="3"/>
      <c r="E6" s="172">
        <v>6</v>
      </c>
      <c r="F6" s="97">
        <f t="shared" si="3"/>
        <v>60</v>
      </c>
      <c r="G6">
        <f>VLOOKUP($C6,[1]약재관리!$A:$J,10,FALSE)</f>
        <v>7.5</v>
      </c>
      <c r="H6" s="4">
        <f t="shared" si="4"/>
        <v>45</v>
      </c>
      <c r="I6" s="5">
        <f t="shared" si="0"/>
        <v>450</v>
      </c>
      <c r="K6" s="7" t="s">
        <v>10</v>
      </c>
      <c r="L6" s="190">
        <v>75</v>
      </c>
      <c r="M6" s="191"/>
    </row>
    <row r="7" spans="2:13" ht="17.25" thickBot="1">
      <c r="B7" s="2">
        <v>6</v>
      </c>
      <c r="C7" t="s">
        <v>429</v>
      </c>
      <c r="D7" s="3"/>
      <c r="E7" s="172">
        <v>4</v>
      </c>
      <c r="F7" s="97">
        <f t="shared" si="3"/>
        <v>40</v>
      </c>
      <c r="G7">
        <f>VLOOKUP($C7,[1]약재관리!$A:$J,10,FALSE)</f>
        <v>6</v>
      </c>
      <c r="H7" s="4">
        <f t="shared" si="4"/>
        <v>24</v>
      </c>
      <c r="I7" s="5">
        <f t="shared" si="0"/>
        <v>240</v>
      </c>
      <c r="K7" s="7" t="s">
        <v>11</v>
      </c>
      <c r="L7" s="174" t="s">
        <v>420</v>
      </c>
      <c r="M7" s="175"/>
    </row>
    <row r="8" spans="2:13" ht="17.25" thickBot="1">
      <c r="B8" s="2">
        <v>7</v>
      </c>
      <c r="C8" t="s">
        <v>418</v>
      </c>
      <c r="D8" s="3"/>
      <c r="E8" s="172">
        <v>4</v>
      </c>
      <c r="F8" s="97">
        <f t="shared" si="3"/>
        <v>40</v>
      </c>
      <c r="G8">
        <f>VLOOKUP($C8,[1]약재관리!$A:$J,10,FALSE)</f>
        <v>17.600000000000001</v>
      </c>
      <c r="H8" s="4">
        <f t="shared" si="4"/>
        <v>70.400000000000006</v>
      </c>
      <c r="I8" s="5">
        <f t="shared" ref="I8:I31" si="5">G8*F8</f>
        <v>704</v>
      </c>
      <c r="K8" s="176" t="s">
        <v>12</v>
      </c>
      <c r="L8" s="177"/>
      <c r="M8" s="178"/>
    </row>
    <row r="9" spans="2:13">
      <c r="B9" s="2">
        <v>8</v>
      </c>
      <c r="C9" t="s">
        <v>430</v>
      </c>
      <c r="D9" s="3"/>
      <c r="E9" s="172">
        <v>4</v>
      </c>
      <c r="F9" s="97">
        <f t="shared" si="3"/>
        <v>40</v>
      </c>
      <c r="G9">
        <f>VLOOKUP($C9,[1]약재관리!$A:$J,10,FALSE)</f>
        <v>25</v>
      </c>
      <c r="H9" s="4">
        <f t="shared" si="4"/>
        <v>100</v>
      </c>
      <c r="I9" s="5">
        <f t="shared" si="5"/>
        <v>1000</v>
      </c>
      <c r="K9" s="179" t="s">
        <v>440</v>
      </c>
      <c r="L9" s="180"/>
      <c r="M9" s="181"/>
    </row>
    <row r="10" spans="2:13">
      <c r="B10" s="2">
        <v>9</v>
      </c>
      <c r="C10" t="s">
        <v>431</v>
      </c>
      <c r="D10" s="3"/>
      <c r="E10" s="172">
        <v>4</v>
      </c>
      <c r="F10" s="97">
        <f t="shared" si="3"/>
        <v>40</v>
      </c>
      <c r="G10">
        <f>VLOOKUP($C10,[1]약재관리!$A:$J,10,FALSE)</f>
        <v>9</v>
      </c>
      <c r="H10" s="4">
        <f t="shared" si="4"/>
        <v>36</v>
      </c>
      <c r="I10" s="5">
        <f t="shared" si="5"/>
        <v>360</v>
      </c>
      <c r="K10" s="182"/>
      <c r="L10" s="183"/>
      <c r="M10" s="184"/>
    </row>
    <row r="11" spans="2:13">
      <c r="B11" s="2">
        <v>10</v>
      </c>
      <c r="C11" t="s">
        <v>421</v>
      </c>
      <c r="D11" s="3"/>
      <c r="E11" s="172">
        <v>4</v>
      </c>
      <c r="F11" s="97">
        <f t="shared" si="3"/>
        <v>40</v>
      </c>
      <c r="G11">
        <f>VLOOKUP($C11,[1]약재관리!$A:$J,10,FALSE)</f>
        <v>41</v>
      </c>
      <c r="H11" s="4">
        <f t="shared" si="4"/>
        <v>164</v>
      </c>
      <c r="I11" s="5">
        <f t="shared" si="5"/>
        <v>1640</v>
      </c>
      <c r="K11" s="182"/>
      <c r="L11" s="183"/>
      <c r="M11" s="184"/>
    </row>
    <row r="12" spans="2:13">
      <c r="B12" s="2">
        <v>11</v>
      </c>
      <c r="C12" t="s">
        <v>438</v>
      </c>
      <c r="D12" s="3"/>
      <c r="E12" s="172">
        <v>4</v>
      </c>
      <c r="F12" s="97">
        <f t="shared" si="3"/>
        <v>40</v>
      </c>
      <c r="G12">
        <f>VLOOKUP($C12,[1]약재관리!$A:$J,10,FALSE)</f>
        <v>10.8</v>
      </c>
      <c r="H12" s="4">
        <f t="shared" si="4"/>
        <v>43.2</v>
      </c>
      <c r="I12" s="5">
        <f t="shared" si="5"/>
        <v>432</v>
      </c>
      <c r="K12" s="182"/>
      <c r="L12" s="183"/>
      <c r="M12" s="184"/>
    </row>
    <row r="13" spans="2:13" ht="17.25" thickBot="1">
      <c r="B13" s="2">
        <v>12</v>
      </c>
      <c r="C13" t="s">
        <v>432</v>
      </c>
      <c r="D13" s="3"/>
      <c r="E13" s="172">
        <v>4</v>
      </c>
      <c r="F13" s="97">
        <f t="shared" si="3"/>
        <v>40</v>
      </c>
      <c r="G13">
        <f>VLOOKUP($C13,[1]약재관리!$A:$J,10,FALSE)</f>
        <v>28</v>
      </c>
      <c r="H13" s="4">
        <f t="shared" si="4"/>
        <v>112</v>
      </c>
      <c r="I13" s="5">
        <f t="shared" si="5"/>
        <v>1120</v>
      </c>
      <c r="K13" s="185"/>
      <c r="L13" s="186"/>
      <c r="M13" s="187"/>
    </row>
    <row r="14" spans="2:13">
      <c r="B14" s="2">
        <v>13</v>
      </c>
      <c r="C14" t="s">
        <v>433</v>
      </c>
      <c r="D14" s="3"/>
      <c r="E14" s="172">
        <v>4</v>
      </c>
      <c r="F14" s="97">
        <f t="shared" si="3"/>
        <v>40</v>
      </c>
      <c r="G14">
        <f>VLOOKUP($C14,[1]약재관리!$A:$J,10,FALSE)</f>
        <v>8.8000000000000007</v>
      </c>
      <c r="H14" s="4">
        <f t="shared" si="4"/>
        <v>35.200000000000003</v>
      </c>
      <c r="I14" s="5">
        <f t="shared" si="5"/>
        <v>352</v>
      </c>
      <c r="K14" s="90" t="s">
        <v>13</v>
      </c>
      <c r="L14" s="8">
        <v>10</v>
      </c>
      <c r="M14" s="9" t="s">
        <v>14</v>
      </c>
    </row>
    <row r="15" spans="2:13">
      <c r="B15" s="2">
        <v>14</v>
      </c>
      <c r="C15" t="s">
        <v>434</v>
      </c>
      <c r="D15" s="3"/>
      <c r="E15" s="172">
        <v>4</v>
      </c>
      <c r="F15" s="97">
        <f t="shared" si="3"/>
        <v>40</v>
      </c>
      <c r="G15">
        <f>VLOOKUP($C15,[1]약재관리!$A:$J,10,FALSE)</f>
        <v>21.8</v>
      </c>
      <c r="H15" s="4">
        <f t="shared" si="4"/>
        <v>87.2</v>
      </c>
      <c r="I15" s="5">
        <f t="shared" si="5"/>
        <v>872</v>
      </c>
      <c r="K15" s="89" t="s">
        <v>15</v>
      </c>
      <c r="L15">
        <v>10</v>
      </c>
      <c r="M15" s="3" t="s">
        <v>16</v>
      </c>
    </row>
    <row r="16" spans="2:13">
      <c r="B16" s="2">
        <v>15</v>
      </c>
      <c r="C16" t="s">
        <v>435</v>
      </c>
      <c r="D16" s="3"/>
      <c r="E16" s="172">
        <v>4</v>
      </c>
      <c r="F16" s="97">
        <f t="shared" si="3"/>
        <v>40</v>
      </c>
      <c r="G16">
        <f>VLOOKUP($C16,[1]약재관리!$A:$J,10,FALSE)</f>
        <v>8.3000000000000007</v>
      </c>
      <c r="H16" s="4">
        <f t="shared" si="4"/>
        <v>33.200000000000003</v>
      </c>
      <c r="I16" s="5">
        <f t="shared" si="5"/>
        <v>332</v>
      </c>
      <c r="K16" s="89" t="s">
        <v>17</v>
      </c>
      <c r="L16">
        <v>20</v>
      </c>
      <c r="M16" s="3" t="s">
        <v>18</v>
      </c>
    </row>
    <row r="17" spans="2:13" ht="17.25" thickBot="1">
      <c r="B17" s="2">
        <v>16</v>
      </c>
      <c r="C17" t="s">
        <v>436</v>
      </c>
      <c r="D17" s="3"/>
      <c r="E17" s="172">
        <v>2</v>
      </c>
      <c r="F17" s="97">
        <f t="shared" si="3"/>
        <v>20</v>
      </c>
      <c r="G17">
        <f>VLOOKUP($C17,[1]약재관리!$A:$J,10,FALSE)</f>
        <v>26</v>
      </c>
      <c r="H17" s="4">
        <f t="shared" si="4"/>
        <v>52</v>
      </c>
      <c r="I17" s="5">
        <f t="shared" si="5"/>
        <v>520</v>
      </c>
      <c r="K17" s="13" t="s">
        <v>19</v>
      </c>
      <c r="L17" s="10">
        <v>110</v>
      </c>
      <c r="M17" s="11" t="s">
        <v>20</v>
      </c>
    </row>
    <row r="18" spans="2:13">
      <c r="B18" s="2">
        <v>17</v>
      </c>
      <c r="C18" t="s">
        <v>437</v>
      </c>
      <c r="D18" s="3"/>
      <c r="E18" s="172">
        <v>2</v>
      </c>
      <c r="F18" s="97">
        <f t="shared" si="3"/>
        <v>20</v>
      </c>
      <c r="G18">
        <f>VLOOKUP($C18,[1]약재관리!$A:$J,10,FALSE)</f>
        <v>12.2</v>
      </c>
      <c r="H18" s="4">
        <f t="shared" si="4"/>
        <v>24.4</v>
      </c>
      <c r="I18" s="5">
        <f t="shared" si="5"/>
        <v>244</v>
      </c>
      <c r="K18" s="90" t="s">
        <v>21</v>
      </c>
      <c r="L18" s="8">
        <f>SUM(E2:E31)</f>
        <v>86</v>
      </c>
      <c r="M18" s="9" t="s">
        <v>22</v>
      </c>
    </row>
    <row r="19" spans="2:13">
      <c r="B19" s="2">
        <v>18</v>
      </c>
      <c r="C19" t="s">
        <v>422</v>
      </c>
      <c r="D19" s="3"/>
      <c r="E19" s="172">
        <v>2</v>
      </c>
      <c r="F19" s="97">
        <f t="shared" si="3"/>
        <v>20</v>
      </c>
      <c r="G19">
        <f>VLOOKUP($C19,[1]약재관리!$A:$J,10,FALSE)</f>
        <v>136.80000000000001</v>
      </c>
      <c r="H19" s="4">
        <f t="shared" si="4"/>
        <v>273.60000000000002</v>
      </c>
      <c r="I19" s="5">
        <f t="shared" si="5"/>
        <v>2736</v>
      </c>
      <c r="K19" s="89" t="s">
        <v>23</v>
      </c>
      <c r="L19">
        <f>L15*L18</f>
        <v>860</v>
      </c>
      <c r="M19" s="3" t="s">
        <v>22</v>
      </c>
    </row>
    <row r="20" spans="2:13" ht="17.25" thickBot="1">
      <c r="B20" s="2">
        <v>19</v>
      </c>
      <c r="C20" t="s">
        <v>439</v>
      </c>
      <c r="D20" s="3"/>
      <c r="E20" s="172">
        <v>4</v>
      </c>
      <c r="F20" s="97">
        <f t="shared" si="3"/>
        <v>40</v>
      </c>
      <c r="G20">
        <f>VLOOKUP($C20,[1]약재관리!$A:$J,10,FALSE)</f>
        <v>13.8</v>
      </c>
      <c r="H20" s="4">
        <f t="shared" si="4"/>
        <v>55.2</v>
      </c>
      <c r="I20" s="5">
        <f t="shared" si="5"/>
        <v>552</v>
      </c>
      <c r="K20" s="13" t="s">
        <v>24</v>
      </c>
      <c r="L20" s="10">
        <f>L16*L17+L19</f>
        <v>3060</v>
      </c>
      <c r="M20" s="11" t="s">
        <v>20</v>
      </c>
    </row>
    <row r="21" spans="2:13" ht="17.25" thickBot="1">
      <c r="B21" s="2">
        <v>20</v>
      </c>
      <c r="C21" t="s">
        <v>417</v>
      </c>
      <c r="D21" s="3"/>
      <c r="E21" s="172">
        <v>4</v>
      </c>
      <c r="F21" s="97">
        <f t="shared" si="3"/>
        <v>40</v>
      </c>
      <c r="G21">
        <f>VLOOKUP($C21,[1]약재관리!$A:$J,10,FALSE)</f>
        <v>20</v>
      </c>
      <c r="H21" s="4">
        <f t="shared" si="4"/>
        <v>80</v>
      </c>
      <c r="I21" s="5">
        <f t="shared" si="5"/>
        <v>800</v>
      </c>
      <c r="J21" s="89"/>
      <c r="M21" s="92"/>
    </row>
    <row r="22" spans="2:13" ht="17.25" thickBot="1">
      <c r="B22" s="2">
        <v>21</v>
      </c>
      <c r="D22" s="3"/>
      <c r="E22"/>
      <c r="F22" s="97">
        <f t="shared" si="3"/>
        <v>0</v>
      </c>
      <c r="H22" s="4">
        <f t="shared" si="4"/>
        <v>0</v>
      </c>
      <c r="I22" s="5">
        <f t="shared" si="5"/>
        <v>0</v>
      </c>
      <c r="K22" s="176" t="s">
        <v>25</v>
      </c>
      <c r="L22" s="177"/>
      <c r="M22" s="178"/>
    </row>
    <row r="23" spans="2:13">
      <c r="B23" s="2">
        <v>22</v>
      </c>
      <c r="D23" s="3"/>
      <c r="E23"/>
      <c r="F23" s="97">
        <f t="shared" si="3"/>
        <v>0</v>
      </c>
      <c r="H23" s="4">
        <f t="shared" si="4"/>
        <v>0</v>
      </c>
      <c r="I23" s="5">
        <f t="shared" si="5"/>
        <v>0</v>
      </c>
      <c r="K23" s="89" t="s">
        <v>26</v>
      </c>
      <c r="L23">
        <f>SUM(F2:F31)</f>
        <v>860</v>
      </c>
      <c r="M23" s="3" t="s">
        <v>22</v>
      </c>
    </row>
    <row r="24" spans="2:13">
      <c r="B24" s="2">
        <v>23</v>
      </c>
      <c r="D24" s="3"/>
      <c r="E24"/>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6" t="s">
        <v>32</v>
      </c>
      <c r="L29" s="177"/>
      <c r="M29" s="178"/>
    </row>
    <row r="30" spans="2:13">
      <c r="B30" s="2">
        <v>29</v>
      </c>
      <c r="D30" s="3"/>
      <c r="F30" s="97">
        <f t="shared" si="3"/>
        <v>0</v>
      </c>
      <c r="H30" s="4">
        <f t="shared" si="4"/>
        <v>0</v>
      </c>
      <c r="I30" s="5">
        <f t="shared" si="5"/>
        <v>0</v>
      </c>
      <c r="K30" s="89" t="s">
        <v>28</v>
      </c>
      <c r="L30" s="4">
        <f>SUM(H2:H31)</f>
        <v>1515.0000000000002</v>
      </c>
      <c r="M30" s="3" t="s">
        <v>33</v>
      </c>
    </row>
    <row r="31" spans="2:13" ht="17.25" thickBot="1">
      <c r="B31" s="12">
        <v>30</v>
      </c>
      <c r="C31" s="13"/>
      <c r="D31" s="11"/>
      <c r="E31" s="93"/>
      <c r="F31" s="98">
        <f t="shared" si="3"/>
        <v>0</v>
      </c>
      <c r="G31" s="10"/>
      <c r="H31" s="14">
        <f t="shared" si="4"/>
        <v>0</v>
      </c>
      <c r="I31" s="15">
        <f t="shared" si="5"/>
        <v>0</v>
      </c>
      <c r="K31" s="13" t="s">
        <v>34</v>
      </c>
      <c r="L31" s="14">
        <f>SUM(I2:I31)</f>
        <v>15150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2025-11-07T05:06:31Z</cp:lastPrinted>
  <dcterms:created xsi:type="dcterms:W3CDTF">2024-09-12T16:35:01Z</dcterms:created>
  <dcterms:modified xsi:type="dcterms:W3CDTF">2025-11-07T05:48:28Z</dcterms:modified>
  <cp:category/>
  <cp:contentStatus/>
</cp:coreProperties>
</file>