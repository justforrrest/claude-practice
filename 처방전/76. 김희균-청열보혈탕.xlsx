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66" documentId="8_{6EB8DC0A-AB56-415F-A9F3-EA1534264548}" xr6:coauthVersionLast="47" xr6:coauthVersionMax="47" xr10:uidLastSave="{35571F00-4AD1-476C-8984-CEE35E33E483}"/>
  <bookViews>
    <workbookView xWindow="13005" yWindow="0" windowWidth="15240" windowHeight="1545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 l="1"/>
  <c r="F17" i="4"/>
  <c r="H3" i="4"/>
  <c r="H4" i="4"/>
  <c r="H5" i="4"/>
  <c r="H6" i="4"/>
  <c r="H7" i="4"/>
  <c r="H8" i="4"/>
  <c r="H9" i="4"/>
  <c r="H10" i="4"/>
  <c r="H11" i="4"/>
  <c r="H12" i="4"/>
  <c r="H13" i="4"/>
  <c r="H14" i="4"/>
  <c r="H15" i="4"/>
  <c r="H16" i="4"/>
  <c r="H17" i="4"/>
  <c r="G14" i="4"/>
  <c r="G15" i="4"/>
  <c r="G16" i="4"/>
  <c r="G17" i="4"/>
  <c r="L4" i="4"/>
  <c r="I126" i="5"/>
  <c r="G141" i="5"/>
  <c r="I144" i="5"/>
  <c r="H144" i="5"/>
  <c r="G144" i="5"/>
  <c r="F144" i="5"/>
  <c r="G170" i="5"/>
  <c r="G3" i="4"/>
  <c r="G4" i="4"/>
  <c r="G5" i="4"/>
  <c r="G6" i="4"/>
  <c r="G7" i="4"/>
  <c r="G8" i="4"/>
  <c r="G9" i="4"/>
  <c r="G10" i="4"/>
  <c r="G11" i="4"/>
  <c r="G12" i="4"/>
  <c r="G13"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I18" i="4" l="1"/>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5" i="4"/>
  <c r="F14" i="4"/>
  <c r="F13" i="4"/>
  <c r="I27" i="4" l="1"/>
  <c r="L23" i="4"/>
  <c r="I2" i="4"/>
  <c r="I17" i="4"/>
  <c r="I24" i="4"/>
  <c r="I19" i="4"/>
  <c r="I11" i="4"/>
  <c r="I3" i="4"/>
  <c r="H2" i="4"/>
  <c r="I31" i="4"/>
  <c r="I30" i="4"/>
  <c r="H27" i="4"/>
  <c r="I29" i="4"/>
  <c r="I16" i="4"/>
  <c r="I15" i="4"/>
  <c r="I14" i="4"/>
  <c r="I13" i="4"/>
  <c r="I8" i="4"/>
  <c r="H24" i="4"/>
  <c r="I23" i="4"/>
  <c r="I7" i="4"/>
  <c r="H25"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<sst xmlns="http://schemas.openxmlformats.org/spreadsheetml/2006/main" count="594" uniqueCount="431">
  <si>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</si>
  <si>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</si>
  <si>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</si>
  <si>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</si>
  <si>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</si>
  <si>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</si>
  <si>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</si>
  <si>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</si>
  <si>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</si>
  <si>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</si>
  <si>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</si>
  <si>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</si>
  <si>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</si>
  <si>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</si>
  <si>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</si>
  <si>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</si>
  <si>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</si>
  <si>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</si>
  <si>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</si>
  <si>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</si>
  <si>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</si>
  <si>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</si>
  <si>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</si>
  <si>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</si>
  <si>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</si>
  <si>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</si>
  <si>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</si>
  <si>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</si>
  <si>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</si>
  <si>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</si>
  <si>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</si>
  <si>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</si>
  <si>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</si>
  <si>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</si>
  <si>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</si>
  <si>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</si>
  <si>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</si>
  <si>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</si>
  <si>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</si>
  <si>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</si>
  <si>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</si>
  <si>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</si>
  <si>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</si>
  <si>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</si>
  <si>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</si>
  <si>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</si>
  <si>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</si>
  <si>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</si>
  <si>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</si>
  <si>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</si>
  <si>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</si>
  <si>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</si>
  <si>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</si>
  <si>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</si>
  <si>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</si>
  <si>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</si>
  <si>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</si>
  <si>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</si>
  <si>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</si>
  <si>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</si>
  <si>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</si>
  <si>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</si>
  <si>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</si>
  <si>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</si>
  <si>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</si>
  <si>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</si>
  <si>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</si>
  <si>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</si>
  <si>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</si>
  <si>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</si>
  <si>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</si>
  <si>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</si>
  <si>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</si>
  <si>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</si>
  <si>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</si>
  <si>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</si>
  <si>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</si>
  <si>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</si>
  <si>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</si>
  <si>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</si>
  <si>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</si>
  <si>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</si>
  <si>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</si>
  <si>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</si>
  <si>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</si>
  <si>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</si>
  <si>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</si>
  <si>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</si>
  <si>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</si>
  <si>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</si>
  <si>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</si>
  <si>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</si>
  <si>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</si>
  <si>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</si>
  <si>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</si>
  <si>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</si>
  <si>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</si>
  <si>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</si>
  <si>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</si>
  <si>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</si>
  <si>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</si>
  <si>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</si>
  <si>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</si>
  <si>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</si>
  <si>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</si>
  <si>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</si>
  <si>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</si>
  <si>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</si>
  <si>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</si>
  <si>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</si>
  <si>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</si>
  <si>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</si>
  <si>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</si>
  <si>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</si>
  <si>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</si>
  <si>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</si>
  <si>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</si>
  <si>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</si>
  <si>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</si>
  <si>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</si>
  <si>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</si>
  <si>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</si>
  <si>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</si>
  <si>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</si>
  <si>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</si>
  <si>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</si>
  <si>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</si>
  <si>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</si>
  <si>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</si>
  <si>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</si>
  <si>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</si>
  <si>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</si>
  <si>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</si>
  <si>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</si>
  <si>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</si>
  <si>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</si>
  <si>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</si>
  <si>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</si>
  <si>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</si>
  <si>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</si>
  <si>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</si>
  <si>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</si>
  <si>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</si>
  <si>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</si>
  <si>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</si>
  <si>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</si>
  <si>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</si>
  <si>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</si>
  <si>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</si>
  <si>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</si>
  <si>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</si>
  <si>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</si>
  <si>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</si>
  <si>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</si>
  <si>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</si>
  <si>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</si>
  <si>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</si>
  <si>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</si>
  <si>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</si>
  <si>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</si>
  <si>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</si>
  <si>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</si>
  <si>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</si>
  <si>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</si>
  <si>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</si>
  <si>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</si>
  <si>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</si>
  <si>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</si>
  <si>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</si>
  <si>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</si>
  <si>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</si>
  <si>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</si>
  <si>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</si>
  <si>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</si>
  <si>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</si>
  <si>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</si>
  <si>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</si>
  <si>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</si>
  <si>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</si>
  <si>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</si>
  <si>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</si>
  <si>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</si>
  <si>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</si>
  <si>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</si>
  <si>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</si>
  <si>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</si>
  <si>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</si>
  <si>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</si>
  <si>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</si>
  <si>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</si>
  <si>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</si>
  <si>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</si>
  <si>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</si>
  <si>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</si>
  <si>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</si>
  <si>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</si>
  <si>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</si>
  <si>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</si>
  <si>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</si>
  <si>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</si>
  <si>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</si>
  <si>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</si>
  <si>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</si>
  <si>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</si>
  <si>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</si>
  <si>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</si>
  <si>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</si>
  <si>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</si>
  <si>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</si>
  <si>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</si>
  <si>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</si>
  <si>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</si>
  <si>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</si>
  <si>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</si>
  <si>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</si>
  <si>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</si>
  <si>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</si>
  <si>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</si>
  <si>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</si>
  <si>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</si>
  <si>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</si>
  <si>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</si>
  <si>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</si>
  <si>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</si>
  <si>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</si>
  <si>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</si>
  <si>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</si>
  <si>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</si>
  <si>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</si>
  <si>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</si>
  <si>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</si>
  <si>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</si>
  <si>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</si>
  <si>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</si>
  <si>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</si>
  <si>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</si>
  <si>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</si>
  <si>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</si>
  <si>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</si>
  <si>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</si>
  <si>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</si>
  <si>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</si>
  <si>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</si>
  <si>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</si>
  <si>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</si>
  <si>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</si>
  <si>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</si>
  <si>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</si>
  <si>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</si>
  <si>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</si>
  <si>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</si>
  <si>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</si>
  <si>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</si>
  <si>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</si>
  <si>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</si>
  <si>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</si>
  <si>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</si>
  <si>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</si>
  <si>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</si>
  <si>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</si>
  <si>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</si>
  <si>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</si>
  <si>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</si>
  <si>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</si>
  <si>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</si>
  <si>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</si>
  <si>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</si>
  <si>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</si>
  <si>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</si>
  <si>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</si>
  <si>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</si>
  <si>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</si>
  <si>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</si>
  <si>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</si>
  <si>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</si>
  <si>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</si>
  <si>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</si>
  <si>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</si>
  <si>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</si>
  <si>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</si>
  <si>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</si>
  <si>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</si>
  <si>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</si>
  <si>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</si>
  <si>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</si>
  <si>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</si>
  <si>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</si>
  <si>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</si>
  <si>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</si>
  <si>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</si>
  <si>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</si>
  <si>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</si>
  <si>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</si>
  <si>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</si>
  <si>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</si>
  <si>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</si>
  <si>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</si>
  <si>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</si>
  <si>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</si>
  <si>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</si>
  <si>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</si>
  <si>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</si>
  <si>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</si>
  <si>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</si>
  <si>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</si>
  <si>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</si>
  <si>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</si>
  <si>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</si>
  <si>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</si>
  <si>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</si>
  <si>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</si>
  <si>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</si>
  <si>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</si>
  <si>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</si>
  <si>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</si>
  <si>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</si>
  <si>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</si>
  <si>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</si>
  <si>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</si>
  <si>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</si>
  <si>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</si>
  <si>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</si>
  <si>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</si>
  <si>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</si>
  <si>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</si>
  <si>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</si>
  <si>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</si>
  <si>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</si>
  <si>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</si>
  <si>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</si>
  <si>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</si>
  <si>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</si>
  <si>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</si>
  <si>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</si>
  <si>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</si>
  <si>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</si>
  <si>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</si>
  <si>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</si>
  <si>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</si>
  <si>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</si>
  <si>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</si>
  <si>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</si>
  <si>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</si>
  <si>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</si>
  <si>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</si>
  <si>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</si>
  <si>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</si>
  <si>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</si>
  <si>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</si>
  <si>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</si>
  <si>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</si>
  <si>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</si>
  <si>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</si>
  <si>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</si>
  <si>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</si>
  <si>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</si>
  <si>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</si>
  <si>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</si>
  <si>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</si>
  <si>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</si>
  <si>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</si>
  <si>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</si>
  <si>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</si>
  <si>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</si>
  <si>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</si>
  <si>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</si>
  <si>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</si>
  <si>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</si>
  <si>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</si>
  <si>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</si>
  <si>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</si>
  <si>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</si>
  <si>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</si>
  <si>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</si>
  <si>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</si>
  <si>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</si>
  <si>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</si>
  <si>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</si>
  <si>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</si>
  <si>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</si>
  <si>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</si>
  <si>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</si>
  <si>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</si>
  <si>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</si>
  <si>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</si>
  <si>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</si>
  <si>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</si>
  <si>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</si>
  <si>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</si>
  <si>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</si>
  <si>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</si>
  <si>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</si>
  <si>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</si>
  <si>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</si>
  <si>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</si>
  <si>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</si>
  <si>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</si>
  <si>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</si>
  <si>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</si>
  <si>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</si>
  <si>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</si>
  <si>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</si>
  <si>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</si>
  <si>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</si>
  <si>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</si>
  <si>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</si>
  <si>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</si>
  <si>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</si>
  <si>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</si>
  <si>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</si>
  <si>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</si>
  <si>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청열보혈탕</t>
    <phoneticPr fontId="5" type="noConversion"/>
  </si>
  <si>
    <t>김희균</t>
    <phoneticPr fontId="5" type="noConversion"/>
  </si>
  <si>
    <t>F</t>
    <phoneticPr fontId="5" type="noConversion"/>
  </si>
  <si>
    <t>백작약</t>
    <phoneticPr fontId="5" type="noConversion"/>
  </si>
  <si>
    <t>건지황</t>
    <phoneticPr fontId="5" type="noConversion"/>
  </si>
  <si>
    <t>맥문동</t>
    <phoneticPr fontId="5" type="noConversion"/>
  </si>
  <si>
    <t>현삼</t>
    <phoneticPr fontId="5" type="noConversion"/>
  </si>
  <si>
    <t>지모</t>
    <phoneticPr fontId="5" type="noConversion"/>
  </si>
  <si>
    <t>황백</t>
    <phoneticPr fontId="5" type="noConversion"/>
  </si>
  <si>
    <t>목단피</t>
    <phoneticPr fontId="5" type="noConversion"/>
  </si>
  <si>
    <t>오미자</t>
    <phoneticPr fontId="5" type="noConversion"/>
  </si>
  <si>
    <t>시호2</t>
    <phoneticPr fontId="5" type="noConversion"/>
  </si>
  <si>
    <t>당귀1</t>
    <phoneticPr fontId="5" type="noConversion"/>
  </si>
  <si>
    <t>천궁1</t>
    <phoneticPr fontId="5" type="noConversion"/>
  </si>
  <si>
    <t>녹용</t>
    <phoneticPr fontId="5" type="noConversion"/>
  </si>
  <si>
    <t>향부자</t>
    <phoneticPr fontId="5" type="noConversion"/>
  </si>
  <si>
    <t>원육</t>
    <phoneticPr fontId="5" type="noConversion"/>
  </si>
  <si>
    <t>인삼</t>
    <phoneticPr fontId="5" type="noConversion"/>
  </si>
  <si>
    <t>복령</t>
    <phoneticPr fontId="5" type="noConversion"/>
  </si>
  <si>
    <t xml:space="preserve">청열보혈탕 + 향부자 원육 인삼 복령 녹용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</si>
</sst>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13" sqref="E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423</v>
      </c>
      <c r="D2" s="4"/>
      <c r="E2" s="88">
        <v>4</v>
      </c>
      <c r="F2" s="101">
        <f>E2*$L$15</f>
        <v>80</v>
      </c>
      <c r="G2">
        <f>VLOOKUP($C2,약재관리!A:J,10,FALSE)</f>
        <v>25</v>
      </c>
      <c r="H2" s="5">
        <f>G2*E2</f>
        <v>100</v>
      </c>
      <c r="I2" s="90">
        <f>G2*F2</f>
        <v>2000</v>
      </c>
      <c r="K2" s="7" t="s">
        <v>9</v>
      </c>
      <c r="L2" s="152">
        <v>76</v>
      </c>
      <c r="M2" s="153"/>
    </row>
    <row r="3" spans="2:13">
      <c r="B3" s="3">
        <v>2</v>
      </c>
      <c r="C3" t="s">
        <v>424</v>
      </c>
      <c r="D3" s="4"/>
      <c r="E3" s="88">
        <v>4</v>
      </c>
      <c r="F3" s="101">
        <f t="shared" ref="F3:F31" si="0">E3*$L$15</f>
        <v>80</v>
      </c>
      <c r="G3">
        <f>VLOOKUP($C3,약재관리!A:J,10,FALSE)</f>
        <v>10.8</v>
      </c>
      <c r="H3" s="5">
        <f t="shared" ref="H3:H17" si="1">G3*E3</f>
        <v>43.2</v>
      </c>
      <c r="I3" s="6">
        <f t="shared" ref="I3:I31" si="2">G3*F3</f>
        <v>864</v>
      </c>
      <c r="K3" s="8" t="s">
        <v>10</v>
      </c>
      <c r="L3" s="147" t="s">
        <v>411</v>
      </c>
      <c r="M3" s="148"/>
    </row>
    <row r="4" spans="2:13">
      <c r="B4" s="3">
        <v>3</v>
      </c>
      <c r="C4" t="s">
        <v>414</v>
      </c>
      <c r="D4" s="4"/>
      <c r="E4" s="88">
        <v>4</v>
      </c>
      <c r="F4" s="101">
        <f t="shared" si="0"/>
        <v>80</v>
      </c>
      <c r="G4">
        <f>VLOOKUP($C4,약재관리!A:J,10,FALSE)</f>
        <v>19.600000000000001</v>
      </c>
      <c r="H4" s="5">
        <f t="shared" si="1"/>
        <v>78.400000000000006</v>
      </c>
      <c r="I4" s="6">
        <f t="shared" si="2"/>
        <v>1568</v>
      </c>
      <c r="K4" s="8" t="s">
        <v>11</v>
      </c>
      <c r="L4" s="154">
        <f ca="1">TODAY()</f>
        <v>45692</v>
      </c>
      <c r="M4" s="148"/>
    </row>
    <row r="5" spans="2:13">
      <c r="B5" s="3">
        <v>4</v>
      </c>
      <c r="C5" t="s">
        <v>415</v>
      </c>
      <c r="D5" s="4"/>
      <c r="E5" s="88">
        <v>4</v>
      </c>
      <c r="F5" s="101">
        <f t="shared" si="0"/>
        <v>80</v>
      </c>
      <c r="G5">
        <f>VLOOKUP($C5,약재관리!A:J,10,FALSE)</f>
        <v>14.4</v>
      </c>
      <c r="H5" s="5">
        <f t="shared" si="1"/>
        <v>57.6</v>
      </c>
      <c r="I5" s="6">
        <f t="shared" si="2"/>
        <v>1152</v>
      </c>
      <c r="K5" s="8" t="s">
        <v>12</v>
      </c>
      <c r="L5" s="147" t="s">
        <v>412</v>
      </c>
      <c r="M5" s="148"/>
    </row>
    <row r="6" spans="2:13">
      <c r="B6" s="3">
        <v>5</v>
      </c>
      <c r="C6" t="s">
        <v>416</v>
      </c>
      <c r="D6" s="4"/>
      <c r="E6" s="88">
        <v>4</v>
      </c>
      <c r="F6" s="101">
        <f t="shared" si="0"/>
        <v>80</v>
      </c>
      <c r="G6">
        <f>VLOOKUP($C6,약재관리!A:J,10,FALSE)</f>
        <v>44.3</v>
      </c>
      <c r="H6" s="5">
        <f t="shared" si="1"/>
        <v>177.2</v>
      </c>
      <c r="I6" s="6">
        <f t="shared" si="2"/>
        <v>3544</v>
      </c>
      <c r="K6" s="8" t="s">
        <v>13</v>
      </c>
      <c r="L6" s="147">
        <v>53</v>
      </c>
      <c r="M6" s="148"/>
    </row>
    <row r="7" spans="2:13" ht="17.25" thickBot="1">
      <c r="B7" s="3">
        <v>6</v>
      </c>
      <c r="C7" t="s">
        <v>417</v>
      </c>
      <c r="D7" s="4"/>
      <c r="E7" s="88">
        <v>2</v>
      </c>
      <c r="F7" s="101">
        <f t="shared" si="0"/>
        <v>40</v>
      </c>
      <c r="G7">
        <f>VLOOKUP($C7,약재관리!A:J,10,FALSE)</f>
        <v>24</v>
      </c>
      <c r="H7" s="5">
        <f t="shared" si="1"/>
        <v>48</v>
      </c>
      <c r="I7" s="6">
        <f t="shared" si="2"/>
        <v>960</v>
      </c>
      <c r="K7" s="8" t="s">
        <v>14</v>
      </c>
      <c r="L7" s="155" t="s">
        <v>413</v>
      </c>
      <c r="M7" s="156"/>
    </row>
    <row r="8" spans="2:13" ht="17.25" thickBot="1">
      <c r="B8" s="3">
        <v>7</v>
      </c>
      <c r="C8" t="s">
        <v>418</v>
      </c>
      <c r="D8" s="4"/>
      <c r="E8" s="88">
        <v>2</v>
      </c>
      <c r="F8" s="101">
        <f t="shared" si="0"/>
        <v>40</v>
      </c>
      <c r="G8">
        <f>VLOOKUP($C8,약재관리!A:J,10,FALSE)</f>
        <v>16.7</v>
      </c>
      <c r="H8" s="5">
        <f t="shared" si="1"/>
        <v>33.4</v>
      </c>
      <c r="I8" s="6">
        <f t="shared" si="2"/>
        <v>668</v>
      </c>
      <c r="K8" s="149" t="s">
        <v>15</v>
      </c>
      <c r="L8" s="150"/>
      <c r="M8" s="151"/>
    </row>
    <row r="9" spans="2:13">
      <c r="B9" s="3">
        <v>8</v>
      </c>
      <c r="C9" t="s">
        <v>419</v>
      </c>
      <c r="D9" s="4"/>
      <c r="E9" s="88">
        <v>2</v>
      </c>
      <c r="F9" s="101">
        <f t="shared" si="0"/>
        <v>40</v>
      </c>
      <c r="G9">
        <f>VLOOKUP($C9,약재관리!A:J,10,FALSE)</f>
        <v>27.7</v>
      </c>
      <c r="H9" s="5">
        <f t="shared" si="1"/>
        <v>55.4</v>
      </c>
      <c r="I9" s="6">
        <f t="shared" si="2"/>
        <v>1108</v>
      </c>
      <c r="K9" s="165" t="s">
        <v>430</v>
      </c>
      <c r="L9" s="157"/>
      <c r="M9" s="158"/>
    </row>
    <row r="10" spans="2:13">
      <c r="B10" s="3">
        <v>9</v>
      </c>
      <c r="C10" t="s">
        <v>422</v>
      </c>
      <c r="D10" s="4"/>
      <c r="E10" s="88">
        <v>2</v>
      </c>
      <c r="F10" s="101">
        <f t="shared" si="0"/>
        <v>40</v>
      </c>
      <c r="G10">
        <f>VLOOKUP($C10,약재관리!A:J,10,FALSE)</f>
        <v>15.3</v>
      </c>
      <c r="H10" s="5">
        <f t="shared" si="1"/>
        <v>30.6</v>
      </c>
      <c r="I10" s="6">
        <f t="shared" si="2"/>
        <v>612</v>
      </c>
      <c r="K10" s="159"/>
      <c r="L10" s="160"/>
      <c r="M10" s="161"/>
    </row>
    <row r="11" spans="2:13">
      <c r="B11" s="3">
        <v>10</v>
      </c>
      <c r="C11" t="s">
        <v>420</v>
      </c>
      <c r="D11" s="4"/>
      <c r="E11" s="88">
        <v>2</v>
      </c>
      <c r="F11" s="101">
        <f t="shared" si="0"/>
        <v>40</v>
      </c>
      <c r="G11">
        <f>VLOOKUP($C11,약재관리!A:J,10,FALSE)</f>
        <v>31.5</v>
      </c>
      <c r="H11" s="5">
        <f t="shared" si="1"/>
        <v>63</v>
      </c>
      <c r="I11" s="6">
        <f t="shared" si="2"/>
        <v>1260</v>
      </c>
      <c r="K11" s="159"/>
      <c r="L11" s="160"/>
      <c r="M11" s="161"/>
    </row>
    <row r="12" spans="2:13">
      <c r="B12" s="3">
        <v>11</v>
      </c>
      <c r="C12" t="s">
        <v>421</v>
      </c>
      <c r="D12" s="4"/>
      <c r="E12" s="88">
        <v>2</v>
      </c>
      <c r="F12" s="101">
        <f t="shared" si="0"/>
        <v>40</v>
      </c>
      <c r="G12">
        <f>VLOOKUP($C12,약재관리!A:J,10,FALSE)</f>
        <v>25.2</v>
      </c>
      <c r="H12" s="5">
        <f t="shared" si="1"/>
        <v>50.4</v>
      </c>
      <c r="I12" s="6">
        <f t="shared" si="2"/>
        <v>1008</v>
      </c>
      <c r="K12" s="159"/>
      <c r="L12" s="160"/>
      <c r="M12" s="161"/>
    </row>
    <row r="13" spans="2:13" ht="17.25" thickBot="1">
      <c r="B13" s="3">
        <v>12</v>
      </c>
      <c r="C13" t="s">
        <v>425</v>
      </c>
      <c r="D13" s="4"/>
      <c r="E13" s="88">
        <v>2</v>
      </c>
      <c r="F13" s="101">
        <f t="shared" si="0"/>
        <v>40</v>
      </c>
      <c r="G13">
        <f>VLOOKUP($C13,약재관리!A:J,10,FALSE)</f>
        <v>463.3</v>
      </c>
      <c r="H13" s="5">
        <f t="shared" si="1"/>
        <v>926.6</v>
      </c>
      <c r="I13" s="6">
        <f t="shared" si="2"/>
        <v>18532</v>
      </c>
      <c r="K13" s="162"/>
      <c r="L13" s="163"/>
      <c r="M13" s="164"/>
    </row>
    <row r="14" spans="2:13">
      <c r="B14" s="3">
        <v>13</v>
      </c>
      <c r="C14" t="s">
        <v>426</v>
      </c>
      <c r="D14" s="4"/>
      <c r="E14" s="88">
        <v>6</v>
      </c>
      <c r="F14" s="101">
        <f t="shared" si="0"/>
        <v>120</v>
      </c>
      <c r="G14">
        <f>VLOOKUP($C14,약재관리!A:J,10,FALSE)</f>
        <v>14.7</v>
      </c>
      <c r="H14" s="5">
        <f t="shared" si="1"/>
        <v>88.199999999999989</v>
      </c>
      <c r="I14" s="6">
        <f t="shared" si="2"/>
        <v>1764</v>
      </c>
      <c r="K14" s="92" t="s">
        <v>16</v>
      </c>
      <c r="L14" s="9">
        <v>15</v>
      </c>
      <c r="M14" s="10" t="s">
        <v>17</v>
      </c>
    </row>
    <row r="15" spans="2:13">
      <c r="B15" s="3">
        <v>14</v>
      </c>
      <c r="C15" t="s">
        <v>427</v>
      </c>
      <c r="D15" s="4"/>
      <c r="E15" s="88">
        <v>6</v>
      </c>
      <c r="F15" s="101">
        <f t="shared" si="0"/>
        <v>120</v>
      </c>
      <c r="G15">
        <f>VLOOKUP($C15,약재관리!A:J,10,FALSE)</f>
        <v>19.2</v>
      </c>
      <c r="H15" s="5">
        <f t="shared" si="1"/>
        <v>115.19999999999999</v>
      </c>
      <c r="I15" s="6">
        <f t="shared" si="2"/>
        <v>2304</v>
      </c>
      <c r="K15" s="91" t="s">
        <v>18</v>
      </c>
      <c r="L15">
        <v>20</v>
      </c>
      <c r="M15" s="4" t="s">
        <v>19</v>
      </c>
    </row>
    <row r="16" spans="2:13">
      <c r="B16" s="3">
        <v>15</v>
      </c>
      <c r="C16" t="s">
        <v>428</v>
      </c>
      <c r="D16" s="4"/>
      <c r="E16" s="88">
        <v>4</v>
      </c>
      <c r="F16" s="101">
        <f t="shared" si="0"/>
        <v>80</v>
      </c>
      <c r="G16">
        <f>VLOOKUP($C16,약재관리!A:J,10,FALSE)</f>
        <v>106.7</v>
      </c>
      <c r="H16" s="5">
        <f t="shared" si="1"/>
        <v>426.8</v>
      </c>
      <c r="I16" s="6">
        <f t="shared" si="2"/>
        <v>8536</v>
      </c>
      <c r="K16" s="91" t="s">
        <v>20</v>
      </c>
      <c r="L16">
        <v>45</v>
      </c>
      <c r="M16" s="4" t="s">
        <v>21</v>
      </c>
    </row>
    <row r="17" spans="2:13" ht="17.25" thickBot="1">
      <c r="B17" s="3">
        <v>16</v>
      </c>
      <c r="C17" t="s">
        <v>429</v>
      </c>
      <c r="D17" s="4"/>
      <c r="E17" s="88">
        <v>4</v>
      </c>
      <c r="F17" s="101">
        <f t="shared" si="0"/>
        <v>80</v>
      </c>
      <c r="G17">
        <f>VLOOKUP($C17,약재관리!A:J,10,FALSE)</f>
        <v>11</v>
      </c>
      <c r="H17" s="5">
        <f t="shared" si="1"/>
        <v>44</v>
      </c>
      <c r="I17" s="6">
        <f t="shared" si="2"/>
        <v>880</v>
      </c>
      <c r="K17" s="14" t="s">
        <v>22</v>
      </c>
      <c r="L17" s="11">
        <v>100</v>
      </c>
      <c r="M17" s="12" t="s">
        <v>23</v>
      </c>
    </row>
    <row r="18" spans="2:13">
      <c r="B18" s="3">
        <v>17</v>
      </c>
      <c r="D18" s="4"/>
      <c r="F18" s="101">
        <f t="shared" si="0"/>
        <v>0</v>
      </c>
      <c r="H18" s="5">
        <f t="shared" ref="H3:H31" si="3">G18*E18</f>
        <v>0</v>
      </c>
      <c r="I18" s="6">
        <f t="shared" si="2"/>
        <v>0</v>
      </c>
      <c r="K18" s="92" t="s">
        <v>24</v>
      </c>
      <c r="L18" s="9">
        <f>SUM(E2:E31)</f>
        <v>54</v>
      </c>
      <c r="M18" s="10" t="s">
        <v>25</v>
      </c>
    </row>
    <row r="19" spans="2:13">
      <c r="B19" s="3">
        <v>18</v>
      </c>
      <c r="D19" s="4"/>
      <c r="F19" s="101">
        <f t="shared" si="0"/>
        <v>0</v>
      </c>
      <c r="H19" s="5">
        <f t="shared" si="3"/>
        <v>0</v>
      </c>
      <c r="I19" s="6">
        <f t="shared" si="2"/>
        <v>0</v>
      </c>
      <c r="K19" s="91" t="s">
        <v>26</v>
      </c>
      <c r="L19">
        <f>L15*L18</f>
        <v>1080</v>
      </c>
      <c r="M19" s="4" t="s">
        <v>25</v>
      </c>
    </row>
    <row r="20" spans="2:13" ht="17.25" thickBot="1">
      <c r="B20" s="3">
        <v>19</v>
      </c>
      <c r="D20" s="4"/>
      <c r="F20" s="101">
        <f t="shared" si="0"/>
        <v>0</v>
      </c>
      <c r="H20" s="5">
        <f t="shared" si="3"/>
        <v>0</v>
      </c>
      <c r="I20" s="6">
        <f t="shared" si="2"/>
        <v>0</v>
      </c>
      <c r="K20" s="14" t="s">
        <v>27</v>
      </c>
      <c r="L20" s="11">
        <f>L16*L17+L19</f>
        <v>5580</v>
      </c>
      <c r="M20" s="12" t="s">
        <v>23</v>
      </c>
    </row>
    <row r="21" spans="2:13" ht="17.25" thickBot="1">
      <c r="B21" s="3">
        <v>20</v>
      </c>
      <c r="D21" s="4"/>
      <c r="F21" s="101">
        <f t="shared" si="0"/>
        <v>0</v>
      </c>
      <c r="H21" s="5">
        <f t="shared" si="3"/>
        <v>0</v>
      </c>
      <c r="I21" s="6">
        <f t="shared" si="2"/>
        <v>0</v>
      </c>
      <c r="J21" s="91"/>
      <c r="M21" s="94"/>
    </row>
    <row r="22" spans="2:13" ht="17.25" thickBot="1">
      <c r="B22" s="3">
        <v>21</v>
      </c>
      <c r="D22" s="4"/>
      <c r="F22" s="101">
        <f t="shared" si="0"/>
        <v>0</v>
      </c>
      <c r="H22" s="5">
        <f t="shared" si="3"/>
        <v>0</v>
      </c>
      <c r="I22" s="6">
        <f t="shared" si="2"/>
        <v>0</v>
      </c>
      <c r="K22" s="149" t="s">
        <v>386</v>
      </c>
      <c r="L22" s="150"/>
      <c r="M22" s="151"/>
    </row>
    <row r="23" spans="2:13">
      <c r="B23" s="3">
        <v>22</v>
      </c>
      <c r="D23" s="4"/>
      <c r="F23" s="101">
        <f t="shared" si="0"/>
        <v>0</v>
      </c>
      <c r="H23" s="5">
        <f t="shared" si="3"/>
        <v>0</v>
      </c>
      <c r="I23" s="6">
        <f t="shared" si="2"/>
        <v>0</v>
      </c>
      <c r="K23" s="91" t="s">
        <v>380</v>
      </c>
      <c r="L23">
        <f>SUM(F2:F31)</f>
        <v>1080</v>
      </c>
      <c r="M23" s="4" t="s">
        <v>25</v>
      </c>
    </row>
    <row r="24" spans="2:13">
      <c r="B24" s="3">
        <v>23</v>
      </c>
      <c r="D24" s="4"/>
      <c r="F24" s="101">
        <f t="shared" si="0"/>
        <v>0</v>
      </c>
      <c r="H24" s="5">
        <f t="shared" si="3"/>
        <v>0</v>
      </c>
      <c r="I24" s="6">
        <f t="shared" si="2"/>
        <v>0</v>
      </c>
      <c r="K24" s="91" t="s">
        <v>387</v>
      </c>
      <c r="L24">
        <v>5000</v>
      </c>
      <c r="M24" s="4" t="s">
        <v>23</v>
      </c>
    </row>
    <row r="25" spans="2:13">
      <c r="B25" s="3">
        <v>24</v>
      </c>
      <c r="D25" s="4"/>
      <c r="F25" s="101">
        <f t="shared" si="0"/>
        <v>0</v>
      </c>
      <c r="H25" s="5">
        <f t="shared" si="3"/>
        <v>0</v>
      </c>
      <c r="I25" s="6">
        <f t="shared" si="2"/>
        <v>0</v>
      </c>
      <c r="K25" s="91" t="s">
        <v>28</v>
      </c>
      <c r="L25" s="93" t="s">
        <v>382</v>
      </c>
      <c r="M25" s="4" t="s">
        <v>25</v>
      </c>
    </row>
    <row r="26" spans="2:13">
      <c r="B26" s="3">
        <v>25</v>
      </c>
      <c r="D26" s="4"/>
      <c r="F26" s="101">
        <f t="shared" si="0"/>
        <v>0</v>
      </c>
      <c r="H26" s="5">
        <f t="shared" si="3"/>
        <v>0</v>
      </c>
      <c r="I26" s="6">
        <f t="shared" si="2"/>
        <v>0</v>
      </c>
      <c r="K26" s="91" t="s">
        <v>29</v>
      </c>
      <c r="L26" s="93">
        <v>1600</v>
      </c>
      <c r="M26" s="4" t="s">
        <v>25</v>
      </c>
    </row>
    <row r="27" spans="2:13" ht="17.25" thickBot="1">
      <c r="B27" s="3">
        <v>26</v>
      </c>
      <c r="D27" s="4"/>
      <c r="F27" s="101">
        <f t="shared" si="0"/>
        <v>0</v>
      </c>
      <c r="H27" s="5">
        <f t="shared" si="3"/>
        <v>0</v>
      </c>
      <c r="I27" s="6">
        <f t="shared" si="2"/>
        <v>0</v>
      </c>
      <c r="K27" s="14" t="s">
        <v>381</v>
      </c>
      <c r="L27" s="11">
        <v>4</v>
      </c>
      <c r="M27" s="12" t="s">
        <v>25</v>
      </c>
    </row>
    <row r="28" spans="2:13" ht="17.25" thickBot="1">
      <c r="B28" s="3">
        <v>27</v>
      </c>
      <c r="D28" s="4"/>
      <c r="F28" s="101">
        <f t="shared" si="0"/>
        <v>0</v>
      </c>
      <c r="H28" s="5">
        <f t="shared" si="3"/>
        <v>0</v>
      </c>
      <c r="I28" s="6">
        <f t="shared" si="2"/>
        <v>0</v>
      </c>
      <c r="J28" s="91"/>
      <c r="K28" s="11"/>
      <c r="L28" s="11"/>
      <c r="M28" s="94"/>
    </row>
    <row r="29" spans="2:13" ht="17.25" thickBot="1">
      <c r="B29" s="3">
        <v>28</v>
      </c>
      <c r="D29" s="4"/>
      <c r="F29" s="101">
        <f t="shared" si="0"/>
        <v>0</v>
      </c>
      <c r="H29" s="5">
        <f t="shared" si="3"/>
        <v>0</v>
      </c>
      <c r="I29" s="6">
        <f t="shared" si="2"/>
        <v>0</v>
      </c>
      <c r="K29" s="149" t="s">
        <v>385</v>
      </c>
      <c r="L29" s="150"/>
      <c r="M29" s="151"/>
    </row>
    <row r="30" spans="2:13">
      <c r="B30" s="3">
        <v>29</v>
      </c>
      <c r="D30" s="4"/>
      <c r="F30" s="101">
        <f t="shared" si="0"/>
        <v>0</v>
      </c>
      <c r="H30" s="5">
        <f t="shared" si="3"/>
        <v>0</v>
      </c>
      <c r="I30" s="6">
        <f t="shared" si="2"/>
        <v>0</v>
      </c>
      <c r="K30" s="91" t="s">
        <v>28</v>
      </c>
      <c r="L30" s="5">
        <f>SUM(H2:H31)</f>
        <v>2338</v>
      </c>
      <c r="M30" s="4" t="s">
        <v>384</v>
      </c>
    </row>
    <row r="31" spans="2:13" ht="17.25" thickBot="1">
      <c r="B31" s="13">
        <v>30</v>
      </c>
      <c r="C31" s="14"/>
      <c r="D31" s="12"/>
      <c r="E31" s="95"/>
      <c r="F31" s="102">
        <f t="shared" si="0"/>
        <v>0</v>
      </c>
      <c r="G31" s="11"/>
      <c r="H31" s="15">
        <f t="shared" si="3"/>
        <v>0</v>
      </c>
      <c r="I31" s="16">
        <f t="shared" si="2"/>
        <v>0</v>
      </c>
      <c r="K31" s="14" t="s">
        <v>383</v>
      </c>
      <c r="L31" s="15">
        <f>SUM(I2:I31)</f>
        <v>46760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40" zoomScaleNormal="100" workbookViewId="0">
      <selection activeCell="A207" sqref="A207:A209"/>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2025-02-04T02:24:51Z</dcterms:modified>
</cp:coreProperties>
</file>