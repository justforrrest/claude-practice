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95" documentId="8_{6EB8DC0A-AB56-415F-A9F3-EA1534264548}" xr6:coauthVersionLast="47" xr6:coauthVersionMax="47" xr10:uidLastSave="{9DC81A46-95CD-4B0B-93B9-92CC0DE66ABB}"/>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5" l="1"/>
  <c r="H14" i="5" s="1"/>
  <c r="G13" i="5"/>
  <c r="H13" i="5" s="1"/>
  <c r="G12" i="5"/>
  <c r="I12" i="5" s="1"/>
  <c r="F12" i="5"/>
  <c r="H31" i="5"/>
  <c r="F31" i="5"/>
  <c r="I31" i="5" s="1"/>
  <c r="I30" i="5"/>
  <c r="H30" i="5"/>
  <c r="F30" i="5"/>
  <c r="H29" i="5"/>
  <c r="F29" i="5"/>
  <c r="I29" i="5" s="1"/>
  <c r="H28" i="5"/>
  <c r="F28" i="5"/>
  <c r="I28" i="5" s="1"/>
  <c r="H27" i="5"/>
  <c r="F27" i="5"/>
  <c r="I27" i="5" s="1"/>
  <c r="I26" i="5"/>
  <c r="H26" i="5"/>
  <c r="F26" i="5"/>
  <c r="I25" i="5"/>
  <c r="H25" i="5"/>
  <c r="F25" i="5"/>
  <c r="H24" i="5"/>
  <c r="F24" i="5"/>
  <c r="I24" i="5" s="1"/>
  <c r="I23" i="5"/>
  <c r="H23" i="5"/>
  <c r="F23" i="5"/>
  <c r="H22" i="5"/>
  <c r="F22" i="5"/>
  <c r="I22" i="5" s="1"/>
  <c r="H21" i="5"/>
  <c r="F21" i="5"/>
  <c r="I21" i="5" s="1"/>
  <c r="I20" i="5"/>
  <c r="H20" i="5"/>
  <c r="F20" i="5"/>
  <c r="I19" i="5"/>
  <c r="H19" i="5"/>
  <c r="F19" i="5"/>
  <c r="L18" i="5"/>
  <c r="L19" i="5" s="1"/>
  <c r="L20" i="5" s="1"/>
  <c r="I18" i="5"/>
  <c r="H18" i="5"/>
  <c r="F18" i="5"/>
  <c r="I17" i="5"/>
  <c r="H17" i="5"/>
  <c r="F17" i="5"/>
  <c r="I16" i="5"/>
  <c r="H16" i="5"/>
  <c r="F16" i="5"/>
  <c r="H15" i="5"/>
  <c r="F15" i="5"/>
  <c r="I15" i="5" s="1"/>
  <c r="F14" i="5"/>
  <c r="F13" i="5"/>
  <c r="G11" i="5"/>
  <c r="I11" i="5" s="1"/>
  <c r="F11" i="5"/>
  <c r="G10" i="5"/>
  <c r="H10" i="5" s="1"/>
  <c r="F10" i="5"/>
  <c r="H9" i="5"/>
  <c r="G9" i="5"/>
  <c r="F9" i="5"/>
  <c r="I9" i="5" s="1"/>
  <c r="G8" i="5"/>
  <c r="I8" i="5" s="1"/>
  <c r="F8" i="5"/>
  <c r="G7" i="5"/>
  <c r="I7" i="5" s="1"/>
  <c r="F7" i="5"/>
  <c r="H6" i="5"/>
  <c r="G6" i="5"/>
  <c r="F6" i="5"/>
  <c r="I6" i="5" s="1"/>
  <c r="G5" i="5"/>
  <c r="F5" i="5"/>
  <c r="G4" i="5"/>
  <c r="I4" i="5" s="1"/>
  <c r="F4" i="5"/>
  <c r="L23" i="5" s="1"/>
  <c r="H3" i="5"/>
  <c r="G3" i="5"/>
  <c r="F3" i="5"/>
  <c r="I3" i="5" s="1"/>
  <c r="G2" i="5"/>
  <c r="I2" i="5" s="1"/>
  <c r="F2" i="5"/>
  <c r="G3" i="4"/>
  <c r="G4" i="4"/>
  <c r="G5" i="4"/>
  <c r="G6" i="4"/>
  <c r="G7" i="4"/>
  <c r="G8" i="4"/>
  <c r="G9" i="4"/>
  <c r="G10" i="4"/>
  <c r="G11" i="4"/>
  <c r="G12"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4" i="5" l="1"/>
  <c r="I5" i="5"/>
  <c r="H12" i="5"/>
  <c r="I13" i="5"/>
  <c r="H7" i="5"/>
  <c r="I10" i="5"/>
  <c r="H4" i="5"/>
  <c r="H2" i="5"/>
  <c r="H5" i="5"/>
  <c r="H8" i="5"/>
  <c r="H11" i="5"/>
  <c r="G2" i="4"/>
  <c r="L31" i="5" l="1"/>
  <c r="L30" i="5"/>
  <c r="F2" i="4"/>
  <c r="H4" i="4" l="1"/>
  <c r="H5" i="4"/>
  <c r="H6" i="4"/>
  <c r="H7" i="4"/>
  <c r="H8" i="4"/>
  <c r="H12" i="4"/>
  <c r="H13" i="4"/>
  <c r="H14" i="4"/>
  <c r="H15" i="4"/>
  <c r="H16" i="4"/>
  <c r="I18" i="4"/>
  <c r="H20" i="4"/>
  <c r="H21" i="4"/>
  <c r="H22" i="4"/>
  <c r="H23" i="4"/>
  <c r="I25" i="4"/>
  <c r="I26" i="4"/>
  <c r="H28" i="4"/>
  <c r="H29" i="4"/>
  <c r="H30" i="4"/>
  <c r="H31" i="4"/>
  <c r="F3" i="4"/>
  <c r="F4" i="4"/>
  <c r="F5" i="4"/>
  <c r="F6" i="4"/>
  <c r="F7" i="4"/>
  <c r="F8" i="4"/>
  <c r="F9" i="4"/>
  <c r="F10" i="4"/>
  <c r="I10" i="4" s="1"/>
  <c r="F11" i="4"/>
  <c r="F12" i="4"/>
  <c r="F31" i="4"/>
  <c r="F30" i="4"/>
  <c r="F29" i="4"/>
  <c r="F28" i="4"/>
  <c r="F27" i="4"/>
  <c r="F26" i="4"/>
  <c r="F25" i="4"/>
  <c r="F24" i="4"/>
  <c r="L18" i="4"/>
  <c r="L19" i="4" s="1"/>
  <c r="L20" i="4" s="1"/>
  <c r="F23" i="4"/>
  <c r="F22" i="4"/>
  <c r="F21" i="4"/>
  <c r="F20" i="4"/>
  <c r="F19" i="4"/>
  <c r="F18" i="4"/>
  <c r="F17" i="4"/>
  <c r="F16" i="4"/>
  <c r="F15" i="4"/>
  <c r="F14" i="4"/>
  <c r="F13" i="4"/>
  <c r="I9" i="4" l="1"/>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tc={BB56C8C5-BD88-46F3-8F66-30521C5121DE}</author>
    <author>tc={5B41C00F-E23C-4BAD-A4E1-17BE582B7AFC}</author>
    <author>tc={62E2F7B9-9A59-4563-867D-16C35ED3CA2A}</author>
    <author>tc={C989EEE4-E858-4EEA-BED9-9E0436FECD46}</author>
    <author>tc={03457FDE-DAD6-4DF5-B49D-6D25CB00BB90}</author>
    <author>tc={4ADACE1D-2CD1-475E-AE5C-3336DBEC6A18}</author>
    <author>tc={699361B6-3BE3-47D4-94FF-89214BE2252E}</author>
    <author>tc={365D534C-DA9A-4D0A-A7E7-736F99EBE431}</author>
    <author>tc={4B4AD302-9B08-45F0-8D33-32D3C5D45156}</author>
    <author>tc={021D3B0C-99C4-472C-BBE4-C19C3E2CF634}</author>
    <author>tc={E98CBE1C-E5B0-450F-9978-A12295A7F0FD}</author>
    <author>tc={041E1935-8F16-4A08-AC9B-58FDC4BA4550}</author>
    <author>tc={E9D77224-FB8D-4CFF-AE22-16E7F928E845}</author>
    <author>tc={90EE2560-53D6-495D-9308-AF831B3529C5}</author>
    <author>tc={411939D9-A9A2-4D3B-B239-45BAC83EA620}</author>
    <author>tc={A81A82FA-07CC-4C6D-9CED-16628DFAE46A}</author>
    <author>tc={7406224F-9583-47DB-B043-2E9E7CA45D00}</author>
    <author>tc={013177C0-F6E8-4F50-802A-137558F454DA}</author>
    <author>tc={1222A367-0E5C-4073-BC1C-9020DC07C923}</author>
    <author>tc={6397AA8B-F2A9-47B0-A892-5125E1297B8E}</author>
    <author>tc={EE03B450-5CD6-4C80-B2A5-4E9546C2CCD1}</author>
    <author>tc={3CF85781-8F0B-4B4E-A4E5-9AF144E51608}</author>
    <author>tc={C30B47A7-6E9A-4472-85E7-6869CDE5DAF0}</author>
    <author>tc={EB97363C-1EA7-47EF-8E9A-0F51FF411948}</author>
    <author>tc={2B20A181-B17B-4251-B8B9-D46349F7A7E8}</author>
    <author>tc={25A31A81-BAC4-4489-89EF-9734D2D86E90}</author>
    <author>tc={2F51EA1B-5919-4E79-AE70-E5778F2BA0FB}</author>
    <author>tc={CF6470E3-CC4D-47E8-A8F0-9338DB50EC1B}</author>
    <author>tc={B2CCAEC0-9EB9-41D9-9B2C-1C7A6913F3CF}</author>
    <author>tc={C8780A92-B427-4D3A-80BA-E90F69B1ACBF}</author>
    <author>tc={0840E51F-6589-477A-8687-D15D47EEA3DE}</author>
    <author>tc={CD177556-EE83-4A1B-839C-F74A57357BCD}</author>
    <author>tc={CAC0F14E-5B6B-446B-A03F-615F21851479}</author>
    <author>tc={FD042E9A-4BBD-4A57-831B-CB548759A72B}</author>
    <author>tc={8A648552-9E77-4498-A78A-60E3B81A559F}</author>
    <author>tc={5F6BF821-DD33-4ABE-B00E-D4E5F12EFD4F}</author>
    <author>tc={CE9DFCF4-324C-4674-B398-7653619A172B}</author>
    <author>tc={6F6CFADA-BA24-4E3A-9F95-521D5EDB8EC3}</author>
    <author>tc={05D7B694-D548-4EF5-80BE-416EF1600FAE}</author>
    <author>tc={8EDA6099-16D0-4661-8892-57B229F1058A}</author>
    <author>tc={AAE839E8-BEA5-49B5-A592-FEE59048DB2E}</author>
    <author>tc={FD900331-170D-4156-A2F2-86E4D0F0B2AB}</author>
    <author>tc={07FC3ED5-3387-41B3-898B-E17D1B3BD115}</author>
    <author>tc={05302468-3711-44B7-87DF-18C7D18B12A1}</author>
    <author>tc={65B6547E-79AD-4759-9147-160D5BD2FB78}</author>
    <author>tc={3CFBEF1F-82F9-4789-AD87-B3EEAA5FE160}</author>
    <author>tc={28C99C41-F782-4EB2-BE91-D9533E0121FE}</author>
    <author>tc={A0144A11-5B47-48AF-9129-8E3CD93BE718}</author>
    <author>tc={685202BA-474D-4E6B-89E4-F992EEFB48F5}</author>
    <author>tc={9950946D-4818-4979-8DCE-773D38D2CEEB}</author>
    <author>tc={7724115D-6128-424C-984C-F29B45064CF4}</author>
  </authors>
  <commentList>
    <comment ref="A3" authorId="0" shapeId="0" xr:uid="{BB56C8C5-BD88-46F3-8F66-30521C5121DE}">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5B41C00F-E23C-4BAD-A4E1-17BE582B7AFC}">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62E2F7B9-9A59-4563-867D-16C35ED3CA2A}">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989EEE4-E858-4EEA-BED9-9E0436FECD4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03457FDE-DAD6-4DF5-B49D-6D25CB00BB90}">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4ADACE1D-2CD1-475E-AE5C-3336DBEC6A1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699361B6-3BE3-47D4-94FF-89214BE2252E}">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365D534C-DA9A-4D0A-A7E7-736F99EBE431}">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4B4AD302-9B08-45F0-8D33-32D3C5D45156}">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021D3B0C-99C4-472C-BBE4-C19C3E2CF63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E98CBE1C-E5B0-450F-9978-A12295A7F0FD}">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041E1935-8F16-4A08-AC9B-58FDC4BA4550}">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E9D77224-FB8D-4CFF-AE22-16E7F928E845}">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0EE2560-53D6-495D-9308-AF831B3529C5}">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411939D9-A9A2-4D3B-B239-45BAC83EA620}">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A81A82FA-07CC-4C6D-9CED-16628DFAE46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7406224F-9583-47DB-B043-2E9E7CA45D00}">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13177C0-F6E8-4F50-802A-137558F454DA}">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1222A367-0E5C-4073-BC1C-9020DC07C923}">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6397AA8B-F2A9-47B0-A892-5125E1297B8E}">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EE03B450-5CD6-4C80-B2A5-4E9546C2CCD1}">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3CF85781-8F0B-4B4E-A4E5-9AF144E51608}">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C30B47A7-6E9A-4472-85E7-6869CDE5DAF0}">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EB97363C-1EA7-47EF-8E9A-0F51FF411948}">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2B20A181-B17B-4251-B8B9-D46349F7A7E8}">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25A31A81-BAC4-4489-89EF-9734D2D86E90}">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F51EA1B-5919-4E79-AE70-E5778F2BA0FB}">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CF6470E3-CC4D-47E8-A8F0-9338DB50EC1B}">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B2CCAEC0-9EB9-41D9-9B2C-1C7A6913F3CF}">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C8780A92-B427-4D3A-80BA-E90F69B1ACBF}">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0840E51F-6589-477A-8687-D15D47EEA3DE}">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D177556-EE83-4A1B-839C-F74A57357BCD}">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CAC0F14E-5B6B-446B-A03F-615F21851479}">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FD042E9A-4BBD-4A57-831B-CB548759A72B}">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8A648552-9E77-4498-A78A-60E3B81A559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5F6BF821-DD33-4ABE-B00E-D4E5F12EFD4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CE9DFCF4-324C-4674-B398-7653619A172B}">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6F6CFADA-BA24-4E3A-9F95-521D5EDB8EC3}">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05D7B694-D548-4EF5-80BE-416EF1600FAE}">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8EDA6099-16D0-4661-8892-57B229F1058A}">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AAE839E8-BEA5-49B5-A592-FEE59048DB2E}">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FD900331-170D-4156-A2F2-86E4D0F0B2AB}">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07FC3ED5-3387-41B3-898B-E17D1B3BD115}">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05302468-3711-44B7-87DF-18C7D18B12A1}">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65B6547E-79AD-4759-9147-160D5BD2FB78}">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3CFBEF1F-82F9-4789-AD87-B3EEAA5FE160}">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28C99C41-F782-4EB2-BE91-D9533E0121FE}">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A0144A11-5B47-48AF-9129-8E3CD93BE71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685202BA-474D-4E6B-89E4-F992EEFB48F5}">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9950946D-4818-4979-8DCE-773D38D2CEEB}">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7724115D-6128-424C-984C-F29B45064CF4}">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<sst xmlns="http://schemas.openxmlformats.org/spreadsheetml/2006/main" count="647" uniqueCount="427">
  <si>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</si>
  <si>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</si>
  <si>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</si>
  <si>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</si>
  <si>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</si>
  <si>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</si>
  <si>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</si>
  <si>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</si>
  <si>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</si>
  <si>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</si>
  <si>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</si>
  <si>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</si>
  <si>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</si>
  <si>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</si>
  <si>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</si>
  <si>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</si>
  <si>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</si>
  <si>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</si>
  <si>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</si>
  <si>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</si>
  <si>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</si>
  <si>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</si>
  <si>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</si>
  <si>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</si>
  <si>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</si>
  <si>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</si>
  <si>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</si>
  <si>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</si>
  <si>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</si>
  <si>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</si>
  <si>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</si>
  <si>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</si>
  <si>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</si>
  <si>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</si>
  <si>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</si>
  <si>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</si>
  <si>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</si>
  <si>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</si>
  <si>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</si>
  <si>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</si>
  <si>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</si>
  <si>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</si>
  <si>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</si>
  <si>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</si>
  <si>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</si>
  <si>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</si>
  <si>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</si>
  <si>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</si>
  <si>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</si>
  <si>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</si>
  <si>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</si>
  <si>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</si>
  <si>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</si>
  <si>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</si>
  <si>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</si>
  <si>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</si>
  <si>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</si>
  <si>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</si>
  <si>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</si>
  <si>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</si>
  <si>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</si>
  <si>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</si>
  <si>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</si>
  <si>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</si>
  <si>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</si>
  <si>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</si>
  <si>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</si>
  <si>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</si>
  <si>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</si>
  <si>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</si>
  <si>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</si>
  <si>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</si>
  <si>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</si>
  <si>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</si>
  <si>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</si>
  <si>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</si>
  <si>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</si>
  <si>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</si>
  <si>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</si>
  <si>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</si>
  <si>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</si>
  <si>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</si>
  <si>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</si>
  <si>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</si>
  <si>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</si>
  <si>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</si>
  <si>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</si>
  <si>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</si>
  <si>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</si>
  <si>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</si>
  <si>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</si>
  <si>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</si>
  <si>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</si>
  <si>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</si>
  <si>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</si>
  <si>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</si>
  <si>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</si>
  <si>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</si>
  <si>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</si>
  <si>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</si>
  <si>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</si>
  <si>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</si>
  <si>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</si>
  <si>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</si>
  <si>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</si>
  <si>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</si>
  <si>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</si>
  <si>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</si>
  <si>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</si>
  <si>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</si>
  <si>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</si>
  <si>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</si>
  <si>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</si>
  <si>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</si>
  <si>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</si>
  <si>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</si>
  <si>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</si>
  <si>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</si>
  <si>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</si>
  <si>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</si>
  <si>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</si>
  <si>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</si>
  <si>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</si>
  <si>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</si>
  <si>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</si>
  <si>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</si>
  <si>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</si>
  <si>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</si>
  <si>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</si>
  <si>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</si>
  <si>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</si>
  <si>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</si>
  <si>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</si>
  <si>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</si>
  <si>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</si>
  <si>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</si>
  <si>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</si>
  <si>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</si>
  <si>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</si>
  <si>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</si>
  <si>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</si>
  <si>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</si>
  <si>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</si>
  <si>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</si>
  <si>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</si>
  <si>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</si>
  <si>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</si>
  <si>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</si>
  <si>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</si>
  <si>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</si>
  <si>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</si>
  <si>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</si>
  <si>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</si>
  <si>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</si>
  <si>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</si>
  <si>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</si>
  <si>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</si>
  <si>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</si>
  <si>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</si>
  <si>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</si>
  <si>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</si>
  <si>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</si>
  <si>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</si>
  <si>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</si>
  <si>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</si>
  <si>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</si>
  <si>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</si>
  <si>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</si>
  <si>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</si>
  <si>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</si>
  <si>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</si>
  <si>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</si>
  <si>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</si>
  <si>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</si>
  <si>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</si>
  <si>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</si>
  <si>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</si>
  <si>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</si>
  <si>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</si>
  <si>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</si>
  <si>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</si>
  <si>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</si>
  <si>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</si>
  <si>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</si>
  <si>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</si>
  <si>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</si>
  <si>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</si>
  <si>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</si>
  <si>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</si>
  <si>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</si>
  <si>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</si>
  <si>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</si>
  <si>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</si>
  <si>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</si>
  <si>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</si>
  <si>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</si>
  <si>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</si>
  <si>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</si>
  <si>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</si>
  <si>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</si>
  <si>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</si>
  <si>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</si>
  <si>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</si>
  <si>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</si>
  <si>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</si>
  <si>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</si>
  <si>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</si>
  <si>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</si>
  <si>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</si>
  <si>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</si>
  <si>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</si>
  <si>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</si>
  <si>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</si>
  <si>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</si>
  <si>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</si>
  <si>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</si>
  <si>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</si>
  <si>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</si>
  <si>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</si>
  <si>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</si>
  <si>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</si>
  <si>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</si>
  <si>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</si>
  <si>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</si>
  <si>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</si>
  <si>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</si>
  <si>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</si>
  <si>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</si>
  <si>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</si>
  <si>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</si>
  <si>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</si>
  <si>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</si>
  <si>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</si>
  <si>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</si>
  <si>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</si>
  <si>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</si>
  <si>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</si>
  <si>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</si>
  <si>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</si>
  <si>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</si>
  <si>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</si>
  <si>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</si>
  <si>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</si>
  <si>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</si>
  <si>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</si>
  <si>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</si>
  <si>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</si>
  <si>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</si>
  <si>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</si>
  <si>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</si>
  <si>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</si>
  <si>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</si>
  <si>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</si>
  <si>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</si>
  <si>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</si>
  <si>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</si>
  <si>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</si>
  <si>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</si>
  <si>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</si>
  <si>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</si>
  <si>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</si>
  <si>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</si>
  <si>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</si>
  <si>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</si>
  <si>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</si>
  <si>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</si>
  <si>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</si>
  <si>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</si>
  <si>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</si>
  <si>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</si>
  <si>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</si>
  <si>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</si>
  <si>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</si>
  <si>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</si>
  <si>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</si>
  <si>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</si>
  <si>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</si>
  <si>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</si>
  <si>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</si>
  <si>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</si>
  <si>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</si>
  <si>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</si>
  <si>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</si>
  <si>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</si>
  <si>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</si>
  <si>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</si>
  <si>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</si>
  <si>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</si>
  <si>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</si>
  <si>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</si>
  <si>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</si>
  <si>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</si>
  <si>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</si>
  <si>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</si>
  <si>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</si>
  <si>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</si>
  <si>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</si>
  <si>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</si>
  <si>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</si>
  <si>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</si>
  <si>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</si>
  <si>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</si>
  <si>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</si>
  <si>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</si>
  <si>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</si>
  <si>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</si>
  <si>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</si>
  <si>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</si>
  <si>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</si>
  <si>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</si>
  <si>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</si>
  <si>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</si>
  <si>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</si>
  <si>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</si>
  <si>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</si>
  <si>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</si>
  <si>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</si>
  <si>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</si>
  <si>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</si>
  <si>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</si>
  <si>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</si>
  <si>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</si>
  <si>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</si>
  <si>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</si>
  <si>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</si>
  <si>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</si>
  <si>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</si>
  <si>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</si>
  <si>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</si>
  <si>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</si>
  <si>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</si>
  <si>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</si>
  <si>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</si>
  <si>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</si>
  <si>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</si>
  <si>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</si>
  <si>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</si>
  <si>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</si>
  <si>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</si>
  <si>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</si>
  <si>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</si>
  <si>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</si>
  <si>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</si>
  <si>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</si>
  <si>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</si>
  <si>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</si>
  <si>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</si>
  <si>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</si>
  <si>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</si>
  <si>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</si>
  <si>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</si>
  <si>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</si>
  <si>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</si>
  <si>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</si>
  <si>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</si>
  <si>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</si>
  <si>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</si>
  <si>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</si>
  <si>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</si>
  <si>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</si>
  <si>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</si>
  <si>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</si>
  <si>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</si>
  <si>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</si>
  <si>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</si>
  <si>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</si>
  <si>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</si>
  <si>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</si>
  <si>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</si>
  <si>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</si>
  <si>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</si>
  <si>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</si>
  <si>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</si>
  <si>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</si>
  <si>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</si>
  <si>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</si>
  <si>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</si>
  <si>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</si>
  <si>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</si>
  <si>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</si>
  <si>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</si>
  <si>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</si>
  <si>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</si>
  <si>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</si>
  <si>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</si>
  <si>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</si>
  <si>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</si>
  <si>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</si>
  <si>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</si>
  <si>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</si>
  <si>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</si>
  <si>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</si>
  <si>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</si>
  <si>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</si>
  <si>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</si>
  <si>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</si>
  <si>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</si>
  <si>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</si>
  <si>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</si>
  <si>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</si>
  <si>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</si>
  <si>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</si>
  <si>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</si>
  <si>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</si>
  <si>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</si>
  <si>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</si>
  <si>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</si>
  <si>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반하</t>
    <phoneticPr fontId="5" type="noConversion"/>
  </si>
  <si>
    <t>생강</t>
    <phoneticPr fontId="5" type="noConversion"/>
  </si>
  <si>
    <t>대추</t>
    <phoneticPr fontId="5" type="noConversion"/>
  </si>
  <si>
    <t>황금</t>
    <phoneticPr fontId="5" type="noConversion"/>
  </si>
  <si>
    <t>인삼</t>
    <phoneticPr fontId="5" type="noConversion"/>
  </si>
  <si>
    <t>감초</t>
    <phoneticPr fontId="5" type="noConversion"/>
  </si>
  <si>
    <t>황련</t>
    <phoneticPr fontId="5" type="noConversion"/>
  </si>
  <si>
    <t>육계</t>
    <phoneticPr fontId="5" type="noConversion"/>
  </si>
  <si>
    <t>복령</t>
    <phoneticPr fontId="5" type="noConversion"/>
  </si>
  <si>
    <t>원육</t>
    <phoneticPr fontId="5" type="noConversion"/>
  </si>
  <si>
    <t>생강사심탕</t>
    <phoneticPr fontId="5" type="noConversion"/>
  </si>
  <si>
    <t>천선미</t>
    <phoneticPr fontId="5" type="noConversion"/>
  </si>
  <si>
    <t>F</t>
    <phoneticPr fontId="5" type="noConversion"/>
  </si>
  <si>
    <t>치자</t>
    <phoneticPr fontId="5" type="noConversion"/>
  </si>
  <si>
    <t>초</t>
    <phoneticPr fontId="5" type="noConversion"/>
  </si>
  <si>
    <t xml:space="preserve">생강사심탕 - 인삼감량 + 육계 복령 원육 치자
</t>
    <phoneticPr fontId="5" type="noConversion"/>
  </si>
  <si>
    <t>천궁1</t>
    <phoneticPr fontId="5" type="noConversion"/>
  </si>
  <si>
    <t>백지</t>
    <phoneticPr fontId="5" type="noConversion"/>
  </si>
  <si>
    <t>연교</t>
    <phoneticPr fontId="5" type="noConversion"/>
  </si>
  <si>
    <t xml:space="preserve">생강사심탕 - 인삼감량 
+ 육계 복령 원육 
+ 천궁 백지 연교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</si>
</sst>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176" fontId="1" fillId="2" borderId="30" xfId="1" applyNumberFormat="1" applyBorder="1" applyAlignment="1"/>
    <xf numFmtId="0" fontId="12" fillId="4" borderId="35" xfId="6" applyFont="1" applyBorder="1">
      <alignment vertical="center"/>
    </xf>
    <xf numFmtId="0" fontId="12" fillId="4" borderId="30" xfId="6" applyFont="1" applyBorder="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BB56C8C5-BD88-46F3-8F66-30521C5121DE}">
    <text>국산</text>
  </threadedComment>
  <threadedComment ref="A4" dT="2024-09-12T16:16:28.05" personId="{0277103A-E300-412D-B5C0-A5092221214E}" id="{5B41C00F-E23C-4BAD-A4E1-17BE582B7AFC}">
    <text>중국산</text>
  </threadedComment>
  <threadedComment ref="A8" dT="2024-09-12T16:16:48.00" personId="{0277103A-E300-412D-B5C0-A5092221214E}" id="{62E2F7B9-9A59-4563-867D-16C35ED3CA2A}">
    <text>남강활</text>
  </threadedComment>
  <threadedComment ref="A9" dT="2024-09-12T16:17:02.12" personId="{0277103A-E300-412D-B5C0-A5092221214E}" id="{C989EEE4-E858-4EEA-BED9-9E0436FECD46}">
    <text>북강활</text>
  </threadedComment>
  <threadedComment ref="N9" dT="2024-09-12T05:51:52.29" personId="{00000000-0000-0000-0000-000000000000}" id="{03457FDE-DAD6-4DF5-B49D-6D25CB00BB90}">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4ADACE1D-2CD1-475E-AE5C-3336DBEC6A18}">
    <text>배초향(국산)</text>
  </threadedComment>
  <threadedComment ref="A23" dT="2024-09-12T16:17:54.11" personId="{0277103A-E300-412D-B5C0-A5092221214E}" id="{699361B6-3BE3-47D4-94FF-89214BE2252E}">
    <text>광곽향</text>
  </threadedComment>
  <threadedComment ref="A38" dT="2024-09-12T16:15:45.21" personId="{0277103A-E300-412D-B5C0-A5092221214E}" id="{365D534C-DA9A-4D0A-A7E7-736F99EBE431}">
    <text>일당귀</text>
  </threadedComment>
  <threadedComment ref="A39" dT="2024-09-12T16:15:56.22" personId="{0277103A-E300-412D-B5C0-A5092221214E}" id="{4B4AD302-9B08-45F0-8D33-32D3C5D45156}">
    <text>토당귀, 참당귀</text>
  </threadedComment>
  <threadedComment ref="N44" dT="2024-09-12T05:13:07.78" personId="{00000000-0000-0000-0000-000000000000}" id="{021D3B0C-99C4-472C-BBE4-C19C3E2CF63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E98CBE1C-E5B0-450F-9978-A12295A7F0FD}">
    <text>100g</text>
  </threadedComment>
  <threadedComment ref="G53" dT="2024-09-12T04:33:28.57" personId="{00000000-0000-0000-0000-000000000000}" id="{041E1935-8F16-4A08-AC9B-58FDC4BA4550}">
    <text>600g</text>
  </threadedComment>
  <threadedComment ref="N54" dT="2024-09-13T04:58:21.35" personId="{0277103A-E300-412D-B5C0-A5092221214E}" id="{E9D77224-FB8D-4CFF-AE22-16E7F928E845}">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0EE2560-53D6-495D-9308-AF831B3529C5}">
    <text>1kg 신흥</text>
  </threadedComment>
  <threadedComment ref="A64" dT="2024-09-12T16:18:16.70" personId="{0277103A-E300-412D-B5C0-A5092221214E}" id="{411939D9-A9A2-4D3B-B239-45BAC83EA620}">
    <text>분방기</text>
  </threadedComment>
  <threadedComment ref="N64" dT="2024-09-12T07:47:29.54" personId="{00000000-0000-0000-0000-000000000000}" id="{A81A82FA-07CC-4C6D-9CED-16628DFAE46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7406224F-9583-47DB-B043-2E9E7CA45D00}">
    <text>청풍등</text>
  </threadedComment>
  <threadedComment ref="A66" dT="2024-09-12T16:18:36.31" personId="{0277103A-E300-412D-B5C0-A5092221214E}" id="{013177C0-F6E8-4F50-802A-137558F454DA}">
    <text>목방기</text>
  </threadedComment>
  <threadedComment ref="A67" dT="2024-09-12T16:18:51.22" personId="{0277103A-E300-412D-B5C0-A5092221214E}" id="{1222A367-0E5C-4073-BC1C-9020DC07C923}">
    <text>관방풍</text>
  </threadedComment>
  <threadedComment ref="N67" dT="2024-09-12T06:53:13.26" personId="{00000000-0000-0000-0000-000000000000}" id="{6397AA8B-F2A9-47B0-A892-5125E1297B8E}">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EE03B450-5CD6-4C80-B2A5-4E9546C2CCD1}">
    <text>식방풍/해방풍</text>
  </threadedComment>
  <threadedComment ref="I75" dT="2024-09-12T04:32:48.49" personId="{00000000-0000-0000-0000-000000000000}" id="{3CF85781-8F0B-4B4E-A4E5-9AF144E51608}">
    <text>의성, 유피</text>
  </threadedComment>
  <threadedComment ref="N75" dT="2024-09-12T07:43:39.33" personId="{00000000-0000-0000-0000-000000000000}" id="{C30B47A7-6E9A-4472-85E7-6869CDE5DAF0}">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EB97363C-1EA7-47EF-8E9A-0F51FF411948}">
    <text>기원백출</text>
  </threadedComment>
  <threadedComment ref="N80" dT="2024-09-12T06:51:12.26" personId="{00000000-0000-0000-0000-000000000000}" id="{2B20A181-B17B-4251-B8B9-D46349F7A7E8}">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25A31A81-BAC4-4489-89EF-9734D2D86E90}">
    <text>휴먼허브, 초, 원산조인, 중국</text>
  </threadedComment>
  <threadedComment ref="A111" dT="2024-09-12T16:19:48.44" personId="{0277103A-E300-412D-B5C0-A5092221214E}" id="{2F51EA1B-5919-4E79-AE70-E5778F2BA0FB}">
    <text>북시호</text>
  </threadedComment>
  <threadedComment ref="N111" dT="2024-09-12T07:49:51.15" personId="{00000000-0000-0000-0000-000000000000}" id="{CF6470E3-CC4D-47E8-A8F0-9338DB50EC1B}">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B2CCAEC0-9EB9-41D9-9B2C-1C7A6913F3CF}">
    <text>야생시호</text>
  </threadedComment>
  <threadedComment ref="N112" dT="2024-09-12T07:59:25.73" personId="{00000000-0000-0000-0000-000000000000}" id="{C8780A92-B427-4D3A-80BA-E90F69B1ACBF}">
    <text>사이코사포닌0.3%이상</text>
  </threadedComment>
  <threadedComment ref="N125" dT="2024-09-12T07:33:39.37" personId="{00000000-0000-0000-0000-000000000000}" id="{0840E51F-6589-477A-8687-D15D47EEA3DE}">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D177556-EE83-4A1B-839C-F74A57357BCD}">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CAC0F14E-5B6B-446B-A03F-615F21851479}">
    <text>주증</text>
  </threadedComment>
  <threadedComment ref="A148" dT="2024-09-12T16:20:20.23" personId="{0277103A-E300-412D-B5C0-A5092221214E}" id="{FD042E9A-4BBD-4A57-831B-CB548759A72B}">
    <text>백화전호</text>
  </threadedComment>
  <threadedComment ref="A152" dT="2024-09-12T16:20:31.35" personId="{0277103A-E300-412D-B5C0-A5092221214E}" id="{8A648552-9E77-4498-A78A-60E3B81A559F}">
    <text>국산</text>
  </threadedComment>
  <threadedComment ref="A153" dT="2024-09-12T16:20:37.76" personId="{0277103A-E300-412D-B5C0-A5092221214E}" id="{5F6BF821-DD33-4ABE-B00E-D4E5F12EFD4F}">
    <text>중국산</text>
  </threadedComment>
  <threadedComment ref="I159" dT="2024-09-12T04:24:51.64" personId="{00000000-0000-0000-0000-000000000000}" id="{CE9DFCF4-324C-4674-B398-7653619A172B}">
    <text>중국, 흑지실</text>
  </threadedComment>
  <threadedComment ref="A162" dT="2024-09-12T16:20:55.53" personId="{0277103A-E300-412D-B5C0-A5092221214E}" id="{6F6CFADA-BA24-4E3A-9F95-521D5EDB8EC3}">
    <text>귤피</text>
  </threadedComment>
  <threadedComment ref="A163" dT="2024-09-12T16:21:11.61" personId="{0277103A-E300-412D-B5C0-A5092221214E}" id="{05D7B694-D548-4EF5-80BE-416EF1600FAE}">
    <text>산물진피</text>
  </threadedComment>
  <threadedComment ref="A164" dT="2024-09-12T16:21:01.68" personId="{0277103A-E300-412D-B5C0-A5092221214E}" id="{8EDA6099-16D0-4661-8892-57B229F1058A}">
    <text>물푸레진피</text>
  </threadedComment>
  <threadedComment ref="A167" dT="2024-09-12T16:21:31.68" personId="{0277103A-E300-412D-B5C0-A5092221214E}" id="{AAE839E8-BEA5-49B5-A592-FEE59048DB2E}">
    <text>삽주</text>
  </threadedComment>
  <threadedComment ref="A168" dT="2024-09-12T16:21:25.45" personId="{0277103A-E300-412D-B5C0-A5092221214E}" id="{FD900331-170D-4156-A2F2-86E4D0F0B2AB}">
    <text>북창출/모창출</text>
  </threadedComment>
  <threadedComment ref="N168" dT="2024-09-12T07:40:54.71" personId="{00000000-0000-0000-0000-000000000000}" id="{07FC3ED5-3387-41B3-898B-E17D1B3BD115}">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A295557B-21FD-42FB-80D3-ED85E53EAE4C}" parentId="{07FC3ED5-3387-41B3-898B-E17D1B3BD115}">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05302468-3711-44B7-87DF-18C7D18B12A1}">
    <text>일천궁</text>
  </threadedComment>
  <threadedComment ref="N169" dT="2024-09-12T07:24:28.34" personId="{00000000-0000-0000-0000-000000000000}" id="{65B6547E-79AD-4759-9147-160D5BD2FB78}">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3CFBEF1F-82F9-4789-AD87-B3EEAA5FE160}">
    <text>토천궁</text>
  </threadedComment>
  <threadedComment ref="N177" dT="2024-09-12T07:30:41.95" personId="{00000000-0000-0000-0000-000000000000}" id="{28C99C41-F782-4EB2-BE91-D9533E0121FE}">
    <text xml:space="preserve">- 5〜6월에 스스로 떨어진 유과(幼果)를 수집하고 볕에 말린 것을 “개청피(個靑皮)”라 하며 </text>
  </threadedComment>
  <threadedComment ref="N177" dT="2024-09-12T14:37:59.85" personId="{0277103A-E300-412D-B5C0-A5092221214E}" id="{E09745D9-C123-4E7B-A626-917F04A3E354}" parentId="{28C99C41-F782-4EB2-BE91-D9533E0121FE}">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A0144A11-5B47-48AF-9129-8E3CD93BE718}">
    <text>국산</text>
  </threadedComment>
  <threadedComment ref="A184" dT="2024-09-12T16:22:10.88" personId="{0277103A-E300-412D-B5C0-A5092221214E}" id="{685202BA-474D-4E6B-89E4-F992EEFB48F5}">
    <text>중국산</text>
  </threadedComment>
  <threadedComment ref="N202" dT="2024-09-12T14:45:25.20" personId="{0277103A-E300-412D-B5C0-A5092221214E}" id="{9950946D-4818-4979-8DCE-773D38D2CEEB}">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7724115D-6128-424C-984C-F29B45064CF4}">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0599-5EA4-4ECD-BE8A-60EF2FD33D78}">
  <sheetPr>
    <pageSetUpPr fitToPage="1"/>
  </sheetPr>
  <dimension ref="B1:M31"/>
  <sheetViews>
    <sheetView tabSelected="1" workbookViewId="0">
      <selection activeCell="N9" sqref="N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12</v>
      </c>
      <c r="F2" s="101">
        <f>E2*$L$15</f>
        <v>240</v>
      </c>
      <c r="G2">
        <f>VLOOKUP($C2,약재관리!A:J,10,FALSE)</f>
        <v>47</v>
      </c>
      <c r="H2" s="5">
        <f>G2*E2</f>
        <v>564</v>
      </c>
      <c r="I2" s="90">
        <f>G2*F2</f>
        <v>11280</v>
      </c>
      <c r="K2" s="7" t="s">
        <v>9</v>
      </c>
      <c r="L2" s="151">
        <v>39</v>
      </c>
      <c r="M2" s="152"/>
    </row>
    <row r="3" spans="2:13">
      <c r="B3" s="3">
        <v>2</v>
      </c>
      <c r="C3" t="s">
        <v>408</v>
      </c>
      <c r="D3" s="4"/>
      <c r="E3" s="88">
        <v>8</v>
      </c>
      <c r="F3" s="101">
        <f t="shared" ref="F3:F31" si="0">E3*$L$15</f>
        <v>160</v>
      </c>
      <c r="G3">
        <f>VLOOKUP($C3,약재관리!A:J,10,FALSE)</f>
        <v>15</v>
      </c>
      <c r="H3" s="5">
        <f t="shared" ref="H3:H31" si="1">G3*E3</f>
        <v>120</v>
      </c>
      <c r="I3" s="6">
        <f t="shared" ref="I3:I31" si="2">G3*F3</f>
        <v>2400</v>
      </c>
      <c r="K3" s="8" t="s">
        <v>10</v>
      </c>
      <c r="L3" s="146" t="s">
        <v>417</v>
      </c>
      <c r="M3" s="147"/>
    </row>
    <row r="4" spans="2:13">
      <c r="B4" s="3">
        <v>3</v>
      </c>
      <c r="C4" t="s">
        <v>409</v>
      </c>
      <c r="D4" s="4"/>
      <c r="E4" s="88">
        <v>8</v>
      </c>
      <c r="F4" s="101">
        <f t="shared" si="0"/>
        <v>160</v>
      </c>
      <c r="G4">
        <f>VLOOKUP($C4,약재관리!A:J,10,FALSE)</f>
        <v>20.8</v>
      </c>
      <c r="H4" s="5">
        <f t="shared" si="1"/>
        <v>166.4</v>
      </c>
      <c r="I4" s="6">
        <f t="shared" si="2"/>
        <v>3328</v>
      </c>
      <c r="K4" s="8" t="s">
        <v>11</v>
      </c>
      <c r="L4" s="153">
        <v>45621</v>
      </c>
      <c r="M4" s="147"/>
    </row>
    <row r="5" spans="2:13">
      <c r="B5" s="3">
        <v>4</v>
      </c>
      <c r="C5" t="s">
        <v>410</v>
      </c>
      <c r="D5" s="4"/>
      <c r="E5" s="88">
        <v>6</v>
      </c>
      <c r="F5" s="101">
        <f t="shared" si="0"/>
        <v>120</v>
      </c>
      <c r="G5">
        <f>VLOOKUP($C5,약재관리!A:J,10,FALSE)</f>
        <v>22.5</v>
      </c>
      <c r="H5" s="5">
        <f t="shared" si="1"/>
        <v>135</v>
      </c>
      <c r="I5" s="6">
        <f t="shared" si="2"/>
        <v>2700</v>
      </c>
      <c r="K5" s="8" t="s">
        <v>12</v>
      </c>
      <c r="L5" s="146" t="s">
        <v>418</v>
      </c>
      <c r="M5" s="147"/>
    </row>
    <row r="6" spans="2:13">
      <c r="B6" s="3">
        <v>5</v>
      </c>
      <c r="C6" t="s">
        <v>411</v>
      </c>
      <c r="D6" s="4"/>
      <c r="E6" s="88">
        <v>3</v>
      </c>
      <c r="F6" s="101">
        <f t="shared" si="0"/>
        <v>60</v>
      </c>
      <c r="G6">
        <f>VLOOKUP($C6,약재관리!A:J,10,FALSE)</f>
        <v>90</v>
      </c>
      <c r="H6" s="5">
        <f t="shared" si="1"/>
        <v>270</v>
      </c>
      <c r="I6" s="6">
        <f t="shared" si="2"/>
        <v>5400</v>
      </c>
      <c r="K6" s="8" t="s">
        <v>13</v>
      </c>
      <c r="L6" s="146">
        <v>61</v>
      </c>
      <c r="M6" s="147"/>
    </row>
    <row r="7" spans="2:13" ht="17.25" thickBot="1">
      <c r="B7" s="3">
        <v>6</v>
      </c>
      <c r="C7" t="s">
        <v>412</v>
      </c>
      <c r="D7" s="4"/>
      <c r="E7" s="88">
        <v>6</v>
      </c>
      <c r="F7" s="101">
        <f t="shared" si="0"/>
        <v>120</v>
      </c>
      <c r="G7">
        <f>VLOOKUP($C7,약재관리!A:J,10,FALSE)</f>
        <v>28.3</v>
      </c>
      <c r="H7" s="5">
        <f t="shared" si="1"/>
        <v>169.8</v>
      </c>
      <c r="I7" s="6">
        <f t="shared" si="2"/>
        <v>3396</v>
      </c>
      <c r="K7" s="8" t="s">
        <v>14</v>
      </c>
      <c r="L7" s="154" t="s">
        <v>419</v>
      </c>
      <c r="M7" s="155"/>
    </row>
    <row r="8" spans="2:13" ht="17.25" thickBot="1">
      <c r="B8" s="3">
        <v>7</v>
      </c>
      <c r="C8" t="s">
        <v>413</v>
      </c>
      <c r="D8" s="4"/>
      <c r="E8" s="88">
        <v>6</v>
      </c>
      <c r="F8" s="101">
        <f t="shared" si="0"/>
        <v>120</v>
      </c>
      <c r="G8">
        <f>VLOOKUP($C8,약재관리!A:J,10,FALSE)</f>
        <v>136.69999999999999</v>
      </c>
      <c r="H8" s="5">
        <f t="shared" si="1"/>
        <v>820.19999999999993</v>
      </c>
      <c r="I8" s="6">
        <f t="shared" si="2"/>
        <v>16404</v>
      </c>
      <c r="K8" s="148" t="s">
        <v>15</v>
      </c>
      <c r="L8" s="149"/>
      <c r="M8" s="150"/>
    </row>
    <row r="9" spans="2:13">
      <c r="B9" s="3">
        <v>8</v>
      </c>
      <c r="C9" t="s">
        <v>414</v>
      </c>
      <c r="D9" s="4"/>
      <c r="E9" s="88">
        <v>2.8</v>
      </c>
      <c r="F9" s="101">
        <f t="shared" si="0"/>
        <v>56</v>
      </c>
      <c r="G9">
        <f>VLOOKUP($C9,약재관리!A:J,10,FALSE)</f>
        <v>14.8</v>
      </c>
      <c r="H9" s="5">
        <f t="shared" si="1"/>
        <v>41.44</v>
      </c>
      <c r="I9" s="6">
        <f t="shared" si="2"/>
        <v>828.80000000000007</v>
      </c>
      <c r="K9" s="156" t="s">
        <v>426</v>
      </c>
      <c r="L9" s="157"/>
      <c r="M9" s="158"/>
    </row>
    <row r="10" spans="2:13">
      <c r="B10" s="3">
        <v>9</v>
      </c>
      <c r="C10" t="s">
        <v>415</v>
      </c>
      <c r="D10" s="4"/>
      <c r="E10" s="88">
        <v>6</v>
      </c>
      <c r="F10" s="101">
        <f t="shared" si="0"/>
        <v>120</v>
      </c>
      <c r="G10">
        <f>VLOOKUP($C10,약재관리!A:J,10,FALSE)</f>
        <v>11</v>
      </c>
      <c r="H10" s="5">
        <f t="shared" si="1"/>
        <v>66</v>
      </c>
      <c r="I10" s="6">
        <f t="shared" si="2"/>
        <v>1320</v>
      </c>
      <c r="K10" s="159"/>
      <c r="L10" s="160"/>
      <c r="M10" s="161"/>
    </row>
    <row r="11" spans="2:13">
      <c r="B11" s="3">
        <v>10</v>
      </c>
      <c r="C11" t="s">
        <v>416</v>
      </c>
      <c r="D11" s="4"/>
      <c r="E11" s="88">
        <v>4</v>
      </c>
      <c r="F11" s="101">
        <f t="shared" si="0"/>
        <v>80</v>
      </c>
      <c r="G11">
        <f>VLOOKUP($C11,약재관리!A:J,10,FALSE)</f>
        <v>19.2</v>
      </c>
      <c r="H11" s="5">
        <f t="shared" si="1"/>
        <v>76.8</v>
      </c>
      <c r="I11" s="6">
        <f t="shared" si="2"/>
        <v>1536</v>
      </c>
      <c r="K11" s="159"/>
      <c r="L11" s="160"/>
      <c r="M11" s="161"/>
    </row>
    <row r="12" spans="2:13">
      <c r="B12" s="3">
        <v>11</v>
      </c>
      <c r="C12" t="s">
        <v>424</v>
      </c>
      <c r="D12" s="4"/>
      <c r="E12" s="88">
        <v>3</v>
      </c>
      <c r="F12" s="101">
        <f t="shared" si="0"/>
        <v>60</v>
      </c>
      <c r="G12">
        <f>VLOOKUP($C12,약재관리!A:J,10,FALSE)</f>
        <v>26.4</v>
      </c>
      <c r="H12" s="5">
        <f t="shared" si="1"/>
        <v>79.199999999999989</v>
      </c>
      <c r="I12" s="6">
        <f t="shared" si="2"/>
        <v>1584</v>
      </c>
      <c r="K12" s="159"/>
      <c r="L12" s="160"/>
      <c r="M12" s="161"/>
    </row>
    <row r="13" spans="2:13" ht="17.25" thickBot="1">
      <c r="B13" s="3">
        <v>12</v>
      </c>
      <c r="C13" t="s">
        <v>423</v>
      </c>
      <c r="D13" s="4"/>
      <c r="E13" s="88">
        <v>3</v>
      </c>
      <c r="F13" s="101">
        <f t="shared" si="0"/>
        <v>60</v>
      </c>
      <c r="G13">
        <f>VLOOKUP($C13,약재관리!A:J,10,FALSE)</f>
        <v>10.8</v>
      </c>
      <c r="H13" s="5">
        <f t="shared" si="1"/>
        <v>32.400000000000006</v>
      </c>
      <c r="I13" s="6">
        <f t="shared" si="2"/>
        <v>648</v>
      </c>
      <c r="K13" s="162"/>
      <c r="L13" s="163"/>
      <c r="M13" s="164"/>
    </row>
    <row r="14" spans="2:13">
      <c r="B14" s="3">
        <v>13</v>
      </c>
      <c r="C14" t="s">
        <v>425</v>
      </c>
      <c r="D14" s="4"/>
      <c r="E14" s="88">
        <v>3</v>
      </c>
      <c r="F14" s="101">
        <f t="shared" si="0"/>
        <v>60</v>
      </c>
      <c r="G14">
        <f>VLOOKUP($C14,약재관리!A:J,10,FALSE)</f>
        <v>28</v>
      </c>
      <c r="H14" s="5">
        <f t="shared" si="1"/>
        <v>84</v>
      </c>
      <c r="I14" s="6">
        <f t="shared" si="2"/>
        <v>1680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70.8</v>
      </c>
      <c r="M18" s="10" t="s">
        <v>25</v>
      </c>
    </row>
    <row r="19" spans="2:13">
      <c r="B19" s="3">
        <v>18</v>
      </c>
      <c r="D19" s="4"/>
      <c r="F19" s="101">
        <f t="shared" si="0"/>
        <v>0</v>
      </c>
      <c r="H19" s="5">
        <f t="shared" si="1"/>
        <v>0</v>
      </c>
      <c r="I19" s="6">
        <f t="shared" si="2"/>
        <v>0</v>
      </c>
      <c r="K19" s="91" t="s">
        <v>26</v>
      </c>
      <c r="L19">
        <f>L15*L18</f>
        <v>1416</v>
      </c>
      <c r="M19" s="4" t="s">
        <v>25</v>
      </c>
    </row>
    <row r="20" spans="2:13" ht="17.25" thickBot="1">
      <c r="B20" s="3">
        <v>19</v>
      </c>
      <c r="D20" s="4"/>
      <c r="F20" s="101">
        <f t="shared" si="0"/>
        <v>0</v>
      </c>
      <c r="H20" s="5">
        <f t="shared" si="1"/>
        <v>0</v>
      </c>
      <c r="I20" s="6">
        <f t="shared" si="2"/>
        <v>0</v>
      </c>
      <c r="K20" s="14" t="s">
        <v>27</v>
      </c>
      <c r="L20" s="11">
        <f>L16*L17+L19</f>
        <v>5916</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1416</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2625.2400000000002</v>
      </c>
      <c r="M30" s="4" t="s">
        <v>386</v>
      </c>
    </row>
    <row r="31" spans="2:13" ht="17.25" thickBot="1">
      <c r="B31" s="13">
        <v>30</v>
      </c>
      <c r="C31" s="14"/>
      <c r="D31" s="12"/>
      <c r="E31" s="95"/>
      <c r="F31" s="102">
        <f t="shared" si="0"/>
        <v>0</v>
      </c>
      <c r="G31" s="14"/>
      <c r="H31" s="15">
        <f t="shared" si="1"/>
        <v>0</v>
      </c>
      <c r="I31" s="16">
        <f t="shared" si="2"/>
        <v>0</v>
      </c>
      <c r="K31" s="14" t="s">
        <v>385</v>
      </c>
      <c r="L31" s="15">
        <f>SUM(I2:I31)</f>
        <v>52504.800000000003</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P22" sqref="P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12</v>
      </c>
      <c r="F2" s="101">
        <f>E2*$L$15</f>
        <v>240</v>
      </c>
      <c r="G2">
        <f>VLOOKUP($C2,약재관리!A:J,10,FALSE)</f>
        <v>47</v>
      </c>
      <c r="H2" s="5">
        <f>G2*E2</f>
        <v>564</v>
      </c>
      <c r="I2" s="90">
        <f>G2*F2</f>
        <v>11280</v>
      </c>
      <c r="K2" s="7" t="s">
        <v>9</v>
      </c>
      <c r="L2" s="151">
        <v>39</v>
      </c>
      <c r="M2" s="152"/>
    </row>
    <row r="3" spans="2:13">
      <c r="B3" s="3">
        <v>2</v>
      </c>
      <c r="C3" t="s">
        <v>408</v>
      </c>
      <c r="D3" s="4"/>
      <c r="E3" s="88">
        <v>8</v>
      </c>
      <c r="F3" s="101">
        <f t="shared" ref="F3:F31" si="0">E3*$L$15</f>
        <v>160</v>
      </c>
      <c r="G3">
        <f>VLOOKUP($C3,약재관리!A:J,10,FALSE)</f>
        <v>15</v>
      </c>
      <c r="H3" s="5">
        <f t="shared" ref="H3:H31" si="1">G3*E3</f>
        <v>120</v>
      </c>
      <c r="I3" s="6">
        <f t="shared" ref="I3:I31" si="2">G3*F3</f>
        <v>2400</v>
      </c>
      <c r="K3" s="8" t="s">
        <v>10</v>
      </c>
      <c r="L3" s="146" t="s">
        <v>417</v>
      </c>
      <c r="M3" s="147"/>
    </row>
    <row r="4" spans="2:13">
      <c r="B4" s="3">
        <v>3</v>
      </c>
      <c r="C4" t="s">
        <v>409</v>
      </c>
      <c r="D4" s="4"/>
      <c r="E4" s="88">
        <v>8</v>
      </c>
      <c r="F4" s="101">
        <f t="shared" si="0"/>
        <v>160</v>
      </c>
      <c r="G4">
        <f>VLOOKUP($C4,약재관리!A:J,10,FALSE)</f>
        <v>20.8</v>
      </c>
      <c r="H4" s="5">
        <f t="shared" si="1"/>
        <v>166.4</v>
      </c>
      <c r="I4" s="6">
        <f t="shared" si="2"/>
        <v>3328</v>
      </c>
      <c r="K4" s="8" t="s">
        <v>11</v>
      </c>
      <c r="L4" s="153">
        <v>45601</v>
      </c>
      <c r="M4" s="147"/>
    </row>
    <row r="5" spans="2:13">
      <c r="B5" s="3">
        <v>4</v>
      </c>
      <c r="C5" t="s">
        <v>410</v>
      </c>
      <c r="D5" s="4"/>
      <c r="E5" s="88">
        <v>6</v>
      </c>
      <c r="F5" s="101">
        <f t="shared" si="0"/>
        <v>120</v>
      </c>
      <c r="G5">
        <f>VLOOKUP($C5,약재관리!A:J,10,FALSE)</f>
        <v>22.5</v>
      </c>
      <c r="H5" s="5">
        <f t="shared" si="1"/>
        <v>135</v>
      </c>
      <c r="I5" s="6">
        <f t="shared" si="2"/>
        <v>2700</v>
      </c>
      <c r="K5" s="8" t="s">
        <v>12</v>
      </c>
      <c r="L5" s="146" t="s">
        <v>418</v>
      </c>
      <c r="M5" s="147"/>
    </row>
    <row r="6" spans="2:13">
      <c r="B6" s="3">
        <v>5</v>
      </c>
      <c r="C6" t="s">
        <v>411</v>
      </c>
      <c r="D6" s="4"/>
      <c r="E6" s="88">
        <v>3</v>
      </c>
      <c r="F6" s="101">
        <f t="shared" si="0"/>
        <v>60</v>
      </c>
      <c r="G6">
        <f>VLOOKUP($C6,약재관리!A:J,10,FALSE)</f>
        <v>90</v>
      </c>
      <c r="H6" s="5">
        <f t="shared" si="1"/>
        <v>270</v>
      </c>
      <c r="I6" s="6">
        <f t="shared" si="2"/>
        <v>5400</v>
      </c>
      <c r="K6" s="8" t="s">
        <v>13</v>
      </c>
      <c r="L6" s="146">
        <v>61</v>
      </c>
      <c r="M6" s="147"/>
    </row>
    <row r="7" spans="2:13" ht="17.25" thickBot="1">
      <c r="B7" s="3">
        <v>6</v>
      </c>
      <c r="C7" t="s">
        <v>412</v>
      </c>
      <c r="D7" s="4"/>
      <c r="E7" s="88">
        <v>6</v>
      </c>
      <c r="F7" s="101">
        <f t="shared" si="0"/>
        <v>120</v>
      </c>
      <c r="G7">
        <f>VLOOKUP($C7,약재관리!A:J,10,FALSE)</f>
        <v>28.3</v>
      </c>
      <c r="H7" s="5">
        <f t="shared" si="1"/>
        <v>169.8</v>
      </c>
      <c r="I7" s="6">
        <f t="shared" si="2"/>
        <v>3396</v>
      </c>
      <c r="K7" s="8" t="s">
        <v>14</v>
      </c>
      <c r="L7" s="154" t="s">
        <v>419</v>
      </c>
      <c r="M7" s="155"/>
    </row>
    <row r="8" spans="2:13" ht="17.25" thickBot="1">
      <c r="B8" s="3">
        <v>7</v>
      </c>
      <c r="C8" t="s">
        <v>413</v>
      </c>
      <c r="D8" s="4"/>
      <c r="E8" s="88">
        <v>6</v>
      </c>
      <c r="F8" s="101">
        <f t="shared" si="0"/>
        <v>120</v>
      </c>
      <c r="G8">
        <f>VLOOKUP($C8,약재관리!A:J,10,FALSE)</f>
        <v>136.69999999999999</v>
      </c>
      <c r="H8" s="5">
        <f t="shared" si="1"/>
        <v>820.19999999999993</v>
      </c>
      <c r="I8" s="6">
        <f t="shared" si="2"/>
        <v>16404</v>
      </c>
      <c r="K8" s="148" t="s">
        <v>15</v>
      </c>
      <c r="L8" s="149"/>
      <c r="M8" s="150"/>
    </row>
    <row r="9" spans="2:13">
      <c r="B9" s="3">
        <v>8</v>
      </c>
      <c r="C9" t="s">
        <v>414</v>
      </c>
      <c r="D9" s="4"/>
      <c r="E9" s="88">
        <v>2.8</v>
      </c>
      <c r="F9" s="101">
        <f t="shared" si="0"/>
        <v>56</v>
      </c>
      <c r="G9">
        <f>VLOOKUP($C9,약재관리!A:J,10,FALSE)</f>
        <v>14.8</v>
      </c>
      <c r="H9" s="5">
        <f t="shared" si="1"/>
        <v>41.44</v>
      </c>
      <c r="I9" s="6">
        <f t="shared" si="2"/>
        <v>828.80000000000007</v>
      </c>
      <c r="K9" s="156" t="s">
        <v>422</v>
      </c>
      <c r="L9" s="157"/>
      <c r="M9" s="158"/>
    </row>
    <row r="10" spans="2:13">
      <c r="B10" s="3">
        <v>9</v>
      </c>
      <c r="C10" t="s">
        <v>415</v>
      </c>
      <c r="D10" s="4"/>
      <c r="E10" s="88">
        <v>6</v>
      </c>
      <c r="F10" s="101">
        <f t="shared" si="0"/>
        <v>120</v>
      </c>
      <c r="G10">
        <f>VLOOKUP($C10,약재관리!A:J,10,FALSE)</f>
        <v>11</v>
      </c>
      <c r="H10" s="5">
        <f t="shared" si="1"/>
        <v>66</v>
      </c>
      <c r="I10" s="6">
        <f t="shared" si="2"/>
        <v>1320</v>
      </c>
      <c r="K10" s="159"/>
      <c r="L10" s="160"/>
      <c r="M10" s="161"/>
    </row>
    <row r="11" spans="2:13">
      <c r="B11" s="3">
        <v>10</v>
      </c>
      <c r="C11" t="s">
        <v>416</v>
      </c>
      <c r="D11" s="4"/>
      <c r="E11" s="88">
        <v>4</v>
      </c>
      <c r="F11" s="101">
        <f t="shared" si="0"/>
        <v>80</v>
      </c>
      <c r="G11">
        <f>VLOOKUP($C11,약재관리!A:J,10,FALSE)</f>
        <v>19.2</v>
      </c>
      <c r="H11" s="5">
        <f t="shared" si="1"/>
        <v>76.8</v>
      </c>
      <c r="I11" s="6">
        <f t="shared" si="2"/>
        <v>1536</v>
      </c>
      <c r="K11" s="159"/>
      <c r="L11" s="160"/>
      <c r="M11" s="161"/>
    </row>
    <row r="12" spans="2:13">
      <c r="B12" s="3">
        <v>11</v>
      </c>
      <c r="C12" t="s">
        <v>420</v>
      </c>
      <c r="D12" s="4" t="s">
        <v>421</v>
      </c>
      <c r="E12" s="88">
        <v>3</v>
      </c>
      <c r="F12" s="101">
        <f t="shared" si="0"/>
        <v>60</v>
      </c>
      <c r="G12">
        <f>VLOOKUP($C12,약재관리!A:J,10,FALSE)</f>
        <v>21.3</v>
      </c>
      <c r="H12" s="5">
        <f t="shared" si="1"/>
        <v>63.900000000000006</v>
      </c>
      <c r="I12" s="6">
        <f t="shared" si="2"/>
        <v>1278</v>
      </c>
      <c r="K12" s="159"/>
      <c r="L12" s="160"/>
      <c r="M12" s="161"/>
    </row>
    <row r="13" spans="2:13" ht="17.25" thickBot="1">
      <c r="B13" s="3">
        <v>12</v>
      </c>
      <c r="D13" s="4"/>
      <c r="F13" s="101">
        <f t="shared" si="0"/>
        <v>0</v>
      </c>
      <c r="H13" s="5">
        <f t="shared" si="1"/>
        <v>0</v>
      </c>
      <c r="I13" s="6">
        <f t="shared" si="2"/>
        <v>0</v>
      </c>
      <c r="K13" s="162"/>
      <c r="L13" s="163"/>
      <c r="M13" s="164"/>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64.8</v>
      </c>
      <c r="M18" s="10" t="s">
        <v>25</v>
      </c>
    </row>
    <row r="19" spans="2:13">
      <c r="B19" s="3">
        <v>18</v>
      </c>
      <c r="D19" s="4"/>
      <c r="F19" s="101">
        <f t="shared" si="0"/>
        <v>0</v>
      </c>
      <c r="H19" s="5">
        <f t="shared" si="1"/>
        <v>0</v>
      </c>
      <c r="I19" s="6">
        <f t="shared" si="2"/>
        <v>0</v>
      </c>
      <c r="K19" s="91" t="s">
        <v>26</v>
      </c>
      <c r="L19">
        <f>L15*L18</f>
        <v>1296</v>
      </c>
      <c r="M19" s="4" t="s">
        <v>25</v>
      </c>
    </row>
    <row r="20" spans="2:13" ht="17.25" thickBot="1">
      <c r="B20" s="3">
        <v>19</v>
      </c>
      <c r="D20" s="4"/>
      <c r="F20" s="101">
        <f t="shared" si="0"/>
        <v>0</v>
      </c>
      <c r="H20" s="5">
        <f t="shared" si="1"/>
        <v>0</v>
      </c>
      <c r="I20" s="6">
        <f t="shared" si="2"/>
        <v>0</v>
      </c>
      <c r="K20" s="14" t="s">
        <v>27</v>
      </c>
      <c r="L20" s="11">
        <f>L16*L17+L19</f>
        <v>5796</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1296</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2493.5400000000004</v>
      </c>
      <c r="M30" s="4" t="s">
        <v>386</v>
      </c>
    </row>
    <row r="31" spans="2:13" ht="17.25" thickBot="1">
      <c r="B31" s="13">
        <v>30</v>
      </c>
      <c r="C31" s="14"/>
      <c r="D31" s="12"/>
      <c r="E31" s="95"/>
      <c r="F31" s="102">
        <f t="shared" si="0"/>
        <v>0</v>
      </c>
      <c r="G31" s="14"/>
      <c r="H31" s="15">
        <f t="shared" si="1"/>
        <v>0</v>
      </c>
      <c r="I31" s="16">
        <f t="shared" si="2"/>
        <v>0</v>
      </c>
      <c r="K31" s="14" t="s">
        <v>385</v>
      </c>
      <c r="L31" s="15">
        <f>SUM(I2:I31)</f>
        <v>49870.8</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78" zoomScaleNormal="100" workbookViewId="0">
      <selection activeCell="J202" sqref="J20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45600</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4500</v>
      </c>
      <c r="D11" s="36">
        <v>8000</v>
      </c>
      <c r="E11" s="37">
        <v>5700</v>
      </c>
      <c r="F11" s="115">
        <f t="shared" si="0"/>
        <v>0</v>
      </c>
      <c r="G11" s="38">
        <f t="shared" si="0"/>
        <v>9</v>
      </c>
      <c r="H11" s="38">
        <f t="shared" si="1"/>
        <v>13.333333333333334</v>
      </c>
      <c r="I11" s="39">
        <f t="shared" si="1"/>
        <v>9.5</v>
      </c>
      <c r="J11" s="40">
        <v>9.5</v>
      </c>
      <c r="K11" s="41"/>
      <c r="L11" s="42"/>
      <c r="M11" s="47"/>
      <c r="N11" s="43"/>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36800</v>
      </c>
      <c r="F18" s="115">
        <f t="shared" si="0"/>
        <v>0</v>
      </c>
      <c r="G18" s="38">
        <f t="shared" si="0"/>
        <v>64</v>
      </c>
      <c r="H18" s="38">
        <f t="shared" si="1"/>
        <v>0</v>
      </c>
      <c r="I18" s="39">
        <f t="shared" si="1"/>
        <v>61.333333333333336</v>
      </c>
      <c r="J18" s="40">
        <v>61.3</v>
      </c>
      <c r="K18" s="41"/>
      <c r="L18" s="42"/>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391</v>
      </c>
      <c r="M22" s="42"/>
      <c r="N22" s="43" t="s">
        <v>392</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393</v>
      </c>
      <c r="L23" s="42" t="s">
        <v>390</v>
      </c>
      <c r="M23" s="42"/>
      <c r="N23" s="43" t="s">
        <v>394</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406</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22000</v>
      </c>
      <c r="D31" s="36"/>
      <c r="E31" s="37">
        <v>30800</v>
      </c>
      <c r="F31" s="115">
        <f t="shared" si="2"/>
        <v>0</v>
      </c>
      <c r="G31" s="38">
        <f>C31/500</f>
        <v>44</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2"/>
        <v>23</v>
      </c>
      <c r="G32" s="51">
        <f>C32/500</f>
        <v>25.8</v>
      </c>
      <c r="H32" s="51">
        <f t="shared" si="1"/>
        <v>12.5</v>
      </c>
      <c r="I32" s="135">
        <f t="shared" si="1"/>
        <v>11.166666666666666</v>
      </c>
      <c r="J32" s="52">
        <v>11.2</v>
      </c>
      <c r="K32" s="136" t="s">
        <v>95</v>
      </c>
      <c r="L32" s="53" t="s">
        <v>42</v>
      </c>
      <c r="M32" s="54" t="s">
        <v>96</v>
      </c>
      <c r="N32" s="137"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38"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39"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12000</v>
      </c>
      <c r="D38" s="36">
        <v>15000</v>
      </c>
      <c r="E38" s="37">
        <v>15000</v>
      </c>
      <c r="F38" s="115">
        <f t="shared" si="2"/>
        <v>29.8</v>
      </c>
      <c r="G38" s="38">
        <f>C38/500</f>
        <v>24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31200</v>
      </c>
      <c r="D40" s="36">
        <v>32000</v>
      </c>
      <c r="E40" s="37">
        <v>35500</v>
      </c>
      <c r="F40" s="115">
        <f t="shared" si="2"/>
        <v>0</v>
      </c>
      <c r="G40" s="38">
        <f>C40/600</f>
        <v>52</v>
      </c>
      <c r="H40" s="38">
        <f t="shared" si="4"/>
        <v>53.333333333333336</v>
      </c>
      <c r="I40" s="39">
        <f t="shared" si="3"/>
        <v>59.166666666666664</v>
      </c>
      <c r="J40" s="40">
        <v>53.3</v>
      </c>
      <c r="K40" s="41"/>
      <c r="L40" s="42" t="s">
        <v>402</v>
      </c>
      <c r="M40" s="47"/>
      <c r="N40" s="43" t="s">
        <v>396</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6500</v>
      </c>
      <c r="F48" s="115">
        <f t="shared" si="2"/>
        <v>0</v>
      </c>
      <c r="G48" s="38">
        <f t="shared" si="2"/>
        <v>11.4</v>
      </c>
      <c r="H48" s="38">
        <f t="shared" si="4"/>
        <v>0</v>
      </c>
      <c r="I48" s="48">
        <f t="shared" si="3"/>
        <v>10.833333333333334</v>
      </c>
      <c r="J48" s="40">
        <v>10.8</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397</v>
      </c>
      <c r="M52" s="42"/>
      <c r="N52" s="43" t="s">
        <v>398</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34500</v>
      </c>
      <c r="D54" s="36">
        <v>39000</v>
      </c>
      <c r="E54" s="37">
        <v>26600</v>
      </c>
      <c r="F54" s="115">
        <f t="shared" si="6"/>
        <v>0</v>
      </c>
      <c r="G54" s="38">
        <f>C54/500</f>
        <v>69</v>
      </c>
      <c r="H54" s="38">
        <f t="shared" si="5"/>
        <v>65</v>
      </c>
      <c r="I54" s="48">
        <f t="shared" si="5"/>
        <v>44.333333333333336</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5900</v>
      </c>
      <c r="F60" s="115">
        <f t="shared" si="6"/>
        <v>0</v>
      </c>
      <c r="G60" s="38">
        <f>C60/600</f>
        <v>10</v>
      </c>
      <c r="H60" s="38">
        <f t="shared" si="7"/>
        <v>11.666666666666666</v>
      </c>
      <c r="I60" s="48">
        <f t="shared" si="7"/>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c r="D67" s="36"/>
      <c r="E67" s="37">
        <v>9400</v>
      </c>
      <c r="F67" s="115">
        <f t="shared" si="6"/>
        <v>0</v>
      </c>
      <c r="G67" s="38">
        <f t="shared" si="6"/>
        <v>0</v>
      </c>
      <c r="H67" s="38">
        <f t="shared" si="8"/>
        <v>0</v>
      </c>
      <c r="I67" s="48">
        <f t="shared" si="8"/>
        <v>15.666666666666666</v>
      </c>
      <c r="J67" s="40">
        <v>15.7</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6"/>
        <v>33.799999999999997</v>
      </c>
      <c r="G76" s="38">
        <f t="shared" si="6"/>
        <v>26.4</v>
      </c>
      <c r="H76" s="44">
        <f t="shared" si="8"/>
        <v>25</v>
      </c>
      <c r="I76" s="39">
        <f t="shared" si="8"/>
        <v>27.166666666666668</v>
      </c>
      <c r="J76" s="40">
        <v>26.4</v>
      </c>
      <c r="K76" s="41"/>
      <c r="L76" s="42" t="s">
        <v>391</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c r="D78" s="36"/>
      <c r="E78" s="37">
        <v>17000</v>
      </c>
      <c r="F78" s="115">
        <f t="shared" si="6"/>
        <v>0</v>
      </c>
      <c r="G78" s="38">
        <f t="shared" si="6"/>
        <v>0</v>
      </c>
      <c r="H78" s="38">
        <f t="shared" si="8"/>
        <v>0</v>
      </c>
      <c r="I78" s="39">
        <f t="shared" si="8"/>
        <v>28.333333333333332</v>
      </c>
      <c r="J78" s="40">
        <v>28.3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380</v>
      </c>
      <c r="B82" s="125">
        <v>9900</v>
      </c>
      <c r="C82" s="36">
        <v>5500</v>
      </c>
      <c r="D82" s="36">
        <v>7000</v>
      </c>
      <c r="E82" s="37">
        <v>6600</v>
      </c>
      <c r="F82" s="115">
        <f t="shared" si="6"/>
        <v>19.8</v>
      </c>
      <c r="G82" s="38">
        <f t="shared" si="6"/>
        <v>11</v>
      </c>
      <c r="H82" s="38">
        <f t="shared" si="8"/>
        <v>11.666666666666666</v>
      </c>
      <c r="I82" s="48">
        <f t="shared" si="8"/>
        <v>11</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381</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11000</v>
      </c>
      <c r="D89" s="36">
        <v>15000</v>
      </c>
      <c r="E89" s="37">
        <v>13100</v>
      </c>
      <c r="F89" s="115">
        <f t="shared" si="9"/>
        <v>0</v>
      </c>
      <c r="G89" s="38">
        <f t="shared" si="9"/>
        <v>22</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9000</v>
      </c>
      <c r="D98" s="36">
        <v>9000</v>
      </c>
      <c r="E98" s="37"/>
      <c r="F98" s="115">
        <f t="shared" si="9"/>
        <v>15</v>
      </c>
      <c r="G98" s="44">
        <f t="shared" si="9"/>
        <v>18</v>
      </c>
      <c r="H98" s="38">
        <f t="shared" si="8"/>
        <v>15</v>
      </c>
      <c r="I98" s="39">
        <f t="shared" si="8"/>
        <v>0</v>
      </c>
      <c r="J98" s="40">
        <v>15</v>
      </c>
      <c r="K98" s="67"/>
      <c r="L98" s="68" t="s">
        <v>152</v>
      </c>
      <c r="M98" s="47" t="s">
        <v>270</v>
      </c>
      <c r="N98" s="43"/>
    </row>
    <row r="99" spans="1:14" ht="15.75" customHeight="1">
      <c r="A99" s="119" t="s">
        <v>212</v>
      </c>
      <c r="B99" s="125">
        <v>10300</v>
      </c>
      <c r="C99" s="36">
        <v>8700</v>
      </c>
      <c r="D99" s="36">
        <v>9000</v>
      </c>
      <c r="E99" s="37"/>
      <c r="F99" s="115">
        <f t="shared" si="9"/>
        <v>20.6</v>
      </c>
      <c r="G99" s="44">
        <f t="shared" si="9"/>
        <v>17.399999999999999</v>
      </c>
      <c r="H99" s="38">
        <f t="shared" si="8"/>
        <v>15</v>
      </c>
      <c r="I99" s="39">
        <f t="shared" si="8"/>
        <v>0</v>
      </c>
      <c r="J99" s="40">
        <v>17.399999999999999</v>
      </c>
      <c r="K99" s="67"/>
      <c r="L99" s="57" t="s">
        <v>152</v>
      </c>
      <c r="M99" s="47"/>
      <c r="N99" s="43"/>
    </row>
    <row r="100" spans="1:14" ht="15.75" customHeight="1">
      <c r="A100" s="119" t="s">
        <v>213</v>
      </c>
      <c r="B100" s="125"/>
      <c r="C100" s="36">
        <v>5500</v>
      </c>
      <c r="D100" s="36"/>
      <c r="E100" s="37">
        <v>3000</v>
      </c>
      <c r="F100" s="115">
        <f t="shared" si="9"/>
        <v>0</v>
      </c>
      <c r="G100" s="44">
        <f>C100/1000</f>
        <v>5.5</v>
      </c>
      <c r="H100" s="38">
        <f t="shared" ref="H100:I108" si="10">D100/600</f>
        <v>0</v>
      </c>
      <c r="I100" s="39">
        <f>E100/1000</f>
        <v>3</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si="10"/>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58500</v>
      </c>
      <c r="D104" s="36"/>
      <c r="E104" s="37">
        <v>81200</v>
      </c>
      <c r="F104" s="115">
        <f t="shared" si="9"/>
        <v>0</v>
      </c>
      <c r="G104" s="44">
        <f t="shared" si="9"/>
        <v>117</v>
      </c>
      <c r="H104" s="38">
        <f t="shared" si="10"/>
        <v>0</v>
      </c>
      <c r="I104" s="39">
        <f t="shared" si="10"/>
        <v>135.33333333333334</v>
      </c>
      <c r="J104" s="40">
        <v>117</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9"/>
        <v>59.8</v>
      </c>
      <c r="G112" s="38">
        <f>C112/500</f>
        <v>15.6</v>
      </c>
      <c r="H112" s="38">
        <f t="shared" si="11"/>
        <v>16.666666666666668</v>
      </c>
      <c r="I112" s="39">
        <f t="shared" si="1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6"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42700</v>
      </c>
      <c r="F117" s="115">
        <f t="shared" si="12"/>
        <v>0</v>
      </c>
      <c r="G117" s="44">
        <f t="shared" si="12"/>
        <v>28</v>
      </c>
      <c r="H117" s="38">
        <f t="shared" si="13"/>
        <v>63.333333333333336</v>
      </c>
      <c r="I117" s="39">
        <f t="shared" si="13"/>
        <v>71.166666666666671</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371</v>
      </c>
      <c r="M119" s="42"/>
      <c r="N119" s="43" t="s">
        <v>396</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 t="shared" si="13"/>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5400</v>
      </c>
      <c r="D129" s="36">
        <v>9500</v>
      </c>
      <c r="E129" s="37">
        <v>10600</v>
      </c>
      <c r="F129" s="115">
        <f t="shared" si="12"/>
        <v>0</v>
      </c>
      <c r="G129" s="38">
        <f>C129/500</f>
        <v>10.8</v>
      </c>
      <c r="H129" s="38">
        <f t="shared" si="14"/>
        <v>15.833333333333334</v>
      </c>
      <c r="I129" s="39">
        <f t="shared" si="13"/>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12"/>
        <v>0</v>
      </c>
      <c r="G130" s="38">
        <f>C130/600</f>
        <v>19.166666666666668</v>
      </c>
      <c r="H130" s="38">
        <f t="shared" si="14"/>
        <v>19.166666666666668</v>
      </c>
      <c r="I130" s="39">
        <f t="shared" si="13"/>
        <v>18.5</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396</v>
      </c>
    </row>
    <row r="141" spans="1:14" ht="15" customHeight="1">
      <c r="A141" s="118" t="s">
        <v>274</v>
      </c>
      <c r="B141" s="125"/>
      <c r="C141" s="36">
        <v>54000</v>
      </c>
      <c r="D141" s="36">
        <v>30000</v>
      </c>
      <c r="E141" s="37"/>
      <c r="F141" s="115">
        <f t="shared" si="12"/>
        <v>0</v>
      </c>
      <c r="G141" s="44">
        <f>C141/600</f>
        <v>90</v>
      </c>
      <c r="H141" s="38">
        <f>D141/300</f>
        <v>100</v>
      </c>
      <c r="I141" s="39">
        <f t="shared" si="14"/>
        <v>0</v>
      </c>
      <c r="J141" s="40">
        <v>90</v>
      </c>
      <c r="K141" s="69"/>
      <c r="L141" s="57" t="s">
        <v>275</v>
      </c>
      <c r="M141" s="71" t="s">
        <v>276</v>
      </c>
      <c r="N141" s="70"/>
    </row>
    <row r="142" spans="1:14" ht="15" customHeight="1" thickBot="1">
      <c r="A142" s="129" t="s">
        <v>277</v>
      </c>
      <c r="B142" s="126"/>
      <c r="C142" s="49">
        <v>6000</v>
      </c>
      <c r="D142" s="49">
        <v>7500</v>
      </c>
      <c r="E142" s="50">
        <v>7200</v>
      </c>
      <c r="F142" s="73">
        <f t="shared" si="12"/>
        <v>0</v>
      </c>
      <c r="G142" s="51">
        <f>C142/500</f>
        <v>12</v>
      </c>
      <c r="H142" s="51">
        <f>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D143/600</f>
        <v>14.166666666666666</v>
      </c>
      <c r="I143" s="56">
        <f t="shared" ref="I143:I173" si="15">E143/600</f>
        <v>12</v>
      </c>
      <c r="J143" s="31">
        <v>12</v>
      </c>
      <c r="K143" s="32"/>
      <c r="L143" s="33" t="s">
        <v>42</v>
      </c>
      <c r="M143" s="34" t="s">
        <v>152</v>
      </c>
      <c r="N143" s="35" t="s">
        <v>189</v>
      </c>
    </row>
    <row r="144" spans="1:14" ht="15" customHeight="1">
      <c r="A144" s="119" t="s">
        <v>279</v>
      </c>
      <c r="B144" s="125"/>
      <c r="C144" s="36">
        <v>20500</v>
      </c>
      <c r="D144" s="36">
        <v>23000</v>
      </c>
      <c r="E144" s="37">
        <v>20700</v>
      </c>
      <c r="F144" s="115">
        <f t="shared" si="12"/>
        <v>0</v>
      </c>
      <c r="G144" s="38">
        <f>C144/500</f>
        <v>41</v>
      </c>
      <c r="H144" s="38">
        <f>D144/600</f>
        <v>38.333333333333336</v>
      </c>
      <c r="I144" s="48">
        <f t="shared" si="15"/>
        <v>34.5</v>
      </c>
      <c r="J144" s="40">
        <v>38</v>
      </c>
      <c r="K144" s="41"/>
      <c r="L144" s="42" t="s">
        <v>105</v>
      </c>
      <c r="M144" s="42"/>
      <c r="N144" s="43" t="s">
        <v>398</v>
      </c>
    </row>
    <row r="145" spans="1:14" ht="15" customHeight="1">
      <c r="A145" s="119" t="s">
        <v>280</v>
      </c>
      <c r="B145" s="125"/>
      <c r="C145" s="36">
        <v>19900</v>
      </c>
      <c r="D145" s="36">
        <v>28000</v>
      </c>
      <c r="E145" s="37"/>
      <c r="F145" s="115">
        <f t="shared" si="12"/>
        <v>0</v>
      </c>
      <c r="G145" s="38">
        <f>C145/500</f>
        <v>39.799999999999997</v>
      </c>
      <c r="H145" s="38">
        <f>D145/600</f>
        <v>46.666666666666664</v>
      </c>
      <c r="I145" s="39">
        <f t="shared" si="15"/>
        <v>0</v>
      </c>
      <c r="J145" s="40">
        <v>46.7</v>
      </c>
      <c r="K145" s="41"/>
      <c r="L145" s="42"/>
      <c r="M145" s="42"/>
      <c r="N145" s="43"/>
    </row>
    <row r="146" spans="1:14" ht="15" customHeight="1">
      <c r="A146" s="119" t="s">
        <v>281</v>
      </c>
      <c r="B146" s="125"/>
      <c r="C146" s="36"/>
      <c r="D146" s="36">
        <v>9000</v>
      </c>
      <c r="E146" s="37"/>
      <c r="F146" s="115">
        <f t="shared" si="12"/>
        <v>0</v>
      </c>
      <c r="G146" s="38">
        <f>C146/500</f>
        <v>0</v>
      </c>
      <c r="H146" s="38">
        <f>D146/600</f>
        <v>15</v>
      </c>
      <c r="I146" s="39">
        <f t="shared" si="15"/>
        <v>0</v>
      </c>
      <c r="J146" s="40">
        <v>15</v>
      </c>
      <c r="K146" s="41"/>
      <c r="L146" s="42"/>
      <c r="M146" s="47"/>
      <c r="N146" s="43"/>
    </row>
    <row r="147" spans="1:14" ht="15" customHeight="1">
      <c r="A147" s="119" t="s">
        <v>282</v>
      </c>
      <c r="B147" s="125"/>
      <c r="C147" s="36">
        <v>20000</v>
      </c>
      <c r="D147" s="36">
        <v>20000</v>
      </c>
      <c r="E147" s="37"/>
      <c r="F147" s="115">
        <f t="shared" ref="F147:G178" si="16">B147/500</f>
        <v>0</v>
      </c>
      <c r="G147" s="38">
        <f>C147/1000</f>
        <v>20</v>
      </c>
      <c r="H147" s="38">
        <f>D147/1000</f>
        <v>20</v>
      </c>
      <c r="I147" s="39">
        <f t="shared" si="15"/>
        <v>0</v>
      </c>
      <c r="J147" s="40">
        <v>20</v>
      </c>
      <c r="K147" s="41"/>
      <c r="L147" s="42" t="s">
        <v>283</v>
      </c>
      <c r="M147" s="47" t="s">
        <v>283</v>
      </c>
      <c r="N147" s="43"/>
    </row>
    <row r="148" spans="1:14" ht="15" customHeight="1">
      <c r="A148" s="119" t="s">
        <v>284</v>
      </c>
      <c r="B148" s="125"/>
      <c r="C148" s="36">
        <v>13400</v>
      </c>
      <c r="D148" s="36">
        <v>16000</v>
      </c>
      <c r="E148" s="37">
        <v>16500</v>
      </c>
      <c r="F148" s="115">
        <f t="shared" si="16"/>
        <v>0</v>
      </c>
      <c r="G148" s="38">
        <f>C148/500</f>
        <v>26.8</v>
      </c>
      <c r="H148" s="38">
        <f t="shared" ref="H148:I183" si="17">D148/600</f>
        <v>26.666666666666668</v>
      </c>
      <c r="I148" s="39">
        <f t="shared" si="15"/>
        <v>27.5</v>
      </c>
      <c r="J148" s="40">
        <v>27.5</v>
      </c>
      <c r="K148" s="41"/>
      <c r="L148" s="42" t="s">
        <v>65</v>
      </c>
      <c r="M148" s="42"/>
      <c r="N148" s="43" t="s">
        <v>285</v>
      </c>
    </row>
    <row r="149" spans="1:14" ht="15" customHeight="1">
      <c r="A149" s="120" t="s">
        <v>286</v>
      </c>
      <c r="B149" s="125"/>
      <c r="C149" s="36"/>
      <c r="D149" s="36"/>
      <c r="E149" s="37"/>
      <c r="F149" s="115">
        <f t="shared" si="16"/>
        <v>0</v>
      </c>
      <c r="G149" s="38">
        <f>C149/500</f>
        <v>0</v>
      </c>
      <c r="H149" s="38">
        <f t="shared" si="17"/>
        <v>0</v>
      </c>
      <c r="I149" s="39">
        <f t="shared" si="15"/>
        <v>0</v>
      </c>
      <c r="K149" s="41"/>
      <c r="L149" s="42"/>
      <c r="M149" s="42"/>
      <c r="N149" s="43"/>
    </row>
    <row r="150" spans="1:14" ht="15" customHeight="1">
      <c r="A150" s="120" t="s">
        <v>287</v>
      </c>
      <c r="B150" s="125"/>
      <c r="C150" s="36"/>
      <c r="D150" s="36"/>
      <c r="E150" s="37"/>
      <c r="F150" s="115">
        <f t="shared" si="16"/>
        <v>0</v>
      </c>
      <c r="G150" s="38">
        <f>C150/500</f>
        <v>0</v>
      </c>
      <c r="H150" s="38">
        <f t="shared" si="17"/>
        <v>0</v>
      </c>
      <c r="I150" s="39">
        <f t="shared" si="15"/>
        <v>0</v>
      </c>
      <c r="K150" s="41"/>
      <c r="L150" s="42"/>
      <c r="M150" s="42"/>
      <c r="N150" s="43"/>
    </row>
    <row r="151" spans="1:14" ht="15" customHeight="1">
      <c r="A151" s="120" t="s">
        <v>288</v>
      </c>
      <c r="B151" s="125"/>
      <c r="C151" s="36">
        <v>8600</v>
      </c>
      <c r="D151" s="36">
        <v>11000</v>
      </c>
      <c r="E151" s="37"/>
      <c r="F151" s="115">
        <f t="shared" si="16"/>
        <v>0</v>
      </c>
      <c r="G151" s="38">
        <f>C151/500</f>
        <v>17.2</v>
      </c>
      <c r="H151" s="38">
        <f t="shared" si="17"/>
        <v>18.333333333333332</v>
      </c>
      <c r="I151" s="39">
        <f t="shared" si="15"/>
        <v>0</v>
      </c>
      <c r="J151" s="40">
        <v>18.3</v>
      </c>
      <c r="K151" s="41"/>
      <c r="L151" s="42"/>
      <c r="M151" s="42"/>
      <c r="N151" s="43"/>
    </row>
    <row r="152" spans="1:14" ht="15" customHeight="1">
      <c r="A152" s="120" t="s">
        <v>289</v>
      </c>
      <c r="B152" s="125"/>
      <c r="C152" s="36">
        <v>7700</v>
      </c>
      <c r="D152" s="36"/>
      <c r="E152" s="37">
        <v>10200</v>
      </c>
      <c r="F152" s="115">
        <f t="shared" si="16"/>
        <v>0</v>
      </c>
      <c r="G152" s="44">
        <f>C152/500</f>
        <v>15.4</v>
      </c>
      <c r="H152" s="38">
        <f t="shared" si="17"/>
        <v>0</v>
      </c>
      <c r="I152" s="39">
        <f t="shared" si="15"/>
        <v>17</v>
      </c>
      <c r="J152" s="40">
        <v>15.4</v>
      </c>
      <c r="K152" s="41"/>
      <c r="L152" s="42" t="s">
        <v>57</v>
      </c>
      <c r="M152" s="42"/>
      <c r="N152" s="43"/>
    </row>
    <row r="153" spans="1:14" ht="15" customHeight="1">
      <c r="A153" s="119" t="s">
        <v>290</v>
      </c>
      <c r="B153" s="125"/>
      <c r="C153" s="36">
        <v>3500</v>
      </c>
      <c r="D153" s="36">
        <v>4500</v>
      </c>
      <c r="E153" s="37"/>
      <c r="F153" s="115">
        <f t="shared" si="16"/>
        <v>0</v>
      </c>
      <c r="G153" s="38">
        <f>C153/600</f>
        <v>5.833333333333333</v>
      </c>
      <c r="H153" s="38">
        <f t="shared" si="17"/>
        <v>7.5</v>
      </c>
      <c r="I153" s="39">
        <f t="shared" si="15"/>
        <v>0</v>
      </c>
      <c r="K153" s="41"/>
      <c r="L153" s="42" t="s">
        <v>49</v>
      </c>
      <c r="M153" s="42"/>
      <c r="N153" s="43"/>
    </row>
    <row r="154" spans="1:14" ht="15" customHeight="1">
      <c r="A154" s="120" t="s">
        <v>291</v>
      </c>
      <c r="B154" s="125"/>
      <c r="C154" s="36">
        <v>4500</v>
      </c>
      <c r="D154" s="36"/>
      <c r="E154" s="37"/>
      <c r="F154" s="115">
        <f t="shared" si="16"/>
        <v>0</v>
      </c>
      <c r="G154" s="38">
        <f>C154/600</f>
        <v>7.5</v>
      </c>
      <c r="H154" s="38">
        <f t="shared" si="17"/>
        <v>0</v>
      </c>
      <c r="I154" s="39">
        <f t="shared" si="15"/>
        <v>0</v>
      </c>
      <c r="J154" s="40">
        <v>7.5</v>
      </c>
      <c r="K154" s="41"/>
      <c r="L154" s="42" t="s">
        <v>292</v>
      </c>
      <c r="M154" s="42"/>
      <c r="N154" s="43"/>
    </row>
    <row r="155" spans="1:14" ht="15" customHeight="1">
      <c r="A155" s="120" t="s">
        <v>293</v>
      </c>
      <c r="B155" s="125"/>
      <c r="C155" s="36">
        <v>4800</v>
      </c>
      <c r="D155" s="36">
        <v>7000</v>
      </c>
      <c r="E155" s="37">
        <v>6000</v>
      </c>
      <c r="F155" s="115">
        <f t="shared" si="16"/>
        <v>0</v>
      </c>
      <c r="G155" s="38">
        <f t="shared" si="16"/>
        <v>9.6</v>
      </c>
      <c r="H155" s="38">
        <f t="shared" si="17"/>
        <v>11.666666666666666</v>
      </c>
      <c r="I155" s="39">
        <f t="shared" si="15"/>
        <v>10</v>
      </c>
      <c r="J155" s="40">
        <v>10</v>
      </c>
      <c r="K155" s="41"/>
      <c r="L155" s="42" t="s">
        <v>76</v>
      </c>
      <c r="M155" s="47" t="s">
        <v>147</v>
      </c>
      <c r="N155" s="43" t="s">
        <v>84</v>
      </c>
    </row>
    <row r="156" spans="1:14" ht="15" customHeight="1">
      <c r="A156" s="120" t="s">
        <v>294</v>
      </c>
      <c r="B156" s="125"/>
      <c r="C156" s="36">
        <v>10600</v>
      </c>
      <c r="D156" s="36">
        <v>14000</v>
      </c>
      <c r="E156" s="37">
        <v>13000</v>
      </c>
      <c r="F156" s="115">
        <f t="shared" si="16"/>
        <v>0</v>
      </c>
      <c r="G156" s="38">
        <f t="shared" si="16"/>
        <v>21.2</v>
      </c>
      <c r="H156" s="38">
        <f t="shared" si="17"/>
        <v>23.333333333333332</v>
      </c>
      <c r="I156" s="48">
        <f t="shared" si="15"/>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16"/>
        <v>0</v>
      </c>
      <c r="G157" s="38">
        <f t="shared" si="16"/>
        <v>15.2</v>
      </c>
      <c r="H157" s="38">
        <f t="shared" si="17"/>
        <v>18.333333333333332</v>
      </c>
      <c r="I157" s="39">
        <f t="shared" si="15"/>
        <v>16.666666666666668</v>
      </c>
      <c r="J157" s="40">
        <v>16.7</v>
      </c>
      <c r="K157" s="41"/>
      <c r="L157" s="42" t="s">
        <v>296</v>
      </c>
      <c r="M157" s="47"/>
      <c r="N157" s="43" t="s">
        <v>189</v>
      </c>
    </row>
    <row r="158" spans="1:14" ht="15" customHeight="1">
      <c r="A158" s="120" t="s">
        <v>297</v>
      </c>
      <c r="B158" s="125"/>
      <c r="C158" s="36"/>
      <c r="D158" s="36"/>
      <c r="E158" s="37"/>
      <c r="F158" s="115">
        <f t="shared" si="16"/>
        <v>0</v>
      </c>
      <c r="G158" s="38">
        <f t="shared" si="16"/>
        <v>0</v>
      </c>
      <c r="H158" s="38">
        <f t="shared" si="17"/>
        <v>0</v>
      </c>
      <c r="I158" s="39">
        <f t="shared" si="15"/>
        <v>0</v>
      </c>
      <c r="K158" s="41"/>
      <c r="L158" s="42"/>
      <c r="M158" s="42"/>
      <c r="N158" s="43"/>
    </row>
    <row r="159" spans="1:14" ht="15" customHeight="1">
      <c r="A159" s="120" t="s">
        <v>298</v>
      </c>
      <c r="B159" s="125"/>
      <c r="C159" s="36">
        <v>10000</v>
      </c>
      <c r="D159" s="36"/>
      <c r="E159" s="37">
        <v>10000</v>
      </c>
      <c r="F159" s="115">
        <f t="shared" si="16"/>
        <v>0</v>
      </c>
      <c r="G159" s="38">
        <f t="shared" si="16"/>
        <v>20</v>
      </c>
      <c r="H159" s="38">
        <f t="shared" si="17"/>
        <v>0</v>
      </c>
      <c r="I159" s="48">
        <f t="shared" si="15"/>
        <v>16.666666666666668</v>
      </c>
      <c r="J159" s="40">
        <v>16.7</v>
      </c>
      <c r="K159" s="41"/>
      <c r="L159" s="42" t="s">
        <v>246</v>
      </c>
      <c r="M159" s="42"/>
      <c r="N159" s="43" t="s">
        <v>299</v>
      </c>
    </row>
    <row r="160" spans="1:14" ht="15" customHeight="1">
      <c r="A160" s="120" t="s">
        <v>300</v>
      </c>
      <c r="B160" s="125"/>
      <c r="C160" s="36"/>
      <c r="D160" s="36"/>
      <c r="E160" s="37"/>
      <c r="F160" s="115">
        <f t="shared" si="16"/>
        <v>0</v>
      </c>
      <c r="G160" s="38">
        <f t="shared" si="16"/>
        <v>0</v>
      </c>
      <c r="H160" s="38">
        <f t="shared" si="17"/>
        <v>0</v>
      </c>
      <c r="I160" s="39">
        <f t="shared" si="15"/>
        <v>0</v>
      </c>
      <c r="K160" s="41"/>
      <c r="L160" s="42"/>
      <c r="M160" s="42"/>
      <c r="N160" s="43"/>
    </row>
    <row r="161" spans="1:14" ht="15" customHeight="1">
      <c r="A161" s="120" t="s">
        <v>301</v>
      </c>
      <c r="B161" s="125"/>
      <c r="C161" s="36">
        <v>9500</v>
      </c>
      <c r="D161" s="36">
        <v>14000</v>
      </c>
      <c r="E161" s="37"/>
      <c r="F161" s="115">
        <f t="shared" si="16"/>
        <v>0</v>
      </c>
      <c r="G161" s="38">
        <f t="shared" si="16"/>
        <v>19</v>
      </c>
      <c r="H161" s="38">
        <f t="shared" si="17"/>
        <v>23.333333333333332</v>
      </c>
      <c r="I161" s="39">
        <f t="shared" si="15"/>
        <v>0</v>
      </c>
      <c r="J161" s="40">
        <v>23.3</v>
      </c>
      <c r="K161" s="41"/>
      <c r="L161" s="42"/>
      <c r="M161" s="42"/>
      <c r="N161" s="43"/>
    </row>
    <row r="162" spans="1:14" ht="15" customHeight="1">
      <c r="A162" s="120" t="s">
        <v>302</v>
      </c>
      <c r="B162" s="125">
        <v>8800</v>
      </c>
      <c r="C162" s="36">
        <v>5100</v>
      </c>
      <c r="D162" s="36">
        <v>5800</v>
      </c>
      <c r="E162" s="37">
        <v>6300</v>
      </c>
      <c r="F162" s="115">
        <f t="shared" si="16"/>
        <v>17.600000000000001</v>
      </c>
      <c r="G162" s="38">
        <f t="shared" si="16"/>
        <v>10.199999999999999</v>
      </c>
      <c r="H162" s="38">
        <f t="shared" si="17"/>
        <v>9.6666666666666661</v>
      </c>
      <c r="I162" s="48">
        <f t="shared" si="15"/>
        <v>10.5</v>
      </c>
      <c r="J162" s="40">
        <v>17.600000000000001</v>
      </c>
      <c r="K162" s="67"/>
      <c r="L162" s="68" t="s">
        <v>303</v>
      </c>
      <c r="M162" s="58" t="s">
        <v>304</v>
      </c>
      <c r="N162" s="66" t="s">
        <v>305</v>
      </c>
    </row>
    <row r="163" spans="1:14" ht="15" customHeight="1">
      <c r="A163" s="120" t="s">
        <v>306</v>
      </c>
      <c r="B163" s="125">
        <v>22500</v>
      </c>
      <c r="C163" s="36"/>
      <c r="D163" s="36"/>
      <c r="E163" s="37"/>
      <c r="F163" s="115">
        <f t="shared" si="16"/>
        <v>45</v>
      </c>
      <c r="G163" s="38">
        <f t="shared" si="16"/>
        <v>0</v>
      </c>
      <c r="H163" s="38">
        <f t="shared" si="17"/>
        <v>0</v>
      </c>
      <c r="I163" s="39">
        <f t="shared" si="15"/>
        <v>0</v>
      </c>
      <c r="J163" s="40">
        <v>45</v>
      </c>
      <c r="K163" s="41"/>
      <c r="L163" s="42"/>
      <c r="M163" s="42"/>
      <c r="N163" s="43"/>
    </row>
    <row r="164" spans="1:14" ht="15" customHeight="1" thickBot="1">
      <c r="A164" s="122" t="s">
        <v>307</v>
      </c>
      <c r="B164" s="126"/>
      <c r="C164" s="49"/>
      <c r="D164" s="49"/>
      <c r="E164" s="50"/>
      <c r="F164" s="73">
        <f t="shared" si="16"/>
        <v>0</v>
      </c>
      <c r="G164" s="51">
        <f t="shared" si="16"/>
        <v>0</v>
      </c>
      <c r="H164" s="51">
        <f t="shared" si="17"/>
        <v>0</v>
      </c>
      <c r="I164" s="60">
        <f t="shared" si="15"/>
        <v>0</v>
      </c>
      <c r="J164" s="52"/>
      <c r="K164" s="61"/>
      <c r="L164" s="53"/>
      <c r="M164" s="53"/>
      <c r="N164" s="62"/>
    </row>
    <row r="165" spans="1:14" ht="15" customHeight="1">
      <c r="A165" s="132" t="s">
        <v>308</v>
      </c>
      <c r="B165" s="128"/>
      <c r="C165" s="26">
        <v>5300</v>
      </c>
      <c r="D165" s="26">
        <v>14000</v>
      </c>
      <c r="E165" s="27"/>
      <c r="F165" s="28">
        <f t="shared" si="16"/>
        <v>0</v>
      </c>
      <c r="G165" s="29">
        <f t="shared" si="16"/>
        <v>10.6</v>
      </c>
      <c r="H165" s="29">
        <f t="shared" si="17"/>
        <v>23.333333333333332</v>
      </c>
      <c r="I165" s="56">
        <f t="shared" si="15"/>
        <v>0</v>
      </c>
      <c r="J165" s="31">
        <v>23.3</v>
      </c>
      <c r="K165" s="32"/>
      <c r="L165" s="33"/>
      <c r="M165" s="34"/>
      <c r="N165" s="35"/>
    </row>
    <row r="166" spans="1:14" ht="15" customHeight="1">
      <c r="A166" s="121" t="s">
        <v>309</v>
      </c>
      <c r="B166" s="125"/>
      <c r="C166" s="36"/>
      <c r="D166" s="36"/>
      <c r="E166" s="37"/>
      <c r="F166" s="115">
        <f t="shared" si="16"/>
        <v>0</v>
      </c>
      <c r="G166" s="38">
        <f t="shared" si="16"/>
        <v>0</v>
      </c>
      <c r="H166" s="38">
        <f t="shared" si="17"/>
        <v>0</v>
      </c>
      <c r="I166" s="39">
        <f t="shared" si="15"/>
        <v>0</v>
      </c>
      <c r="K166" s="41"/>
      <c r="L166" s="42"/>
      <c r="M166" s="42"/>
      <c r="N166" s="43"/>
    </row>
    <row r="167" spans="1:14" ht="15" customHeight="1">
      <c r="A167" s="121" t="s">
        <v>310</v>
      </c>
      <c r="B167" s="125"/>
      <c r="C167" s="36">
        <v>12000</v>
      </c>
      <c r="D167" s="36"/>
      <c r="E167" s="37">
        <v>13400</v>
      </c>
      <c r="F167" s="115">
        <f t="shared" si="16"/>
        <v>0</v>
      </c>
      <c r="G167" s="72">
        <f t="shared" si="16"/>
        <v>24</v>
      </c>
      <c r="H167" s="38">
        <f t="shared" si="17"/>
        <v>0</v>
      </c>
      <c r="I167" s="48">
        <f t="shared" si="15"/>
        <v>22.333333333333332</v>
      </c>
      <c r="J167" s="40">
        <v>24</v>
      </c>
      <c r="K167" s="41"/>
      <c r="L167" s="57" t="s">
        <v>50</v>
      </c>
      <c r="M167" s="42"/>
      <c r="N167" s="43" t="s">
        <v>84</v>
      </c>
    </row>
    <row r="168" spans="1:14" ht="15" customHeight="1">
      <c r="A168" s="121" t="s">
        <v>314</v>
      </c>
      <c r="B168" s="125">
        <v>31900</v>
      </c>
      <c r="C168" s="36"/>
      <c r="D168" s="36">
        <v>17000</v>
      </c>
      <c r="E168" s="37">
        <v>25800</v>
      </c>
      <c r="F168" s="115">
        <f t="shared" si="16"/>
        <v>63.8</v>
      </c>
      <c r="G168" s="38">
        <f t="shared" si="16"/>
        <v>0</v>
      </c>
      <c r="H168" s="38">
        <f t="shared" si="17"/>
        <v>28.333333333333332</v>
      </c>
      <c r="I168" s="39">
        <f t="shared" si="15"/>
        <v>43</v>
      </c>
      <c r="J168" s="40">
        <v>43</v>
      </c>
      <c r="K168" s="41" t="s">
        <v>311</v>
      </c>
      <c r="L168" s="42"/>
      <c r="M168" s="47" t="s">
        <v>312</v>
      </c>
      <c r="N168" s="66" t="s">
        <v>313</v>
      </c>
    </row>
    <row r="169" spans="1:14" ht="15" customHeight="1">
      <c r="A169" s="121" t="s">
        <v>315</v>
      </c>
      <c r="B169" s="125"/>
      <c r="C169" s="36">
        <v>12000</v>
      </c>
      <c r="D169" s="36">
        <v>14000</v>
      </c>
      <c r="E169" s="37">
        <v>6500</v>
      </c>
      <c r="F169" s="115">
        <f t="shared" si="16"/>
        <v>0</v>
      </c>
      <c r="G169" s="38">
        <f>C169/600</f>
        <v>20</v>
      </c>
      <c r="H169" s="38">
        <f t="shared" si="17"/>
        <v>23.333333333333332</v>
      </c>
      <c r="I169" s="39">
        <f t="shared" si="15"/>
        <v>10.833333333333334</v>
      </c>
      <c r="J169" s="40">
        <v>10.8</v>
      </c>
      <c r="K169" s="41"/>
      <c r="L169" s="42" t="s">
        <v>316</v>
      </c>
      <c r="M169" s="42" t="s">
        <v>152</v>
      </c>
      <c r="N169" s="43" t="s">
        <v>84</v>
      </c>
    </row>
    <row r="170" spans="1:14" ht="15" customHeight="1">
      <c r="A170" s="118" t="s">
        <v>317</v>
      </c>
      <c r="B170" s="125"/>
      <c r="C170" s="36"/>
      <c r="D170" s="36"/>
      <c r="E170" s="37">
        <v>12500</v>
      </c>
      <c r="F170" s="115">
        <f t="shared" si="16"/>
        <v>0</v>
      </c>
      <c r="G170" s="38">
        <f t="shared" si="16"/>
        <v>0</v>
      </c>
      <c r="H170" s="38">
        <f t="shared" si="17"/>
        <v>0</v>
      </c>
      <c r="I170" s="39">
        <f t="shared" si="15"/>
        <v>20.833333333333332</v>
      </c>
      <c r="J170" s="40">
        <v>20.8</v>
      </c>
      <c r="K170" s="41"/>
      <c r="L170" s="42"/>
      <c r="M170" s="42"/>
      <c r="N170" s="43" t="s">
        <v>42</v>
      </c>
    </row>
    <row r="171" spans="1:14" ht="15" customHeight="1">
      <c r="A171" s="121" t="s">
        <v>318</v>
      </c>
      <c r="B171" s="125"/>
      <c r="C171" s="36">
        <v>5800</v>
      </c>
      <c r="D171" s="36"/>
      <c r="E171" s="37"/>
      <c r="F171" s="115">
        <f t="shared" si="16"/>
        <v>0</v>
      </c>
      <c r="G171" s="38">
        <f t="shared" si="16"/>
        <v>11.6</v>
      </c>
      <c r="H171" s="38">
        <f t="shared" si="17"/>
        <v>0</v>
      </c>
      <c r="I171" s="39">
        <f t="shared" si="15"/>
        <v>0</v>
      </c>
      <c r="J171" s="40">
        <v>11.6</v>
      </c>
      <c r="K171" s="41"/>
      <c r="L171" s="42" t="s">
        <v>319</v>
      </c>
      <c r="M171" s="42"/>
      <c r="N171" s="43"/>
    </row>
    <row r="172" spans="1:14" ht="15" customHeight="1">
      <c r="A172" s="121" t="s">
        <v>320</v>
      </c>
      <c r="B172" s="125"/>
      <c r="C172" s="36">
        <v>21900</v>
      </c>
      <c r="D172" s="36">
        <v>24000</v>
      </c>
      <c r="E172" s="37">
        <v>24300</v>
      </c>
      <c r="F172" s="115">
        <f t="shared" si="16"/>
        <v>0</v>
      </c>
      <c r="G172" s="38">
        <f t="shared" si="16"/>
        <v>43.8</v>
      </c>
      <c r="H172" s="38">
        <f t="shared" si="17"/>
        <v>40</v>
      </c>
      <c r="I172" s="39">
        <f t="shared" si="15"/>
        <v>40.5</v>
      </c>
      <c r="J172" s="40">
        <v>40</v>
      </c>
      <c r="K172" s="41"/>
      <c r="L172" s="42" t="s">
        <v>65</v>
      </c>
      <c r="M172" s="47"/>
      <c r="N172" s="43" t="s">
        <v>84</v>
      </c>
    </row>
    <row r="173" spans="1:14" ht="15" customHeight="1">
      <c r="A173" s="121" t="s">
        <v>321</v>
      </c>
      <c r="B173" s="125"/>
      <c r="C173" s="36">
        <v>13800</v>
      </c>
      <c r="D173" s="36"/>
      <c r="E173" s="37">
        <v>17100</v>
      </c>
      <c r="F173" s="115">
        <f t="shared" si="16"/>
        <v>0</v>
      </c>
      <c r="G173" s="38">
        <f t="shared" si="16"/>
        <v>27.6</v>
      </c>
      <c r="H173" s="38">
        <f t="shared" si="17"/>
        <v>0</v>
      </c>
      <c r="I173" s="39">
        <f t="shared" si="15"/>
        <v>28.5</v>
      </c>
      <c r="J173" s="40">
        <v>28.5</v>
      </c>
      <c r="K173" s="41"/>
      <c r="L173" s="42" t="s">
        <v>246</v>
      </c>
      <c r="M173" s="42"/>
      <c r="N173" s="43" t="s">
        <v>322</v>
      </c>
    </row>
    <row r="174" spans="1:14" ht="15" customHeight="1">
      <c r="A174" s="121" t="s">
        <v>403</v>
      </c>
      <c r="B174" s="125"/>
      <c r="C174" s="36">
        <v>11000</v>
      </c>
      <c r="D174" s="36"/>
      <c r="E174" s="37">
        <v>11000</v>
      </c>
      <c r="F174" s="115">
        <f t="shared" si="16"/>
        <v>0</v>
      </c>
      <c r="G174" s="38">
        <f t="shared" si="16"/>
        <v>22</v>
      </c>
      <c r="H174" s="38">
        <f t="shared" si="1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16"/>
        <v>0</v>
      </c>
      <c r="G175" s="38">
        <f t="shared" si="16"/>
        <v>22.6</v>
      </c>
      <c r="H175" s="38">
        <f t="shared" si="17"/>
        <v>0</v>
      </c>
      <c r="I175" s="39">
        <f t="shared" si="17"/>
        <v>23.666666666666668</v>
      </c>
      <c r="J175" s="40">
        <v>22.6</v>
      </c>
      <c r="K175" s="41"/>
      <c r="L175" s="42" t="s">
        <v>42</v>
      </c>
      <c r="M175" s="42"/>
      <c r="N175" s="43" t="s">
        <v>42</v>
      </c>
    </row>
    <row r="176" spans="1:14" ht="15" customHeight="1">
      <c r="A176" s="121" t="s">
        <v>324</v>
      </c>
      <c r="B176" s="125"/>
      <c r="C176" s="36"/>
      <c r="D176" s="36">
        <v>8500</v>
      </c>
      <c r="E176" s="37"/>
      <c r="F176" s="115">
        <f t="shared" si="16"/>
        <v>0</v>
      </c>
      <c r="G176" s="38">
        <f t="shared" si="16"/>
        <v>0</v>
      </c>
      <c r="H176" s="38">
        <f t="shared" si="17"/>
        <v>14.166666666666666</v>
      </c>
      <c r="I176" s="39">
        <f t="shared" si="17"/>
        <v>0</v>
      </c>
      <c r="J176" s="40">
        <v>14.2</v>
      </c>
      <c r="K176" s="41"/>
      <c r="L176" s="42"/>
      <c r="M176" s="42"/>
      <c r="N176" s="43"/>
    </row>
    <row r="177" spans="1:14" ht="15" customHeight="1">
      <c r="A177" s="121" t="s">
        <v>325</v>
      </c>
      <c r="B177" s="125"/>
      <c r="C177" s="36">
        <v>3300</v>
      </c>
      <c r="D177" s="36">
        <v>5800</v>
      </c>
      <c r="E177" s="37">
        <v>4400</v>
      </c>
      <c r="F177" s="115">
        <f t="shared" si="16"/>
        <v>0</v>
      </c>
      <c r="G177" s="38">
        <f t="shared" si="16"/>
        <v>6.6</v>
      </c>
      <c r="H177" s="38">
        <f t="shared" si="17"/>
        <v>9.6666666666666661</v>
      </c>
      <c r="I177" s="39">
        <f t="shared" si="17"/>
        <v>7.333333333333333</v>
      </c>
      <c r="J177" s="40">
        <v>7.3</v>
      </c>
      <c r="K177" s="41"/>
      <c r="L177" s="42"/>
      <c r="M177" s="42" t="s">
        <v>326</v>
      </c>
      <c r="N177" s="43" t="s">
        <v>84</v>
      </c>
    </row>
    <row r="178" spans="1:14" ht="15" customHeight="1">
      <c r="A178" s="121" t="s">
        <v>327</v>
      </c>
      <c r="B178" s="125"/>
      <c r="C178" s="36"/>
      <c r="D178" s="36"/>
      <c r="E178" s="37"/>
      <c r="F178" s="115">
        <f t="shared" si="16"/>
        <v>0</v>
      </c>
      <c r="G178" s="38">
        <f t="shared" si="16"/>
        <v>0</v>
      </c>
      <c r="H178" s="38">
        <f t="shared" si="17"/>
        <v>0</v>
      </c>
      <c r="I178" s="39">
        <f t="shared" si="17"/>
        <v>0</v>
      </c>
      <c r="K178" s="41"/>
      <c r="L178" s="42"/>
      <c r="M178" s="42"/>
      <c r="N178" s="43"/>
    </row>
    <row r="179" spans="1:14" ht="15" customHeight="1">
      <c r="A179" s="121" t="s">
        <v>328</v>
      </c>
      <c r="B179" s="125"/>
      <c r="C179" s="36"/>
      <c r="D179" s="36"/>
      <c r="E179" s="37"/>
      <c r="F179" s="115">
        <f t="shared" ref="F179:G184" si="18">B179/500</f>
        <v>0</v>
      </c>
      <c r="G179" s="38">
        <f t="shared" si="18"/>
        <v>0</v>
      </c>
      <c r="H179" s="38">
        <f t="shared" si="17"/>
        <v>0</v>
      </c>
      <c r="I179" s="39">
        <f t="shared" si="17"/>
        <v>0</v>
      </c>
      <c r="K179" s="41"/>
      <c r="L179" s="42"/>
      <c r="M179" s="42"/>
      <c r="N179" s="43"/>
    </row>
    <row r="180" spans="1:14" ht="15" customHeight="1">
      <c r="A180" s="121" t="s">
        <v>329</v>
      </c>
      <c r="B180" s="125"/>
      <c r="C180" s="36">
        <v>5800</v>
      </c>
      <c r="D180" s="36">
        <v>7000</v>
      </c>
      <c r="E180" s="37"/>
      <c r="F180" s="115">
        <f t="shared" si="18"/>
        <v>0</v>
      </c>
      <c r="G180" s="38">
        <f t="shared" si="18"/>
        <v>11.6</v>
      </c>
      <c r="H180" s="38">
        <f t="shared" si="17"/>
        <v>11.666666666666666</v>
      </c>
      <c r="I180" s="39">
        <f t="shared" si="17"/>
        <v>0</v>
      </c>
      <c r="J180" s="40">
        <v>11.7</v>
      </c>
      <c r="K180" s="41"/>
      <c r="L180" s="42" t="s">
        <v>273</v>
      </c>
      <c r="M180" s="42"/>
      <c r="N180" s="43"/>
    </row>
    <row r="181" spans="1:14" ht="15" customHeight="1">
      <c r="A181" s="121" t="s">
        <v>330</v>
      </c>
      <c r="B181" s="125"/>
      <c r="C181" s="36"/>
      <c r="D181" s="36"/>
      <c r="E181" s="37"/>
      <c r="F181" s="115">
        <f t="shared" si="18"/>
        <v>0</v>
      </c>
      <c r="G181" s="38">
        <f t="shared" si="18"/>
        <v>0</v>
      </c>
      <c r="H181" s="38">
        <f t="shared" si="17"/>
        <v>0</v>
      </c>
      <c r="I181" s="39">
        <f t="shared" si="17"/>
        <v>0</v>
      </c>
      <c r="K181" s="41"/>
      <c r="L181" s="42"/>
      <c r="M181" s="42"/>
      <c r="N181" s="43"/>
    </row>
    <row r="182" spans="1:14" ht="15" customHeight="1" thickBot="1">
      <c r="A182" s="133" t="s">
        <v>331</v>
      </c>
      <c r="B182" s="126">
        <v>10800</v>
      </c>
      <c r="C182" s="49">
        <v>10500</v>
      </c>
      <c r="D182" s="49">
        <v>7500</v>
      </c>
      <c r="E182" s="50">
        <v>12800</v>
      </c>
      <c r="F182" s="73">
        <f t="shared" si="18"/>
        <v>21.6</v>
      </c>
      <c r="G182" s="51">
        <f t="shared" si="18"/>
        <v>21</v>
      </c>
      <c r="H182" s="51">
        <f t="shared" si="17"/>
        <v>12.5</v>
      </c>
      <c r="I182" s="60">
        <f t="shared" si="17"/>
        <v>21.333333333333332</v>
      </c>
      <c r="J182" s="52">
        <v>21.3</v>
      </c>
      <c r="K182" s="140"/>
      <c r="L182" s="53" t="s">
        <v>42</v>
      </c>
      <c r="M182" s="54"/>
      <c r="N182" s="62" t="s">
        <v>189</v>
      </c>
    </row>
    <row r="183" spans="1:14" ht="15" customHeight="1">
      <c r="A183" s="134" t="s">
        <v>332</v>
      </c>
      <c r="B183" s="128"/>
      <c r="C183" s="26">
        <v>11800</v>
      </c>
      <c r="D183" s="26">
        <v>14000</v>
      </c>
      <c r="E183" s="27">
        <v>14200</v>
      </c>
      <c r="F183" s="28">
        <f t="shared" si="18"/>
        <v>0</v>
      </c>
      <c r="G183" s="29">
        <f t="shared" si="18"/>
        <v>23.6</v>
      </c>
      <c r="H183" s="29">
        <f t="shared" si="17"/>
        <v>23.333333333333332</v>
      </c>
      <c r="I183" s="56">
        <f t="shared" si="17"/>
        <v>23.666666666666668</v>
      </c>
      <c r="J183" s="31">
        <v>23.7</v>
      </c>
      <c r="K183" s="32"/>
      <c r="L183" s="141" t="s">
        <v>42</v>
      </c>
      <c r="M183" s="34" t="s">
        <v>62</v>
      </c>
      <c r="N183" s="35" t="s">
        <v>44</v>
      </c>
    </row>
    <row r="184" spans="1:14" ht="15" customHeight="1">
      <c r="A184" s="142" t="s">
        <v>333</v>
      </c>
      <c r="B184" s="125"/>
      <c r="C184" s="36">
        <v>5500</v>
      </c>
      <c r="D184" s="36"/>
      <c r="E184" s="37"/>
      <c r="F184" s="115"/>
      <c r="G184" s="38">
        <f t="shared" si="18"/>
        <v>11</v>
      </c>
      <c r="H184" s="38"/>
      <c r="I184" s="39"/>
      <c r="J184" s="40">
        <v>11</v>
      </c>
      <c r="K184" s="143"/>
      <c r="L184" s="42" t="s">
        <v>334</v>
      </c>
      <c r="M184" s="144"/>
      <c r="N184" s="145"/>
    </row>
    <row r="185" spans="1:14" ht="15" customHeight="1" thickBot="1">
      <c r="A185" s="122" t="s">
        <v>335</v>
      </c>
      <c r="B185" s="126"/>
      <c r="C185" s="49">
        <v>10000</v>
      </c>
      <c r="D185" s="49">
        <v>10000</v>
      </c>
      <c r="E185" s="50"/>
      <c r="F185" s="73">
        <f t="shared" ref="F185:G205" si="19">B185/500</f>
        <v>0</v>
      </c>
      <c r="G185" s="51">
        <f t="shared" ref="G185:I193" si="20">C185/600</f>
        <v>16.666666666666668</v>
      </c>
      <c r="H185" s="51">
        <f t="shared" si="20"/>
        <v>16.666666666666668</v>
      </c>
      <c r="I185" s="60">
        <f t="shared" si="20"/>
        <v>0</v>
      </c>
      <c r="J185" s="52"/>
      <c r="K185" s="61"/>
      <c r="L185" s="53" t="s">
        <v>105</v>
      </c>
      <c r="M185" s="54" t="s">
        <v>336</v>
      </c>
      <c r="N185" s="62"/>
    </row>
    <row r="186" spans="1:14" ht="15" customHeight="1">
      <c r="A186" s="132" t="s">
        <v>337</v>
      </c>
      <c r="B186" s="128"/>
      <c r="C186" s="26">
        <v>4700</v>
      </c>
      <c r="D186" s="26">
        <v>5500</v>
      </c>
      <c r="E186" s="27">
        <v>4700</v>
      </c>
      <c r="F186" s="28">
        <f t="shared" si="19"/>
        <v>0</v>
      </c>
      <c r="G186" s="29">
        <f t="shared" si="20"/>
        <v>7.833333333333333</v>
      </c>
      <c r="H186" s="29">
        <f t="shared" si="20"/>
        <v>9.1666666666666661</v>
      </c>
      <c r="I186" s="56">
        <f t="shared" si="20"/>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19"/>
        <v>0</v>
      </c>
      <c r="G187" s="44">
        <f t="shared" si="20"/>
        <v>35</v>
      </c>
      <c r="H187" s="38">
        <f t="shared" si="20"/>
        <v>42.5</v>
      </c>
      <c r="I187" s="39">
        <f t="shared" si="20"/>
        <v>42.333333333333336</v>
      </c>
      <c r="J187" s="40">
        <v>35</v>
      </c>
      <c r="K187" s="41"/>
      <c r="L187" s="42" t="s">
        <v>342</v>
      </c>
      <c r="M187" s="42"/>
      <c r="N187" s="43" t="s">
        <v>84</v>
      </c>
    </row>
    <row r="188" spans="1:14" ht="15" customHeight="1">
      <c r="A188" s="121" t="s">
        <v>343</v>
      </c>
      <c r="B188" s="125"/>
      <c r="C188" s="36">
        <v>14000</v>
      </c>
      <c r="D188" s="36">
        <v>18000</v>
      </c>
      <c r="E188" s="37"/>
      <c r="F188" s="115">
        <f t="shared" si="19"/>
        <v>0</v>
      </c>
      <c r="G188" s="38">
        <f>C188/500</f>
        <v>28</v>
      </c>
      <c r="H188" s="38">
        <f t="shared" si="20"/>
        <v>30</v>
      </c>
      <c r="I188" s="39">
        <f t="shared" si="20"/>
        <v>0</v>
      </c>
      <c r="J188" s="40">
        <v>30</v>
      </c>
      <c r="K188" s="41"/>
      <c r="L188" s="42"/>
      <c r="M188" s="42"/>
      <c r="N188" s="43"/>
    </row>
    <row r="189" spans="1:14" ht="15" customHeight="1">
      <c r="A189" s="121" t="s">
        <v>344</v>
      </c>
      <c r="B189" s="125"/>
      <c r="C189" s="36"/>
      <c r="D189" s="36"/>
      <c r="E189" s="37"/>
      <c r="F189" s="115">
        <f t="shared" si="19"/>
        <v>0</v>
      </c>
      <c r="G189" s="38">
        <f>C189/500</f>
        <v>0</v>
      </c>
      <c r="H189" s="38">
        <f t="shared" si="20"/>
        <v>0</v>
      </c>
      <c r="I189" s="39">
        <f t="shared" si="20"/>
        <v>0</v>
      </c>
      <c r="K189" s="41"/>
      <c r="L189" s="42"/>
      <c r="M189" s="42"/>
      <c r="N189" s="43"/>
    </row>
    <row r="190" spans="1:14" ht="15" customHeight="1" thickBot="1">
      <c r="A190" s="133" t="s">
        <v>345</v>
      </c>
      <c r="B190" s="126"/>
      <c r="C190" s="49">
        <v>5200</v>
      </c>
      <c r="D190" s="49"/>
      <c r="E190" s="50">
        <v>5600</v>
      </c>
      <c r="F190" s="73">
        <f t="shared" si="19"/>
        <v>0</v>
      </c>
      <c r="G190" s="59">
        <f>C190/600</f>
        <v>8.6666666666666661</v>
      </c>
      <c r="H190" s="51">
        <f t="shared" si="20"/>
        <v>0</v>
      </c>
      <c r="I190" s="60">
        <f t="shared" si="20"/>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19"/>
        <v>0</v>
      </c>
      <c r="G191" s="29">
        <f t="shared" si="19"/>
        <v>8</v>
      </c>
      <c r="H191" s="29">
        <f t="shared" si="20"/>
        <v>9.1666666666666661</v>
      </c>
      <c r="I191" s="56">
        <f t="shared" si="20"/>
        <v>8.5</v>
      </c>
      <c r="J191" s="31">
        <v>8</v>
      </c>
      <c r="K191" s="32"/>
      <c r="L191" s="33" t="s">
        <v>50</v>
      </c>
      <c r="M191" s="33"/>
      <c r="N191" s="35"/>
    </row>
    <row r="192" spans="1:14" ht="15" customHeight="1">
      <c r="A192" s="120" t="s">
        <v>347</v>
      </c>
      <c r="B192" s="125"/>
      <c r="C192" s="36">
        <v>5900</v>
      </c>
      <c r="D192" s="36">
        <v>6500</v>
      </c>
      <c r="E192" s="37">
        <v>7200</v>
      </c>
      <c r="F192" s="115">
        <f t="shared" si="19"/>
        <v>0</v>
      </c>
      <c r="G192" s="38">
        <f t="shared" si="19"/>
        <v>11.8</v>
      </c>
      <c r="H192" s="38">
        <f t="shared" si="20"/>
        <v>10.833333333333334</v>
      </c>
      <c r="I192" s="39">
        <f t="shared" si="20"/>
        <v>12</v>
      </c>
      <c r="J192" s="40">
        <v>12</v>
      </c>
      <c r="K192" s="41"/>
      <c r="L192" s="42"/>
      <c r="M192" s="47" t="s">
        <v>348</v>
      </c>
      <c r="N192" s="43" t="s">
        <v>399</v>
      </c>
    </row>
    <row r="193" spans="1:14" ht="15" customHeight="1">
      <c r="A193" s="120" t="s">
        <v>349</v>
      </c>
      <c r="B193" s="125"/>
      <c r="C193" s="36">
        <v>7200</v>
      </c>
      <c r="D193" s="36">
        <v>9500</v>
      </c>
      <c r="E193" s="37">
        <v>8800</v>
      </c>
      <c r="F193" s="115">
        <f t="shared" si="19"/>
        <v>0</v>
      </c>
      <c r="G193" s="38">
        <f t="shared" si="19"/>
        <v>14.4</v>
      </c>
      <c r="H193" s="38">
        <f t="shared" si="20"/>
        <v>15.833333333333334</v>
      </c>
      <c r="I193" s="98">
        <f t="shared" si="20"/>
        <v>14.666666666666666</v>
      </c>
      <c r="J193" s="40">
        <v>14.7</v>
      </c>
      <c r="K193" s="41"/>
      <c r="L193" s="113" t="s">
        <v>42</v>
      </c>
      <c r="M193" s="47" t="s">
        <v>350</v>
      </c>
      <c r="N193" s="43" t="s">
        <v>42</v>
      </c>
    </row>
    <row r="194" spans="1:14" ht="15" customHeight="1">
      <c r="A194" s="120" t="s">
        <v>351</v>
      </c>
      <c r="B194" s="125"/>
      <c r="C194" s="36"/>
      <c r="D194" s="36"/>
      <c r="E194" s="37">
        <v>39000</v>
      </c>
      <c r="F194" s="115">
        <f t="shared" si="19"/>
        <v>0</v>
      </c>
      <c r="G194" s="38">
        <f t="shared" si="19"/>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19"/>
        <v>0</v>
      </c>
      <c r="G195" s="38">
        <f t="shared" si="19"/>
        <v>24</v>
      </c>
      <c r="H195" s="38">
        <f>D195/600</f>
        <v>10</v>
      </c>
      <c r="I195" s="39">
        <f t="shared" ref="I195:I205" si="21">E195/600</f>
        <v>0</v>
      </c>
      <c r="J195" s="40">
        <v>24</v>
      </c>
      <c r="K195" s="41"/>
      <c r="L195" s="42" t="s">
        <v>354</v>
      </c>
      <c r="M195" s="42" t="s">
        <v>253</v>
      </c>
      <c r="N195" s="43"/>
    </row>
    <row r="196" spans="1:14" ht="15" customHeight="1">
      <c r="A196" s="120" t="s">
        <v>355</v>
      </c>
      <c r="B196" s="125"/>
      <c r="C196" s="36">
        <v>23000</v>
      </c>
      <c r="D196" s="36">
        <v>28000</v>
      </c>
      <c r="E196" s="37"/>
      <c r="F196" s="115">
        <f t="shared" si="19"/>
        <v>0</v>
      </c>
      <c r="G196" s="38">
        <f t="shared" si="19"/>
        <v>46</v>
      </c>
      <c r="H196" s="38">
        <f>D196/600</f>
        <v>46.666666666666664</v>
      </c>
      <c r="I196" s="39">
        <f t="shared" si="21"/>
        <v>0</v>
      </c>
      <c r="J196" s="40">
        <v>46.7</v>
      </c>
      <c r="K196" s="41"/>
      <c r="L196" s="42"/>
      <c r="M196" s="47"/>
      <c r="N196" s="43"/>
    </row>
    <row r="197" spans="1:14" ht="15" customHeight="1">
      <c r="A197" s="120" t="s">
        <v>356</v>
      </c>
      <c r="B197" s="125"/>
      <c r="C197" s="36">
        <v>9600</v>
      </c>
      <c r="D197" s="36"/>
      <c r="E197" s="37">
        <v>11900</v>
      </c>
      <c r="F197" s="115">
        <f t="shared" si="19"/>
        <v>0</v>
      </c>
      <c r="G197" s="38">
        <f t="shared" si="19"/>
        <v>19.2</v>
      </c>
      <c r="H197" s="38">
        <f>D197/600</f>
        <v>0</v>
      </c>
      <c r="I197" s="39">
        <f t="shared" si="21"/>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19"/>
        <v>0</v>
      </c>
      <c r="G198" s="38">
        <f t="shared" si="19"/>
        <v>41</v>
      </c>
      <c r="H198" s="38">
        <f>D198/600</f>
        <v>50</v>
      </c>
      <c r="I198" s="39">
        <f t="shared" si="21"/>
        <v>44.166666666666664</v>
      </c>
      <c r="J198" s="40">
        <v>44.2</v>
      </c>
      <c r="K198" s="41"/>
      <c r="L198" s="42" t="s">
        <v>358</v>
      </c>
      <c r="M198" s="47" t="s">
        <v>359</v>
      </c>
      <c r="N198" s="43" t="s">
        <v>65</v>
      </c>
    </row>
    <row r="199" spans="1:14" ht="15" customHeight="1">
      <c r="A199" s="120" t="s">
        <v>360</v>
      </c>
      <c r="B199" s="125"/>
      <c r="C199" s="36"/>
      <c r="D199" s="36">
        <v>8500</v>
      </c>
      <c r="E199" s="37"/>
      <c r="F199" s="115">
        <f t="shared" si="19"/>
        <v>0</v>
      </c>
      <c r="G199" s="38">
        <f t="shared" si="19"/>
        <v>0</v>
      </c>
      <c r="H199" s="38">
        <f>D199/1000</f>
        <v>8.5</v>
      </c>
      <c r="I199" s="39">
        <f t="shared" si="21"/>
        <v>0</v>
      </c>
      <c r="K199" s="41"/>
      <c r="L199" s="42"/>
      <c r="M199" s="47" t="s">
        <v>361</v>
      </c>
      <c r="N199" s="43"/>
    </row>
    <row r="200" spans="1:14" ht="15" customHeight="1">
      <c r="A200" s="120" t="s">
        <v>362</v>
      </c>
      <c r="B200" s="125"/>
      <c r="C200" s="36">
        <v>9000</v>
      </c>
      <c r="D200" s="36">
        <v>9000</v>
      </c>
      <c r="E200" s="37">
        <v>13500</v>
      </c>
      <c r="F200" s="115">
        <f t="shared" si="19"/>
        <v>0</v>
      </c>
      <c r="G200" s="38">
        <f t="shared" si="19"/>
        <v>18</v>
      </c>
      <c r="H200" s="38">
        <f t="shared" ref="H200:H205" si="22">D200/600</f>
        <v>15</v>
      </c>
      <c r="I200" s="48">
        <f t="shared" si="21"/>
        <v>22.5</v>
      </c>
      <c r="J200" s="40">
        <v>22.5</v>
      </c>
      <c r="K200" s="41"/>
      <c r="L200" s="42"/>
      <c r="M200" s="47"/>
      <c r="N200" s="43" t="s">
        <v>363</v>
      </c>
    </row>
    <row r="201" spans="1:14" ht="15" customHeight="1">
      <c r="A201" s="120" t="s">
        <v>364</v>
      </c>
      <c r="B201" s="125"/>
      <c r="C201" s="36">
        <v>11000</v>
      </c>
      <c r="D201" s="36">
        <v>24000</v>
      </c>
      <c r="E201" s="37">
        <v>14300</v>
      </c>
      <c r="F201" s="115">
        <f t="shared" si="19"/>
        <v>0</v>
      </c>
      <c r="G201" s="44">
        <f t="shared" si="19"/>
        <v>22</v>
      </c>
      <c r="H201" s="38">
        <f t="shared" si="22"/>
        <v>40</v>
      </c>
      <c r="I201" s="48">
        <f t="shared" si="21"/>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19"/>
        <v>0</v>
      </c>
      <c r="G202" s="38">
        <f t="shared" si="19"/>
        <v>136.80000000000001</v>
      </c>
      <c r="H202" s="44">
        <f t="shared" si="22"/>
        <v>113.33333333333333</v>
      </c>
      <c r="I202" s="39">
        <f t="shared" si="21"/>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19"/>
        <v>0</v>
      </c>
      <c r="G203" s="38">
        <f t="shared" si="19"/>
        <v>25.6</v>
      </c>
      <c r="H203" s="38">
        <f t="shared" si="22"/>
        <v>15.833333333333334</v>
      </c>
      <c r="I203" s="39">
        <f t="shared" si="21"/>
        <v>27.666666666666668</v>
      </c>
      <c r="J203" s="40">
        <v>27.7</v>
      </c>
      <c r="K203" s="41"/>
      <c r="L203" s="42"/>
      <c r="M203" s="47" t="s">
        <v>373</v>
      </c>
      <c r="N203" s="43" t="s">
        <v>374</v>
      </c>
    </row>
    <row r="204" spans="1:14" ht="15" customHeight="1">
      <c r="A204" s="120" t="s">
        <v>375</v>
      </c>
      <c r="B204" s="125"/>
      <c r="C204" s="36"/>
      <c r="D204" s="36">
        <v>9500</v>
      </c>
      <c r="E204" s="37"/>
      <c r="F204" s="115">
        <f t="shared" si="19"/>
        <v>0</v>
      </c>
      <c r="G204" s="38">
        <f t="shared" si="19"/>
        <v>0</v>
      </c>
      <c r="H204" s="38">
        <f t="shared" si="22"/>
        <v>15.833333333333334</v>
      </c>
      <c r="I204" s="39">
        <f t="shared" si="21"/>
        <v>0</v>
      </c>
      <c r="K204" s="41"/>
      <c r="L204" s="42"/>
      <c r="M204" s="42"/>
      <c r="N204" s="43"/>
    </row>
    <row r="205" spans="1:14" ht="15" customHeight="1" thickBot="1">
      <c r="A205" s="122" t="s">
        <v>376</v>
      </c>
      <c r="B205" s="126"/>
      <c r="C205" s="49">
        <v>4500</v>
      </c>
      <c r="D205" s="49">
        <v>4500</v>
      </c>
      <c r="E205" s="50">
        <v>5300</v>
      </c>
      <c r="F205" s="73">
        <f t="shared" si="19"/>
        <v>0</v>
      </c>
      <c r="G205" s="51">
        <f t="shared" si="19"/>
        <v>9</v>
      </c>
      <c r="H205" s="51">
        <f t="shared" si="22"/>
        <v>7.5</v>
      </c>
      <c r="I205" s="74">
        <f t="shared" si="21"/>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2024-11-25T05:04:12Z</cp:lastPrinted>
  <dcterms:created xsi:type="dcterms:W3CDTF">2024-09-12T16:35:01Z</dcterms:created>
  <dcterms:modified xsi:type="dcterms:W3CDTF">2024-11-25T05:30:57Z</dcterms:modified>
</cp:coreProperties>
</file>