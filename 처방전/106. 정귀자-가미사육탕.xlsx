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29" documentId="8_{6EB8DC0A-AB56-415F-A9F3-EA1534264548}" xr6:coauthVersionLast="47" xr6:coauthVersionMax="47" xr10:uidLastSave="{7F6ACD44-8D6E-478F-9B44-F59DCD4D307C}"/>
  <bookViews>
    <workbookView xWindow="12765" yWindow="30" windowWidth="15270" windowHeight="15450" xr2:uid="{8B9F1886-173A-4475-B0CF-D9F36CE30773}"/>
  </bookViews>
  <sheets>
    <sheet name="처방전양식 (2)" sheetId="6" r:id="rId1"/>
    <sheet name="처방전양식" sheetId="4" r:id="rId2"/>
    <sheet name="약재관리" sheetId="5"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6" l="1"/>
  <c r="H24" i="6" s="1"/>
  <c r="G19" i="6"/>
  <c r="G20" i="6"/>
  <c r="H20" i="6" s="1"/>
  <c r="G21" i="6"/>
  <c r="H21" i="6" s="1"/>
  <c r="G22" i="6"/>
  <c r="H22" i="6" s="1"/>
  <c r="G23" i="6"/>
  <c r="H23" i="6" s="1"/>
  <c r="G3" i="6"/>
  <c r="I3" i="6" s="1"/>
  <c r="G4" i="6"/>
  <c r="I4" i="6" s="1"/>
  <c r="G5" i="6"/>
  <c r="G6" i="6"/>
  <c r="G7" i="6"/>
  <c r="G8" i="6"/>
  <c r="H8" i="6" s="1"/>
  <c r="G9" i="6"/>
  <c r="G10" i="6"/>
  <c r="G11" i="6"/>
  <c r="G12" i="6"/>
  <c r="G13" i="6"/>
  <c r="G14" i="6"/>
  <c r="G15" i="6"/>
  <c r="G16" i="6"/>
  <c r="G17" i="6"/>
  <c r="G18" i="6"/>
  <c r="H31" i="6"/>
  <c r="F31" i="6"/>
  <c r="I31" i="6" s="1"/>
  <c r="H30" i="6"/>
  <c r="F30" i="6"/>
  <c r="I30" i="6" s="1"/>
  <c r="H29" i="6"/>
  <c r="F29" i="6"/>
  <c r="I29" i="6" s="1"/>
  <c r="H28" i="6"/>
  <c r="F28" i="6"/>
  <c r="I28" i="6" s="1"/>
  <c r="H27" i="6"/>
  <c r="F27" i="6"/>
  <c r="I27" i="6" s="1"/>
  <c r="I26" i="6"/>
  <c r="H26" i="6"/>
  <c r="F26" i="6"/>
  <c r="H25" i="6"/>
  <c r="F25" i="6"/>
  <c r="I25" i="6" s="1"/>
  <c r="F24" i="6"/>
  <c r="F23" i="6"/>
  <c r="F22" i="6"/>
  <c r="F21" i="6"/>
  <c r="F20" i="6"/>
  <c r="F19" i="6"/>
  <c r="L18" i="6"/>
  <c r="L19" i="6" s="1"/>
  <c r="L20" i="6" s="1"/>
  <c r="F18" i="6"/>
  <c r="F17" i="6"/>
  <c r="F16" i="6"/>
  <c r="F15" i="6"/>
  <c r="F14" i="6"/>
  <c r="F13" i="6"/>
  <c r="F12" i="6"/>
  <c r="F11" i="6"/>
  <c r="F10" i="6"/>
  <c r="F9" i="6"/>
  <c r="F8" i="6"/>
  <c r="F7" i="6"/>
  <c r="F6" i="6"/>
  <c r="F5" i="6"/>
  <c r="F4" i="6"/>
  <c r="F3" i="6"/>
  <c r="G2" i="6"/>
  <c r="I2" i="6" s="1"/>
  <c r="F2" i="6"/>
  <c r="I13" i="6" l="1"/>
  <c r="I19" i="6"/>
  <c r="I12" i="6"/>
  <c r="I24" i="6"/>
  <c r="I20" i="6"/>
  <c r="H19" i="6"/>
  <c r="I23" i="6"/>
  <c r="I21" i="6"/>
  <c r="I22" i="6"/>
  <c r="I14" i="6"/>
  <c r="I7" i="6"/>
  <c r="L23" i="6"/>
  <c r="I10" i="6"/>
  <c r="I18" i="6"/>
  <c r="I6" i="6"/>
  <c r="I17" i="6"/>
  <c r="I5" i="6"/>
  <c r="I11" i="6"/>
  <c r="I9" i="6"/>
  <c r="I16" i="6"/>
  <c r="I15" i="6"/>
  <c r="I8" i="6"/>
  <c r="H9" i="6"/>
  <c r="H12" i="6"/>
  <c r="H15" i="6"/>
  <c r="H18" i="6"/>
  <c r="H3" i="6"/>
  <c r="H6" i="6"/>
  <c r="H10" i="6"/>
  <c r="H13" i="6"/>
  <c r="H16" i="6"/>
  <c r="H4" i="6"/>
  <c r="H7" i="6"/>
  <c r="H11" i="6"/>
  <c r="H14" i="6"/>
  <c r="H17" i="6"/>
  <c r="H2" i="6"/>
  <c r="H5" i="6"/>
  <c r="L31" i="6" l="1"/>
  <c r="L30" i="6"/>
  <c r="G19" i="4" l="1"/>
  <c r="G20" i="4"/>
  <c r="H57" i="5" l="1"/>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<sst xmlns="http://schemas.openxmlformats.org/spreadsheetml/2006/main" count="670" uniqueCount="449">
  <si>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</si>
  <si>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</si>
  <si>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</si>
  <si>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</si>
  <si>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</si>
  <si>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</si>
  <si>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</si>
  <si>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</si>
  <si>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</si>
  <si>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</si>
  <si>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</si>
  <si>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</si>
  <si>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</si>
  <si>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</si>
  <si>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</si>
  <si>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</si>
  <si>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</si>
  <si>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</si>
  <si>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</si>
  <si>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</si>
  <si>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</si>
  <si>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</si>
  <si>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</si>
  <si>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</si>
  <si>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</si>
  <si>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</si>
  <si>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</si>
  <si>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</si>
  <si>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</si>
  <si>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</si>
  <si>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</si>
  <si>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</si>
  <si>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</si>
  <si>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</si>
  <si>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</si>
  <si>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</si>
  <si>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</si>
  <si>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</si>
  <si>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</si>
  <si>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</si>
  <si>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</si>
  <si>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</si>
  <si>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</si>
  <si>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</si>
  <si>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</si>
  <si>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</si>
  <si>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</si>
  <si>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</si>
  <si>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</si>
  <si>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</si>
  <si>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</si>
  <si>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</si>
  <si>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</si>
  <si>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</si>
  <si>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</si>
  <si>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</si>
  <si>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</si>
  <si>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</si>
  <si>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</si>
  <si>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</si>
  <si>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</si>
  <si>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</si>
  <si>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</si>
  <si>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</si>
  <si>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</si>
  <si>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</si>
  <si>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</si>
  <si>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</si>
  <si>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</si>
  <si>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</si>
  <si>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</si>
  <si>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</si>
  <si>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</si>
  <si>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</si>
  <si>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</si>
  <si>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</si>
  <si>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</si>
  <si>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</si>
  <si>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</si>
  <si>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</si>
  <si>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</si>
  <si>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</si>
  <si>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</si>
  <si>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</si>
  <si>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</si>
  <si>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</si>
  <si>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</si>
  <si>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</si>
  <si>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</si>
  <si>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</si>
  <si>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</si>
  <si>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</si>
  <si>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</si>
  <si>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</si>
  <si>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</si>
  <si>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</si>
  <si>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</si>
  <si>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</si>
  <si>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</si>
  <si>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</si>
  <si>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</si>
  <si>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</si>
  <si>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</si>
  <si>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</si>
  <si>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</si>
  <si>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</si>
  <si>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</si>
  <si>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</si>
  <si>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</si>
  <si>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</si>
  <si>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</si>
  <si>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</si>
  <si>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</si>
  <si>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</si>
  <si>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</si>
  <si>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</si>
  <si>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</si>
  <si>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</si>
  <si>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</si>
  <si>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</si>
  <si>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</si>
  <si>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</si>
  <si>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</si>
  <si>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</si>
  <si>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</si>
  <si>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</si>
  <si>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</si>
  <si>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</si>
  <si>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</si>
  <si>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</si>
  <si>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</si>
  <si>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</si>
  <si>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</si>
  <si>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</si>
  <si>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</si>
  <si>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</si>
  <si>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</si>
  <si>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</si>
  <si>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</si>
  <si>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</si>
  <si>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</si>
  <si>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</si>
  <si>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</si>
  <si>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</si>
  <si>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</si>
  <si>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</si>
  <si>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</si>
  <si>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</si>
  <si>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</si>
  <si>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</si>
  <si>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</si>
  <si>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</si>
  <si>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</si>
  <si>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</si>
  <si>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</si>
  <si>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</si>
  <si>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</si>
  <si>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</si>
  <si>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</si>
  <si>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</si>
  <si>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</si>
  <si>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</si>
  <si>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</si>
  <si>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</si>
  <si>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</si>
  <si>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</si>
  <si>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</si>
  <si>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</si>
  <si>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</si>
  <si>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</si>
  <si>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</si>
  <si>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</si>
  <si>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</si>
  <si>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</si>
  <si>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</si>
  <si>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</si>
  <si>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</si>
  <si>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</si>
  <si>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</si>
  <si>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</si>
  <si>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</si>
  <si>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</si>
  <si>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</si>
  <si>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</si>
  <si>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</si>
  <si>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</si>
  <si>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</si>
  <si>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</si>
  <si>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</si>
  <si>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</si>
  <si>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</si>
  <si>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</si>
  <si>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</si>
  <si>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</si>
  <si>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</si>
  <si>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</si>
  <si>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</si>
  <si>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</si>
  <si>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</si>
  <si>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</si>
  <si>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</si>
  <si>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</si>
  <si>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</si>
  <si>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</si>
  <si>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</si>
  <si>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</si>
  <si>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</si>
  <si>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</si>
  <si>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</si>
  <si>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</si>
  <si>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</si>
  <si>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</si>
  <si>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</si>
  <si>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</si>
  <si>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</si>
  <si>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</si>
  <si>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</si>
  <si>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</si>
  <si>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</si>
  <si>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</si>
  <si>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</si>
  <si>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</si>
  <si>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</si>
  <si>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</si>
  <si>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</si>
  <si>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</si>
  <si>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</si>
  <si>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</si>
  <si>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</si>
  <si>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</si>
  <si>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</si>
  <si>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</si>
  <si>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</si>
  <si>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</si>
  <si>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</si>
  <si>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</si>
  <si>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</si>
  <si>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</si>
  <si>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</si>
  <si>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</si>
  <si>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</si>
  <si>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</si>
  <si>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</si>
  <si>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</si>
  <si>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</si>
  <si>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</si>
  <si>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</si>
  <si>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</si>
  <si>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</si>
  <si>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</si>
  <si>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</si>
  <si>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</si>
  <si>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</si>
  <si>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</si>
  <si>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</si>
  <si>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</si>
  <si>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</si>
  <si>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</si>
  <si>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</si>
  <si>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</si>
  <si>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</si>
  <si>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</si>
  <si>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</si>
  <si>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</si>
  <si>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</si>
  <si>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</si>
  <si>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</si>
  <si>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</si>
  <si>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</si>
  <si>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</si>
  <si>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</si>
  <si>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</si>
  <si>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</si>
  <si>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</si>
  <si>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</si>
  <si>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</si>
  <si>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</si>
  <si>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</si>
  <si>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</si>
  <si>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</si>
  <si>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</si>
  <si>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</si>
  <si>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</si>
  <si>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</si>
  <si>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</si>
  <si>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</si>
  <si>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</si>
  <si>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</si>
  <si>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</si>
  <si>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</si>
  <si>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</si>
  <si>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</si>
  <si>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</si>
  <si>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</si>
  <si>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</si>
  <si>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</si>
  <si>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</si>
  <si>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</si>
  <si>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</si>
  <si>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</si>
  <si>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</si>
  <si>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</si>
  <si>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</si>
  <si>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</si>
  <si>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</si>
  <si>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</si>
  <si>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</si>
  <si>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</si>
  <si>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</si>
  <si>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</si>
  <si>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</si>
  <si>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</si>
  <si>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</si>
  <si>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</si>
  <si>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</si>
  <si>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</si>
  <si>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</si>
  <si>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</si>
  <si>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</si>
  <si>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</si>
  <si>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</si>
  <si>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</si>
  <si>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</si>
  <si>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</si>
  <si>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</si>
  <si>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</si>
  <si>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</si>
  <si>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</si>
  <si>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</si>
  <si>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</si>
  <si>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</si>
  <si>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</si>
  <si>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</si>
  <si>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</si>
  <si>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</si>
  <si>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</si>
  <si>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</si>
  <si>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</si>
  <si>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</si>
  <si>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</si>
  <si>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</si>
  <si>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</si>
  <si>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</si>
  <si>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</si>
  <si>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</si>
  <si>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</si>
  <si>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</si>
  <si>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</si>
  <si>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</si>
  <si>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</si>
  <si>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</si>
  <si>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</si>
  <si>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</si>
  <si>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</si>
  <si>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</si>
  <si>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</si>
  <si>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</si>
  <si>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</si>
  <si>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</si>
  <si>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</si>
  <si>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</si>
  <si>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</si>
  <si>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</si>
  <si>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</si>
  <si>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</si>
  <si>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</si>
  <si>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</si>
  <si>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</si>
  <si>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</si>
  <si>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</si>
  <si>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</si>
  <si>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</si>
  <si>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</si>
  <si>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</si>
  <si>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</si>
  <si>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</si>
  <si>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</si>
  <si>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</si>
  <si>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</si>
  <si>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</si>
  <si>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</si>
  <si>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</si>
  <si>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</si>
  <si>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</si>
  <si>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</si>
  <si>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</si>
  <si>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</si>
  <si>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</si>
  <si>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</si>
  <si>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</si>
  <si>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</si>
  <si>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</si>
  <si>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</si>
  <si>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</si>
  <si>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</si>
  <si>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</si>
  <si>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</si>
  <si>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</si>
  <si>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</si>
  <si>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</si>
  <si>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</si>
  <si>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</si>
  <si>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</si>
  <si>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</si>
  <si>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</si>
  <si>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</si>
  <si>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</si>
  <si>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</si>
  <si>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</si>
  <si>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</si>
  <si>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</si>
  <si>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</si>
  <si>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</si>
  <si>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숙지황</t>
    <phoneticPr fontId="5" type="noConversion"/>
  </si>
  <si>
    <t>산약</t>
    <phoneticPr fontId="5" type="noConversion"/>
  </si>
  <si>
    <t>산수유</t>
    <phoneticPr fontId="5" type="noConversion"/>
  </si>
  <si>
    <t>복령</t>
    <phoneticPr fontId="5" type="noConversion"/>
  </si>
  <si>
    <t>목단피</t>
    <phoneticPr fontId="5" type="noConversion"/>
  </si>
  <si>
    <t>백작약</t>
    <phoneticPr fontId="5" type="noConversion"/>
  </si>
  <si>
    <t>우슬</t>
    <phoneticPr fontId="5" type="noConversion"/>
  </si>
  <si>
    <t>파고지</t>
    <phoneticPr fontId="5" type="noConversion"/>
  </si>
  <si>
    <t>익지인</t>
    <phoneticPr fontId="5" type="noConversion"/>
  </si>
  <si>
    <t>오약</t>
    <phoneticPr fontId="5" type="noConversion"/>
  </si>
  <si>
    <t>사인</t>
    <phoneticPr fontId="5" type="noConversion"/>
  </si>
  <si>
    <t>신곡</t>
    <phoneticPr fontId="5" type="noConversion"/>
  </si>
  <si>
    <t>맥아</t>
    <phoneticPr fontId="5" type="noConversion"/>
  </si>
  <si>
    <t>녹용</t>
    <phoneticPr fontId="5" type="noConversion"/>
  </si>
  <si>
    <t>택사1</t>
    <phoneticPr fontId="5" type="noConversion"/>
  </si>
  <si>
    <t>당귀1</t>
    <phoneticPr fontId="5" type="noConversion"/>
  </si>
  <si>
    <t>천궁1</t>
    <phoneticPr fontId="5" type="noConversion"/>
  </si>
  <si>
    <t>진피1</t>
    <phoneticPr fontId="5" type="noConversion"/>
  </si>
  <si>
    <t>감초</t>
    <phoneticPr fontId="5" type="noConversion"/>
  </si>
  <si>
    <t xml:space="preserve">사육탕+우슬 오약 파고지 익지인 사인 신곡 맥아 진피 녹용
</t>
    <phoneticPr fontId="5" type="noConversion"/>
  </si>
  <si>
    <t>가미사육탕</t>
    <phoneticPr fontId="5" type="noConversion"/>
  </si>
  <si>
    <t>정귀자</t>
    <phoneticPr fontId="5" type="noConversion"/>
  </si>
  <si>
    <t>F</t>
    <phoneticPr fontId="5" type="noConversion"/>
  </si>
  <si>
    <t>향부자</t>
    <phoneticPr fontId="5" type="noConversion"/>
  </si>
  <si>
    <t>백출</t>
    <phoneticPr fontId="5" type="noConversion"/>
  </si>
  <si>
    <t>반하</t>
    <phoneticPr fontId="5" type="noConversion"/>
  </si>
  <si>
    <t>인삼</t>
    <phoneticPr fontId="5" type="noConversion"/>
  </si>
  <si>
    <t>황기</t>
    <phoneticPr fontId="5" type="noConversion"/>
  </si>
  <si>
    <t>산사</t>
    <phoneticPr fontId="5" type="noConversion"/>
  </si>
  <si>
    <t>후박</t>
    <phoneticPr fontId="5" type="noConversion"/>
  </si>
  <si>
    <t>맥문동</t>
    <phoneticPr fontId="5" type="noConversion"/>
  </si>
  <si>
    <t>원지</t>
    <phoneticPr fontId="5" type="noConversion"/>
  </si>
  <si>
    <t>두충</t>
    <phoneticPr fontId="5" type="noConversion"/>
  </si>
  <si>
    <t>홍화</t>
    <phoneticPr fontId="5" type="noConversion"/>
  </si>
  <si>
    <t>익기보혈탕</t>
    <phoneticPr fontId="5" type="noConversion"/>
  </si>
  <si>
    <t>익기보혈탕 + 우슬 두충 홍화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</si>
</sst>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1">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79" fontId="0" fillId="0" borderId="12" xfId="0" applyNumberFormat="1" applyBorder="1">
      <alignment vertical="center"/>
    </xf>
    <xf numFmtId="179" fontId="0" fillId="0" borderId="14" xfId="0" applyNumberFormat="1" applyBorder="1">
      <alignment vertical="center"/>
    </xf>
    <xf numFmtId="179" fontId="0" fillId="0" borderId="15" xfId="0" applyNumberFormat="1" applyBorder="1">
      <alignment vertical="center"/>
    </xf>
    <xf numFmtId="179" fontId="0" fillId="0" borderId="15" xfId="0" applyNumberFormat="1" applyFill="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8900</v>
          </cell>
          <cell r="F37">
            <v>0</v>
          </cell>
          <cell r="G37">
            <v>13.2</v>
          </cell>
          <cell r="H37">
            <v>0</v>
          </cell>
          <cell r="I37">
            <v>14.833333333333334</v>
          </cell>
          <cell r="J37">
            <v>14.8</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13.2</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30.3</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빈랑</v>
          </cell>
          <cell r="C94">
            <v>4200</v>
          </cell>
          <cell r="D94">
            <v>7000</v>
          </cell>
          <cell r="E94">
            <v>5000</v>
          </cell>
          <cell r="F94">
            <v>0</v>
          </cell>
          <cell r="G94">
            <v>8.4</v>
          </cell>
          <cell r="H94">
            <v>11.666666666666666</v>
          </cell>
          <cell r="I94">
            <v>8.3333333333333339</v>
          </cell>
          <cell r="J94">
            <v>8.3000000000000007</v>
          </cell>
        </row>
        <row r="95">
          <cell r="A95" t="str">
            <v>사삼</v>
          </cell>
          <cell r="C95">
            <v>10500</v>
          </cell>
          <cell r="D95">
            <v>16500</v>
          </cell>
          <cell r="E95">
            <v>12600</v>
          </cell>
          <cell r="F95">
            <v>0</v>
          </cell>
          <cell r="G95">
            <v>21</v>
          </cell>
          <cell r="H95">
            <v>27.5</v>
          </cell>
          <cell r="I95">
            <v>21</v>
          </cell>
          <cell r="J95">
            <v>27.2</v>
          </cell>
        </row>
        <row r="96">
          <cell r="A96" t="str">
            <v>사인</v>
          </cell>
          <cell r="C96">
            <v>13200</v>
          </cell>
          <cell r="D96">
            <v>17000</v>
          </cell>
          <cell r="E96">
            <v>13100</v>
          </cell>
          <cell r="F96">
            <v>0</v>
          </cell>
          <cell r="G96">
            <v>26.4</v>
          </cell>
          <cell r="H96">
            <v>28.333333333333332</v>
          </cell>
          <cell r="I96">
            <v>21.833333333333332</v>
          </cell>
          <cell r="J96">
            <v>21.8</v>
          </cell>
        </row>
        <row r="97">
          <cell r="A97" t="str">
            <v>산사</v>
          </cell>
          <cell r="C97">
            <v>3500</v>
          </cell>
          <cell r="D97">
            <v>4500</v>
          </cell>
          <cell r="E97">
            <v>5000</v>
          </cell>
          <cell r="F97">
            <v>0</v>
          </cell>
          <cell r="G97">
            <v>7</v>
          </cell>
          <cell r="H97">
            <v>7.5</v>
          </cell>
          <cell r="I97">
            <v>8.3333333333333339</v>
          </cell>
          <cell r="J97">
            <v>7</v>
          </cell>
        </row>
        <row r="98">
          <cell r="A98" t="str">
            <v>산수유</v>
          </cell>
          <cell r="C98">
            <v>12500</v>
          </cell>
          <cell r="D98">
            <v>24000</v>
          </cell>
          <cell r="E98">
            <v>15600</v>
          </cell>
          <cell r="F98">
            <v>0</v>
          </cell>
          <cell r="G98">
            <v>25</v>
          </cell>
          <cell r="H98">
            <v>40</v>
          </cell>
          <cell r="I98">
            <v>26</v>
          </cell>
          <cell r="J98">
            <v>27.7</v>
          </cell>
        </row>
        <row r="99">
          <cell r="A99" t="str">
            <v>산약</v>
          </cell>
          <cell r="C99">
            <v>10400</v>
          </cell>
          <cell r="D99">
            <v>11000</v>
          </cell>
          <cell r="E99">
            <v>24600</v>
          </cell>
          <cell r="F99">
            <v>0</v>
          </cell>
          <cell r="G99">
            <v>20.8</v>
          </cell>
          <cell r="H99">
            <v>18.333333333333332</v>
          </cell>
          <cell r="I99">
            <v>41</v>
          </cell>
          <cell r="J99">
            <v>18.3</v>
          </cell>
        </row>
        <row r="100">
          <cell r="A100" t="str">
            <v>산조인</v>
          </cell>
          <cell r="C100">
            <v>125800</v>
          </cell>
          <cell r="E100">
            <v>169000</v>
          </cell>
          <cell r="F100">
            <v>0</v>
          </cell>
          <cell r="G100">
            <v>251.6</v>
          </cell>
          <cell r="H100">
            <v>0</v>
          </cell>
          <cell r="I100">
            <v>281.66666666666669</v>
          </cell>
        </row>
        <row r="101">
          <cell r="A101" t="str">
            <v>삼릉</v>
          </cell>
          <cell r="C101">
            <v>3800</v>
          </cell>
          <cell r="D101">
            <v>5500</v>
          </cell>
          <cell r="E101">
            <v>4900</v>
          </cell>
          <cell r="F101">
            <v>0</v>
          </cell>
          <cell r="G101">
            <v>7.6</v>
          </cell>
          <cell r="H101">
            <v>9.1666666666666661</v>
          </cell>
          <cell r="I101">
            <v>8.1666666666666661</v>
          </cell>
          <cell r="J101">
            <v>9.1999999999999993</v>
          </cell>
        </row>
        <row r="102">
          <cell r="A102" t="str">
            <v>상기생</v>
          </cell>
          <cell r="F102">
            <v>0</v>
          </cell>
          <cell r="G102">
            <v>0</v>
          </cell>
          <cell r="H102">
            <v>0</v>
          </cell>
          <cell r="I102">
            <v>0</v>
          </cell>
        </row>
        <row r="103">
          <cell r="A103" t="str">
            <v>상백피</v>
          </cell>
          <cell r="C103">
            <v>17500</v>
          </cell>
          <cell r="E103">
            <v>20100</v>
          </cell>
          <cell r="F103">
            <v>0</v>
          </cell>
          <cell r="G103">
            <v>35</v>
          </cell>
          <cell r="H103">
            <v>0</v>
          </cell>
          <cell r="I103">
            <v>33.5</v>
          </cell>
          <cell r="J103">
            <v>35</v>
          </cell>
        </row>
        <row r="104">
          <cell r="A104" t="str">
            <v>상표초</v>
          </cell>
          <cell r="F104">
            <v>0</v>
          </cell>
          <cell r="G104">
            <v>0</v>
          </cell>
          <cell r="H104">
            <v>0</v>
          </cell>
          <cell r="I104">
            <v>0</v>
          </cell>
        </row>
        <row r="105">
          <cell r="A105" t="str">
            <v>생강</v>
          </cell>
          <cell r="B105">
            <v>7500</v>
          </cell>
          <cell r="C105">
            <v>7000</v>
          </cell>
          <cell r="D105">
            <v>9000</v>
          </cell>
          <cell r="F105">
            <v>15</v>
          </cell>
          <cell r="G105">
            <v>14</v>
          </cell>
          <cell r="H105">
            <v>15</v>
          </cell>
          <cell r="I105">
            <v>0</v>
          </cell>
          <cell r="J105">
            <v>15</v>
          </cell>
        </row>
        <row r="106">
          <cell r="A106" t="str">
            <v>생지황</v>
          </cell>
          <cell r="B106">
            <v>10300</v>
          </cell>
          <cell r="C106">
            <v>7500</v>
          </cell>
          <cell r="D106">
            <v>9000</v>
          </cell>
          <cell r="F106">
            <v>20.6</v>
          </cell>
          <cell r="G106">
            <v>15</v>
          </cell>
          <cell r="H106">
            <v>15</v>
          </cell>
          <cell r="I106">
            <v>0</v>
          </cell>
          <cell r="J106">
            <v>17.399999999999999</v>
          </cell>
        </row>
        <row r="107">
          <cell r="A107" t="str">
            <v>석고</v>
          </cell>
          <cell r="C107">
            <v>5500</v>
          </cell>
          <cell r="D107">
            <v>5500</v>
          </cell>
          <cell r="E107">
            <v>4600</v>
          </cell>
          <cell r="F107">
            <v>0</v>
          </cell>
          <cell r="G107">
            <v>5.5</v>
          </cell>
          <cell r="H107">
            <v>5.5</v>
          </cell>
          <cell r="I107">
            <v>4.5999999999999996</v>
          </cell>
          <cell r="J107">
            <v>5.5</v>
          </cell>
        </row>
        <row r="108">
          <cell r="A108" t="str">
            <v>석곡</v>
          </cell>
          <cell r="E108">
            <v>12500</v>
          </cell>
          <cell r="F108">
            <v>0</v>
          </cell>
          <cell r="G108">
            <v>0</v>
          </cell>
          <cell r="H108">
            <v>0</v>
          </cell>
          <cell r="I108">
            <v>20.833333333333332</v>
          </cell>
          <cell r="J108">
            <v>20.8</v>
          </cell>
        </row>
        <row r="109">
          <cell r="A109" t="str">
            <v>석창포</v>
          </cell>
          <cell r="B109">
            <v>22400</v>
          </cell>
          <cell r="C109">
            <v>15000</v>
          </cell>
          <cell r="E109">
            <v>19000</v>
          </cell>
          <cell r="F109">
            <v>44.8</v>
          </cell>
          <cell r="G109">
            <v>30</v>
          </cell>
          <cell r="H109">
            <v>0</v>
          </cell>
          <cell r="I109">
            <v>31.666666666666668</v>
          </cell>
          <cell r="J109">
            <v>31.5</v>
          </cell>
        </row>
        <row r="110">
          <cell r="A110" t="str">
            <v>선복화</v>
          </cell>
          <cell r="C110">
            <v>15000</v>
          </cell>
          <cell r="D110">
            <v>20000</v>
          </cell>
          <cell r="F110">
            <v>0</v>
          </cell>
          <cell r="G110">
            <v>30</v>
          </cell>
          <cell r="H110">
            <v>33.333333333333336</v>
          </cell>
          <cell r="I110">
            <v>0</v>
          </cell>
          <cell r="J110">
            <v>33.299999999999997</v>
          </cell>
        </row>
        <row r="111">
          <cell r="A111" t="str">
            <v>세신</v>
          </cell>
          <cell r="C111">
            <v>66000</v>
          </cell>
          <cell r="E111">
            <v>84500</v>
          </cell>
          <cell r="F111">
            <v>0</v>
          </cell>
          <cell r="G111">
            <v>132</v>
          </cell>
          <cell r="H111">
            <v>0</v>
          </cell>
          <cell r="I111">
            <v>140.83333333333334</v>
          </cell>
          <cell r="J111">
            <v>145.19999999999999</v>
          </cell>
        </row>
        <row r="112">
          <cell r="A112" t="str">
            <v>소목</v>
          </cell>
          <cell r="C112">
            <v>3100</v>
          </cell>
          <cell r="D112">
            <v>5000</v>
          </cell>
          <cell r="E112">
            <v>3700</v>
          </cell>
          <cell r="F112">
            <v>0</v>
          </cell>
          <cell r="G112">
            <v>6.2</v>
          </cell>
          <cell r="H112">
            <v>8.3333333333333339</v>
          </cell>
          <cell r="I112">
            <v>6.166666666666667</v>
          </cell>
          <cell r="J112">
            <v>6.2</v>
          </cell>
        </row>
        <row r="113">
          <cell r="A113" t="str">
            <v>소자</v>
          </cell>
          <cell r="C113">
            <v>5700</v>
          </cell>
          <cell r="D113">
            <v>7800</v>
          </cell>
          <cell r="E113">
            <v>4500</v>
          </cell>
          <cell r="F113">
            <v>0</v>
          </cell>
          <cell r="G113">
            <v>11.4</v>
          </cell>
          <cell r="H113">
            <v>13</v>
          </cell>
          <cell r="I113">
            <v>7.5</v>
          </cell>
          <cell r="J113">
            <v>7.5</v>
          </cell>
        </row>
        <row r="114">
          <cell r="A114" t="str">
            <v>소회향</v>
          </cell>
          <cell r="C114">
            <v>5800</v>
          </cell>
          <cell r="D114">
            <v>6000</v>
          </cell>
          <cell r="F114">
            <v>0</v>
          </cell>
          <cell r="G114">
            <v>11.6</v>
          </cell>
          <cell r="H114">
            <v>10</v>
          </cell>
          <cell r="I114">
            <v>0</v>
          </cell>
          <cell r="J114">
            <v>10</v>
          </cell>
        </row>
        <row r="115">
          <cell r="A115" t="str">
            <v>속단</v>
          </cell>
          <cell r="C115">
            <v>5700</v>
          </cell>
          <cell r="E115">
            <v>7000</v>
          </cell>
          <cell r="F115">
            <v>0</v>
          </cell>
          <cell r="G115">
            <v>11.4</v>
          </cell>
          <cell r="H115">
            <v>0</v>
          </cell>
          <cell r="I115">
            <v>11.666666666666666</v>
          </cell>
          <cell r="J115">
            <v>11.7</v>
          </cell>
        </row>
        <row r="116">
          <cell r="A116" t="str">
            <v>숙지황</v>
          </cell>
          <cell r="C116">
            <v>20000</v>
          </cell>
          <cell r="D116">
            <v>20000</v>
          </cell>
          <cell r="E116">
            <v>20000</v>
          </cell>
          <cell r="F116">
            <v>0</v>
          </cell>
          <cell r="G116">
            <v>20</v>
          </cell>
          <cell r="H116">
            <v>20</v>
          </cell>
          <cell r="I116">
            <v>20</v>
          </cell>
          <cell r="J116">
            <v>20</v>
          </cell>
        </row>
        <row r="117">
          <cell r="A117" t="str">
            <v>승마</v>
          </cell>
          <cell r="C117">
            <v>15500</v>
          </cell>
          <cell r="E117">
            <v>19200</v>
          </cell>
          <cell r="F117">
            <v>0</v>
          </cell>
          <cell r="G117">
            <v>31</v>
          </cell>
          <cell r="H117">
            <v>0</v>
          </cell>
          <cell r="I117">
            <v>32</v>
          </cell>
          <cell r="J117">
            <v>31</v>
          </cell>
        </row>
        <row r="118">
          <cell r="A118" t="str">
            <v>시호1</v>
          </cell>
          <cell r="E118">
            <v>43600</v>
          </cell>
          <cell r="F118">
            <v>0</v>
          </cell>
          <cell r="G118">
            <v>0</v>
          </cell>
          <cell r="H118">
            <v>0</v>
          </cell>
          <cell r="I118">
            <v>72.666666666666671</v>
          </cell>
          <cell r="J118">
            <v>72.7</v>
          </cell>
        </row>
        <row r="119">
          <cell r="A119" t="str">
            <v>시호2</v>
          </cell>
          <cell r="B119">
            <v>29900</v>
          </cell>
          <cell r="C119">
            <v>7800</v>
          </cell>
          <cell r="D119">
            <v>10000</v>
          </cell>
          <cell r="E119">
            <v>8700</v>
          </cell>
          <cell r="F119">
            <v>59.8</v>
          </cell>
          <cell r="G119">
            <v>15.6</v>
          </cell>
          <cell r="H119">
            <v>16.666666666666668</v>
          </cell>
          <cell r="I119">
            <v>14.5</v>
          </cell>
          <cell r="J119">
            <v>15.3</v>
          </cell>
        </row>
        <row r="120">
          <cell r="A120" t="str">
            <v>신곡</v>
          </cell>
          <cell r="C120">
            <v>8500</v>
          </cell>
          <cell r="D120">
            <v>8000</v>
          </cell>
          <cell r="E120">
            <v>8500</v>
          </cell>
          <cell r="F120">
            <v>0</v>
          </cell>
          <cell r="G120">
            <v>8.5</v>
          </cell>
          <cell r="H120">
            <v>8</v>
          </cell>
          <cell r="I120">
            <v>8.5</v>
          </cell>
          <cell r="J120">
            <v>8</v>
          </cell>
        </row>
        <row r="121">
          <cell r="A121" t="str">
            <v>신이화</v>
          </cell>
          <cell r="C121">
            <v>18000</v>
          </cell>
          <cell r="D121">
            <v>15000</v>
          </cell>
          <cell r="E121">
            <v>24100</v>
          </cell>
          <cell r="F121">
            <v>0</v>
          </cell>
          <cell r="G121">
            <v>36</v>
          </cell>
          <cell r="H121">
            <v>25</v>
          </cell>
          <cell r="I121">
            <v>40.166666666666664</v>
          </cell>
          <cell r="J121">
            <v>36</v>
          </cell>
        </row>
        <row r="122">
          <cell r="A122" t="str">
            <v>아교</v>
          </cell>
          <cell r="C122">
            <v>8000</v>
          </cell>
          <cell r="E122">
            <v>8000</v>
          </cell>
          <cell r="F122">
            <v>0</v>
          </cell>
          <cell r="G122">
            <v>26.666666666666668</v>
          </cell>
          <cell r="H122">
            <v>0</v>
          </cell>
          <cell r="I122">
            <v>26.666666666666668</v>
          </cell>
          <cell r="J122">
            <v>26.7</v>
          </cell>
        </row>
        <row r="123">
          <cell r="A123" t="str">
            <v>애엽</v>
          </cell>
          <cell r="E123">
            <v>7400</v>
          </cell>
          <cell r="F123">
            <v>0</v>
          </cell>
          <cell r="G123">
            <v>0</v>
          </cell>
          <cell r="H123">
            <v>0</v>
          </cell>
          <cell r="I123">
            <v>24.666666666666668</v>
          </cell>
          <cell r="J123">
            <v>24.7</v>
          </cell>
        </row>
        <row r="124">
          <cell r="A124" t="str">
            <v>여정자</v>
          </cell>
          <cell r="C124">
            <v>2600</v>
          </cell>
          <cell r="D124">
            <v>4000</v>
          </cell>
          <cell r="F124">
            <v>0</v>
          </cell>
          <cell r="G124">
            <v>5.2</v>
          </cell>
          <cell r="H124">
            <v>6.666666666666667</v>
          </cell>
          <cell r="I124">
            <v>0</v>
          </cell>
          <cell r="J124">
            <v>6.7</v>
          </cell>
        </row>
        <row r="125">
          <cell r="A125" t="str">
            <v>연교</v>
          </cell>
          <cell r="C125">
            <v>9000</v>
          </cell>
          <cell r="D125">
            <v>38000</v>
          </cell>
          <cell r="E125">
            <v>15600</v>
          </cell>
          <cell r="F125">
            <v>0</v>
          </cell>
          <cell r="G125">
            <v>18</v>
          </cell>
          <cell r="H125">
            <v>63.333333333333336</v>
          </cell>
          <cell r="I125">
            <v>26</v>
          </cell>
          <cell r="J125">
            <v>28</v>
          </cell>
        </row>
        <row r="126">
          <cell r="A126" t="str">
            <v>연육</v>
          </cell>
          <cell r="C126">
            <v>3700</v>
          </cell>
          <cell r="D126">
            <v>5500</v>
          </cell>
          <cell r="F126">
            <v>0</v>
          </cell>
          <cell r="G126">
            <v>7.4</v>
          </cell>
          <cell r="H126">
            <v>9.1666666666666661</v>
          </cell>
          <cell r="I126">
            <v>0</v>
          </cell>
          <cell r="J126">
            <v>9.1999999999999993</v>
          </cell>
        </row>
        <row r="127">
          <cell r="A127" t="str">
            <v>오가피</v>
          </cell>
          <cell r="C127">
            <v>8200</v>
          </cell>
          <cell r="D127">
            <v>12000</v>
          </cell>
          <cell r="E127">
            <v>9900</v>
          </cell>
          <cell r="F127">
            <v>0</v>
          </cell>
          <cell r="G127">
            <v>16.399999999999999</v>
          </cell>
          <cell r="H127">
            <v>20</v>
          </cell>
          <cell r="I127">
            <v>16.5</v>
          </cell>
          <cell r="J127">
            <v>16.5</v>
          </cell>
        </row>
        <row r="128">
          <cell r="A128" t="str">
            <v>오령지</v>
          </cell>
          <cell r="F128">
            <v>0</v>
          </cell>
          <cell r="G128">
            <v>0</v>
          </cell>
          <cell r="H128">
            <v>0</v>
          </cell>
          <cell r="I128">
            <v>0</v>
          </cell>
        </row>
        <row r="129">
          <cell r="A129" t="str">
            <v>오매</v>
          </cell>
          <cell r="C129">
            <v>7200</v>
          </cell>
          <cell r="D129">
            <v>7000</v>
          </cell>
          <cell r="E129">
            <v>6400</v>
          </cell>
          <cell r="F129">
            <v>0</v>
          </cell>
          <cell r="G129">
            <v>14.4</v>
          </cell>
          <cell r="H129">
            <v>11.666666666666666</v>
          </cell>
          <cell r="I129">
            <v>10.666666666666666</v>
          </cell>
          <cell r="J129">
            <v>11.7</v>
          </cell>
        </row>
        <row r="130">
          <cell r="A130" t="str">
            <v>오미자</v>
          </cell>
          <cell r="B130">
            <v>17900</v>
          </cell>
          <cell r="C130">
            <v>11000</v>
          </cell>
          <cell r="D130">
            <v>16000</v>
          </cell>
          <cell r="E130">
            <v>11600</v>
          </cell>
          <cell r="F130">
            <v>35.799999999999997</v>
          </cell>
          <cell r="G130">
            <v>22</v>
          </cell>
          <cell r="H130">
            <v>26.666666666666668</v>
          </cell>
          <cell r="I130">
            <v>19.333333333333332</v>
          </cell>
          <cell r="J130">
            <v>23.5</v>
          </cell>
        </row>
        <row r="131">
          <cell r="A131" t="str">
            <v>오배자</v>
          </cell>
          <cell r="F131">
            <v>0</v>
          </cell>
          <cell r="G131">
            <v>0</v>
          </cell>
          <cell r="H131">
            <v>0</v>
          </cell>
          <cell r="I131">
            <v>0</v>
          </cell>
        </row>
        <row r="132">
          <cell r="A132" t="str">
            <v>오수유</v>
          </cell>
          <cell r="C132">
            <v>8400</v>
          </cell>
          <cell r="E132">
            <v>9100</v>
          </cell>
          <cell r="F132">
            <v>0</v>
          </cell>
          <cell r="G132">
            <v>16.8</v>
          </cell>
          <cell r="H132">
            <v>0</v>
          </cell>
          <cell r="I132">
            <v>15.166666666666666</v>
          </cell>
          <cell r="J132">
            <v>15.2</v>
          </cell>
        </row>
        <row r="133">
          <cell r="A133" t="str">
            <v>오약</v>
          </cell>
          <cell r="C133">
            <v>4600</v>
          </cell>
          <cell r="D133">
            <v>7000</v>
          </cell>
          <cell r="E133">
            <v>5500</v>
          </cell>
          <cell r="F133">
            <v>0</v>
          </cell>
          <cell r="G133">
            <v>9.1999999999999993</v>
          </cell>
          <cell r="H133">
            <v>11.666666666666666</v>
          </cell>
          <cell r="I133">
            <v>9.1666666666666661</v>
          </cell>
          <cell r="J133">
            <v>9.1999999999999993</v>
          </cell>
        </row>
        <row r="134">
          <cell r="A134" t="str">
            <v>용골</v>
          </cell>
          <cell r="C134">
            <v>14000</v>
          </cell>
          <cell r="D134">
            <v>15000</v>
          </cell>
          <cell r="E134">
            <v>14000</v>
          </cell>
          <cell r="F134">
            <v>0</v>
          </cell>
          <cell r="G134">
            <v>14</v>
          </cell>
          <cell r="H134">
            <v>15</v>
          </cell>
          <cell r="I134">
            <v>14</v>
          </cell>
          <cell r="J134">
            <v>14</v>
          </cell>
        </row>
        <row r="135">
          <cell r="A135" t="str">
            <v>용담초</v>
          </cell>
          <cell r="C135">
            <v>27500</v>
          </cell>
          <cell r="D135">
            <v>26000</v>
          </cell>
          <cell r="F135">
            <v>0</v>
          </cell>
          <cell r="G135">
            <v>55</v>
          </cell>
          <cell r="H135">
            <v>43.333333333333336</v>
          </cell>
          <cell r="I135">
            <v>0</v>
          </cell>
          <cell r="J135">
            <v>55</v>
          </cell>
        </row>
        <row r="136">
          <cell r="A136" t="str">
            <v>우방자</v>
          </cell>
          <cell r="C136">
            <v>7300</v>
          </cell>
          <cell r="D136">
            <v>8500</v>
          </cell>
          <cell r="E136">
            <v>6100</v>
          </cell>
          <cell r="F136">
            <v>0</v>
          </cell>
          <cell r="G136">
            <v>14.6</v>
          </cell>
          <cell r="H136">
            <v>14.166666666666666</v>
          </cell>
          <cell r="I136">
            <v>10.166666666666666</v>
          </cell>
          <cell r="J136">
            <v>10.199999999999999</v>
          </cell>
        </row>
        <row r="137">
          <cell r="A137" t="str">
            <v>우슬</v>
          </cell>
          <cell r="C137">
            <v>5700</v>
          </cell>
          <cell r="D137">
            <v>9500</v>
          </cell>
          <cell r="E137">
            <v>6900</v>
          </cell>
          <cell r="F137">
            <v>0</v>
          </cell>
          <cell r="G137">
            <v>11.4</v>
          </cell>
          <cell r="H137">
            <v>15.833333333333334</v>
          </cell>
          <cell r="I137">
            <v>11.5</v>
          </cell>
          <cell r="J137">
            <v>17.7</v>
          </cell>
        </row>
        <row r="138">
          <cell r="A138" t="str">
            <v>원육</v>
          </cell>
          <cell r="C138">
            <v>12800</v>
          </cell>
          <cell r="D138">
            <v>13500</v>
          </cell>
          <cell r="E138">
            <v>12300</v>
          </cell>
          <cell r="F138">
            <v>0</v>
          </cell>
          <cell r="G138">
            <v>21.333333333333332</v>
          </cell>
          <cell r="H138">
            <v>22.5</v>
          </cell>
          <cell r="I138">
            <v>20.5</v>
          </cell>
          <cell r="J138">
            <v>20.5</v>
          </cell>
        </row>
        <row r="139">
          <cell r="A139" t="str">
            <v>원지</v>
          </cell>
          <cell r="C139">
            <v>46800</v>
          </cell>
          <cell r="E139">
            <v>55900</v>
          </cell>
          <cell r="F139">
            <v>0</v>
          </cell>
          <cell r="G139">
            <v>93.6</v>
          </cell>
          <cell r="H139">
            <v>0</v>
          </cell>
          <cell r="I139">
            <v>93.166666666666671</v>
          </cell>
          <cell r="J139">
            <v>68</v>
          </cell>
        </row>
        <row r="140">
          <cell r="A140" t="str">
            <v>위령선</v>
          </cell>
          <cell r="C140">
            <v>14500</v>
          </cell>
          <cell r="D140">
            <v>19000</v>
          </cell>
          <cell r="E140">
            <v>17700</v>
          </cell>
          <cell r="F140">
            <v>0</v>
          </cell>
          <cell r="G140">
            <v>29</v>
          </cell>
          <cell r="H140">
            <v>31.666666666666668</v>
          </cell>
          <cell r="I140">
            <v>29.5</v>
          </cell>
          <cell r="J140">
            <v>29</v>
          </cell>
        </row>
        <row r="141">
          <cell r="A141" t="str">
            <v>유백피</v>
          </cell>
        </row>
        <row r="142">
          <cell r="A142" t="str">
            <v>유향</v>
          </cell>
          <cell r="E142">
            <v>8800</v>
          </cell>
          <cell r="F142">
            <v>0</v>
          </cell>
          <cell r="G142">
            <v>0</v>
          </cell>
          <cell r="H142">
            <v>0</v>
          </cell>
          <cell r="I142">
            <v>14.666666666666666</v>
          </cell>
          <cell r="J142">
            <v>14.7</v>
          </cell>
        </row>
        <row r="143">
          <cell r="A143" t="str">
            <v>육계</v>
          </cell>
          <cell r="B143">
            <v>14800</v>
          </cell>
          <cell r="E143">
            <v>8600</v>
          </cell>
          <cell r="F143">
            <v>29.6</v>
          </cell>
          <cell r="G143">
            <v>0</v>
          </cell>
          <cell r="H143">
            <v>0</v>
          </cell>
          <cell r="I143">
            <v>14.333333333333334</v>
          </cell>
          <cell r="J143">
            <v>14.8</v>
          </cell>
        </row>
        <row r="144">
          <cell r="A144" t="str">
            <v>육두구</v>
          </cell>
          <cell r="C144">
            <v>13800</v>
          </cell>
          <cell r="D144">
            <v>17500</v>
          </cell>
          <cell r="F144">
            <v>0</v>
          </cell>
          <cell r="G144">
            <v>27.6</v>
          </cell>
          <cell r="H144">
            <v>29.166666666666668</v>
          </cell>
          <cell r="I144">
            <v>0</v>
          </cell>
          <cell r="J144">
            <v>29.2</v>
          </cell>
        </row>
        <row r="145">
          <cell r="A145" t="str">
            <v>육종용</v>
          </cell>
          <cell r="C145">
            <v>13200</v>
          </cell>
          <cell r="D145">
            <v>14000</v>
          </cell>
          <cell r="E145">
            <v>13000</v>
          </cell>
          <cell r="F145">
            <v>0</v>
          </cell>
          <cell r="G145">
            <v>22</v>
          </cell>
          <cell r="H145">
            <v>23.333333333333332</v>
          </cell>
          <cell r="I145">
            <v>26</v>
          </cell>
          <cell r="J145">
            <v>22</v>
          </cell>
        </row>
        <row r="146">
          <cell r="A146" t="str">
            <v>음양곽</v>
          </cell>
          <cell r="C146">
            <v>11900</v>
          </cell>
          <cell r="F146">
            <v>0</v>
          </cell>
          <cell r="G146">
            <v>23.8</v>
          </cell>
          <cell r="H146">
            <v>0</v>
          </cell>
          <cell r="I146">
            <v>0</v>
          </cell>
          <cell r="J146">
            <v>23.8</v>
          </cell>
        </row>
        <row r="147">
          <cell r="A147" t="str">
            <v>의이인</v>
          </cell>
          <cell r="C147">
            <v>8900</v>
          </cell>
          <cell r="D147">
            <v>10000</v>
          </cell>
          <cell r="E147">
            <v>10600</v>
          </cell>
          <cell r="F147">
            <v>0</v>
          </cell>
          <cell r="G147">
            <v>17.8</v>
          </cell>
          <cell r="H147">
            <v>16.666666666666668</v>
          </cell>
          <cell r="I147">
            <v>17.666666666666668</v>
          </cell>
          <cell r="J147">
            <v>15.8</v>
          </cell>
        </row>
        <row r="148">
          <cell r="A148" t="str">
            <v>익모초</v>
          </cell>
          <cell r="C148">
            <v>5800</v>
          </cell>
          <cell r="D148">
            <v>7500</v>
          </cell>
          <cell r="F148">
            <v>0</v>
          </cell>
          <cell r="G148">
            <v>11.6</v>
          </cell>
          <cell r="H148">
            <v>12.5</v>
          </cell>
          <cell r="I148">
            <v>0</v>
          </cell>
        </row>
        <row r="149">
          <cell r="A149" t="str">
            <v>익지인</v>
          </cell>
          <cell r="C149">
            <v>11600</v>
          </cell>
          <cell r="D149">
            <v>10500</v>
          </cell>
          <cell r="E149">
            <v>13700</v>
          </cell>
          <cell r="F149">
            <v>0</v>
          </cell>
          <cell r="G149">
            <v>23.2</v>
          </cell>
          <cell r="H149">
            <v>17.5</v>
          </cell>
          <cell r="I149">
            <v>22.833333333333332</v>
          </cell>
          <cell r="J149">
            <v>22.8</v>
          </cell>
        </row>
        <row r="150">
          <cell r="A150" t="str">
            <v>인삼</v>
          </cell>
          <cell r="C150">
            <v>60000</v>
          </cell>
          <cell r="D150">
            <v>30000</v>
          </cell>
          <cell r="E150">
            <v>67500</v>
          </cell>
          <cell r="F150">
            <v>0</v>
          </cell>
          <cell r="G150">
            <v>100</v>
          </cell>
          <cell r="H150">
            <v>100</v>
          </cell>
          <cell r="I150">
            <v>112.5</v>
          </cell>
          <cell r="J150">
            <v>108.3</v>
          </cell>
        </row>
        <row r="151">
          <cell r="A151" t="str">
            <v>인진</v>
          </cell>
          <cell r="C151">
            <v>6000</v>
          </cell>
          <cell r="D151">
            <v>7500</v>
          </cell>
          <cell r="E151">
            <v>7200</v>
          </cell>
          <cell r="F151">
            <v>0</v>
          </cell>
          <cell r="G151">
            <v>12</v>
          </cell>
          <cell r="H151">
            <v>12.5</v>
          </cell>
          <cell r="I151">
            <v>12</v>
          </cell>
          <cell r="J151">
            <v>12</v>
          </cell>
        </row>
        <row r="152">
          <cell r="A152" t="str">
            <v>자소엽</v>
          </cell>
          <cell r="C152">
            <v>7500</v>
          </cell>
          <cell r="D152">
            <v>8500</v>
          </cell>
          <cell r="E152">
            <v>7200</v>
          </cell>
          <cell r="F152">
            <v>0</v>
          </cell>
          <cell r="G152">
            <v>15</v>
          </cell>
          <cell r="H152">
            <v>14.166666666666666</v>
          </cell>
          <cell r="I152">
            <v>12</v>
          </cell>
          <cell r="J152">
            <v>12</v>
          </cell>
        </row>
        <row r="153">
          <cell r="A153" t="str">
            <v>자완</v>
          </cell>
          <cell r="C153">
            <v>29000</v>
          </cell>
          <cell r="D153">
            <v>23000</v>
          </cell>
          <cell r="E153">
            <v>20700</v>
          </cell>
          <cell r="F153">
            <v>0</v>
          </cell>
          <cell r="G153">
            <v>48.333333333333336</v>
          </cell>
          <cell r="H153">
            <v>38.333333333333336</v>
          </cell>
          <cell r="I153">
            <v>34.5</v>
          </cell>
          <cell r="J153">
            <v>38</v>
          </cell>
        </row>
        <row r="154">
          <cell r="A154" t="str">
            <v>자충</v>
          </cell>
          <cell r="E154">
            <v>31200</v>
          </cell>
          <cell r="F154">
            <v>0</v>
          </cell>
          <cell r="G154">
            <v>0</v>
          </cell>
          <cell r="H154">
            <v>0</v>
          </cell>
          <cell r="I154">
            <v>52</v>
          </cell>
          <cell r="J154">
            <v>52</v>
          </cell>
        </row>
        <row r="155">
          <cell r="A155" t="str">
            <v>저령</v>
          </cell>
          <cell r="C155">
            <v>22500</v>
          </cell>
          <cell r="D155">
            <v>28000</v>
          </cell>
          <cell r="E155">
            <v>26900</v>
          </cell>
          <cell r="F155">
            <v>0</v>
          </cell>
          <cell r="G155">
            <v>45</v>
          </cell>
          <cell r="H155">
            <v>46.666666666666664</v>
          </cell>
          <cell r="I155">
            <v>44.833333333333336</v>
          </cell>
          <cell r="J155">
            <v>46.7</v>
          </cell>
        </row>
        <row r="156">
          <cell r="A156" t="str">
            <v>적복령</v>
          </cell>
          <cell r="D156">
            <v>9000</v>
          </cell>
          <cell r="F156">
            <v>0</v>
          </cell>
          <cell r="G156">
            <v>0</v>
          </cell>
          <cell r="H156">
            <v>15</v>
          </cell>
          <cell r="I156">
            <v>0</v>
          </cell>
          <cell r="J156">
            <v>15</v>
          </cell>
        </row>
        <row r="157">
          <cell r="A157" t="str">
            <v>적하수오</v>
          </cell>
          <cell r="C157">
            <v>20000</v>
          </cell>
          <cell r="D157">
            <v>20000</v>
          </cell>
          <cell r="F157">
            <v>0</v>
          </cell>
          <cell r="G157">
            <v>20</v>
          </cell>
          <cell r="H157">
            <v>20</v>
          </cell>
          <cell r="I157">
            <v>0</v>
          </cell>
          <cell r="J157">
            <v>20</v>
          </cell>
        </row>
        <row r="158">
          <cell r="A158" t="str">
            <v>전호</v>
          </cell>
          <cell r="C158">
            <v>11500</v>
          </cell>
          <cell r="D158">
            <v>16000</v>
          </cell>
          <cell r="E158">
            <v>16500</v>
          </cell>
          <cell r="F158">
            <v>0</v>
          </cell>
          <cell r="G158">
            <v>23</v>
          </cell>
          <cell r="H158">
            <v>26.666666666666668</v>
          </cell>
          <cell r="I158">
            <v>27.5</v>
          </cell>
          <cell r="J158">
            <v>23</v>
          </cell>
        </row>
        <row r="159">
          <cell r="A159" t="str">
            <v>정향</v>
          </cell>
          <cell r="F159">
            <v>0</v>
          </cell>
          <cell r="G159">
            <v>0</v>
          </cell>
          <cell r="H159">
            <v>0</v>
          </cell>
          <cell r="I159">
            <v>0</v>
          </cell>
        </row>
        <row r="160">
          <cell r="A160" t="str">
            <v>조협</v>
          </cell>
          <cell r="E160">
            <v>7800</v>
          </cell>
          <cell r="F160">
            <v>0</v>
          </cell>
          <cell r="G160">
            <v>0</v>
          </cell>
          <cell r="H160">
            <v>0</v>
          </cell>
          <cell r="I160">
            <v>13</v>
          </cell>
          <cell r="J160">
            <v>13</v>
          </cell>
        </row>
        <row r="161">
          <cell r="A161" t="str">
            <v>조구등</v>
          </cell>
          <cell r="C161">
            <v>8600</v>
          </cell>
          <cell r="D161">
            <v>11000</v>
          </cell>
          <cell r="F161">
            <v>0</v>
          </cell>
          <cell r="G161">
            <v>17.2</v>
          </cell>
          <cell r="H161">
            <v>18.333333333333332</v>
          </cell>
          <cell r="I161">
            <v>0</v>
          </cell>
          <cell r="J161">
            <v>18.3</v>
          </cell>
        </row>
        <row r="162">
          <cell r="A162" t="str">
            <v>죽여1</v>
          </cell>
          <cell r="C162">
            <v>8000</v>
          </cell>
          <cell r="E162">
            <v>10200</v>
          </cell>
          <cell r="F162">
            <v>0</v>
          </cell>
          <cell r="G162">
            <v>16</v>
          </cell>
          <cell r="H162">
            <v>0</v>
          </cell>
          <cell r="I162">
            <v>17</v>
          </cell>
          <cell r="J162">
            <v>15.4</v>
          </cell>
        </row>
        <row r="163">
          <cell r="A163" t="str">
            <v>죽여2</v>
          </cell>
          <cell r="C163">
            <v>3500</v>
          </cell>
          <cell r="D163">
            <v>4500</v>
          </cell>
          <cell r="F163">
            <v>0</v>
          </cell>
          <cell r="G163">
            <v>5.833333333333333</v>
          </cell>
          <cell r="H163">
            <v>7.5</v>
          </cell>
          <cell r="I163">
            <v>0</v>
          </cell>
        </row>
        <row r="164">
          <cell r="A164" t="str">
            <v>죽엽</v>
          </cell>
          <cell r="C164">
            <v>4500</v>
          </cell>
          <cell r="F164">
            <v>0</v>
          </cell>
          <cell r="G164">
            <v>7.5</v>
          </cell>
          <cell r="H164">
            <v>0</v>
          </cell>
          <cell r="I164">
            <v>0</v>
          </cell>
          <cell r="J164">
            <v>7.5</v>
          </cell>
        </row>
        <row r="165">
          <cell r="A165" t="str">
            <v>지각</v>
          </cell>
          <cell r="C165">
            <v>4800</v>
          </cell>
          <cell r="D165">
            <v>7000</v>
          </cell>
          <cell r="E165">
            <v>6000</v>
          </cell>
          <cell r="F165">
            <v>0</v>
          </cell>
          <cell r="G165">
            <v>9.6</v>
          </cell>
          <cell r="H165">
            <v>11.666666666666666</v>
          </cell>
          <cell r="I165">
            <v>10</v>
          </cell>
          <cell r="J165">
            <v>10</v>
          </cell>
        </row>
        <row r="166">
          <cell r="A166" t="str">
            <v>지골피</v>
          </cell>
          <cell r="C166">
            <v>10600</v>
          </cell>
          <cell r="D166">
            <v>14000</v>
          </cell>
          <cell r="E166">
            <v>14200</v>
          </cell>
          <cell r="F166">
            <v>0</v>
          </cell>
          <cell r="G166">
            <v>21.2</v>
          </cell>
          <cell r="H166">
            <v>23.333333333333332</v>
          </cell>
          <cell r="I166">
            <v>23.666666666666668</v>
          </cell>
          <cell r="J166">
            <v>21.7</v>
          </cell>
        </row>
        <row r="167">
          <cell r="A167" t="str">
            <v>지모</v>
          </cell>
          <cell r="C167">
            <v>7800</v>
          </cell>
          <cell r="D167">
            <v>11000</v>
          </cell>
          <cell r="E167">
            <v>9600</v>
          </cell>
          <cell r="F167">
            <v>0</v>
          </cell>
          <cell r="G167">
            <v>15.6</v>
          </cell>
          <cell r="H167">
            <v>18.333333333333332</v>
          </cell>
          <cell r="I167">
            <v>16</v>
          </cell>
          <cell r="J167">
            <v>16.7</v>
          </cell>
        </row>
        <row r="168">
          <cell r="A168" t="str">
            <v>지부자</v>
          </cell>
          <cell r="E168">
            <v>5600</v>
          </cell>
          <cell r="F168">
            <v>0</v>
          </cell>
          <cell r="G168">
            <v>0</v>
          </cell>
          <cell r="H168">
            <v>0</v>
          </cell>
          <cell r="I168">
            <v>9.3333333333333339</v>
          </cell>
          <cell r="J168">
            <v>9.3000000000000007</v>
          </cell>
        </row>
        <row r="169">
          <cell r="A169" t="str">
            <v>지실</v>
          </cell>
          <cell r="C169">
            <v>10000</v>
          </cell>
          <cell r="E169">
            <v>10000</v>
          </cell>
          <cell r="F169">
            <v>0</v>
          </cell>
          <cell r="G169">
            <v>20</v>
          </cell>
          <cell r="H169">
            <v>0</v>
          </cell>
          <cell r="I169">
            <v>16.666666666666668</v>
          </cell>
          <cell r="J169">
            <v>16.7</v>
          </cell>
        </row>
        <row r="170">
          <cell r="A170" t="str">
            <v>지유</v>
          </cell>
          <cell r="F170">
            <v>0</v>
          </cell>
          <cell r="G170">
            <v>0</v>
          </cell>
          <cell r="H170">
            <v>0</v>
          </cell>
          <cell r="I170">
            <v>0</v>
          </cell>
        </row>
        <row r="171">
          <cell r="A171" t="str">
            <v>진교</v>
          </cell>
          <cell r="C171">
            <v>9500</v>
          </cell>
          <cell r="D171">
            <v>14000</v>
          </cell>
          <cell r="F171">
            <v>0</v>
          </cell>
          <cell r="G171">
            <v>19</v>
          </cell>
          <cell r="H171">
            <v>23.333333333333332</v>
          </cell>
          <cell r="I171">
            <v>0</v>
          </cell>
          <cell r="J171">
            <v>23.3</v>
          </cell>
        </row>
        <row r="172">
          <cell r="A172" t="str">
            <v>진피1</v>
          </cell>
          <cell r="B172">
            <v>8800</v>
          </cell>
          <cell r="C172">
            <v>5100</v>
          </cell>
          <cell r="D172">
            <v>5800</v>
          </cell>
          <cell r="E172">
            <v>7000</v>
          </cell>
          <cell r="F172">
            <v>17.600000000000001</v>
          </cell>
          <cell r="G172">
            <v>10.199999999999999</v>
          </cell>
          <cell r="H172">
            <v>9.6666666666666661</v>
          </cell>
          <cell r="I172">
            <v>11.666666666666666</v>
          </cell>
          <cell r="J172">
            <v>17.600000000000001</v>
          </cell>
        </row>
        <row r="173">
          <cell r="A173" t="str">
            <v>진피2</v>
          </cell>
          <cell r="B173">
            <v>22500</v>
          </cell>
          <cell r="F173">
            <v>45</v>
          </cell>
          <cell r="G173">
            <v>0</v>
          </cell>
          <cell r="H173">
            <v>0</v>
          </cell>
          <cell r="I173">
            <v>0</v>
          </cell>
          <cell r="J173">
            <v>45</v>
          </cell>
        </row>
        <row r="174">
          <cell r="A174" t="str">
            <v>진피3</v>
          </cell>
          <cell r="F174">
            <v>0</v>
          </cell>
          <cell r="G174">
            <v>0</v>
          </cell>
          <cell r="H174">
            <v>0</v>
          </cell>
          <cell r="I174">
            <v>0</v>
          </cell>
        </row>
        <row r="175">
          <cell r="A175" t="str">
            <v>차전자</v>
          </cell>
          <cell r="C175">
            <v>5300</v>
          </cell>
          <cell r="D175">
            <v>14000</v>
          </cell>
          <cell r="F175">
            <v>0</v>
          </cell>
          <cell r="G175">
            <v>10.6</v>
          </cell>
          <cell r="H175">
            <v>23.333333333333332</v>
          </cell>
          <cell r="I175">
            <v>0</v>
          </cell>
          <cell r="J175">
            <v>23.3</v>
          </cell>
        </row>
        <row r="176">
          <cell r="A176" t="str">
            <v>창이자</v>
          </cell>
          <cell r="F176">
            <v>0</v>
          </cell>
          <cell r="G176">
            <v>0</v>
          </cell>
          <cell r="H176">
            <v>0</v>
          </cell>
          <cell r="I176">
            <v>0</v>
          </cell>
        </row>
        <row r="177">
          <cell r="A177" t="str">
            <v>창출1</v>
          </cell>
          <cell r="C177">
            <v>11000</v>
          </cell>
          <cell r="E177">
            <v>15000</v>
          </cell>
          <cell r="F177">
            <v>0</v>
          </cell>
          <cell r="G177">
            <v>22</v>
          </cell>
          <cell r="H177">
            <v>0</v>
          </cell>
          <cell r="I177">
            <v>25</v>
          </cell>
          <cell r="J177">
            <v>25</v>
          </cell>
        </row>
        <row r="178">
          <cell r="A178" t="str">
            <v>창출2</v>
          </cell>
          <cell r="B178">
            <v>31900</v>
          </cell>
          <cell r="D178">
            <v>17000</v>
          </cell>
          <cell r="E178">
            <v>25800</v>
          </cell>
          <cell r="F178">
            <v>63.8</v>
          </cell>
          <cell r="G178">
            <v>0</v>
          </cell>
          <cell r="H178">
            <v>28.333333333333332</v>
          </cell>
          <cell r="I178">
            <v>43</v>
          </cell>
          <cell r="J178">
            <v>43</v>
          </cell>
        </row>
        <row r="179">
          <cell r="A179" t="str">
            <v>천궁1</v>
          </cell>
          <cell r="C179">
            <v>5200</v>
          </cell>
          <cell r="D179">
            <v>14000</v>
          </cell>
          <cell r="E179">
            <v>6500</v>
          </cell>
          <cell r="F179">
            <v>0</v>
          </cell>
          <cell r="G179">
            <v>10.4</v>
          </cell>
          <cell r="H179">
            <v>23.333333333333332</v>
          </cell>
          <cell r="I179">
            <v>10.833333333333334</v>
          </cell>
          <cell r="J179">
            <v>10.8</v>
          </cell>
        </row>
        <row r="180">
          <cell r="A180" t="str">
            <v>천궁2</v>
          </cell>
          <cell r="E180">
            <v>12500</v>
          </cell>
          <cell r="F180">
            <v>0</v>
          </cell>
          <cell r="G180">
            <v>0</v>
          </cell>
          <cell r="H180">
            <v>0</v>
          </cell>
          <cell r="I180">
            <v>20.833333333333332</v>
          </cell>
          <cell r="J180">
            <v>20.8</v>
          </cell>
        </row>
        <row r="181">
          <cell r="A181" t="str">
            <v>천련자</v>
          </cell>
          <cell r="C181">
            <v>5800</v>
          </cell>
          <cell r="F181">
            <v>0</v>
          </cell>
          <cell r="G181">
            <v>11.6</v>
          </cell>
          <cell r="H181">
            <v>0</v>
          </cell>
          <cell r="I181">
            <v>0</v>
          </cell>
          <cell r="J181">
            <v>11.6</v>
          </cell>
        </row>
        <row r="182">
          <cell r="A182" t="str">
            <v>천마</v>
          </cell>
          <cell r="C182">
            <v>21900</v>
          </cell>
          <cell r="D182">
            <v>24000</v>
          </cell>
          <cell r="E182">
            <v>24300</v>
          </cell>
          <cell r="F182">
            <v>0</v>
          </cell>
          <cell r="G182">
            <v>43.8</v>
          </cell>
          <cell r="H182">
            <v>40</v>
          </cell>
          <cell r="I182">
            <v>40.5</v>
          </cell>
          <cell r="J182">
            <v>40</v>
          </cell>
        </row>
        <row r="183">
          <cell r="A183" t="str">
            <v>천문동</v>
          </cell>
          <cell r="C183">
            <v>13800</v>
          </cell>
          <cell r="E183">
            <v>17900</v>
          </cell>
          <cell r="F183">
            <v>0</v>
          </cell>
          <cell r="G183">
            <v>27.6</v>
          </cell>
          <cell r="H183">
            <v>0</v>
          </cell>
          <cell r="I183">
            <v>29.833333333333332</v>
          </cell>
          <cell r="J183">
            <v>29.8</v>
          </cell>
        </row>
        <row r="184">
          <cell r="A184" t="str">
            <v>천오</v>
          </cell>
          <cell r="C184">
            <v>11000</v>
          </cell>
          <cell r="E184">
            <v>11000</v>
          </cell>
          <cell r="F184">
            <v>0</v>
          </cell>
          <cell r="G184">
            <v>22</v>
          </cell>
          <cell r="H184">
            <v>0</v>
          </cell>
          <cell r="I184">
            <v>22</v>
          </cell>
          <cell r="J184">
            <v>22</v>
          </cell>
        </row>
        <row r="185">
          <cell r="A185" t="str">
            <v>천초</v>
          </cell>
          <cell r="E185">
            <v>11300</v>
          </cell>
          <cell r="I185">
            <v>22.6</v>
          </cell>
          <cell r="J185">
            <v>22.6</v>
          </cell>
        </row>
        <row r="186">
          <cell r="A186" t="str">
            <v>천화분</v>
          </cell>
          <cell r="C186">
            <v>11300</v>
          </cell>
          <cell r="E186">
            <v>14200</v>
          </cell>
          <cell r="F186">
            <v>0</v>
          </cell>
          <cell r="G186">
            <v>22.6</v>
          </cell>
          <cell r="H186">
            <v>0</v>
          </cell>
          <cell r="I186">
            <v>23.666666666666668</v>
          </cell>
          <cell r="J186">
            <v>22.6</v>
          </cell>
        </row>
        <row r="187">
          <cell r="A187" t="str">
            <v>청상자</v>
          </cell>
          <cell r="D187">
            <v>8500</v>
          </cell>
          <cell r="F187">
            <v>0</v>
          </cell>
          <cell r="G187">
            <v>0</v>
          </cell>
          <cell r="H187">
            <v>14.166666666666666</v>
          </cell>
          <cell r="I187">
            <v>0</v>
          </cell>
          <cell r="J187">
            <v>14.2</v>
          </cell>
        </row>
        <row r="188">
          <cell r="A188" t="str">
            <v>청피</v>
          </cell>
          <cell r="C188">
            <v>3300</v>
          </cell>
          <cell r="D188">
            <v>5800</v>
          </cell>
          <cell r="E188">
            <v>4400</v>
          </cell>
          <cell r="F188">
            <v>0</v>
          </cell>
          <cell r="G188">
            <v>6.6</v>
          </cell>
          <cell r="H188">
            <v>9.6666666666666661</v>
          </cell>
          <cell r="I188">
            <v>7.333333333333333</v>
          </cell>
          <cell r="J188">
            <v>7.3</v>
          </cell>
        </row>
        <row r="189">
          <cell r="A189" t="str">
            <v>초결</v>
          </cell>
          <cell r="F189">
            <v>0</v>
          </cell>
          <cell r="G189">
            <v>0</v>
          </cell>
          <cell r="H189">
            <v>0</v>
          </cell>
          <cell r="I189">
            <v>0</v>
          </cell>
        </row>
        <row r="190">
          <cell r="A190" t="str">
            <v>초과</v>
          </cell>
          <cell r="F190">
            <v>0</v>
          </cell>
          <cell r="G190">
            <v>0</v>
          </cell>
          <cell r="H190">
            <v>0</v>
          </cell>
          <cell r="I190">
            <v>0</v>
          </cell>
        </row>
        <row r="191">
          <cell r="A191" t="str">
            <v>초두구</v>
          </cell>
          <cell r="C191">
            <v>5800</v>
          </cell>
          <cell r="D191">
            <v>7000</v>
          </cell>
          <cell r="F191">
            <v>0</v>
          </cell>
          <cell r="G191">
            <v>11.6</v>
          </cell>
          <cell r="H191">
            <v>11.666666666666666</v>
          </cell>
          <cell r="I191">
            <v>0</v>
          </cell>
          <cell r="J191">
            <v>11.7</v>
          </cell>
        </row>
        <row r="192">
          <cell r="A192" t="str">
            <v>측백엽</v>
          </cell>
          <cell r="F192">
            <v>0</v>
          </cell>
          <cell r="G192">
            <v>0</v>
          </cell>
          <cell r="H192">
            <v>0</v>
          </cell>
          <cell r="I192">
            <v>0</v>
          </cell>
        </row>
        <row r="193">
          <cell r="A193" t="str">
            <v>치자</v>
          </cell>
          <cell r="B193">
            <v>10800</v>
          </cell>
          <cell r="C193">
            <v>9300</v>
          </cell>
          <cell r="D193">
            <v>7500</v>
          </cell>
          <cell r="E193">
            <v>11200</v>
          </cell>
          <cell r="F193">
            <v>21.6</v>
          </cell>
          <cell r="G193">
            <v>18.600000000000001</v>
          </cell>
          <cell r="H193">
            <v>12.5</v>
          </cell>
          <cell r="I193">
            <v>18.666666666666668</v>
          </cell>
          <cell r="J193">
            <v>26</v>
          </cell>
        </row>
        <row r="194">
          <cell r="A194" t="str">
            <v>택사1</v>
          </cell>
          <cell r="C194">
            <v>13200</v>
          </cell>
          <cell r="D194">
            <v>15000</v>
          </cell>
          <cell r="E194">
            <v>16300</v>
          </cell>
          <cell r="F194">
            <v>0</v>
          </cell>
          <cell r="G194">
            <v>26.4</v>
          </cell>
          <cell r="H194">
            <v>25</v>
          </cell>
          <cell r="I194">
            <v>27.166666666666668</v>
          </cell>
          <cell r="J194">
            <v>23.7</v>
          </cell>
        </row>
        <row r="195">
          <cell r="A195" t="str">
            <v>택사2</v>
          </cell>
          <cell r="C195">
            <v>5500</v>
          </cell>
          <cell r="G195">
            <v>11</v>
          </cell>
          <cell r="J195">
            <v>11</v>
          </cell>
        </row>
        <row r="196">
          <cell r="A196" t="str">
            <v>토사자</v>
          </cell>
          <cell r="C196">
            <v>10000</v>
          </cell>
          <cell r="D196">
            <v>10000</v>
          </cell>
          <cell r="E196">
            <v>10300</v>
          </cell>
          <cell r="F196">
            <v>0</v>
          </cell>
          <cell r="G196">
            <v>16.666666666666668</v>
          </cell>
          <cell r="H196">
            <v>16.666666666666668</v>
          </cell>
          <cell r="I196">
            <v>17.166666666666668</v>
          </cell>
          <cell r="J196">
            <v>17.2</v>
          </cell>
        </row>
        <row r="197">
          <cell r="A197" t="str">
            <v>파고지</v>
          </cell>
          <cell r="C197">
            <v>4700</v>
          </cell>
          <cell r="D197">
            <v>5500</v>
          </cell>
          <cell r="E197">
            <v>4700</v>
          </cell>
          <cell r="F197">
            <v>0</v>
          </cell>
          <cell r="G197">
            <v>7.833333333333333</v>
          </cell>
          <cell r="H197">
            <v>9.1666666666666661</v>
          </cell>
          <cell r="I197">
            <v>7.833333333333333</v>
          </cell>
          <cell r="J197">
            <v>9.1999999999999993</v>
          </cell>
        </row>
        <row r="198">
          <cell r="A198" t="str">
            <v>파극천</v>
          </cell>
          <cell r="C198">
            <v>21000</v>
          </cell>
          <cell r="D198">
            <v>25500</v>
          </cell>
          <cell r="E198">
            <v>25400</v>
          </cell>
          <cell r="F198">
            <v>0</v>
          </cell>
          <cell r="G198">
            <v>35</v>
          </cell>
          <cell r="H198">
            <v>42.5</v>
          </cell>
          <cell r="I198">
            <v>42.333333333333336</v>
          </cell>
          <cell r="J198">
            <v>35</v>
          </cell>
        </row>
        <row r="199">
          <cell r="A199" t="str">
            <v>패모</v>
          </cell>
          <cell r="C199">
            <v>19000</v>
          </cell>
          <cell r="D199">
            <v>19200</v>
          </cell>
          <cell r="E199">
            <v>19200</v>
          </cell>
          <cell r="F199">
            <v>0</v>
          </cell>
          <cell r="G199">
            <v>38</v>
          </cell>
          <cell r="H199">
            <v>32</v>
          </cell>
          <cell r="I199">
            <v>32</v>
          </cell>
          <cell r="J199">
            <v>32</v>
          </cell>
        </row>
        <row r="200">
          <cell r="A200" t="str">
            <v>편축</v>
          </cell>
          <cell r="F200">
            <v>0</v>
          </cell>
          <cell r="G200">
            <v>0</v>
          </cell>
          <cell r="H200">
            <v>0</v>
          </cell>
          <cell r="I200">
            <v>0</v>
          </cell>
        </row>
        <row r="201">
          <cell r="A201" t="str">
            <v>포공영</v>
          </cell>
          <cell r="C201">
            <v>5200</v>
          </cell>
          <cell r="E201">
            <v>5600</v>
          </cell>
          <cell r="F201">
            <v>0</v>
          </cell>
          <cell r="G201">
            <v>8.6666666666666661</v>
          </cell>
          <cell r="H201">
            <v>0</v>
          </cell>
          <cell r="I201">
            <v>9.3333333333333339</v>
          </cell>
          <cell r="J201">
            <v>8.6999999999999993</v>
          </cell>
        </row>
        <row r="202">
          <cell r="A202" t="str">
            <v>해동피</v>
          </cell>
          <cell r="C202">
            <v>4000</v>
          </cell>
          <cell r="D202">
            <v>5500</v>
          </cell>
          <cell r="E202">
            <v>5100</v>
          </cell>
          <cell r="F202">
            <v>0</v>
          </cell>
          <cell r="G202">
            <v>8</v>
          </cell>
          <cell r="H202">
            <v>9.1666666666666661</v>
          </cell>
          <cell r="I202">
            <v>8.5</v>
          </cell>
          <cell r="J202">
            <v>8</v>
          </cell>
        </row>
        <row r="203">
          <cell r="A203" t="str">
            <v>행인</v>
          </cell>
          <cell r="C203">
            <v>5900</v>
          </cell>
          <cell r="D203">
            <v>6500</v>
          </cell>
          <cell r="E203">
            <v>6900</v>
          </cell>
          <cell r="F203">
            <v>0</v>
          </cell>
          <cell r="G203">
            <v>11.8</v>
          </cell>
          <cell r="H203">
            <v>10.833333333333334</v>
          </cell>
          <cell r="I203">
            <v>11.5</v>
          </cell>
          <cell r="J203">
            <v>12</v>
          </cell>
        </row>
        <row r="204">
          <cell r="A204" t="str">
            <v>향부자</v>
          </cell>
          <cell r="C204">
            <v>7200</v>
          </cell>
          <cell r="D204">
            <v>9500</v>
          </cell>
          <cell r="E204">
            <v>8600</v>
          </cell>
          <cell r="F204">
            <v>0</v>
          </cell>
          <cell r="G204">
            <v>14.4</v>
          </cell>
          <cell r="H204">
            <v>15.833333333333334</v>
          </cell>
          <cell r="I204">
            <v>14.333333333333334</v>
          </cell>
          <cell r="J204">
            <v>14.7</v>
          </cell>
        </row>
        <row r="205">
          <cell r="A205" t="str">
            <v>향시</v>
          </cell>
          <cell r="E205">
            <v>39000</v>
          </cell>
          <cell r="F205">
            <v>0</v>
          </cell>
          <cell r="G205">
            <v>0</v>
          </cell>
          <cell r="H205">
            <v>0</v>
          </cell>
          <cell r="I205">
            <v>39</v>
          </cell>
          <cell r="J205">
            <v>39</v>
          </cell>
        </row>
        <row r="206">
          <cell r="A206" t="str">
            <v>현삼</v>
          </cell>
          <cell r="C206">
            <v>12000</v>
          </cell>
          <cell r="D206">
            <v>6000</v>
          </cell>
          <cell r="E206">
            <v>15300</v>
          </cell>
          <cell r="F206">
            <v>0</v>
          </cell>
          <cell r="G206">
            <v>24</v>
          </cell>
          <cell r="H206">
            <v>10</v>
          </cell>
          <cell r="I206">
            <v>25.5</v>
          </cell>
          <cell r="J206">
            <v>24</v>
          </cell>
        </row>
        <row r="207">
          <cell r="A207" t="str">
            <v>현호색</v>
          </cell>
          <cell r="C207">
            <v>14500</v>
          </cell>
          <cell r="D207">
            <v>37000</v>
          </cell>
          <cell r="E207">
            <v>35800</v>
          </cell>
          <cell r="F207">
            <v>0</v>
          </cell>
          <cell r="G207">
            <v>24.166666666666668</v>
          </cell>
          <cell r="H207">
            <v>61.666666666666664</v>
          </cell>
          <cell r="I207">
            <v>59.666666666666664</v>
          </cell>
          <cell r="J207">
            <v>59.7</v>
          </cell>
        </row>
        <row r="208">
          <cell r="A208" t="str">
            <v>형개</v>
          </cell>
          <cell r="C208">
            <v>8800</v>
          </cell>
          <cell r="E208">
            <v>10500</v>
          </cell>
          <cell r="F208">
            <v>0</v>
          </cell>
          <cell r="G208">
            <v>17.600000000000001</v>
          </cell>
          <cell r="H208">
            <v>0</v>
          </cell>
          <cell r="I208">
            <v>17.5</v>
          </cell>
          <cell r="J208">
            <v>17.600000000000001</v>
          </cell>
        </row>
        <row r="209">
          <cell r="A209" t="str">
            <v>홍화</v>
          </cell>
          <cell r="C209">
            <v>19500</v>
          </cell>
          <cell r="D209">
            <v>30000</v>
          </cell>
          <cell r="E209">
            <v>26000</v>
          </cell>
          <cell r="F209">
            <v>0</v>
          </cell>
          <cell r="G209">
            <v>39</v>
          </cell>
          <cell r="H209">
            <v>50</v>
          </cell>
          <cell r="I209">
            <v>43.333333333333336</v>
          </cell>
          <cell r="J209">
            <v>44.2</v>
          </cell>
        </row>
        <row r="210">
          <cell r="A210" t="str">
            <v>활석</v>
          </cell>
          <cell r="D210">
            <v>8500</v>
          </cell>
          <cell r="F210">
            <v>0</v>
          </cell>
          <cell r="G210">
            <v>0</v>
          </cell>
          <cell r="H210">
            <v>8.5</v>
          </cell>
          <cell r="I210">
            <v>0</v>
          </cell>
          <cell r="J210">
            <v>8.5</v>
          </cell>
        </row>
        <row r="211">
          <cell r="A211" t="str">
            <v>황금</v>
          </cell>
          <cell r="C211">
            <v>9000</v>
          </cell>
          <cell r="D211">
            <v>9000</v>
          </cell>
          <cell r="E211">
            <v>13500</v>
          </cell>
          <cell r="F211">
            <v>0</v>
          </cell>
          <cell r="G211">
            <v>18</v>
          </cell>
          <cell r="H211">
            <v>15</v>
          </cell>
          <cell r="I211">
            <v>22.5</v>
          </cell>
          <cell r="J211">
            <v>22.5</v>
          </cell>
        </row>
        <row r="212">
          <cell r="A212" t="str">
            <v>황기</v>
          </cell>
          <cell r="C212">
            <v>11000</v>
          </cell>
          <cell r="D212">
            <v>24000</v>
          </cell>
          <cell r="E212">
            <v>13400</v>
          </cell>
          <cell r="F212">
            <v>0</v>
          </cell>
          <cell r="G212">
            <v>22</v>
          </cell>
          <cell r="H212">
            <v>40</v>
          </cell>
          <cell r="I212">
            <v>22.333333333333332</v>
          </cell>
          <cell r="J212">
            <v>22</v>
          </cell>
        </row>
        <row r="213">
          <cell r="A213" t="str">
            <v>황련</v>
          </cell>
          <cell r="C213">
            <v>62000</v>
          </cell>
          <cell r="D213">
            <v>85000</v>
          </cell>
          <cell r="E213">
            <v>81900</v>
          </cell>
          <cell r="F213">
            <v>0</v>
          </cell>
          <cell r="G213">
            <v>124</v>
          </cell>
          <cell r="H213">
            <v>141.66666666666666</v>
          </cell>
          <cell r="I213">
            <v>136.5</v>
          </cell>
          <cell r="J213">
            <v>136.80000000000001</v>
          </cell>
        </row>
        <row r="214">
          <cell r="A214" t="str">
            <v>황백</v>
          </cell>
          <cell r="C214">
            <v>12800</v>
          </cell>
          <cell r="D214">
            <v>9500</v>
          </cell>
          <cell r="E214">
            <v>16600</v>
          </cell>
          <cell r="F214">
            <v>0</v>
          </cell>
          <cell r="G214">
            <v>25.6</v>
          </cell>
          <cell r="H214">
            <v>15.833333333333334</v>
          </cell>
          <cell r="I214">
            <v>27.666666666666668</v>
          </cell>
          <cell r="J214">
            <v>27.7</v>
          </cell>
        </row>
        <row r="215">
          <cell r="A215" t="str">
            <v>황정</v>
          </cell>
          <cell r="D215">
            <v>9500</v>
          </cell>
          <cell r="F215">
            <v>0</v>
          </cell>
          <cell r="G215">
            <v>0</v>
          </cell>
          <cell r="H215">
            <v>15.833333333333334</v>
          </cell>
          <cell r="I215">
            <v>0</v>
          </cell>
          <cell r="J215">
            <v>15.8</v>
          </cell>
        </row>
        <row r="216">
          <cell r="A216" t="str">
            <v>후박</v>
          </cell>
          <cell r="C216">
            <v>4500</v>
          </cell>
          <cell r="D216">
            <v>4500</v>
          </cell>
          <cell r="E216">
            <v>5400</v>
          </cell>
          <cell r="F216">
            <v>0</v>
          </cell>
          <cell r="G216">
            <v>9</v>
          </cell>
          <cell r="H216">
            <v>7.5</v>
          </cell>
          <cell r="I216">
            <v>9</v>
          </cell>
          <cell r="J216">
            <v>9</v>
          </cell>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6F44-C14B-4E32-AB8B-69B5D404997C}">
  <sheetPr>
    <pageSetUpPr fitToPage="1"/>
  </sheetPr>
  <dimension ref="B1:M31"/>
  <sheetViews>
    <sheetView tabSelected="1" topLeftCell="B1" workbookViewId="0">
      <selection activeCell="E19" sqref="E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50" t="s">
        <v>8</v>
      </c>
      <c r="L1" s="151"/>
      <c r="M1" s="152"/>
    </row>
    <row r="2" spans="2:13">
      <c r="B2" s="3">
        <v>1</v>
      </c>
      <c r="C2" t="s">
        <v>440</v>
      </c>
      <c r="D2" s="4"/>
      <c r="E2" s="167">
        <v>6</v>
      </c>
      <c r="F2" s="168">
        <f>E2*$L$15</f>
        <v>120</v>
      </c>
      <c r="G2">
        <f>VLOOKUP($C2,[1]약재관리!$A:$J,10,FALSE)</f>
        <v>22</v>
      </c>
      <c r="H2" s="5">
        <f>G2*E2</f>
        <v>132</v>
      </c>
      <c r="I2" s="90">
        <f>G2*E2</f>
        <v>132</v>
      </c>
      <c r="K2" s="7" t="s">
        <v>9</v>
      </c>
      <c r="L2" s="153">
        <v>106</v>
      </c>
      <c r="M2" s="154"/>
    </row>
    <row r="3" spans="2:13">
      <c r="B3" s="3">
        <v>2</v>
      </c>
      <c r="C3" t="s">
        <v>437</v>
      </c>
      <c r="D3" s="4"/>
      <c r="E3" s="169">
        <v>6</v>
      </c>
      <c r="F3" s="101">
        <f t="shared" ref="F3:F31" si="0">E3*$L$15</f>
        <v>120</v>
      </c>
      <c r="G3">
        <f>VLOOKUP($C3,[1]약재관리!$A:$J,10,FALSE)</f>
        <v>30.3</v>
      </c>
      <c r="H3" s="5">
        <f t="shared" ref="H3:H31" si="1">G3*E3</f>
        <v>181.8</v>
      </c>
      <c r="I3" s="6">
        <f>G3*E3</f>
        <v>181.8</v>
      </c>
      <c r="K3" s="8" t="s">
        <v>10</v>
      </c>
      <c r="L3" s="148" t="s">
        <v>447</v>
      </c>
      <c r="M3" s="149"/>
    </row>
    <row r="4" spans="2:13">
      <c r="B4" s="3">
        <v>3</v>
      </c>
      <c r="C4" t="s">
        <v>441</v>
      </c>
      <c r="D4" s="4"/>
      <c r="E4" s="169">
        <v>4</v>
      </c>
      <c r="F4" s="101">
        <f t="shared" si="0"/>
        <v>80</v>
      </c>
      <c r="G4">
        <f>VLOOKUP($C4,[1]약재관리!$A:$J,10,FALSE)</f>
        <v>7</v>
      </c>
      <c r="H4" s="5">
        <f t="shared" si="1"/>
        <v>28</v>
      </c>
      <c r="I4" s="6">
        <f>G4*E4</f>
        <v>28</v>
      </c>
      <c r="K4" s="8" t="s">
        <v>11</v>
      </c>
      <c r="L4" s="155">
        <v>45946</v>
      </c>
      <c r="M4" s="149"/>
    </row>
    <row r="5" spans="2:13">
      <c r="B5" s="3">
        <v>4</v>
      </c>
      <c r="C5" t="s">
        <v>436</v>
      </c>
      <c r="D5" s="4"/>
      <c r="E5" s="169">
        <v>4</v>
      </c>
      <c r="F5" s="101">
        <f t="shared" si="0"/>
        <v>80</v>
      </c>
      <c r="G5">
        <f>VLOOKUP($C5,[1]약재관리!$A:$J,10,FALSE)</f>
        <v>14.7</v>
      </c>
      <c r="H5" s="5">
        <f t="shared" si="1"/>
        <v>58.8</v>
      </c>
      <c r="I5" s="6">
        <f t="shared" ref="I5:I31" si="2">G5*F5</f>
        <v>1176</v>
      </c>
      <c r="K5" s="8" t="s">
        <v>12</v>
      </c>
      <c r="L5" s="148" t="s">
        <v>434</v>
      </c>
      <c r="M5" s="149"/>
    </row>
    <row r="6" spans="2:13">
      <c r="B6" s="3">
        <v>5</v>
      </c>
      <c r="C6" t="s">
        <v>438</v>
      </c>
      <c r="D6" s="4"/>
      <c r="E6" s="169">
        <v>4</v>
      </c>
      <c r="F6" s="101">
        <f t="shared" si="0"/>
        <v>80</v>
      </c>
      <c r="G6">
        <f>VLOOKUP($C6,[1]약재관리!$A:$J,10,FALSE)</f>
        <v>41</v>
      </c>
      <c r="H6" s="5">
        <f t="shared" si="1"/>
        <v>164</v>
      </c>
      <c r="I6" s="6">
        <f t="shared" si="2"/>
        <v>3280</v>
      </c>
      <c r="K6" s="8" t="s">
        <v>13</v>
      </c>
      <c r="L6" s="148">
        <v>82</v>
      </c>
      <c r="M6" s="149"/>
    </row>
    <row r="7" spans="2:13" ht="17.25" thickBot="1">
      <c r="B7" s="3">
        <v>6</v>
      </c>
      <c r="C7" t="s">
        <v>430</v>
      </c>
      <c r="D7" s="4"/>
      <c r="E7" s="169">
        <v>4</v>
      </c>
      <c r="F7" s="101">
        <f t="shared" si="0"/>
        <v>80</v>
      </c>
      <c r="G7">
        <f>VLOOKUP($C7,[1]약재관리!$A:$J,10,FALSE)</f>
        <v>17.600000000000001</v>
      </c>
      <c r="H7" s="5">
        <f t="shared" si="1"/>
        <v>70.400000000000006</v>
      </c>
      <c r="I7" s="6">
        <f t="shared" si="2"/>
        <v>1408</v>
      </c>
      <c r="K7" s="8" t="s">
        <v>14</v>
      </c>
      <c r="L7" s="156" t="s">
        <v>435</v>
      </c>
      <c r="M7" s="157"/>
    </row>
    <row r="8" spans="2:13" ht="17.25" thickBot="1">
      <c r="B8" s="3">
        <v>7</v>
      </c>
      <c r="C8" t="s">
        <v>416</v>
      </c>
      <c r="D8" s="4"/>
      <c r="E8" s="169">
        <v>4</v>
      </c>
      <c r="F8" s="101">
        <f t="shared" si="0"/>
        <v>80</v>
      </c>
      <c r="G8">
        <f>VLOOKUP($C8,[1]약재관리!$A:$J,10,FALSE)</f>
        <v>9</v>
      </c>
      <c r="H8" s="5">
        <f t="shared" si="1"/>
        <v>36</v>
      </c>
      <c r="I8" s="6">
        <f t="shared" si="2"/>
        <v>720</v>
      </c>
      <c r="K8" s="150" t="s">
        <v>15</v>
      </c>
      <c r="L8" s="151"/>
      <c r="M8" s="152"/>
    </row>
    <row r="9" spans="2:13">
      <c r="B9" s="3">
        <v>8</v>
      </c>
      <c r="C9" t="s">
        <v>424</v>
      </c>
      <c r="D9" s="4"/>
      <c r="E9" s="169">
        <v>4</v>
      </c>
      <c r="F9" s="101">
        <f t="shared" si="0"/>
        <v>80</v>
      </c>
      <c r="G9">
        <f>VLOOKUP($C9,[1]약재관리!$A:$J,10,FALSE)</f>
        <v>8</v>
      </c>
      <c r="H9" s="5">
        <f t="shared" si="1"/>
        <v>32</v>
      </c>
      <c r="I9" s="6">
        <f t="shared" si="2"/>
        <v>640</v>
      </c>
      <c r="K9" s="158" t="s">
        <v>448</v>
      </c>
      <c r="L9" s="159"/>
      <c r="M9" s="160"/>
    </row>
    <row r="10" spans="2:13">
      <c r="B10" s="3">
        <v>9</v>
      </c>
      <c r="C10" t="s">
        <v>425</v>
      </c>
      <c r="D10" s="4"/>
      <c r="E10" s="169">
        <v>4</v>
      </c>
      <c r="F10" s="101">
        <f t="shared" si="0"/>
        <v>80</v>
      </c>
      <c r="G10">
        <f>VLOOKUP($C10,[1]약재관리!$A:$J,10,FALSE)</f>
        <v>7.5</v>
      </c>
      <c r="H10" s="5">
        <f t="shared" si="1"/>
        <v>30</v>
      </c>
      <c r="I10" s="6">
        <f t="shared" si="2"/>
        <v>600</v>
      </c>
      <c r="K10" s="161"/>
      <c r="L10" s="162"/>
      <c r="M10" s="163"/>
    </row>
    <row r="11" spans="2:13">
      <c r="B11" s="3">
        <v>10</v>
      </c>
      <c r="C11" t="s">
        <v>431</v>
      </c>
      <c r="D11" s="4"/>
      <c r="E11" s="169">
        <v>4</v>
      </c>
      <c r="F11" s="101">
        <f t="shared" si="0"/>
        <v>80</v>
      </c>
      <c r="G11">
        <f>VLOOKUP($C11,[1]약재관리!$A:$J,10,FALSE)</f>
        <v>28.3</v>
      </c>
      <c r="H11" s="5">
        <f t="shared" si="1"/>
        <v>113.2</v>
      </c>
      <c r="I11" s="6">
        <f t="shared" si="2"/>
        <v>2264</v>
      </c>
      <c r="K11" s="161"/>
      <c r="L11" s="162"/>
      <c r="M11" s="163"/>
    </row>
    <row r="12" spans="2:13">
      <c r="B12" s="3">
        <v>11</v>
      </c>
      <c r="C12" t="s">
        <v>442</v>
      </c>
      <c r="D12" s="4"/>
      <c r="E12" s="169">
        <v>4</v>
      </c>
      <c r="F12" s="101">
        <f t="shared" si="0"/>
        <v>80</v>
      </c>
      <c r="G12">
        <f>VLOOKUP($C12,[1]약재관리!$A:$J,10,FALSE)</f>
        <v>9</v>
      </c>
      <c r="H12" s="5">
        <f t="shared" si="1"/>
        <v>36</v>
      </c>
      <c r="I12" s="6">
        <f t="shared" si="2"/>
        <v>720</v>
      </c>
      <c r="K12" s="161"/>
      <c r="L12" s="162"/>
      <c r="M12" s="163"/>
    </row>
    <row r="13" spans="2:13" ht="17.25" thickBot="1">
      <c r="B13" s="3">
        <v>12</v>
      </c>
      <c r="C13" t="s">
        <v>423</v>
      </c>
      <c r="D13" s="4"/>
      <c r="E13" s="169">
        <v>4</v>
      </c>
      <c r="F13" s="101">
        <f t="shared" si="0"/>
        <v>80</v>
      </c>
      <c r="G13">
        <f>VLOOKUP($C13,[1]약재관리!$A:$J,10,FALSE)</f>
        <v>21.8</v>
      </c>
      <c r="H13" s="5">
        <f t="shared" si="1"/>
        <v>87.2</v>
      </c>
      <c r="I13" s="6">
        <f t="shared" si="2"/>
        <v>1744</v>
      </c>
      <c r="K13" s="164"/>
      <c r="L13" s="165"/>
      <c r="M13" s="166"/>
    </row>
    <row r="14" spans="2:13">
      <c r="B14" s="3">
        <v>13</v>
      </c>
      <c r="C14" t="s">
        <v>428</v>
      </c>
      <c r="D14" s="4"/>
      <c r="E14" s="169">
        <v>6</v>
      </c>
      <c r="F14" s="101">
        <f t="shared" si="0"/>
        <v>120</v>
      </c>
      <c r="G14">
        <f>VLOOKUP($C14,[1]약재관리!$A:$J,10,FALSE)</f>
        <v>27.2</v>
      </c>
      <c r="H14" s="5">
        <f t="shared" si="1"/>
        <v>163.19999999999999</v>
      </c>
      <c r="I14" s="6">
        <f t="shared" si="2"/>
        <v>3264</v>
      </c>
      <c r="K14" s="92" t="s">
        <v>16</v>
      </c>
      <c r="L14" s="9">
        <v>20</v>
      </c>
      <c r="M14" s="10" t="s">
        <v>17</v>
      </c>
    </row>
    <row r="15" spans="2:13">
      <c r="B15" s="3">
        <v>14</v>
      </c>
      <c r="C15" t="s">
        <v>418</v>
      </c>
      <c r="D15" s="4"/>
      <c r="E15" s="169">
        <v>6</v>
      </c>
      <c r="F15" s="101">
        <f t="shared" si="0"/>
        <v>120</v>
      </c>
      <c r="G15">
        <f>VLOOKUP($C15,[1]약재관리!$A:$J,10,FALSE)</f>
        <v>19.600000000000001</v>
      </c>
      <c r="H15" s="5">
        <f t="shared" si="1"/>
        <v>117.60000000000001</v>
      </c>
      <c r="I15" s="6">
        <f t="shared" si="2"/>
        <v>2352</v>
      </c>
      <c r="K15" s="91" t="s">
        <v>18</v>
      </c>
      <c r="L15">
        <v>20</v>
      </c>
      <c r="M15" s="4" t="s">
        <v>19</v>
      </c>
    </row>
    <row r="16" spans="2:13">
      <c r="B16" s="3">
        <v>15</v>
      </c>
      <c r="C16" t="s">
        <v>413</v>
      </c>
      <c r="D16" s="4"/>
      <c r="E16" s="169">
        <v>6</v>
      </c>
      <c r="F16" s="101">
        <f t="shared" si="0"/>
        <v>120</v>
      </c>
      <c r="G16">
        <f>VLOOKUP($C16,[1]약재관리!$A:$J,10,FALSE)</f>
        <v>20</v>
      </c>
      <c r="H16" s="5">
        <f t="shared" si="1"/>
        <v>120</v>
      </c>
      <c r="I16" s="6">
        <f t="shared" si="2"/>
        <v>2400</v>
      </c>
      <c r="K16" s="91" t="s">
        <v>20</v>
      </c>
      <c r="L16">
        <v>45</v>
      </c>
      <c r="M16" s="4" t="s">
        <v>21</v>
      </c>
    </row>
    <row r="17" spans="2:13" ht="17.25" thickBot="1">
      <c r="B17" s="3">
        <v>16</v>
      </c>
      <c r="C17" t="s">
        <v>439</v>
      </c>
      <c r="D17" s="4"/>
      <c r="E17" s="169">
        <v>4</v>
      </c>
      <c r="F17" s="101">
        <f t="shared" si="0"/>
        <v>80</v>
      </c>
      <c r="G17">
        <f>VLOOKUP($C17,[1]약재관리!$A:$J,10,FALSE)</f>
        <v>108.3</v>
      </c>
      <c r="H17" s="5">
        <f t="shared" si="1"/>
        <v>433.2</v>
      </c>
      <c r="I17" s="6">
        <f t="shared" si="2"/>
        <v>8664</v>
      </c>
      <c r="K17" s="14" t="s">
        <v>22</v>
      </c>
      <c r="L17" s="11">
        <v>110</v>
      </c>
      <c r="M17" s="12" t="s">
        <v>23</v>
      </c>
    </row>
    <row r="18" spans="2:13">
      <c r="B18" s="3">
        <v>17</v>
      </c>
      <c r="C18" t="s">
        <v>443</v>
      </c>
      <c r="D18" s="4"/>
      <c r="E18" s="169">
        <v>4</v>
      </c>
      <c r="F18" s="101">
        <f t="shared" si="0"/>
        <v>80</v>
      </c>
      <c r="G18">
        <f>VLOOKUP($C18,[1]약재관리!$A:$J,10,FALSE)</f>
        <v>95.8</v>
      </c>
      <c r="H18" s="5">
        <f t="shared" si="1"/>
        <v>383.2</v>
      </c>
      <c r="I18" s="6">
        <f t="shared" si="2"/>
        <v>7664</v>
      </c>
      <c r="K18" s="92" t="s">
        <v>24</v>
      </c>
      <c r="L18" s="9">
        <f>SUM(E2:E31)</f>
        <v>94</v>
      </c>
      <c r="M18" s="10" t="s">
        <v>25</v>
      </c>
    </row>
    <row r="19" spans="2:13">
      <c r="B19" s="3">
        <v>18</v>
      </c>
      <c r="C19" t="s">
        <v>444</v>
      </c>
      <c r="D19" s="4"/>
      <c r="E19" s="169">
        <v>2</v>
      </c>
      <c r="F19" s="101">
        <f t="shared" si="0"/>
        <v>40</v>
      </c>
      <c r="G19">
        <f>VLOOKUP($C19,[1]약재관리!$A:$J,10,FALSE)</f>
        <v>68</v>
      </c>
      <c r="H19" s="5">
        <f t="shared" si="1"/>
        <v>136</v>
      </c>
      <c r="I19" s="6">
        <f t="shared" si="2"/>
        <v>2720</v>
      </c>
      <c r="K19" s="91" t="s">
        <v>26</v>
      </c>
      <c r="L19">
        <f>L15*L18</f>
        <v>1880</v>
      </c>
      <c r="M19" s="4" t="s">
        <v>25</v>
      </c>
    </row>
    <row r="20" spans="2:13" ht="17.25" thickBot="1">
      <c r="B20" s="3">
        <v>19</v>
      </c>
      <c r="C20" t="s">
        <v>429</v>
      </c>
      <c r="D20" s="4"/>
      <c r="E20" s="169">
        <v>2</v>
      </c>
      <c r="F20" s="101">
        <f t="shared" si="0"/>
        <v>40</v>
      </c>
      <c r="G20">
        <f>VLOOKUP($C20,[1]약재관리!$A:$J,10,FALSE)</f>
        <v>10.8</v>
      </c>
      <c r="H20" s="5">
        <f t="shared" si="1"/>
        <v>21.6</v>
      </c>
      <c r="I20" s="6">
        <f t="shared" si="2"/>
        <v>432</v>
      </c>
      <c r="K20" s="14" t="s">
        <v>27</v>
      </c>
      <c r="L20" s="11">
        <f>L16*L17+L19</f>
        <v>6830</v>
      </c>
      <c r="M20" s="12" t="s">
        <v>23</v>
      </c>
    </row>
    <row r="21" spans="2:13" ht="17.25" thickBot="1">
      <c r="B21" s="3">
        <v>20</v>
      </c>
      <c r="C21" t="s">
        <v>419</v>
      </c>
      <c r="D21" s="4"/>
      <c r="E21" s="169">
        <v>4</v>
      </c>
      <c r="F21" s="101">
        <f t="shared" si="0"/>
        <v>80</v>
      </c>
      <c r="G21">
        <f>VLOOKUP($C21,[1]약재관리!$A:$J,10,FALSE)</f>
        <v>17.7</v>
      </c>
      <c r="H21" s="5">
        <f t="shared" si="1"/>
        <v>70.8</v>
      </c>
      <c r="I21" s="6">
        <f t="shared" si="2"/>
        <v>1416</v>
      </c>
      <c r="J21" s="91"/>
      <c r="M21" s="94"/>
    </row>
    <row r="22" spans="2:13" ht="17.25" thickBot="1">
      <c r="B22" s="3">
        <v>21</v>
      </c>
      <c r="C22" t="s">
        <v>445</v>
      </c>
      <c r="D22" s="4"/>
      <c r="E22">
        <v>4</v>
      </c>
      <c r="F22" s="101">
        <f t="shared" si="0"/>
        <v>80</v>
      </c>
      <c r="G22">
        <f>VLOOKUP($C22,[1]약재관리!$A:$J,10,FALSE)</f>
        <v>21.4</v>
      </c>
      <c r="H22" s="5">
        <f t="shared" si="1"/>
        <v>85.6</v>
      </c>
      <c r="I22" s="6">
        <f t="shared" si="2"/>
        <v>1712</v>
      </c>
      <c r="K22" s="150" t="s">
        <v>386</v>
      </c>
      <c r="L22" s="151"/>
      <c r="M22" s="152"/>
    </row>
    <row r="23" spans="2:13">
      <c r="B23" s="3">
        <v>22</v>
      </c>
      <c r="C23" t="s">
        <v>446</v>
      </c>
      <c r="D23" s="4"/>
      <c r="E23">
        <v>2</v>
      </c>
      <c r="F23" s="101">
        <f t="shared" si="0"/>
        <v>40</v>
      </c>
      <c r="G23">
        <f>VLOOKUP($C23,[1]약재관리!$A:$J,10,FALSE)</f>
        <v>44.2</v>
      </c>
      <c r="H23" s="5">
        <f t="shared" si="1"/>
        <v>88.4</v>
      </c>
      <c r="I23" s="6">
        <f t="shared" si="2"/>
        <v>1768</v>
      </c>
      <c r="K23" s="91" t="s">
        <v>380</v>
      </c>
      <c r="L23">
        <f>SUM(F2:F31)</f>
        <v>1880</v>
      </c>
      <c r="M23" s="4" t="s">
        <v>25</v>
      </c>
    </row>
    <row r="24" spans="2:13">
      <c r="B24" s="3">
        <v>23</v>
      </c>
      <c r="C24" t="s">
        <v>426</v>
      </c>
      <c r="D24" s="4"/>
      <c r="E24" s="170">
        <v>2</v>
      </c>
      <c r="F24" s="101">
        <f t="shared" si="0"/>
        <v>40</v>
      </c>
      <c r="G24">
        <f>VLOOKUP($C24,[1]약재관리!$A:$J,10,FALSE)</f>
        <v>463.3</v>
      </c>
      <c r="H24" s="5">
        <f t="shared" si="1"/>
        <v>926.6</v>
      </c>
      <c r="I24" s="6">
        <f t="shared" si="2"/>
        <v>18532</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3515.6</v>
      </c>
      <c r="M30" s="4" t="s">
        <v>384</v>
      </c>
    </row>
    <row r="31" spans="2:13" ht="17.25" thickBot="1">
      <c r="B31" s="13">
        <v>30</v>
      </c>
      <c r="C31" s="14"/>
      <c r="D31" s="12"/>
      <c r="E31" s="95"/>
      <c r="F31" s="102">
        <f t="shared" si="0"/>
        <v>0</v>
      </c>
      <c r="G31" s="11"/>
      <c r="H31" s="15">
        <f t="shared" si="1"/>
        <v>0</v>
      </c>
      <c r="I31" s="16">
        <f t="shared" si="2"/>
        <v>0</v>
      </c>
      <c r="K31" s="14" t="s">
        <v>383</v>
      </c>
      <c r="L31" s="15">
        <f>SUM(I2:I31)</f>
        <v>63817.8</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8</v>
      </c>
      <c r="F2" s="101">
        <f>E2*$L$15</f>
        <v>160</v>
      </c>
      <c r="G2">
        <f>VLOOKUP($C2,약재관리!A:J,10,FALSE)</f>
        <v>20</v>
      </c>
      <c r="H2" s="5">
        <f>G2*E2</f>
        <v>160</v>
      </c>
      <c r="I2" s="90">
        <f>G2*F2</f>
        <v>3200</v>
      </c>
      <c r="K2" s="7" t="s">
        <v>9</v>
      </c>
      <c r="L2" s="153">
        <v>106</v>
      </c>
      <c r="M2" s="154"/>
    </row>
    <row r="3" spans="2:13">
      <c r="B3" s="3">
        <v>2</v>
      </c>
      <c r="C3" t="s">
        <v>414</v>
      </c>
      <c r="D3" s="4"/>
      <c r="E3" s="88">
        <v>8</v>
      </c>
      <c r="F3" s="101">
        <f t="shared" ref="F3:F31" si="0">E3*$L$15</f>
        <v>160</v>
      </c>
      <c r="G3">
        <f>VLOOKUP($C3,약재관리!A:J,10,FALSE)</f>
        <v>18.3</v>
      </c>
      <c r="H3" s="5">
        <f t="shared" ref="H3:H31" si="1">G3*E3</f>
        <v>146.4</v>
      </c>
      <c r="I3" s="6">
        <f t="shared" ref="I3:I31" si="2">G3*F3</f>
        <v>2928</v>
      </c>
      <c r="K3" s="8" t="s">
        <v>10</v>
      </c>
      <c r="L3" s="148" t="s">
        <v>433</v>
      </c>
      <c r="M3" s="149"/>
    </row>
    <row r="4" spans="2:13">
      <c r="B4" s="3">
        <v>3</v>
      </c>
      <c r="C4" t="s">
        <v>415</v>
      </c>
      <c r="D4" s="4"/>
      <c r="E4" s="88">
        <v>6</v>
      </c>
      <c r="F4" s="101">
        <f t="shared" si="0"/>
        <v>120</v>
      </c>
      <c r="G4">
        <f>VLOOKUP($C4,약재관리!A:J,10,FALSE)</f>
        <v>27.7</v>
      </c>
      <c r="H4" s="5">
        <f t="shared" si="1"/>
        <v>166.2</v>
      </c>
      <c r="I4" s="6">
        <f t="shared" si="2"/>
        <v>3324</v>
      </c>
      <c r="K4" s="8" t="s">
        <v>11</v>
      </c>
      <c r="L4" s="155">
        <v>45786</v>
      </c>
      <c r="M4" s="149"/>
    </row>
    <row r="5" spans="2:13">
      <c r="B5" s="3">
        <v>4</v>
      </c>
      <c r="C5" t="s">
        <v>416</v>
      </c>
      <c r="D5" s="4"/>
      <c r="E5" s="88">
        <v>6</v>
      </c>
      <c r="F5" s="101">
        <f t="shared" si="0"/>
        <v>120</v>
      </c>
      <c r="G5">
        <f>VLOOKUP($C5,약재관리!A:J,10,FALSE)</f>
        <v>11</v>
      </c>
      <c r="H5" s="5">
        <f t="shared" si="1"/>
        <v>66</v>
      </c>
      <c r="I5" s="6">
        <f t="shared" si="2"/>
        <v>1320</v>
      </c>
      <c r="K5" s="8" t="s">
        <v>12</v>
      </c>
      <c r="L5" s="148" t="s">
        <v>434</v>
      </c>
      <c r="M5" s="149"/>
    </row>
    <row r="6" spans="2:13">
      <c r="B6" s="3">
        <v>5</v>
      </c>
      <c r="C6" t="s">
        <v>417</v>
      </c>
      <c r="D6" s="4"/>
      <c r="E6" s="88">
        <v>6</v>
      </c>
      <c r="F6" s="101">
        <f t="shared" si="0"/>
        <v>120</v>
      </c>
      <c r="G6">
        <f>VLOOKUP($C6,약재관리!A:J,10,FALSE)</f>
        <v>28</v>
      </c>
      <c r="H6" s="5">
        <f t="shared" si="1"/>
        <v>168</v>
      </c>
      <c r="I6" s="6">
        <f t="shared" si="2"/>
        <v>3360</v>
      </c>
      <c r="K6" s="8" t="s">
        <v>13</v>
      </c>
      <c r="L6" s="148">
        <v>82</v>
      </c>
      <c r="M6" s="149"/>
    </row>
    <row r="7" spans="2:13" ht="17.25" thickBot="1">
      <c r="B7" s="3">
        <v>6</v>
      </c>
      <c r="C7" t="s">
        <v>427</v>
      </c>
      <c r="D7" s="4"/>
      <c r="E7" s="88">
        <v>6</v>
      </c>
      <c r="F7" s="101">
        <f t="shared" si="0"/>
        <v>120</v>
      </c>
      <c r="G7">
        <f>VLOOKUP($C7,약재관리!A:J,10,FALSE)</f>
        <v>23.7</v>
      </c>
      <c r="H7" s="5">
        <f t="shared" si="1"/>
        <v>142.19999999999999</v>
      </c>
      <c r="I7" s="6">
        <f t="shared" si="2"/>
        <v>2844</v>
      </c>
      <c r="K7" s="8" t="s">
        <v>14</v>
      </c>
      <c r="L7" s="156" t="s">
        <v>435</v>
      </c>
      <c r="M7" s="157"/>
    </row>
    <row r="8" spans="2:13" ht="17.25" thickBot="1">
      <c r="B8" s="3">
        <v>7</v>
      </c>
      <c r="C8" t="s">
        <v>428</v>
      </c>
      <c r="D8" s="4"/>
      <c r="E8" s="88">
        <v>4</v>
      </c>
      <c r="F8" s="101">
        <f t="shared" si="0"/>
        <v>80</v>
      </c>
      <c r="G8">
        <f>VLOOKUP($C8,약재관리!A:J,10,FALSE)</f>
        <v>27.2</v>
      </c>
      <c r="H8" s="5">
        <f t="shared" si="1"/>
        <v>108.8</v>
      </c>
      <c r="I8" s="6">
        <f t="shared" si="2"/>
        <v>2176</v>
      </c>
      <c r="K8" s="150" t="s">
        <v>15</v>
      </c>
      <c r="L8" s="151"/>
      <c r="M8" s="152"/>
    </row>
    <row r="9" spans="2:13">
      <c r="B9" s="3">
        <v>8</v>
      </c>
      <c r="C9" t="s">
        <v>429</v>
      </c>
      <c r="D9" s="4"/>
      <c r="E9" s="88">
        <v>4</v>
      </c>
      <c r="F9" s="101">
        <f t="shared" si="0"/>
        <v>80</v>
      </c>
      <c r="G9">
        <f>VLOOKUP($C9,약재관리!A:J,10,FALSE)</f>
        <v>10.8</v>
      </c>
      <c r="H9" s="5">
        <f t="shared" si="1"/>
        <v>43.2</v>
      </c>
      <c r="I9" s="6">
        <f t="shared" si="2"/>
        <v>864</v>
      </c>
      <c r="K9" s="158" t="s">
        <v>432</v>
      </c>
      <c r="L9" s="159"/>
      <c r="M9" s="160"/>
    </row>
    <row r="10" spans="2:13">
      <c r="B10" s="3">
        <v>9</v>
      </c>
      <c r="C10" t="s">
        <v>418</v>
      </c>
      <c r="D10" s="4"/>
      <c r="E10" s="88">
        <v>4</v>
      </c>
      <c r="F10" s="101">
        <f t="shared" si="0"/>
        <v>80</v>
      </c>
      <c r="G10">
        <f>VLOOKUP($C10,약재관리!A:J,10,FALSE)</f>
        <v>19.600000000000001</v>
      </c>
      <c r="H10" s="5">
        <f t="shared" si="1"/>
        <v>78.400000000000006</v>
      </c>
      <c r="I10" s="6">
        <f t="shared" si="2"/>
        <v>1568</v>
      </c>
      <c r="K10" s="161"/>
      <c r="L10" s="162"/>
      <c r="M10" s="163"/>
    </row>
    <row r="11" spans="2:13">
      <c r="B11" s="3">
        <v>10</v>
      </c>
      <c r="C11" t="s">
        <v>419</v>
      </c>
      <c r="D11" s="4"/>
      <c r="E11" s="88">
        <v>4</v>
      </c>
      <c r="F11" s="101">
        <f t="shared" si="0"/>
        <v>80</v>
      </c>
      <c r="G11">
        <f>VLOOKUP($C11,약재관리!A:J,10,FALSE)</f>
        <v>17.7</v>
      </c>
      <c r="H11" s="5">
        <f t="shared" si="1"/>
        <v>70.8</v>
      </c>
      <c r="I11" s="6">
        <f t="shared" si="2"/>
        <v>1416</v>
      </c>
      <c r="K11" s="161"/>
      <c r="L11" s="162"/>
      <c r="M11" s="163"/>
    </row>
    <row r="12" spans="2:13">
      <c r="B12" s="3">
        <v>11</v>
      </c>
      <c r="C12" t="s">
        <v>422</v>
      </c>
      <c r="D12" s="4"/>
      <c r="E12" s="88">
        <v>4</v>
      </c>
      <c r="F12" s="101">
        <f t="shared" si="0"/>
        <v>80</v>
      </c>
      <c r="G12">
        <f>VLOOKUP($C12,약재관리!A:J,10,FALSE)</f>
        <v>9.1999999999999993</v>
      </c>
      <c r="H12" s="5">
        <f t="shared" si="1"/>
        <v>36.799999999999997</v>
      </c>
      <c r="I12" s="6">
        <f t="shared" si="2"/>
        <v>736</v>
      </c>
      <c r="K12" s="161"/>
      <c r="L12" s="162"/>
      <c r="M12" s="163"/>
    </row>
    <row r="13" spans="2:13" ht="17.25" thickBot="1">
      <c r="B13" s="3">
        <v>12</v>
      </c>
      <c r="C13" t="s">
        <v>420</v>
      </c>
      <c r="D13" s="4"/>
      <c r="E13" s="88">
        <v>4</v>
      </c>
      <c r="F13" s="101">
        <f t="shared" si="0"/>
        <v>80</v>
      </c>
      <c r="G13">
        <f>VLOOKUP($C13,약재관리!A:J,10,FALSE)</f>
        <v>9.1999999999999993</v>
      </c>
      <c r="H13" s="5">
        <f t="shared" si="1"/>
        <v>36.799999999999997</v>
      </c>
      <c r="I13" s="6">
        <f t="shared" si="2"/>
        <v>736</v>
      </c>
      <c r="K13" s="164"/>
      <c r="L13" s="165"/>
      <c r="M13" s="166"/>
    </row>
    <row r="14" spans="2:13">
      <c r="B14" s="3">
        <v>13</v>
      </c>
      <c r="C14" t="s">
        <v>421</v>
      </c>
      <c r="D14" s="4"/>
      <c r="E14" s="88">
        <v>4</v>
      </c>
      <c r="F14" s="101">
        <f t="shared" si="0"/>
        <v>80</v>
      </c>
      <c r="G14">
        <f>VLOOKUP($C14,약재관리!A:J,10,FALSE)</f>
        <v>21.7</v>
      </c>
      <c r="H14" s="5">
        <f t="shared" si="1"/>
        <v>86.8</v>
      </c>
      <c r="I14" s="6">
        <f t="shared" si="2"/>
        <v>1736</v>
      </c>
      <c r="K14" s="92" t="s">
        <v>16</v>
      </c>
      <c r="L14" s="9">
        <v>20</v>
      </c>
      <c r="M14" s="10" t="s">
        <v>17</v>
      </c>
    </row>
    <row r="15" spans="2:13">
      <c r="B15" s="3">
        <v>14</v>
      </c>
      <c r="C15" t="s">
        <v>423</v>
      </c>
      <c r="D15" s="4"/>
      <c r="E15" s="88">
        <v>4</v>
      </c>
      <c r="F15" s="101">
        <f t="shared" si="0"/>
        <v>80</v>
      </c>
      <c r="G15">
        <f>VLOOKUP($C15,약재관리!A:J,10,FALSE)</f>
        <v>21.8</v>
      </c>
      <c r="H15" s="5">
        <f t="shared" si="1"/>
        <v>87.2</v>
      </c>
      <c r="I15" s="6">
        <f t="shared" si="2"/>
        <v>1744</v>
      </c>
      <c r="K15" s="91" t="s">
        <v>18</v>
      </c>
      <c r="L15">
        <v>20</v>
      </c>
      <c r="M15" s="4" t="s">
        <v>19</v>
      </c>
    </row>
    <row r="16" spans="2:13">
      <c r="B16" s="3">
        <v>15</v>
      </c>
      <c r="C16" t="s">
        <v>431</v>
      </c>
      <c r="D16" s="4"/>
      <c r="E16" s="88">
        <v>2</v>
      </c>
      <c r="F16" s="101">
        <f t="shared" si="0"/>
        <v>40</v>
      </c>
      <c r="G16">
        <f>VLOOKUP($C16,약재관리!A:J,10,FALSE)</f>
        <v>28.3</v>
      </c>
      <c r="H16" s="5">
        <f t="shared" si="1"/>
        <v>56.6</v>
      </c>
      <c r="I16" s="6">
        <f t="shared" si="2"/>
        <v>1132</v>
      </c>
      <c r="K16" s="91" t="s">
        <v>20</v>
      </c>
      <c r="L16">
        <v>45</v>
      </c>
      <c r="M16" s="4" t="s">
        <v>21</v>
      </c>
    </row>
    <row r="17" spans="2:13" ht="17.25" thickBot="1">
      <c r="B17" s="3">
        <v>16</v>
      </c>
      <c r="C17" t="s">
        <v>424</v>
      </c>
      <c r="D17" s="4"/>
      <c r="E17" s="88">
        <v>4</v>
      </c>
      <c r="F17" s="101">
        <f t="shared" si="0"/>
        <v>80</v>
      </c>
      <c r="G17">
        <f>VLOOKUP($C17,약재관리!A:J,10,FALSE)</f>
        <v>8</v>
      </c>
      <c r="H17" s="5">
        <f t="shared" si="1"/>
        <v>32</v>
      </c>
      <c r="I17" s="6">
        <f t="shared" si="2"/>
        <v>640</v>
      </c>
      <c r="K17" s="14" t="s">
        <v>22</v>
      </c>
      <c r="L17" s="11">
        <v>110</v>
      </c>
      <c r="M17" s="12" t="s">
        <v>23</v>
      </c>
    </row>
    <row r="18" spans="2:13">
      <c r="B18" s="3">
        <v>17</v>
      </c>
      <c r="C18" t="s">
        <v>425</v>
      </c>
      <c r="D18" s="4"/>
      <c r="E18" s="88">
        <v>4</v>
      </c>
      <c r="F18" s="101">
        <f t="shared" si="0"/>
        <v>80</v>
      </c>
      <c r="G18">
        <f>VLOOKUP($C18,약재관리!A:J,10,FALSE)</f>
        <v>7.5</v>
      </c>
      <c r="H18" s="5">
        <f t="shared" si="1"/>
        <v>30</v>
      </c>
      <c r="I18" s="6">
        <f t="shared" si="2"/>
        <v>600</v>
      </c>
      <c r="K18" s="92" t="s">
        <v>24</v>
      </c>
      <c r="L18" s="9">
        <f>SUM(E2:E31)</f>
        <v>88</v>
      </c>
      <c r="M18" s="10" t="s">
        <v>25</v>
      </c>
    </row>
    <row r="19" spans="2:13">
      <c r="B19" s="3">
        <v>18</v>
      </c>
      <c r="C19" t="s">
        <v>430</v>
      </c>
      <c r="D19" s="4"/>
      <c r="E19" s="88">
        <v>4</v>
      </c>
      <c r="F19" s="101">
        <f t="shared" si="0"/>
        <v>80</v>
      </c>
      <c r="G19">
        <f>VLOOKUP($C19,약재관리!A:J,10,FALSE)</f>
        <v>17.600000000000001</v>
      </c>
      <c r="H19" s="5">
        <f t="shared" si="1"/>
        <v>70.400000000000006</v>
      </c>
      <c r="I19" s="6">
        <f t="shared" si="2"/>
        <v>1408</v>
      </c>
      <c r="K19" s="91" t="s">
        <v>26</v>
      </c>
      <c r="L19">
        <f>L15*L18</f>
        <v>1760</v>
      </c>
      <c r="M19" s="4" t="s">
        <v>25</v>
      </c>
    </row>
    <row r="20" spans="2:13" ht="17.25" thickBot="1">
      <c r="B20" s="3">
        <v>19</v>
      </c>
      <c r="C20" t="s">
        <v>426</v>
      </c>
      <c r="D20" s="4"/>
      <c r="E20" s="88">
        <v>2</v>
      </c>
      <c r="F20" s="101">
        <f t="shared" si="0"/>
        <v>40</v>
      </c>
      <c r="G20">
        <f>VLOOKUP($C20,약재관리!A:J,10,FALSE)</f>
        <v>463.3</v>
      </c>
      <c r="H20" s="5">
        <f t="shared" si="1"/>
        <v>926.6</v>
      </c>
      <c r="I20" s="6">
        <f t="shared" si="2"/>
        <v>18532</v>
      </c>
      <c r="K20" s="14" t="s">
        <v>27</v>
      </c>
      <c r="L20" s="11">
        <f>L16*L17+L19</f>
        <v>6710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1760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2513.1999999999998</v>
      </c>
      <c r="M30" s="4" t="s">
        <v>384</v>
      </c>
    </row>
    <row r="31" spans="2:13" ht="17.25" thickBot="1">
      <c r="B31" s="13">
        <v>30</v>
      </c>
      <c r="C31" s="14"/>
      <c r="D31" s="12"/>
      <c r="E31" s="95"/>
      <c r="F31" s="102">
        <f t="shared" si="0"/>
        <v>0</v>
      </c>
      <c r="G31" s="11"/>
      <c r="H31" s="15">
        <f t="shared" si="1"/>
        <v>0</v>
      </c>
      <c r="I31" s="16">
        <f t="shared" si="2"/>
        <v>0</v>
      </c>
      <c r="K31" s="14" t="s">
        <v>383</v>
      </c>
      <c r="L31" s="15">
        <f>SUM(I2:I31)</f>
        <v>50264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83" zoomScaleNormal="100" workbookViewId="0">
      <selection activeCell="E93" sqref="E9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12500</v>
      </c>
      <c r="D92" s="36">
        <v>24000</v>
      </c>
      <c r="E92" s="37">
        <v>15600</v>
      </c>
      <c r="F92" s="115">
        <f t="shared" si="9"/>
        <v>0</v>
      </c>
      <c r="G92" s="44">
        <f t="shared" si="9"/>
        <v>25</v>
      </c>
      <c r="H92" s="38">
        <f t="shared" si="8"/>
        <v>40</v>
      </c>
      <c r="I92" s="39">
        <f t="shared" si="8"/>
        <v>26</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2025-10-15T10:59:24Z</dcterms:modified>
</cp:coreProperties>
</file>