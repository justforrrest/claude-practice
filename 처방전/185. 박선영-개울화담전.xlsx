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808" documentId="8_{6EB8DC0A-AB56-415F-A9F3-EA1534264548}" xr6:coauthVersionLast="47" xr6:coauthVersionMax="47" xr10:uidLastSave="{40FD9BFE-C843-412B-ACCF-894F74D1C412}"/>
  <bookViews>
    <workbookView xWindow="3690" yWindow="0"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7" l="1"/>
  <c r="G14" i="7"/>
  <c r="G15" i="7"/>
  <c r="G16" i="7"/>
  <c r="G17" i="7"/>
  <c r="G18" i="7"/>
  <c r="G10" i="7"/>
  <c r="G11" i="7"/>
  <c r="G12" i="7"/>
  <c r="G9" i="7"/>
  <c r="G8" i="7"/>
  <c r="G7" i="7"/>
  <c r="G3" i="7"/>
  <c r="G4" i="7"/>
  <c r="G5" i="7"/>
  <c r="G6" i="7"/>
  <c r="F3" i="7" l="1"/>
  <c r="J3" i="7" s="1"/>
  <c r="F4" i="7"/>
  <c r="F2" i="7"/>
  <c r="J2" i="7" s="1"/>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<sst xmlns="http://schemas.openxmlformats.org/spreadsheetml/2006/main" count="604" uniqueCount="439">
  <si>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</si>
  <si>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</si>
  <si>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</si>
  <si>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</si>
  <si>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</si>
  <si>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</si>
  <si>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</si>
  <si>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</si>
  <si>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</si>
  <si>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</si>
  <si>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</si>
  <si>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</si>
  <si>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</si>
  <si>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</si>
  <si>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</si>
  <si>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</si>
  <si>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</si>
  <si>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</si>
  <si>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</si>
  <si>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</si>
  <si>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</si>
  <si>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</si>
  <si>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</si>
  <si>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</si>
  <si>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</si>
  <si>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</si>
  <si>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</si>
  <si>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</si>
  <si>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</si>
  <si>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</si>
  <si>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</si>
  <si>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</si>
  <si>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</si>
  <si>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</si>
  <si>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</si>
  <si>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</si>
  <si>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</si>
  <si>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</si>
  <si>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</si>
  <si>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</si>
  <si>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</si>
  <si>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</si>
  <si>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</si>
  <si>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</si>
  <si>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</si>
  <si>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</si>
  <si>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</si>
  <si>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</si>
  <si>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</si>
  <si>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</si>
  <si>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</si>
  <si>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</si>
  <si>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</si>
  <si>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</si>
  <si>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</si>
  <si>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</si>
  <si>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</si>
  <si>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</si>
  <si>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</si>
  <si>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</si>
  <si>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</si>
  <si>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</si>
  <si>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</si>
  <si>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</si>
  <si>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</si>
  <si>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</si>
  <si>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</si>
  <si>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</si>
  <si>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</si>
  <si>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</si>
  <si>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</si>
  <si>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</si>
  <si>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</si>
  <si>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</si>
  <si>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</si>
  <si>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</si>
  <si>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</si>
  <si>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</si>
  <si>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</si>
  <si>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</si>
  <si>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</si>
  <si>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</si>
  <si>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</si>
  <si>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</si>
  <si>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</si>
  <si>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</si>
  <si>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</si>
  <si>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</si>
  <si>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</si>
  <si>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</si>
  <si>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</si>
  <si>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</si>
  <si>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</si>
  <si>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</si>
  <si>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</si>
  <si>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</si>
  <si>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</si>
  <si>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</si>
  <si>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</si>
  <si>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</si>
  <si>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</si>
  <si>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</si>
  <si>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</si>
  <si>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</si>
  <si>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</si>
  <si>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</si>
  <si>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</si>
  <si>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</si>
  <si>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</si>
  <si>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</si>
  <si>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</si>
  <si>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</si>
  <si>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</si>
  <si>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</si>
  <si>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</si>
  <si>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</si>
  <si>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</si>
  <si>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</si>
  <si>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</si>
  <si>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</si>
  <si>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</si>
  <si>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</si>
  <si>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</si>
  <si>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</si>
  <si>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</si>
  <si>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</si>
  <si>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</si>
  <si>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</si>
  <si>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</si>
  <si>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</si>
  <si>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</si>
  <si>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</si>
  <si>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</si>
  <si>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</si>
  <si>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</si>
  <si>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</si>
  <si>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</si>
  <si>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</si>
  <si>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</si>
  <si>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</si>
  <si>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</si>
  <si>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</si>
  <si>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</si>
  <si>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</si>
  <si>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</si>
  <si>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</si>
  <si>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</si>
  <si>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</si>
  <si>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</si>
  <si>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</si>
  <si>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</si>
  <si>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</si>
  <si>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</si>
  <si>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</si>
  <si>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</si>
  <si>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</si>
  <si>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</si>
  <si>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</si>
  <si>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</si>
  <si>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</si>
  <si>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</si>
  <si>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</si>
  <si>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</si>
  <si>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</si>
  <si>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</si>
  <si>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</si>
  <si>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</si>
  <si>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</si>
  <si>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</si>
  <si>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</si>
  <si>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</si>
  <si>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</si>
  <si>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</si>
  <si>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</si>
  <si>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</si>
  <si>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</si>
  <si>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</si>
  <si>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</si>
  <si>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</si>
  <si>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</si>
  <si>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</si>
  <si>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</si>
  <si>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</si>
  <si>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</si>
  <si>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</si>
  <si>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</si>
  <si>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</si>
  <si>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</si>
  <si>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</si>
  <si>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</si>
  <si>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</si>
  <si>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</si>
  <si>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</si>
  <si>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</si>
  <si>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</si>
  <si>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</si>
  <si>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</si>
  <si>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</si>
  <si>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</si>
  <si>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</si>
  <si>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</si>
  <si>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</si>
  <si>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</si>
  <si>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</si>
  <si>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</si>
  <si>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</si>
  <si>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</si>
  <si>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</si>
  <si>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</si>
  <si>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</si>
  <si>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</si>
  <si>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</si>
  <si>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</si>
  <si>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</si>
  <si>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</si>
  <si>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</si>
  <si>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</si>
  <si>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</si>
  <si>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</si>
  <si>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</si>
  <si>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</si>
  <si>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</si>
  <si>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</si>
  <si>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</si>
  <si>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</si>
  <si>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</si>
  <si>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</si>
  <si>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</si>
  <si>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</si>
  <si>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</si>
  <si>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</si>
  <si>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</si>
  <si>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</si>
  <si>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</si>
  <si>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</si>
  <si>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</si>
  <si>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</si>
  <si>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</si>
  <si>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</si>
  <si>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</si>
  <si>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</si>
  <si>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</si>
  <si>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</si>
  <si>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</si>
  <si>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</si>
  <si>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</si>
  <si>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</si>
  <si>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</si>
  <si>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</si>
  <si>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</si>
  <si>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</si>
  <si>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</si>
  <si>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</si>
  <si>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</si>
  <si>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</si>
  <si>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</si>
  <si>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</si>
  <si>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</si>
  <si>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</si>
  <si>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</si>
  <si>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</si>
  <si>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</si>
  <si>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</si>
  <si>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</si>
  <si>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</si>
  <si>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</si>
  <si>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</si>
  <si>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</si>
  <si>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</si>
  <si>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</si>
  <si>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</si>
  <si>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</si>
  <si>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</si>
  <si>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</si>
  <si>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</si>
  <si>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</si>
  <si>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</si>
  <si>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</si>
  <si>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</si>
  <si>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</si>
  <si>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</si>
  <si>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</si>
  <si>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</si>
  <si>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</si>
  <si>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</si>
  <si>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</si>
  <si>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</si>
  <si>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</si>
  <si>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</si>
  <si>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</si>
  <si>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</si>
  <si>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</si>
  <si>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</si>
  <si>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</si>
  <si>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</si>
  <si>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</si>
  <si>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</si>
  <si>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</si>
  <si>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</si>
  <si>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</si>
  <si>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</si>
  <si>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</si>
  <si>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</si>
  <si>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</si>
  <si>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</si>
  <si>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</si>
  <si>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</si>
  <si>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</si>
  <si>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</si>
  <si>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</si>
  <si>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</si>
  <si>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</si>
  <si>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</si>
  <si>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</si>
  <si>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</si>
  <si>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</si>
  <si>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</si>
  <si>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</si>
  <si>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</si>
  <si>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</si>
  <si>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</si>
  <si>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</si>
  <si>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</si>
  <si>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</si>
  <si>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</si>
  <si>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</si>
  <si>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</si>
  <si>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</si>
  <si>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</si>
  <si>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</si>
  <si>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</si>
  <si>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</si>
  <si>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</si>
  <si>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</si>
  <si>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</si>
  <si>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</si>
  <si>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</si>
  <si>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</si>
  <si>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</si>
  <si>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</si>
  <si>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</si>
  <si>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</si>
  <si>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</si>
  <si>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</si>
  <si>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</si>
  <si>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</si>
  <si>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</si>
  <si>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</si>
  <si>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</si>
  <si>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</si>
  <si>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</si>
  <si>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</si>
  <si>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</si>
  <si>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</si>
  <si>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</si>
  <si>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</si>
  <si>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</si>
  <si>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</si>
  <si>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</si>
  <si>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</si>
  <si>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</si>
  <si>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</si>
  <si>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</si>
  <si>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</si>
  <si>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</si>
  <si>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</si>
  <si>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</si>
  <si>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</si>
  <si>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</si>
  <si>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</si>
  <si>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</si>
  <si>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</si>
  <si>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</si>
  <si>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</si>
  <si>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</si>
  <si>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</si>
  <si>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</si>
  <si>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</si>
  <si>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</si>
  <si>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</si>
  <si>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</si>
  <si>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</si>
  <si>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</si>
  <si>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</si>
  <si>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</si>
  <si>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</si>
  <si>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</si>
  <si>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</si>
  <si>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</si>
  <si>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</si>
  <si>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</si>
  <si>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</si>
  <si>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</si>
  <si>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</si>
  <si>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</si>
  <si>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</si>
  <si>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</si>
  <si>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</si>
  <si>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</si>
  <si>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</si>
  <si>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</si>
  <si>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</si>
  <si>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</si>
  <si>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</si>
  <si>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</si>
  <si>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</si>
  <si>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</si>
  <si>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</si>
  <si>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</si>
  <si>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</si>
  <si>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</si>
  <si>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</si>
  <si>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</si>
  <si>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</si>
  <si>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</si>
  <si>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</si>
  <si>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</si>
  <si>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1일당</t>
    <phoneticPr fontId="5" type="noConversion"/>
  </si>
  <si>
    <t>복령</t>
    <phoneticPr fontId="5" type="noConversion"/>
  </si>
  <si>
    <t>개울화담전</t>
    <phoneticPr fontId="5" type="noConversion"/>
  </si>
  <si>
    <t>박선영</t>
    <phoneticPr fontId="5" type="noConversion"/>
  </si>
  <si>
    <t>F</t>
    <phoneticPr fontId="5" type="noConversion"/>
  </si>
  <si>
    <t>향부자</t>
    <phoneticPr fontId="5" type="noConversion"/>
  </si>
  <si>
    <t>백출</t>
    <phoneticPr fontId="5" type="noConversion"/>
  </si>
  <si>
    <t>후박</t>
    <phoneticPr fontId="5" type="noConversion"/>
  </si>
  <si>
    <t>반하</t>
    <phoneticPr fontId="5" type="noConversion"/>
  </si>
  <si>
    <t>연교</t>
    <phoneticPr fontId="5" type="noConversion"/>
  </si>
  <si>
    <t>나복자</t>
    <phoneticPr fontId="5" type="noConversion"/>
  </si>
  <si>
    <t>지실</t>
    <phoneticPr fontId="5" type="noConversion"/>
  </si>
  <si>
    <t>신곡</t>
    <phoneticPr fontId="5" type="noConversion"/>
  </si>
  <si>
    <t>목향</t>
    <phoneticPr fontId="5" type="noConversion"/>
  </si>
  <si>
    <t>황금</t>
    <phoneticPr fontId="5" type="noConversion"/>
  </si>
  <si>
    <t>황련</t>
    <phoneticPr fontId="5" type="noConversion"/>
  </si>
  <si>
    <t>생강</t>
    <phoneticPr fontId="5" type="noConversion"/>
  </si>
  <si>
    <t>길경</t>
    <phoneticPr fontId="5" type="noConversion"/>
  </si>
  <si>
    <t>백작약</t>
    <phoneticPr fontId="5" type="noConversion"/>
  </si>
  <si>
    <t>현호색</t>
    <phoneticPr fontId="5" type="noConversion"/>
  </si>
  <si>
    <t>진피1</t>
    <phoneticPr fontId="5" type="noConversion"/>
  </si>
  <si>
    <t>개울화담전 + 길경 백작약 현호색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</si>
</sst>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원육</v>
          </cell>
          <cell r="B142"/>
          <cell r="C142">
            <v>12800</v>
          </cell>
          <cell r="D142">
            <v>13500</v>
          </cell>
          <cell r="E142">
            <v>12300</v>
          </cell>
          <cell r="F142">
            <v>0</v>
          </cell>
          <cell r="G142">
            <v>21.333333333333332</v>
          </cell>
          <cell r="H142">
            <v>22.5</v>
          </cell>
          <cell r="I142">
            <v>20.5</v>
          </cell>
          <cell r="J142">
            <v>20.5</v>
          </cell>
        </row>
        <row r="143">
          <cell r="A143" t="str">
            <v>원지</v>
          </cell>
          <cell r="B143"/>
          <cell r="C143">
            <v>46800</v>
          </cell>
          <cell r="D143"/>
          <cell r="E143">
            <v>55900</v>
          </cell>
          <cell r="F143">
            <v>0</v>
          </cell>
          <cell r="G143">
            <v>93.6</v>
          </cell>
          <cell r="H143">
            <v>0</v>
          </cell>
          <cell r="I143">
            <v>93.166666666666671</v>
          </cell>
          <cell r="J143">
            <v>68</v>
          </cell>
        </row>
        <row r="144">
          <cell r="A144" t="str">
            <v>위령선</v>
          </cell>
          <cell r="B144"/>
          <cell r="C144">
            <v>14500</v>
          </cell>
          <cell r="D144">
            <v>19000</v>
          </cell>
          <cell r="E144">
            <v>17700</v>
          </cell>
          <cell r="F144">
            <v>0</v>
          </cell>
          <cell r="G144">
            <v>29</v>
          </cell>
          <cell r="H144">
            <v>31.666666666666668</v>
          </cell>
          <cell r="I144">
            <v>29.5</v>
          </cell>
          <cell r="J144">
            <v>29</v>
          </cell>
        </row>
        <row r="145">
          <cell r="A145" t="str">
            <v>유백피</v>
          </cell>
          <cell r="B145"/>
          <cell r="C145">
            <v>16800</v>
          </cell>
          <cell r="D145"/>
          <cell r="E145"/>
          <cell r="F145"/>
          <cell r="G145">
            <v>33.6</v>
          </cell>
          <cell r="H145"/>
          <cell r="I145"/>
          <cell r="J145">
            <v>33.6</v>
          </cell>
        </row>
        <row r="146">
          <cell r="A146" t="str">
            <v>유향</v>
          </cell>
          <cell r="B146"/>
          <cell r="C146"/>
          <cell r="D146"/>
          <cell r="E146">
            <v>8800</v>
          </cell>
          <cell r="F146">
            <v>0</v>
          </cell>
          <cell r="G146">
            <v>0</v>
          </cell>
          <cell r="H146">
            <v>0</v>
          </cell>
          <cell r="I146">
            <v>14.666666666666666</v>
          </cell>
          <cell r="J146">
            <v>14.7</v>
          </cell>
        </row>
        <row r="147">
          <cell r="A147" t="str">
            <v>육계</v>
          </cell>
          <cell r="B147">
            <v>14800</v>
          </cell>
          <cell r="C147"/>
          <cell r="D147"/>
          <cell r="E147">
            <v>8600</v>
          </cell>
          <cell r="F147">
            <v>29.6</v>
          </cell>
          <cell r="G147">
            <v>0</v>
          </cell>
          <cell r="H147">
            <v>0</v>
          </cell>
          <cell r="I147">
            <v>14.333333333333334</v>
          </cell>
          <cell r="J147">
            <v>14.8</v>
          </cell>
        </row>
        <row r="148">
          <cell r="A148" t="str">
            <v>육두구</v>
          </cell>
          <cell r="B148"/>
          <cell r="C148">
            <v>13800</v>
          </cell>
          <cell r="D148">
            <v>17500</v>
          </cell>
          <cell r="E148">
            <v>15500</v>
          </cell>
          <cell r="F148">
            <v>0</v>
          </cell>
          <cell r="G148">
            <v>27.6</v>
          </cell>
          <cell r="H148">
            <v>29.166666666666668</v>
          </cell>
          <cell r="I148">
            <v>25.833333333333332</v>
          </cell>
          <cell r="J148">
            <v>25.8</v>
          </cell>
        </row>
        <row r="149">
          <cell r="A149" t="str">
            <v>육종용</v>
          </cell>
          <cell r="B149"/>
          <cell r="C149">
            <v>13200</v>
          </cell>
          <cell r="D149">
            <v>14000</v>
          </cell>
          <cell r="E149">
            <v>13000</v>
          </cell>
          <cell r="F149">
            <v>0</v>
          </cell>
          <cell r="G149">
            <v>22</v>
          </cell>
          <cell r="H149">
            <v>23.333333333333332</v>
          </cell>
          <cell r="I149">
            <v>26</v>
          </cell>
          <cell r="J149">
            <v>22</v>
          </cell>
        </row>
        <row r="150">
          <cell r="A150" t="str">
            <v>음양곽</v>
          </cell>
          <cell r="B150"/>
          <cell r="C150">
            <v>20000</v>
          </cell>
          <cell r="D150"/>
          <cell r="E150">
            <v>18600</v>
          </cell>
          <cell r="F150">
            <v>0</v>
          </cell>
          <cell r="G150">
            <v>33.333333333333336</v>
          </cell>
          <cell r="H150">
            <v>0</v>
          </cell>
          <cell r="I150">
            <v>31</v>
          </cell>
          <cell r="J150">
            <v>31</v>
          </cell>
        </row>
        <row r="151">
          <cell r="A151" t="str">
            <v>의이인</v>
          </cell>
          <cell r="B151"/>
          <cell r="C151">
            <v>8900</v>
          </cell>
          <cell r="D151">
            <v>10000</v>
          </cell>
          <cell r="E151">
            <v>10600</v>
          </cell>
          <cell r="F151">
            <v>0</v>
          </cell>
          <cell r="G151">
            <v>17.8</v>
          </cell>
          <cell r="H151">
            <v>16.666666666666668</v>
          </cell>
          <cell r="I151">
            <v>17.666666666666668</v>
          </cell>
          <cell r="J151">
            <v>15.8</v>
          </cell>
        </row>
        <row r="152">
          <cell r="A152" t="str">
            <v>익모초</v>
          </cell>
          <cell r="B152"/>
          <cell r="C152">
            <v>5800</v>
          </cell>
          <cell r="D152">
            <v>7500</v>
          </cell>
          <cell r="E152"/>
          <cell r="F152">
            <v>0</v>
          </cell>
          <cell r="G152">
            <v>11.6</v>
          </cell>
          <cell r="H152">
            <v>12.5</v>
          </cell>
          <cell r="I152">
            <v>0</v>
          </cell>
          <cell r="J152">
            <v>12.5</v>
          </cell>
        </row>
        <row r="153">
          <cell r="A153" t="str">
            <v>익지인</v>
          </cell>
          <cell r="B153"/>
          <cell r="C153">
            <v>11600</v>
          </cell>
          <cell r="D153">
            <v>10500</v>
          </cell>
          <cell r="E153">
            <v>13700</v>
          </cell>
          <cell r="F153">
            <v>0</v>
          </cell>
          <cell r="G153">
            <v>23.2</v>
          </cell>
          <cell r="H153">
            <v>17.5</v>
          </cell>
          <cell r="I153">
            <v>22.833333333333332</v>
          </cell>
          <cell r="J153">
            <v>22.8</v>
          </cell>
        </row>
        <row r="154">
          <cell r="A154" t="str">
            <v>인삼</v>
          </cell>
          <cell r="B154"/>
          <cell r="C154">
            <v>70000</v>
          </cell>
          <cell r="D154">
            <v>30000</v>
          </cell>
          <cell r="E154">
            <v>76500</v>
          </cell>
          <cell r="F154">
            <v>0</v>
          </cell>
          <cell r="G154">
            <v>116.66666666666667</v>
          </cell>
          <cell r="H154">
            <v>100</v>
          </cell>
          <cell r="I154">
            <v>127.5</v>
          </cell>
          <cell r="J154">
            <v>116.7</v>
          </cell>
        </row>
        <row r="155">
          <cell r="A155" t="str">
            <v>인진</v>
          </cell>
          <cell r="B155"/>
          <cell r="C155">
            <v>6000</v>
          </cell>
          <cell r="D155">
            <v>7500</v>
          </cell>
          <cell r="E155">
            <v>7200</v>
          </cell>
          <cell r="F155">
            <v>0</v>
          </cell>
          <cell r="G155">
            <v>12</v>
          </cell>
          <cell r="H155">
            <v>12.5</v>
          </cell>
          <cell r="I155">
            <v>12</v>
          </cell>
          <cell r="J155">
            <v>12</v>
          </cell>
        </row>
        <row r="156">
          <cell r="A156" t="str">
            <v>자완</v>
          </cell>
          <cell r="B156"/>
          <cell r="C156">
            <v>29000</v>
          </cell>
          <cell r="D156">
            <v>23000</v>
          </cell>
          <cell r="E156">
            <v>20700</v>
          </cell>
          <cell r="F156">
            <v>0</v>
          </cell>
          <cell r="G156">
            <v>48.333333333333336</v>
          </cell>
          <cell r="H156">
            <v>38.333333333333336</v>
          </cell>
          <cell r="I156">
            <v>34.5</v>
          </cell>
          <cell r="J156">
            <v>38</v>
          </cell>
        </row>
        <row r="157">
          <cell r="A157" t="str">
            <v>자충</v>
          </cell>
          <cell r="B157"/>
          <cell r="C157"/>
          <cell r="D157"/>
          <cell r="E157">
            <v>31200</v>
          </cell>
          <cell r="F157">
            <v>0</v>
          </cell>
          <cell r="G157">
            <v>0</v>
          </cell>
          <cell r="H157">
            <v>0</v>
          </cell>
          <cell r="I157">
            <v>52</v>
          </cell>
          <cell r="J157">
            <v>52</v>
          </cell>
        </row>
        <row r="158">
          <cell r="A158" t="str">
            <v>저근백피</v>
          </cell>
          <cell r="B158"/>
          <cell r="C158"/>
          <cell r="D158">
            <v>14000</v>
          </cell>
          <cell r="E158"/>
          <cell r="F158">
            <v>0</v>
          </cell>
          <cell r="G158">
            <v>0</v>
          </cell>
          <cell r="H158">
            <v>23.333333333333332</v>
          </cell>
          <cell r="I158">
            <v>0</v>
          </cell>
          <cell r="J158">
            <v>23.3</v>
          </cell>
        </row>
        <row r="159">
          <cell r="A159" t="str">
            <v>저령</v>
          </cell>
          <cell r="B159"/>
          <cell r="C159">
            <v>22500</v>
          </cell>
          <cell r="D159">
            <v>28000</v>
          </cell>
          <cell r="E159">
            <v>26900</v>
          </cell>
          <cell r="F159">
            <v>0</v>
          </cell>
          <cell r="G159">
            <v>45</v>
          </cell>
          <cell r="H159">
            <v>46.666666666666664</v>
          </cell>
          <cell r="I159">
            <v>44.833333333333336</v>
          </cell>
          <cell r="J159">
            <v>46.7</v>
          </cell>
        </row>
        <row r="160">
          <cell r="A160" t="str">
            <v>적석지</v>
          </cell>
          <cell r="B160"/>
          <cell r="C160"/>
          <cell r="D160"/>
          <cell r="E160">
            <v>4900</v>
          </cell>
          <cell r="F160">
            <v>0</v>
          </cell>
          <cell r="G160">
            <v>0</v>
          </cell>
          <cell r="H160">
            <v>0</v>
          </cell>
          <cell r="I160">
            <v>8.1666666666666661</v>
          </cell>
          <cell r="J160">
            <v>8.1999999999999993</v>
          </cell>
        </row>
        <row r="161">
          <cell r="A161" t="str">
            <v>적하수오</v>
          </cell>
          <cell r="B161"/>
          <cell r="C161">
            <v>20000</v>
          </cell>
          <cell r="D161">
            <v>20000</v>
          </cell>
          <cell r="E161"/>
          <cell r="F161">
            <v>0</v>
          </cell>
          <cell r="G161">
            <v>20</v>
          </cell>
          <cell r="H161">
            <v>20</v>
          </cell>
          <cell r="I161">
            <v>0</v>
          </cell>
          <cell r="J161">
            <v>20</v>
          </cell>
        </row>
        <row r="162">
          <cell r="A162" t="str">
            <v>전호</v>
          </cell>
          <cell r="B162"/>
          <cell r="C162">
            <v>11500</v>
          </cell>
          <cell r="D162">
            <v>16000</v>
          </cell>
          <cell r="E162">
            <v>16500</v>
          </cell>
          <cell r="F162">
            <v>0</v>
          </cell>
          <cell r="G162">
            <v>23</v>
          </cell>
          <cell r="H162">
            <v>26.666666666666668</v>
          </cell>
          <cell r="I162">
            <v>27.5</v>
          </cell>
          <cell r="J162">
            <v>23</v>
          </cell>
        </row>
        <row r="163">
          <cell r="A163" t="str">
            <v>정향</v>
          </cell>
          <cell r="B163"/>
          <cell r="C163"/>
          <cell r="D163"/>
          <cell r="E163"/>
          <cell r="F163">
            <v>0</v>
          </cell>
          <cell r="G163">
            <v>0</v>
          </cell>
          <cell r="H163">
            <v>0</v>
          </cell>
          <cell r="I163">
            <v>0</v>
          </cell>
        </row>
        <row r="164">
          <cell r="A164" t="str">
            <v>조협</v>
          </cell>
          <cell r="B164"/>
          <cell r="C164"/>
          <cell r="D164"/>
          <cell r="E164">
            <v>7800</v>
          </cell>
          <cell r="F164">
            <v>0</v>
          </cell>
          <cell r="G164">
            <v>0</v>
          </cell>
          <cell r="H164">
            <v>0</v>
          </cell>
          <cell r="I164">
            <v>13</v>
          </cell>
          <cell r="J164">
            <v>13</v>
          </cell>
        </row>
        <row r="165">
          <cell r="A165" t="str">
            <v>조구등</v>
          </cell>
          <cell r="B165"/>
          <cell r="C165">
            <v>8600</v>
          </cell>
          <cell r="D165">
            <v>11000</v>
          </cell>
          <cell r="E165"/>
          <cell r="F165">
            <v>0</v>
          </cell>
          <cell r="G165">
            <v>17.2</v>
          </cell>
          <cell r="H165">
            <v>18.333333333333332</v>
          </cell>
          <cell r="I165">
            <v>0</v>
          </cell>
          <cell r="J165">
            <v>18.3</v>
          </cell>
        </row>
        <row r="166">
          <cell r="A166" t="str">
            <v>죽여1</v>
          </cell>
          <cell r="B166"/>
          <cell r="C166">
            <v>8200</v>
          </cell>
          <cell r="D166"/>
          <cell r="E166">
            <v>10200</v>
          </cell>
          <cell r="F166">
            <v>0</v>
          </cell>
          <cell r="G166">
            <v>16.399999999999999</v>
          </cell>
          <cell r="H166">
            <v>0</v>
          </cell>
          <cell r="I166">
            <v>17</v>
          </cell>
          <cell r="J166">
            <v>15.4</v>
          </cell>
        </row>
        <row r="167">
          <cell r="A167" t="str">
            <v>죽여2</v>
          </cell>
          <cell r="B167"/>
          <cell r="C167">
            <v>3500</v>
          </cell>
          <cell r="D167">
            <v>4500</v>
          </cell>
          <cell r="E167"/>
          <cell r="F167">
            <v>0</v>
          </cell>
          <cell r="G167">
            <v>5.833333333333333</v>
          </cell>
          <cell r="H167">
            <v>7.5</v>
          </cell>
          <cell r="I167">
            <v>0</v>
          </cell>
        </row>
        <row r="168">
          <cell r="A168" t="str">
            <v>죽엽</v>
          </cell>
          <cell r="B168"/>
          <cell r="C168">
            <v>4500</v>
          </cell>
          <cell r="D168"/>
          <cell r="E168"/>
          <cell r="F168">
            <v>0</v>
          </cell>
          <cell r="G168">
            <v>7.5</v>
          </cell>
          <cell r="H168">
            <v>0</v>
          </cell>
          <cell r="I168">
            <v>0</v>
          </cell>
          <cell r="J168">
            <v>7.5</v>
          </cell>
        </row>
        <row r="169">
          <cell r="A169" t="str">
            <v>지각</v>
          </cell>
          <cell r="B169"/>
          <cell r="C169">
            <v>4800</v>
          </cell>
          <cell r="D169">
            <v>7000</v>
          </cell>
          <cell r="E169">
            <v>6000</v>
          </cell>
          <cell r="F169">
            <v>0</v>
          </cell>
          <cell r="G169">
            <v>9.6</v>
          </cell>
          <cell r="H169">
            <v>11.666666666666666</v>
          </cell>
          <cell r="I169">
            <v>10</v>
          </cell>
          <cell r="J169">
            <v>10</v>
          </cell>
        </row>
        <row r="170">
          <cell r="A170" t="str">
            <v>지골피</v>
          </cell>
          <cell r="B170"/>
          <cell r="C170">
            <v>10600</v>
          </cell>
          <cell r="D170">
            <v>14000</v>
          </cell>
          <cell r="E170">
            <v>14200</v>
          </cell>
          <cell r="F170">
            <v>0</v>
          </cell>
          <cell r="G170">
            <v>21.2</v>
          </cell>
          <cell r="H170">
            <v>23.333333333333332</v>
          </cell>
          <cell r="I170">
            <v>23.666666666666668</v>
          </cell>
          <cell r="J170">
            <v>21.7</v>
          </cell>
        </row>
        <row r="171">
          <cell r="A171" t="str">
            <v>지모</v>
          </cell>
          <cell r="B171"/>
          <cell r="C171">
            <v>7800</v>
          </cell>
          <cell r="D171">
            <v>11000</v>
          </cell>
          <cell r="E171">
            <v>9600</v>
          </cell>
          <cell r="F171">
            <v>0</v>
          </cell>
          <cell r="G171">
            <v>15.6</v>
          </cell>
          <cell r="H171">
            <v>18.333333333333332</v>
          </cell>
          <cell r="I171">
            <v>16</v>
          </cell>
          <cell r="J171">
            <v>16.7</v>
          </cell>
        </row>
        <row r="172">
          <cell r="A172" t="str">
            <v>지부자</v>
          </cell>
          <cell r="B172"/>
          <cell r="C172"/>
          <cell r="D172"/>
          <cell r="E172">
            <v>5600</v>
          </cell>
          <cell r="F172">
            <v>0</v>
          </cell>
          <cell r="G172">
            <v>0</v>
          </cell>
          <cell r="H172">
            <v>0</v>
          </cell>
          <cell r="I172">
            <v>9.3333333333333339</v>
          </cell>
          <cell r="J172">
            <v>9.3000000000000007</v>
          </cell>
        </row>
        <row r="173">
          <cell r="A173" t="str">
            <v>지실</v>
          </cell>
          <cell r="B173"/>
          <cell r="C173">
            <v>10000</v>
          </cell>
          <cell r="D173"/>
          <cell r="E173">
            <v>10000</v>
          </cell>
          <cell r="F173">
            <v>0</v>
          </cell>
          <cell r="G173">
            <v>20</v>
          </cell>
          <cell r="H173">
            <v>0</v>
          </cell>
          <cell r="I173">
            <v>16.666666666666668</v>
          </cell>
          <cell r="J173">
            <v>16.7</v>
          </cell>
        </row>
        <row r="174">
          <cell r="A174" t="str">
            <v>지유</v>
          </cell>
          <cell r="B174"/>
          <cell r="C174"/>
          <cell r="D174"/>
          <cell r="E174"/>
          <cell r="F174">
            <v>0</v>
          </cell>
          <cell r="G174">
            <v>0</v>
          </cell>
          <cell r="H174">
            <v>0</v>
          </cell>
          <cell r="I174">
            <v>0</v>
          </cell>
        </row>
        <row r="175">
          <cell r="A175" t="str">
            <v>진교</v>
          </cell>
          <cell r="B175"/>
          <cell r="C175">
            <v>9500</v>
          </cell>
          <cell r="D175">
            <v>14000</v>
          </cell>
          <cell r="E175"/>
          <cell r="F175">
            <v>0</v>
          </cell>
          <cell r="G175">
            <v>19</v>
          </cell>
          <cell r="H175">
            <v>23.333333333333332</v>
          </cell>
          <cell r="I175">
            <v>0</v>
          </cell>
          <cell r="J175">
            <v>23.3</v>
          </cell>
        </row>
        <row r="176">
          <cell r="A176" t="str">
            <v>진피1</v>
          </cell>
          <cell r="B176">
            <v>8800</v>
          </cell>
          <cell r="C176">
            <v>5100</v>
          </cell>
          <cell r="D176">
            <v>5800</v>
          </cell>
          <cell r="E176">
            <v>7000</v>
          </cell>
          <cell r="F176">
            <v>17.600000000000001</v>
          </cell>
          <cell r="G176">
            <v>10.199999999999999</v>
          </cell>
          <cell r="H176">
            <v>9.6666666666666661</v>
          </cell>
          <cell r="I176">
            <v>11.666666666666666</v>
          </cell>
          <cell r="J176">
            <v>17.600000000000001</v>
          </cell>
        </row>
        <row r="177">
          <cell r="A177" t="str">
            <v>진피2</v>
          </cell>
          <cell r="B177">
            <v>22500</v>
          </cell>
          <cell r="C177"/>
          <cell r="D177"/>
          <cell r="E177"/>
          <cell r="F177">
            <v>45</v>
          </cell>
          <cell r="G177">
            <v>0</v>
          </cell>
          <cell r="H177">
            <v>0</v>
          </cell>
          <cell r="I177">
            <v>0</v>
          </cell>
          <cell r="J177">
            <v>45</v>
          </cell>
        </row>
        <row r="178">
          <cell r="A178" t="str">
            <v>진피3</v>
          </cell>
          <cell r="B178"/>
          <cell r="C178"/>
          <cell r="D178"/>
          <cell r="E178"/>
          <cell r="F178">
            <v>0</v>
          </cell>
          <cell r="G178">
            <v>0</v>
          </cell>
          <cell r="H178">
            <v>0</v>
          </cell>
          <cell r="I178">
            <v>0</v>
          </cell>
          <cell r="J178"/>
        </row>
        <row r="179">
          <cell r="A179" t="str">
            <v>차전자</v>
          </cell>
          <cell r="B179"/>
          <cell r="C179">
            <v>5300</v>
          </cell>
          <cell r="D179">
            <v>14000</v>
          </cell>
          <cell r="E179"/>
          <cell r="F179">
            <v>0</v>
          </cell>
          <cell r="G179">
            <v>10.6</v>
          </cell>
          <cell r="H179">
            <v>23.333333333333332</v>
          </cell>
          <cell r="I179">
            <v>0</v>
          </cell>
          <cell r="J179">
            <v>23.3</v>
          </cell>
        </row>
        <row r="180">
          <cell r="A180" t="str">
            <v>창이자</v>
          </cell>
          <cell r="B180"/>
          <cell r="C180"/>
          <cell r="D180"/>
          <cell r="E180"/>
          <cell r="F180">
            <v>0</v>
          </cell>
          <cell r="G180">
            <v>0</v>
          </cell>
          <cell r="H180">
            <v>0</v>
          </cell>
          <cell r="I180">
            <v>0</v>
          </cell>
        </row>
        <row r="181">
          <cell r="A181" t="str">
            <v>창출1</v>
          </cell>
          <cell r="B181"/>
          <cell r="C181">
            <v>11000</v>
          </cell>
          <cell r="D181"/>
          <cell r="E181">
            <v>15000</v>
          </cell>
          <cell r="F181">
            <v>0</v>
          </cell>
          <cell r="G181">
            <v>22</v>
          </cell>
          <cell r="H181">
            <v>0</v>
          </cell>
          <cell r="I181">
            <v>25</v>
          </cell>
          <cell r="J181">
            <v>25</v>
          </cell>
        </row>
        <row r="182">
          <cell r="A182" t="str">
            <v>창출2</v>
          </cell>
          <cell r="B182">
            <v>31900</v>
          </cell>
          <cell r="C182"/>
          <cell r="D182">
            <v>17000</v>
          </cell>
          <cell r="E182">
            <v>25800</v>
          </cell>
          <cell r="F182">
            <v>63.8</v>
          </cell>
          <cell r="G182">
            <v>0</v>
          </cell>
          <cell r="H182">
            <v>28.333333333333332</v>
          </cell>
          <cell r="I182">
            <v>43</v>
          </cell>
          <cell r="J182">
            <v>43</v>
          </cell>
        </row>
        <row r="183">
          <cell r="A183" t="str">
            <v>천궁1</v>
          </cell>
          <cell r="B183"/>
          <cell r="C183">
            <v>5200</v>
          </cell>
          <cell r="D183">
            <v>14000</v>
          </cell>
          <cell r="E183">
            <v>6500</v>
          </cell>
          <cell r="F183">
            <v>0</v>
          </cell>
          <cell r="G183">
            <v>10.4</v>
          </cell>
          <cell r="H183">
            <v>23.333333333333332</v>
          </cell>
          <cell r="I183">
            <v>10.833333333333334</v>
          </cell>
          <cell r="J183">
            <v>10.8</v>
          </cell>
        </row>
        <row r="184">
          <cell r="A184" t="str">
            <v>천궁2</v>
          </cell>
          <cell r="B184"/>
          <cell r="C184"/>
          <cell r="D184"/>
          <cell r="E184">
            <v>12500</v>
          </cell>
          <cell r="F184">
            <v>0</v>
          </cell>
          <cell r="G184">
            <v>0</v>
          </cell>
          <cell r="H184">
            <v>0</v>
          </cell>
          <cell r="I184">
            <v>20.833333333333332</v>
          </cell>
          <cell r="J184">
            <v>20.8</v>
          </cell>
        </row>
        <row r="185">
          <cell r="A185" t="str">
            <v>천련자</v>
          </cell>
          <cell r="B185"/>
          <cell r="C185">
            <v>5800</v>
          </cell>
          <cell r="D185"/>
          <cell r="E185"/>
          <cell r="F185">
            <v>0</v>
          </cell>
          <cell r="G185">
            <v>11.6</v>
          </cell>
          <cell r="H185">
            <v>0</v>
          </cell>
          <cell r="I185">
            <v>0</v>
          </cell>
          <cell r="J185">
            <v>11.6</v>
          </cell>
        </row>
        <row r="186">
          <cell r="A186" t="str">
            <v>천마</v>
          </cell>
          <cell r="B186"/>
          <cell r="C186">
            <v>23500</v>
          </cell>
          <cell r="D186">
            <v>24000</v>
          </cell>
          <cell r="E186">
            <v>31700</v>
          </cell>
          <cell r="F186">
            <v>0</v>
          </cell>
          <cell r="G186">
            <v>47</v>
          </cell>
          <cell r="H186">
            <v>40</v>
          </cell>
          <cell r="I186">
            <v>52.833333333333336</v>
          </cell>
          <cell r="J186">
            <v>52.8</v>
          </cell>
        </row>
        <row r="187">
          <cell r="A187" t="str">
            <v>천문동</v>
          </cell>
          <cell r="B187"/>
          <cell r="C187">
            <v>13800</v>
          </cell>
          <cell r="D187"/>
          <cell r="E187">
            <v>17900</v>
          </cell>
          <cell r="F187">
            <v>0</v>
          </cell>
          <cell r="G187">
            <v>27.6</v>
          </cell>
          <cell r="H187">
            <v>0</v>
          </cell>
          <cell r="I187">
            <v>29.833333333333332</v>
          </cell>
          <cell r="J187">
            <v>29.8</v>
          </cell>
        </row>
        <row r="188">
          <cell r="A188" t="str">
            <v>천오</v>
          </cell>
          <cell r="B188"/>
          <cell r="C188">
            <v>11000</v>
          </cell>
          <cell r="D188"/>
          <cell r="E188">
            <v>11000</v>
          </cell>
          <cell r="F188">
            <v>0</v>
          </cell>
          <cell r="G188">
            <v>22</v>
          </cell>
          <cell r="H188">
            <v>0</v>
          </cell>
          <cell r="I188">
            <v>22</v>
          </cell>
          <cell r="J188">
            <v>22</v>
          </cell>
        </row>
        <row r="189">
          <cell r="A189" t="str">
            <v>천초</v>
          </cell>
          <cell r="B189"/>
          <cell r="C189"/>
          <cell r="D189"/>
          <cell r="E189">
            <v>11300</v>
          </cell>
          <cell r="F189"/>
          <cell r="G189"/>
          <cell r="H189"/>
          <cell r="I189">
            <v>22.6</v>
          </cell>
          <cell r="J189">
            <v>22.6</v>
          </cell>
        </row>
        <row r="190">
          <cell r="A190" t="str">
            <v>천화분</v>
          </cell>
          <cell r="B190"/>
          <cell r="C190">
            <v>11300</v>
          </cell>
          <cell r="D190"/>
          <cell r="E190">
            <v>14100</v>
          </cell>
          <cell r="F190">
            <v>0</v>
          </cell>
          <cell r="G190">
            <v>22.6</v>
          </cell>
          <cell r="H190">
            <v>0</v>
          </cell>
          <cell r="I190">
            <v>23.5</v>
          </cell>
          <cell r="J190">
            <v>23.5</v>
          </cell>
        </row>
        <row r="191">
          <cell r="A191" t="str">
            <v>청상자</v>
          </cell>
          <cell r="B191"/>
          <cell r="C191"/>
          <cell r="D191">
            <v>8500</v>
          </cell>
          <cell r="E191"/>
          <cell r="F191">
            <v>0</v>
          </cell>
          <cell r="G191">
            <v>0</v>
          </cell>
          <cell r="H191">
            <v>14.166666666666666</v>
          </cell>
          <cell r="I191">
            <v>0</v>
          </cell>
          <cell r="J191">
            <v>14.2</v>
          </cell>
        </row>
        <row r="192">
          <cell r="A192" t="str">
            <v>청피</v>
          </cell>
          <cell r="B192"/>
          <cell r="C192">
            <v>3300</v>
          </cell>
          <cell r="D192">
            <v>5800</v>
          </cell>
          <cell r="E192">
            <v>4400</v>
          </cell>
          <cell r="F192">
            <v>0</v>
          </cell>
          <cell r="G192">
            <v>6.6</v>
          </cell>
          <cell r="H192">
            <v>9.6666666666666661</v>
          </cell>
          <cell r="I192">
            <v>7.333333333333333</v>
          </cell>
          <cell r="J192">
            <v>7.3</v>
          </cell>
        </row>
        <row r="193">
          <cell r="A193" t="str">
            <v>초결</v>
          </cell>
          <cell r="B193"/>
          <cell r="C193"/>
          <cell r="D193"/>
          <cell r="E193"/>
          <cell r="F193">
            <v>0</v>
          </cell>
          <cell r="G193">
            <v>0</v>
          </cell>
          <cell r="H193">
            <v>0</v>
          </cell>
          <cell r="I193">
            <v>0</v>
          </cell>
        </row>
        <row r="194">
          <cell r="A194" t="str">
            <v>초과</v>
          </cell>
          <cell r="B194"/>
          <cell r="C194"/>
          <cell r="D194"/>
          <cell r="E194"/>
          <cell r="F194">
            <v>0</v>
          </cell>
          <cell r="G194">
            <v>0</v>
          </cell>
          <cell r="H194">
            <v>0</v>
          </cell>
          <cell r="I194">
            <v>0</v>
          </cell>
        </row>
        <row r="195">
          <cell r="A195" t="str">
            <v>초두구</v>
          </cell>
          <cell r="B195"/>
          <cell r="C195">
            <v>5800</v>
          </cell>
          <cell r="D195">
            <v>7000</v>
          </cell>
          <cell r="E195"/>
          <cell r="F195">
            <v>0</v>
          </cell>
          <cell r="G195">
            <v>11.6</v>
          </cell>
          <cell r="H195">
            <v>11.666666666666666</v>
          </cell>
          <cell r="I195">
            <v>0</v>
          </cell>
          <cell r="J195">
            <v>11.7</v>
          </cell>
        </row>
        <row r="196">
          <cell r="A196" t="str">
            <v>측백엽</v>
          </cell>
          <cell r="B196"/>
          <cell r="C196"/>
          <cell r="D196"/>
          <cell r="E196"/>
          <cell r="F196">
            <v>0</v>
          </cell>
          <cell r="G196">
            <v>0</v>
          </cell>
          <cell r="H196">
            <v>0</v>
          </cell>
          <cell r="I196">
            <v>0</v>
          </cell>
        </row>
        <row r="197">
          <cell r="A197" t="str">
            <v>치자</v>
          </cell>
          <cell r="B197">
            <v>10800</v>
          </cell>
          <cell r="C197">
            <v>9300</v>
          </cell>
          <cell r="D197">
            <v>7500</v>
          </cell>
          <cell r="E197">
            <v>11200</v>
          </cell>
          <cell r="F197">
            <v>21.6</v>
          </cell>
          <cell r="G197">
            <v>18.600000000000001</v>
          </cell>
          <cell r="H197">
            <v>12.5</v>
          </cell>
          <cell r="I197">
            <v>18.666666666666668</v>
          </cell>
          <cell r="J197">
            <v>26</v>
          </cell>
        </row>
        <row r="198">
          <cell r="A198" t="str">
            <v>택사1</v>
          </cell>
          <cell r="B198"/>
          <cell r="C198">
            <v>13200</v>
          </cell>
          <cell r="D198">
            <v>15000</v>
          </cell>
          <cell r="E198">
            <v>16900</v>
          </cell>
          <cell r="F198">
            <v>0</v>
          </cell>
          <cell r="G198">
            <v>26.4</v>
          </cell>
          <cell r="H198">
            <v>25</v>
          </cell>
          <cell r="I198">
            <v>28.166666666666668</v>
          </cell>
          <cell r="J198">
            <v>28.2</v>
          </cell>
        </row>
        <row r="199">
          <cell r="A199" t="str">
            <v>택사2</v>
          </cell>
          <cell r="B199"/>
          <cell r="C199">
            <v>5500</v>
          </cell>
          <cell r="D199"/>
          <cell r="E199"/>
          <cell r="F199"/>
          <cell r="G199">
            <v>11</v>
          </cell>
          <cell r="H199"/>
          <cell r="I199"/>
          <cell r="J199">
            <v>11</v>
          </cell>
        </row>
        <row r="200">
          <cell r="A200" t="str">
            <v>토사자</v>
          </cell>
          <cell r="B200"/>
          <cell r="C200">
            <v>10000</v>
          </cell>
          <cell r="D200">
            <v>10000</v>
          </cell>
          <cell r="E200">
            <v>10300</v>
          </cell>
          <cell r="F200">
            <v>0</v>
          </cell>
          <cell r="G200">
            <v>16.666666666666668</v>
          </cell>
          <cell r="H200">
            <v>16.666666666666668</v>
          </cell>
          <cell r="I200">
            <v>17.166666666666668</v>
          </cell>
          <cell r="J200">
            <v>17.2</v>
          </cell>
        </row>
        <row r="201">
          <cell r="A201" t="str">
            <v>파고지</v>
          </cell>
          <cell r="B201"/>
          <cell r="C201">
            <v>4700</v>
          </cell>
          <cell r="D201">
            <v>5500</v>
          </cell>
          <cell r="E201">
            <v>4700</v>
          </cell>
          <cell r="F201">
            <v>0</v>
          </cell>
          <cell r="G201">
            <v>7.833333333333333</v>
          </cell>
          <cell r="H201">
            <v>9.1666666666666661</v>
          </cell>
          <cell r="I201">
            <v>7.833333333333333</v>
          </cell>
          <cell r="J201">
            <v>9.1999999999999993</v>
          </cell>
        </row>
        <row r="202">
          <cell r="A202" t="str">
            <v>파극천</v>
          </cell>
          <cell r="B202"/>
          <cell r="C202">
            <v>21000</v>
          </cell>
          <cell r="D202">
            <v>25500</v>
          </cell>
          <cell r="E202">
            <v>25400</v>
          </cell>
          <cell r="F202">
            <v>0</v>
          </cell>
          <cell r="G202">
            <v>35</v>
          </cell>
          <cell r="H202">
            <v>42.5</v>
          </cell>
          <cell r="I202">
            <v>42.333333333333336</v>
          </cell>
          <cell r="J202">
            <v>35</v>
          </cell>
        </row>
        <row r="203">
          <cell r="A203" t="str">
            <v>패모</v>
          </cell>
          <cell r="B203"/>
          <cell r="C203">
            <v>19000</v>
          </cell>
          <cell r="D203">
            <v>19200</v>
          </cell>
          <cell r="E203">
            <v>19200</v>
          </cell>
          <cell r="F203">
            <v>0</v>
          </cell>
          <cell r="G203">
            <v>38</v>
          </cell>
          <cell r="H203">
            <v>32</v>
          </cell>
          <cell r="I203">
            <v>32</v>
          </cell>
          <cell r="J203">
            <v>32</v>
          </cell>
        </row>
        <row r="204">
          <cell r="A204" t="str">
            <v>편축</v>
          </cell>
          <cell r="B204"/>
          <cell r="C204"/>
          <cell r="D204"/>
          <cell r="E204"/>
          <cell r="F204">
            <v>0</v>
          </cell>
          <cell r="G204">
            <v>0</v>
          </cell>
          <cell r="H204">
            <v>0</v>
          </cell>
          <cell r="I204">
            <v>0</v>
          </cell>
        </row>
        <row r="205">
          <cell r="A205" t="str">
            <v>포공영</v>
          </cell>
          <cell r="B205"/>
          <cell r="C205">
            <v>5200</v>
          </cell>
          <cell r="D205"/>
          <cell r="E205">
            <v>5600</v>
          </cell>
          <cell r="F205">
            <v>0</v>
          </cell>
          <cell r="G205">
            <v>8.6666666666666661</v>
          </cell>
          <cell r="H205">
            <v>0</v>
          </cell>
          <cell r="I205">
            <v>9.3333333333333339</v>
          </cell>
          <cell r="J205">
            <v>8.6999999999999993</v>
          </cell>
        </row>
        <row r="206">
          <cell r="A206" t="str">
            <v>합환피</v>
          </cell>
          <cell r="B206"/>
          <cell r="C206">
            <v>4600</v>
          </cell>
          <cell r="D206"/>
          <cell r="E206">
            <v>10900</v>
          </cell>
          <cell r="F206">
            <v>0</v>
          </cell>
          <cell r="G206">
            <v>9.1999999999999993</v>
          </cell>
          <cell r="H206">
            <v>0</v>
          </cell>
          <cell r="I206">
            <v>18.166666666666668</v>
          </cell>
          <cell r="J206">
            <v>18.2</v>
          </cell>
        </row>
        <row r="207">
          <cell r="A207" t="str">
            <v>해동피</v>
          </cell>
          <cell r="B207"/>
          <cell r="C207">
            <v>4000</v>
          </cell>
          <cell r="D207">
            <v>5500</v>
          </cell>
          <cell r="E207">
            <v>5100</v>
          </cell>
          <cell r="F207">
            <v>0</v>
          </cell>
          <cell r="G207">
            <v>8</v>
          </cell>
          <cell r="H207">
            <v>9.1666666666666661</v>
          </cell>
          <cell r="I207">
            <v>8.5</v>
          </cell>
          <cell r="J207">
            <v>8</v>
          </cell>
        </row>
        <row r="208">
          <cell r="A208" t="str">
            <v>행인</v>
          </cell>
          <cell r="B208"/>
          <cell r="C208">
            <v>5900</v>
          </cell>
          <cell r="D208">
            <v>6500</v>
          </cell>
          <cell r="E208">
            <v>6900</v>
          </cell>
          <cell r="F208">
            <v>0</v>
          </cell>
          <cell r="G208">
            <v>11.8</v>
          </cell>
          <cell r="H208">
            <v>10.833333333333334</v>
          </cell>
          <cell r="I208">
            <v>11.5</v>
          </cell>
          <cell r="J208">
            <v>12</v>
          </cell>
        </row>
        <row r="209">
          <cell r="A209" t="str">
            <v>향부자</v>
          </cell>
          <cell r="B209"/>
          <cell r="C209">
            <v>7200</v>
          </cell>
          <cell r="D209">
            <v>9500</v>
          </cell>
          <cell r="E209">
            <v>8600</v>
          </cell>
          <cell r="F209">
            <v>0</v>
          </cell>
          <cell r="G209">
            <v>14.4</v>
          </cell>
          <cell r="H209">
            <v>15.833333333333334</v>
          </cell>
          <cell r="I209">
            <v>14.333333333333334</v>
          </cell>
          <cell r="J209">
            <v>14.7</v>
          </cell>
        </row>
        <row r="210">
          <cell r="A210" t="str">
            <v>향시</v>
          </cell>
          <cell r="B210"/>
          <cell r="C210"/>
          <cell r="D210"/>
          <cell r="E210">
            <v>39000</v>
          </cell>
          <cell r="F210">
            <v>0</v>
          </cell>
          <cell r="G210">
            <v>0</v>
          </cell>
          <cell r="H210">
            <v>0</v>
          </cell>
          <cell r="I210">
            <v>39</v>
          </cell>
          <cell r="J210">
            <v>39</v>
          </cell>
        </row>
        <row r="211">
          <cell r="A211" t="str">
            <v>현삼</v>
          </cell>
          <cell r="B211"/>
          <cell r="C211">
            <v>12000</v>
          </cell>
          <cell r="D211">
            <v>6000</v>
          </cell>
          <cell r="E211">
            <v>16500</v>
          </cell>
          <cell r="F211">
            <v>0</v>
          </cell>
          <cell r="G211">
            <v>24</v>
          </cell>
          <cell r="H211">
            <v>10</v>
          </cell>
          <cell r="I211">
            <v>27.5</v>
          </cell>
          <cell r="J211">
            <v>27.5</v>
          </cell>
        </row>
        <row r="212">
          <cell r="A212" t="str">
            <v>현호색</v>
          </cell>
          <cell r="B212"/>
          <cell r="C212">
            <v>14500</v>
          </cell>
          <cell r="D212">
            <v>37000</v>
          </cell>
          <cell r="E212">
            <v>35800</v>
          </cell>
          <cell r="F212">
            <v>0</v>
          </cell>
          <cell r="G212">
            <v>24.166666666666668</v>
          </cell>
          <cell r="H212">
            <v>61.666666666666664</v>
          </cell>
          <cell r="I212">
            <v>59.666666666666664</v>
          </cell>
          <cell r="J212">
            <v>59.7</v>
          </cell>
        </row>
        <row r="213">
          <cell r="A213" t="str">
            <v>형개</v>
          </cell>
          <cell r="B213"/>
          <cell r="C213">
            <v>8800</v>
          </cell>
          <cell r="D213"/>
          <cell r="E213">
            <v>10500</v>
          </cell>
          <cell r="F213">
            <v>0</v>
          </cell>
          <cell r="G213">
            <v>17.600000000000001</v>
          </cell>
          <cell r="H213">
            <v>0</v>
          </cell>
          <cell r="I213">
            <v>17.5</v>
          </cell>
          <cell r="J213">
            <v>17.600000000000001</v>
          </cell>
        </row>
        <row r="214">
          <cell r="A214" t="str">
            <v>홍화</v>
          </cell>
          <cell r="B214"/>
          <cell r="C214">
            <v>19500</v>
          </cell>
          <cell r="D214">
            <v>30000</v>
          </cell>
          <cell r="E214">
            <v>26000</v>
          </cell>
          <cell r="F214">
            <v>0</v>
          </cell>
          <cell r="G214">
            <v>39</v>
          </cell>
          <cell r="H214">
            <v>50</v>
          </cell>
          <cell r="I214">
            <v>43.333333333333336</v>
          </cell>
          <cell r="J214">
            <v>44.2</v>
          </cell>
        </row>
        <row r="215">
          <cell r="A215" t="str">
            <v>활석</v>
          </cell>
          <cell r="B215"/>
          <cell r="C215"/>
          <cell r="D215">
            <v>8500</v>
          </cell>
          <cell r="E215"/>
          <cell r="F215">
            <v>0</v>
          </cell>
          <cell r="G215">
            <v>0</v>
          </cell>
          <cell r="H215">
            <v>8.5</v>
          </cell>
          <cell r="I215">
            <v>0</v>
          </cell>
          <cell r="J215">
            <v>8.5</v>
          </cell>
        </row>
        <row r="216">
          <cell r="A216" t="str">
            <v>황금</v>
          </cell>
          <cell r="B216"/>
          <cell r="C216">
            <v>9000</v>
          </cell>
          <cell r="D216">
            <v>9000</v>
          </cell>
          <cell r="E216">
            <v>13500</v>
          </cell>
          <cell r="F216">
            <v>0</v>
          </cell>
          <cell r="G216">
            <v>18</v>
          </cell>
          <cell r="H216">
            <v>15</v>
          </cell>
          <cell r="I216">
            <v>22.5</v>
          </cell>
          <cell r="J216">
            <v>22.5</v>
          </cell>
        </row>
        <row r="217">
          <cell r="A217" t="str">
            <v>황기</v>
          </cell>
          <cell r="B217"/>
          <cell r="C217">
            <v>11000</v>
          </cell>
          <cell r="D217">
            <v>24000</v>
          </cell>
          <cell r="E217">
            <v>13400</v>
          </cell>
          <cell r="F217">
            <v>0</v>
          </cell>
          <cell r="G217">
            <v>22</v>
          </cell>
          <cell r="H217">
            <v>40</v>
          </cell>
          <cell r="I217">
            <v>22.333333333333332</v>
          </cell>
          <cell r="J217">
            <v>22.3</v>
          </cell>
        </row>
        <row r="218">
          <cell r="A218" t="str">
            <v>황련</v>
          </cell>
          <cell r="B218"/>
          <cell r="C218">
            <v>68400</v>
          </cell>
          <cell r="D218">
            <v>85000</v>
          </cell>
          <cell r="E218">
            <v>81900</v>
          </cell>
          <cell r="F218">
            <v>0</v>
          </cell>
          <cell r="G218">
            <v>136.80000000000001</v>
          </cell>
          <cell r="H218">
            <v>141.66666666666666</v>
          </cell>
          <cell r="I218">
            <v>136.5</v>
          </cell>
          <cell r="J218">
            <v>136.80000000000001</v>
          </cell>
        </row>
        <row r="219">
          <cell r="A219" t="str">
            <v>황백</v>
          </cell>
          <cell r="B219"/>
          <cell r="C219">
            <v>12800</v>
          </cell>
          <cell r="D219">
            <v>9500</v>
          </cell>
          <cell r="E219">
            <v>18500</v>
          </cell>
          <cell r="F219">
            <v>0</v>
          </cell>
          <cell r="G219">
            <v>25.6</v>
          </cell>
          <cell r="H219">
            <v>15.833333333333334</v>
          </cell>
          <cell r="I219">
            <v>30.833333333333332</v>
          </cell>
          <cell r="J219">
            <v>30.8</v>
          </cell>
        </row>
        <row r="220">
          <cell r="A220" t="str">
            <v>황정</v>
          </cell>
          <cell r="B220"/>
          <cell r="C220"/>
          <cell r="D220">
            <v>9500</v>
          </cell>
          <cell r="E220"/>
          <cell r="F220">
            <v>0</v>
          </cell>
          <cell r="G220">
            <v>0</v>
          </cell>
          <cell r="H220">
            <v>15.833333333333334</v>
          </cell>
          <cell r="I220">
            <v>0</v>
          </cell>
          <cell r="J220">
            <v>15.8</v>
          </cell>
        </row>
        <row r="221">
          <cell r="A221" t="str">
            <v>후박</v>
          </cell>
          <cell r="B221"/>
          <cell r="C221">
            <v>4100</v>
          </cell>
          <cell r="D221">
            <v>4500</v>
          </cell>
          <cell r="E221">
            <v>5300</v>
          </cell>
          <cell r="F221">
            <v>0</v>
          </cell>
          <cell r="G221">
            <v>8.1999999999999993</v>
          </cell>
          <cell r="H221">
            <v>7.5</v>
          </cell>
          <cell r="I221">
            <v>8.8333333333333339</v>
          </cell>
          <cell r="J221">
            <v>8.8000000000000007</v>
          </cell>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J2386"/>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N25" sqref="N2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417</v>
      </c>
      <c r="K1" s="175" t="s">
        <v>5</v>
      </c>
      <c r="L1" s="176"/>
      <c r="M1" s="177"/>
    </row>
    <row r="2" spans="2:13">
      <c r="B2" s="2">
        <v>1</v>
      </c>
      <c r="C2" t="s">
        <v>422</v>
      </c>
      <c r="D2" s="3"/>
      <c r="E2" s="87">
        <v>10</v>
      </c>
      <c r="F2" s="171">
        <f>E2*$L$15</f>
        <v>100</v>
      </c>
      <c r="G2">
        <f>VLOOKUP($C2,[1]약재관리!$A:$J,10,FALSE)</f>
        <v>14.7</v>
      </c>
      <c r="H2" s="4">
        <f>G2*E2</f>
        <v>147</v>
      </c>
      <c r="I2" s="5">
        <f t="shared" ref="I2:I7" si="0">G2*F2</f>
        <v>1470</v>
      </c>
      <c r="J2" s="99">
        <f>F2/$L$14</f>
        <v>10</v>
      </c>
      <c r="K2" s="6" t="s">
        <v>6</v>
      </c>
      <c r="L2" s="189">
        <v>186</v>
      </c>
      <c r="M2" s="190"/>
    </row>
    <row r="3" spans="2:13">
      <c r="B3" s="2">
        <v>2</v>
      </c>
      <c r="C3" t="s">
        <v>423</v>
      </c>
      <c r="D3" s="3"/>
      <c r="E3" s="87">
        <v>4</v>
      </c>
      <c r="F3" s="97">
        <f t="shared" ref="F3:F4" si="1">E3*$L$15</f>
        <v>40</v>
      </c>
      <c r="G3">
        <f>VLOOKUP($C3,[1]약재관리!$A:$J,10,FALSE)</f>
        <v>27.8</v>
      </c>
      <c r="H3" s="4">
        <f t="shared" ref="H3:H4" si="2">G3*E3</f>
        <v>111.2</v>
      </c>
      <c r="I3" s="5">
        <f t="shared" si="0"/>
        <v>1112</v>
      </c>
      <c r="J3" s="99">
        <f t="shared" ref="J3:J18" si="3">F3/$L$14</f>
        <v>4</v>
      </c>
      <c r="K3" s="7" t="s">
        <v>7</v>
      </c>
      <c r="L3" s="187" t="s">
        <v>419</v>
      </c>
      <c r="M3" s="188"/>
    </row>
    <row r="4" spans="2:13">
      <c r="B4" s="2">
        <v>3</v>
      </c>
      <c r="C4" t="s">
        <v>437</v>
      </c>
      <c r="D4" s="3"/>
      <c r="E4" s="87">
        <v>4</v>
      </c>
      <c r="F4" s="97">
        <f t="shared" si="1"/>
        <v>40</v>
      </c>
      <c r="G4">
        <f>VLOOKUP($C4,[1]약재관리!$A:$J,10,FALSE)</f>
        <v>17.600000000000001</v>
      </c>
      <c r="H4" s="4">
        <f t="shared" si="2"/>
        <v>70.400000000000006</v>
      </c>
      <c r="I4" s="5">
        <f t="shared" si="0"/>
        <v>704</v>
      </c>
      <c r="J4" s="99">
        <f t="shared" si="3"/>
        <v>4</v>
      </c>
      <c r="K4" s="7" t="s">
        <v>8</v>
      </c>
      <c r="L4" s="191">
        <v>46055</v>
      </c>
      <c r="M4" s="188"/>
    </row>
    <row r="5" spans="2:13">
      <c r="B5" s="2">
        <v>4</v>
      </c>
      <c r="C5" t="s">
        <v>424</v>
      </c>
      <c r="D5" s="3"/>
      <c r="E5" s="87">
        <v>4</v>
      </c>
      <c r="F5" s="97">
        <f t="shared" ref="F5:F31" si="4">E5*$L$15</f>
        <v>40</v>
      </c>
      <c r="G5">
        <f>VLOOKUP($C5,[1]약재관리!$A:$J,10,FALSE)</f>
        <v>8.8000000000000007</v>
      </c>
      <c r="H5" s="4">
        <f t="shared" ref="H5:H31" si="5">G5*E5</f>
        <v>35.200000000000003</v>
      </c>
      <c r="I5" s="5">
        <f t="shared" si="0"/>
        <v>352</v>
      </c>
      <c r="J5" s="99">
        <f t="shared" si="3"/>
        <v>4</v>
      </c>
      <c r="K5" s="7" t="s">
        <v>9</v>
      </c>
      <c r="L5" s="187" t="s">
        <v>420</v>
      </c>
      <c r="M5" s="188"/>
    </row>
    <row r="6" spans="2:13">
      <c r="B6" s="2">
        <v>5</v>
      </c>
      <c r="C6" t="s">
        <v>425</v>
      </c>
      <c r="D6" s="3"/>
      <c r="E6" s="87">
        <v>4</v>
      </c>
      <c r="F6" s="97">
        <f t="shared" si="4"/>
        <v>40</v>
      </c>
      <c r="G6">
        <f>VLOOKUP($C6,[1]약재관리!$A:$J,10,FALSE)</f>
        <v>41</v>
      </c>
      <c r="H6" s="4">
        <f t="shared" si="5"/>
        <v>164</v>
      </c>
      <c r="I6" s="5">
        <f t="shared" si="0"/>
        <v>1640</v>
      </c>
      <c r="J6" s="99">
        <f t="shared" si="3"/>
        <v>4</v>
      </c>
      <c r="K6" s="7" t="s">
        <v>10</v>
      </c>
      <c r="L6" s="187">
        <v>28</v>
      </c>
      <c r="M6" s="188"/>
    </row>
    <row r="7" spans="2:13" ht="17.25" thickBot="1">
      <c r="B7" s="2">
        <v>6</v>
      </c>
      <c r="C7" t="s">
        <v>418</v>
      </c>
      <c r="D7" s="3"/>
      <c r="E7" s="87">
        <v>4</v>
      </c>
      <c r="F7" s="97">
        <f t="shared" si="4"/>
        <v>40</v>
      </c>
      <c r="G7">
        <f>VLOOKUP($C7,[1]약재관리!$A:$J,10,FALSE)</f>
        <v>8.6999999999999993</v>
      </c>
      <c r="H7" s="4">
        <f t="shared" si="5"/>
        <v>34.799999999999997</v>
      </c>
      <c r="I7" s="5">
        <f t="shared" si="0"/>
        <v>348</v>
      </c>
      <c r="J7" s="99">
        <f t="shared" si="3"/>
        <v>4</v>
      </c>
      <c r="K7" s="7" t="s">
        <v>11</v>
      </c>
      <c r="L7" s="173" t="s">
        <v>421</v>
      </c>
      <c r="M7" s="174"/>
    </row>
    <row r="8" spans="2:13" ht="17.25" thickBot="1">
      <c r="B8" s="2">
        <v>7</v>
      </c>
      <c r="C8" t="s">
        <v>426</v>
      </c>
      <c r="D8" s="3"/>
      <c r="E8" s="87">
        <v>4</v>
      </c>
      <c r="F8" s="97">
        <f t="shared" si="4"/>
        <v>40</v>
      </c>
      <c r="G8">
        <f>VLOOKUP($C8,[1]약재관리!$A:$J,10,FALSE)</f>
        <v>28</v>
      </c>
      <c r="H8" s="4">
        <f t="shared" si="5"/>
        <v>112</v>
      </c>
      <c r="I8" s="5">
        <f t="shared" ref="I8:I31" si="6">G8*F8</f>
        <v>1120</v>
      </c>
      <c r="J8" s="99">
        <f t="shared" si="3"/>
        <v>4</v>
      </c>
      <c r="K8" s="175" t="s">
        <v>12</v>
      </c>
      <c r="L8" s="176"/>
      <c r="M8" s="177"/>
    </row>
    <row r="9" spans="2:13">
      <c r="B9" s="2">
        <v>8</v>
      </c>
      <c r="C9" t="s">
        <v>427</v>
      </c>
      <c r="D9" s="3"/>
      <c r="E9" s="87">
        <v>4</v>
      </c>
      <c r="F9" s="97">
        <f t="shared" si="4"/>
        <v>40</v>
      </c>
      <c r="G9">
        <f>VLOOKUP($C9,[1]약재관리!$A:$J,10,FALSE)</f>
        <v>6</v>
      </c>
      <c r="H9" s="4">
        <f t="shared" si="5"/>
        <v>24</v>
      </c>
      <c r="I9" s="5">
        <f t="shared" si="6"/>
        <v>240</v>
      </c>
      <c r="J9" s="99">
        <f t="shared" si="3"/>
        <v>4</v>
      </c>
      <c r="K9" s="178" t="s">
        <v>438</v>
      </c>
      <c r="L9" s="179"/>
      <c r="M9" s="180"/>
    </row>
    <row r="10" spans="2:13">
      <c r="B10" s="2">
        <v>9</v>
      </c>
      <c r="C10" t="s">
        <v>428</v>
      </c>
      <c r="D10" s="3"/>
      <c r="E10" s="87">
        <v>4</v>
      </c>
      <c r="F10" s="97">
        <f t="shared" si="4"/>
        <v>40</v>
      </c>
      <c r="G10">
        <f>VLOOKUP($C10,[1]약재관리!$A:$J,10,FALSE)</f>
        <v>16.7</v>
      </c>
      <c r="H10" s="4">
        <f t="shared" si="5"/>
        <v>66.8</v>
      </c>
      <c r="I10" s="5">
        <f t="shared" si="6"/>
        <v>668</v>
      </c>
      <c r="J10" s="99">
        <f t="shared" si="3"/>
        <v>4</v>
      </c>
      <c r="K10" s="181"/>
      <c r="L10" s="182"/>
      <c r="M10" s="183"/>
    </row>
    <row r="11" spans="2:13">
      <c r="B11" s="2">
        <v>10</v>
      </c>
      <c r="C11" t="s">
        <v>429</v>
      </c>
      <c r="D11" s="3"/>
      <c r="E11" s="87">
        <v>4</v>
      </c>
      <c r="F11" s="97">
        <f t="shared" si="4"/>
        <v>40</v>
      </c>
      <c r="G11">
        <f>VLOOKUP($C11,[1]약재관리!$A:$J,10,FALSE)</f>
        <v>8</v>
      </c>
      <c r="H11" s="4">
        <f t="shared" si="5"/>
        <v>32</v>
      </c>
      <c r="I11" s="5">
        <f t="shared" si="6"/>
        <v>320</v>
      </c>
      <c r="J11" s="99">
        <f t="shared" si="3"/>
        <v>4</v>
      </c>
      <c r="K11" s="181"/>
      <c r="L11" s="182"/>
      <c r="M11" s="183"/>
    </row>
    <row r="12" spans="2:13">
      <c r="B12" s="2">
        <v>11</v>
      </c>
      <c r="C12" t="s">
        <v>430</v>
      </c>
      <c r="D12" s="3"/>
      <c r="E12" s="87">
        <v>3</v>
      </c>
      <c r="F12" s="97">
        <f t="shared" si="4"/>
        <v>30</v>
      </c>
      <c r="G12">
        <f>VLOOKUP($C12,[1]약재관리!$A:$J,10,FALSE)</f>
        <v>12.2</v>
      </c>
      <c r="H12" s="4">
        <f t="shared" si="5"/>
        <v>36.599999999999994</v>
      </c>
      <c r="I12" s="5">
        <f t="shared" si="6"/>
        <v>366</v>
      </c>
      <c r="J12" s="99">
        <f t="shared" si="3"/>
        <v>3</v>
      </c>
      <c r="K12" s="181"/>
      <c r="L12" s="182"/>
      <c r="M12" s="183"/>
    </row>
    <row r="13" spans="2:13" ht="17.25" thickBot="1">
      <c r="B13" s="2">
        <v>12</v>
      </c>
      <c r="C13" t="s">
        <v>431</v>
      </c>
      <c r="D13" s="3"/>
      <c r="E13" s="87">
        <v>2</v>
      </c>
      <c r="F13" s="97">
        <f t="shared" si="4"/>
        <v>20</v>
      </c>
      <c r="G13">
        <f>VLOOKUP($C13,[1]약재관리!$A:$J,10,FALSE)</f>
        <v>22.5</v>
      </c>
      <c r="H13" s="4">
        <f t="shared" si="5"/>
        <v>45</v>
      </c>
      <c r="I13" s="5">
        <f t="shared" si="6"/>
        <v>450</v>
      </c>
      <c r="J13" s="99">
        <f t="shared" si="3"/>
        <v>2</v>
      </c>
      <c r="K13" s="184"/>
      <c r="L13" s="185"/>
      <c r="M13" s="186"/>
    </row>
    <row r="14" spans="2:13">
      <c r="B14" s="2">
        <v>13</v>
      </c>
      <c r="C14" t="s">
        <v>432</v>
      </c>
      <c r="D14" s="3"/>
      <c r="E14" s="87">
        <v>2</v>
      </c>
      <c r="F14" s="97">
        <f t="shared" si="4"/>
        <v>20</v>
      </c>
      <c r="G14">
        <f>VLOOKUP($C14,[1]약재관리!$A:$J,10,FALSE)</f>
        <v>136.80000000000001</v>
      </c>
      <c r="H14" s="4">
        <f>G14*E14</f>
        <v>273.60000000000002</v>
      </c>
      <c r="I14" s="5">
        <f>G14*F14</f>
        <v>2736</v>
      </c>
      <c r="J14" s="99">
        <f t="shared" si="3"/>
        <v>2</v>
      </c>
      <c r="K14" s="90" t="s">
        <v>13</v>
      </c>
      <c r="L14" s="8">
        <v>10</v>
      </c>
      <c r="M14" s="9" t="s">
        <v>14</v>
      </c>
    </row>
    <row r="15" spans="2:13">
      <c r="B15" s="2">
        <v>14</v>
      </c>
      <c r="C15" t="s">
        <v>433</v>
      </c>
      <c r="D15" s="3"/>
      <c r="E15" s="87">
        <v>4</v>
      </c>
      <c r="F15" s="97">
        <f t="shared" si="4"/>
        <v>40</v>
      </c>
      <c r="G15">
        <f>VLOOKUP($C15,[1]약재관리!$A:$J,10,FALSE)</f>
        <v>20</v>
      </c>
      <c r="H15" s="4">
        <f>G15*E15</f>
        <v>80</v>
      </c>
      <c r="I15" s="5">
        <f>G15*F15</f>
        <v>800</v>
      </c>
      <c r="J15" s="99">
        <f t="shared" si="3"/>
        <v>4</v>
      </c>
      <c r="K15" s="89" t="s">
        <v>15</v>
      </c>
      <c r="L15">
        <v>10</v>
      </c>
      <c r="M15" s="3" t="s">
        <v>16</v>
      </c>
    </row>
    <row r="16" spans="2:13">
      <c r="B16" s="2">
        <v>15</v>
      </c>
      <c r="C16" t="s">
        <v>434</v>
      </c>
      <c r="D16" s="3"/>
      <c r="E16" s="87">
        <v>4</v>
      </c>
      <c r="F16" s="97">
        <f t="shared" si="4"/>
        <v>40</v>
      </c>
      <c r="G16">
        <f>VLOOKUP($C16,[1]약재관리!$A:$J,10,FALSE)</f>
        <v>11.5</v>
      </c>
      <c r="H16" s="4">
        <f t="shared" si="5"/>
        <v>46</v>
      </c>
      <c r="I16" s="5">
        <f t="shared" si="6"/>
        <v>460</v>
      </c>
      <c r="J16" s="99">
        <f t="shared" si="3"/>
        <v>4</v>
      </c>
      <c r="K16" s="89" t="s">
        <v>17</v>
      </c>
      <c r="L16">
        <v>20</v>
      </c>
      <c r="M16" s="3" t="s">
        <v>18</v>
      </c>
    </row>
    <row r="17" spans="2:13" ht="17.25" thickBot="1">
      <c r="B17" s="2">
        <v>16</v>
      </c>
      <c r="C17" t="s">
        <v>435</v>
      </c>
      <c r="D17" s="3"/>
      <c r="E17" s="87">
        <v>4</v>
      </c>
      <c r="F17" s="97">
        <f t="shared" si="4"/>
        <v>40</v>
      </c>
      <c r="G17">
        <f>VLOOKUP($C17,[1]약재관리!$A:$J,10,FALSE)</f>
        <v>19.600000000000001</v>
      </c>
      <c r="H17" s="4">
        <f t="shared" si="5"/>
        <v>78.400000000000006</v>
      </c>
      <c r="I17" s="5">
        <f t="shared" si="6"/>
        <v>784</v>
      </c>
      <c r="J17" s="99">
        <f t="shared" si="3"/>
        <v>4</v>
      </c>
      <c r="K17" s="13" t="s">
        <v>19</v>
      </c>
      <c r="L17" s="10">
        <v>70</v>
      </c>
      <c r="M17" s="11" t="s">
        <v>20</v>
      </c>
    </row>
    <row r="18" spans="2:13">
      <c r="B18" s="2">
        <v>17</v>
      </c>
      <c r="C18" t="s">
        <v>436</v>
      </c>
      <c r="D18" s="3"/>
      <c r="E18" s="87">
        <v>4</v>
      </c>
      <c r="F18" s="97">
        <f t="shared" si="4"/>
        <v>40</v>
      </c>
      <c r="G18">
        <f>VLOOKUP($C18,[1]약재관리!$A:$J,10,FALSE)</f>
        <v>59.7</v>
      </c>
      <c r="H18" s="4">
        <f t="shared" si="5"/>
        <v>238.8</v>
      </c>
      <c r="I18" s="5">
        <f t="shared" si="6"/>
        <v>2388</v>
      </c>
      <c r="J18" s="99">
        <f t="shared" si="3"/>
        <v>4</v>
      </c>
      <c r="K18" s="90" t="s">
        <v>21</v>
      </c>
      <c r="L18" s="8">
        <f>SUM(E2:E31)</f>
        <v>69</v>
      </c>
      <c r="M18" s="9" t="s">
        <v>22</v>
      </c>
    </row>
    <row r="19" spans="2:13">
      <c r="B19" s="2">
        <v>18</v>
      </c>
      <c r="D19" s="3"/>
      <c r="F19" s="97">
        <f t="shared" si="4"/>
        <v>0</v>
      </c>
      <c r="H19" s="4">
        <f t="shared" si="5"/>
        <v>0</v>
      </c>
      <c r="I19" s="5">
        <f t="shared" si="6"/>
        <v>0</v>
      </c>
      <c r="K19" s="89" t="s">
        <v>23</v>
      </c>
      <c r="L19">
        <f>L15*L18</f>
        <v>690</v>
      </c>
      <c r="M19" s="3" t="s">
        <v>22</v>
      </c>
    </row>
    <row r="20" spans="2:13" ht="17.25" thickBot="1">
      <c r="B20" s="2">
        <v>19</v>
      </c>
      <c r="D20" s="3"/>
      <c r="F20" s="97">
        <f t="shared" si="4"/>
        <v>0</v>
      </c>
      <c r="H20" s="4">
        <f t="shared" si="5"/>
        <v>0</v>
      </c>
      <c r="I20" s="5">
        <f t="shared" si="6"/>
        <v>0</v>
      </c>
      <c r="K20" s="13" t="s">
        <v>24</v>
      </c>
      <c r="L20" s="10">
        <f>L16*L17+L19</f>
        <v>2090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690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1595.8</v>
      </c>
      <c r="M30" s="3" t="s">
        <v>33</v>
      </c>
    </row>
    <row r="31" spans="2:13" ht="17.25" thickBot="1">
      <c r="B31" s="12">
        <v>30</v>
      </c>
      <c r="C31" s="13"/>
      <c r="D31" s="11"/>
      <c r="E31" s="93"/>
      <c r="F31" s="98">
        <f t="shared" si="4"/>
        <v>0</v>
      </c>
      <c r="G31" s="10"/>
      <c r="H31" s="14">
        <f t="shared" si="5"/>
        <v>0</v>
      </c>
      <c r="I31" s="15">
        <f t="shared" si="6"/>
        <v>0</v>
      </c>
      <c r="K31" s="13" t="s">
        <v>34</v>
      </c>
      <c r="L31" s="14">
        <f>SUM(I2:I31)</f>
        <v>15958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2026-01-26T05:17:07Z</cp:lastPrinted>
  <dcterms:created xsi:type="dcterms:W3CDTF">2024-09-12T16:35:01Z</dcterms:created>
  <dcterms:modified xsi:type="dcterms:W3CDTF">2026-02-05T00:35:51Z</dcterms:modified>
  <cp:category/>
  <cp:contentStatus/>
</cp:coreProperties>
</file>