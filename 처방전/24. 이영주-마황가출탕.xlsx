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48" documentId="8_{6EB8DC0A-AB56-415F-A9F3-EA1534264548}" xr6:coauthVersionLast="47" xr6:coauthVersionMax="47" xr10:uidLastSave="{BB8549CC-C0DA-479F-A479-735AA78400DB}"/>
  <bookViews>
    <workbookView xWindow="-120" yWindow="-120" windowWidth="29040" windowHeight="15720" xr2:uid="{8B9F1886-173A-4475-B0CF-D9F36CE30773}"/>
  </bookViews>
  <sheets>
    <sheet name="대청룡탕" sheetId="5" r:id="rId1"/>
    <sheet name="마황가출탕"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H3" i="5" s="1"/>
  <c r="G4" i="5"/>
  <c r="G5" i="5"/>
  <c r="H5" i="5" s="1"/>
  <c r="G6" i="5"/>
  <c r="G7" i="5"/>
  <c r="G8" i="5"/>
  <c r="H8" i="5" s="1"/>
  <c r="H31" i="5"/>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H22" i="5"/>
  <c r="F22" i="5"/>
  <c r="I22" i="5" s="1"/>
  <c r="H21" i="5"/>
  <c r="F21" i="5"/>
  <c r="I21" i="5" s="1"/>
  <c r="I20" i="5"/>
  <c r="H20" i="5"/>
  <c r="F20" i="5"/>
  <c r="H19" i="5"/>
  <c r="F19" i="5"/>
  <c r="I19" i="5" s="1"/>
  <c r="L18" i="5"/>
  <c r="L19" i="5" s="1"/>
  <c r="L20" i="5" s="1"/>
  <c r="H18" i="5"/>
  <c r="F18" i="5"/>
  <c r="I18" i="5" s="1"/>
  <c r="H17" i="5"/>
  <c r="F17" i="5"/>
  <c r="I17" i="5" s="1"/>
  <c r="H16" i="5"/>
  <c r="F16" i="5"/>
  <c r="I16" i="5" s="1"/>
  <c r="I15" i="5"/>
  <c r="H15" i="5"/>
  <c r="F15" i="5"/>
  <c r="H14" i="5"/>
  <c r="F14" i="5"/>
  <c r="I14" i="5" s="1"/>
  <c r="H13" i="5"/>
  <c r="F13" i="5"/>
  <c r="I13" i="5" s="1"/>
  <c r="H12" i="5"/>
  <c r="F12" i="5"/>
  <c r="I12" i="5" s="1"/>
  <c r="H11" i="5"/>
  <c r="F11" i="5"/>
  <c r="I11" i="5" s="1"/>
  <c r="H10" i="5"/>
  <c r="F10" i="5"/>
  <c r="I10" i="5" s="1"/>
  <c r="H9" i="5"/>
  <c r="F9" i="5"/>
  <c r="I9" i="5" s="1"/>
  <c r="F8" i="5"/>
  <c r="F7" i="5"/>
  <c r="F6" i="5"/>
  <c r="F5" i="5"/>
  <c r="F4" i="5"/>
  <c r="F3" i="5"/>
  <c r="G2" i="5"/>
  <c r="F2" i="5"/>
  <c r="F2" i="4"/>
  <c r="I51" i="3"/>
  <c r="H51" i="3"/>
  <c r="G51" i="3"/>
  <c r="F51" i="3"/>
  <c r="I7" i="5" l="1"/>
  <c r="H7" i="5"/>
  <c r="I6" i="5"/>
  <c r="I4" i="5"/>
  <c r="I2" i="5"/>
  <c r="L23" i="5"/>
  <c r="H4" i="5"/>
  <c r="H6" i="5"/>
  <c r="I3" i="5"/>
  <c r="I8" i="5"/>
  <c r="H2" i="5"/>
  <c r="I5" i="5"/>
  <c r="G3" i="4"/>
  <c r="G4" i="4"/>
  <c r="H4" i="4" s="1"/>
  <c r="G5" i="4"/>
  <c r="H5" i="4" s="1"/>
  <c r="G6" i="4"/>
  <c r="H6" i="4" s="1"/>
  <c r="H7" i="4"/>
  <c r="H8" i="4"/>
  <c r="I9" i="4"/>
  <c r="I10" i="4"/>
  <c r="H12" i="4"/>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5" l="1"/>
  <c r="L31" i="5"/>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<sst xmlns="http://schemas.openxmlformats.org/spreadsheetml/2006/main" count="624" uniqueCount="414">
  <si>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</si>
  <si>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</si>
  <si>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</si>
  <si>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</si>
  <si>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</si>
  <si>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</si>
  <si>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</si>
  <si>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</si>
  <si>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</si>
  <si>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</si>
  <si>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</si>
  <si>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</si>
  <si>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</si>
  <si>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</si>
  <si>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</si>
  <si>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</si>
  <si>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</si>
  <si>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</si>
  <si>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</si>
  <si>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</si>
  <si>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</si>
  <si>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</si>
  <si>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</si>
  <si>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</si>
  <si>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</si>
  <si>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</si>
  <si>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</si>
  <si>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</si>
  <si>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</si>
  <si>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</si>
  <si>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</si>
  <si>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</si>
  <si>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</si>
  <si>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</si>
  <si>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</si>
  <si>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</si>
  <si>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</si>
  <si>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</si>
  <si>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</si>
  <si>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</si>
  <si>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</si>
  <si>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</si>
  <si>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</si>
  <si>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</si>
  <si>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</si>
  <si>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</si>
  <si>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</si>
  <si>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</si>
  <si>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</si>
  <si>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</si>
  <si>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</si>
  <si>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</si>
  <si>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</si>
  <si>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</si>
  <si>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</si>
  <si>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</si>
  <si>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</si>
  <si>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</si>
  <si>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</si>
  <si>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</si>
  <si>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</si>
  <si>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</si>
  <si>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</si>
  <si>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</si>
  <si>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</si>
  <si>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</si>
  <si>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</si>
  <si>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</si>
  <si>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</si>
  <si>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</si>
  <si>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</si>
  <si>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</si>
  <si>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</si>
  <si>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</si>
  <si>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</si>
  <si>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</si>
  <si>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</si>
  <si>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</si>
  <si>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</si>
  <si>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</si>
  <si>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</si>
  <si>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</si>
  <si>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</si>
  <si>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</si>
  <si>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</si>
  <si>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</si>
  <si>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</si>
  <si>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</si>
  <si>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</si>
  <si>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</si>
  <si>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</si>
  <si>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</si>
  <si>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</si>
  <si>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</si>
  <si>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</si>
  <si>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</si>
  <si>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</si>
  <si>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</si>
  <si>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</si>
  <si>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</si>
  <si>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</si>
  <si>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</si>
  <si>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</si>
  <si>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</si>
  <si>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</si>
  <si>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</si>
  <si>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</si>
  <si>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</si>
  <si>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</si>
  <si>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</si>
  <si>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</si>
  <si>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</si>
  <si>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</si>
  <si>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</si>
  <si>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</si>
  <si>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</si>
  <si>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</si>
  <si>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</si>
  <si>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</si>
  <si>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</si>
  <si>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</si>
  <si>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</si>
  <si>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</si>
  <si>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</si>
  <si>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</si>
  <si>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</si>
  <si>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</si>
  <si>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</si>
  <si>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</si>
  <si>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</si>
  <si>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</si>
  <si>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</si>
  <si>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</si>
  <si>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</si>
  <si>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</si>
  <si>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</si>
  <si>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</si>
  <si>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</si>
  <si>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</si>
  <si>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</si>
  <si>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</si>
  <si>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</si>
  <si>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</si>
  <si>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</si>
  <si>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</si>
  <si>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</si>
  <si>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</si>
  <si>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</si>
  <si>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</si>
  <si>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</si>
  <si>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</si>
  <si>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</si>
  <si>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</si>
  <si>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</si>
  <si>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</si>
  <si>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</si>
  <si>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</si>
  <si>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</si>
  <si>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</si>
  <si>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</si>
  <si>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</si>
  <si>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</si>
  <si>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</si>
  <si>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</si>
  <si>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</si>
  <si>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</si>
  <si>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</si>
  <si>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</si>
  <si>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</si>
  <si>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</si>
  <si>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</si>
  <si>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</si>
  <si>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</si>
  <si>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</si>
  <si>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</si>
  <si>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</si>
  <si>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</si>
  <si>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</si>
  <si>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</si>
  <si>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</si>
  <si>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</si>
  <si>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</si>
  <si>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</si>
  <si>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</si>
  <si>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</si>
  <si>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</si>
  <si>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</si>
  <si>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</si>
  <si>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</si>
  <si>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</si>
  <si>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</si>
  <si>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</si>
  <si>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</si>
  <si>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</si>
  <si>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</si>
  <si>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</si>
  <si>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</si>
  <si>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</si>
  <si>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</si>
  <si>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</si>
  <si>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</si>
  <si>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</si>
  <si>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</si>
  <si>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</si>
  <si>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</si>
  <si>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</si>
  <si>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</si>
  <si>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</si>
  <si>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</si>
  <si>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</si>
  <si>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</si>
  <si>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</si>
  <si>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</si>
  <si>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</si>
  <si>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</si>
  <si>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</si>
  <si>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</si>
  <si>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</si>
  <si>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</si>
  <si>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</si>
  <si>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</si>
  <si>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</si>
  <si>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</si>
  <si>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</si>
  <si>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</si>
  <si>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</si>
  <si>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</si>
  <si>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</si>
  <si>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</si>
  <si>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</si>
  <si>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</si>
  <si>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</si>
  <si>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</si>
  <si>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</si>
  <si>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</si>
  <si>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</si>
  <si>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</si>
  <si>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</si>
  <si>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</si>
  <si>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</si>
  <si>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</si>
  <si>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</si>
  <si>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</si>
  <si>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</si>
  <si>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</si>
  <si>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</si>
  <si>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</si>
  <si>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</si>
  <si>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</si>
  <si>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</si>
  <si>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</si>
  <si>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</si>
  <si>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</si>
  <si>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</si>
  <si>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</si>
  <si>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</si>
  <si>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</si>
  <si>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</si>
  <si>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</si>
  <si>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</si>
  <si>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</si>
  <si>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</si>
  <si>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</si>
  <si>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</si>
  <si>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</si>
  <si>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</si>
  <si>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</si>
  <si>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</si>
  <si>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</si>
  <si>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</si>
  <si>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</si>
  <si>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</si>
  <si>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</si>
  <si>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</si>
  <si>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</si>
  <si>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</si>
  <si>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</si>
  <si>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</si>
  <si>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</si>
  <si>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</si>
  <si>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</si>
  <si>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</si>
  <si>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</si>
  <si>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</si>
  <si>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</si>
  <si>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</si>
  <si>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</si>
  <si>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</si>
  <si>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</si>
  <si>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</si>
  <si>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</si>
  <si>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</si>
  <si>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</si>
  <si>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</si>
  <si>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</si>
  <si>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</si>
  <si>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</si>
  <si>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</si>
  <si>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</si>
  <si>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</si>
  <si>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</si>
  <si>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</si>
  <si>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</si>
  <si>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</si>
  <si>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</si>
  <si>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</si>
  <si>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</si>
  <si>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</si>
  <si>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</si>
  <si>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</si>
  <si>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</si>
  <si>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</si>
  <si>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</si>
  <si>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</si>
  <si>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</si>
  <si>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</si>
  <si>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</si>
  <si>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</si>
  <si>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</si>
  <si>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</si>
  <si>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</si>
  <si>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</si>
  <si>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</si>
  <si>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</si>
  <si>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</si>
  <si>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</si>
  <si>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</si>
  <si>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</si>
  <si>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</si>
  <si>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</si>
  <si>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</si>
  <si>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</si>
  <si>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</si>
  <si>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</si>
  <si>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</si>
  <si>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</si>
  <si>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</si>
  <si>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</si>
  <si>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</si>
  <si>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</si>
  <si>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</si>
  <si>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</si>
  <si>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</si>
  <si>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</si>
  <si>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</si>
  <si>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</si>
  <si>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</si>
  <si>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</si>
  <si>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</si>
  <si>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</si>
  <si>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</si>
  <si>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</si>
  <si>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</si>
  <si>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</si>
  <si>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</si>
  <si>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</si>
  <si>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</si>
  <si>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</si>
  <si>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</si>
  <si>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</si>
  <si>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</si>
  <si>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</si>
  <si>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</si>
  <si>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</si>
  <si>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</si>
  <si>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</si>
  <si>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</si>
  <si>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</si>
  <si>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</si>
  <si>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</si>
  <si>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</si>
  <si>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</si>
  <si>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</si>
  <si>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</si>
  <si>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</si>
  <si>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</si>
  <si>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</si>
  <si>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</si>
  <si>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</si>
  <si>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</si>
  <si>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</si>
  <si>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</si>
  <si>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</si>
  <si>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</si>
  <si>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</si>
  <si>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</si>
  <si>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</si>
  <si>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</si>
  <si>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</si>
  <si>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</si>
  <si>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</si>
  <si>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</si>
  <si>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</si>
  <si>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</si>
  <si>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</si>
  <si>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</si>
  <si>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</si>
  <si>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</si>
  <si>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</si>
  <si>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</si>
  <si>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</si>
  <si>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마황가출탕</t>
    <phoneticPr fontId="5" type="noConversion"/>
  </si>
  <si>
    <t>이영주</t>
    <phoneticPr fontId="5" type="noConversion"/>
  </si>
  <si>
    <t>F</t>
    <phoneticPr fontId="5" type="noConversion"/>
  </si>
  <si>
    <t>마황</t>
    <phoneticPr fontId="5" type="noConversion"/>
  </si>
  <si>
    <t>행인</t>
    <phoneticPr fontId="5" type="noConversion"/>
  </si>
  <si>
    <t>육계</t>
    <phoneticPr fontId="5" type="noConversion"/>
  </si>
  <si>
    <t>감초</t>
    <phoneticPr fontId="5" type="noConversion"/>
  </si>
  <si>
    <t>창출2</t>
    <phoneticPr fontId="5" type="noConversion"/>
  </si>
  <si>
    <t xml:space="preserve">#견통, 주관절통, 아침 손얼굴 붓는다
</t>
    <phoneticPr fontId="5" type="noConversion"/>
  </si>
  <si>
    <t>대청룡탕</t>
    <phoneticPr fontId="5" type="noConversion"/>
  </si>
  <si>
    <t>석고</t>
    <phoneticPr fontId="5" type="noConversion"/>
  </si>
  <si>
    <t>대추</t>
    <phoneticPr fontId="5" type="noConversion"/>
  </si>
  <si>
    <t>생강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</si>
</sst>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56A54-F19E-4D2A-BCF3-C551A02C7763}">
  <sheetPr>
    <pageSetUpPr fitToPage="1"/>
  </sheetPr>
  <dimension ref="B1:M31"/>
  <sheetViews>
    <sheetView tabSelected="1" workbookViewId="0">
      <selection activeCell="L16" sqref="L16"/>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411</v>
      </c>
      <c r="D2" s="4"/>
      <c r="E2" s="151">
        <v>16</v>
      </c>
      <c r="F2" s="166">
        <f>E2*$L$15</f>
        <v>240</v>
      </c>
      <c r="G2">
        <f>VLOOKUP($C2,약재관리!A:J,10,FALSE)</f>
        <v>5.5</v>
      </c>
      <c r="H2" s="5">
        <f>G2*E2</f>
        <v>88</v>
      </c>
      <c r="I2" s="154">
        <f>G2*F2</f>
        <v>1320</v>
      </c>
      <c r="K2" s="7" t="s">
        <v>9</v>
      </c>
      <c r="L2" s="174">
        <v>24</v>
      </c>
      <c r="M2" s="175"/>
    </row>
    <row r="3" spans="2:13">
      <c r="B3" s="3">
        <v>2</v>
      </c>
      <c r="C3" t="s">
        <v>404</v>
      </c>
      <c r="D3" s="4"/>
      <c r="E3" s="151">
        <v>12</v>
      </c>
      <c r="F3" s="166">
        <f t="shared" ref="F3:F31" si="0">E3*$L$15</f>
        <v>180</v>
      </c>
      <c r="G3">
        <f>VLOOKUP($C3,약재관리!A:J,10,FALSE)</f>
        <v>8.5</v>
      </c>
      <c r="H3" s="5">
        <f t="shared" ref="H3:H31" si="1">G3*E3</f>
        <v>102</v>
      </c>
      <c r="I3" s="6">
        <f t="shared" ref="I3:I31" si="2">G3*F3</f>
        <v>1530</v>
      </c>
      <c r="K3" s="8" t="s">
        <v>10</v>
      </c>
      <c r="L3" s="169" t="s">
        <v>410</v>
      </c>
      <c r="M3" s="170"/>
    </row>
    <row r="4" spans="2:13">
      <c r="B4" s="3">
        <v>3</v>
      </c>
      <c r="C4" t="s">
        <v>412</v>
      </c>
      <c r="D4" s="4"/>
      <c r="E4" s="151">
        <v>8</v>
      </c>
      <c r="F4" s="166">
        <f t="shared" si="0"/>
        <v>120</v>
      </c>
      <c r="G4">
        <f>VLOOKUP($C4,약재관리!A:J,10,FALSE)</f>
        <v>20.8</v>
      </c>
      <c r="H4" s="5">
        <f t="shared" si="1"/>
        <v>166.4</v>
      </c>
      <c r="I4" s="6">
        <f t="shared" si="2"/>
        <v>2496</v>
      </c>
      <c r="K4" s="8" t="s">
        <v>11</v>
      </c>
      <c r="L4" s="176">
        <v>45598</v>
      </c>
      <c r="M4" s="170"/>
    </row>
    <row r="5" spans="2:13">
      <c r="B5" s="3">
        <v>4</v>
      </c>
      <c r="C5" t="s">
        <v>413</v>
      </c>
      <c r="D5" s="4"/>
      <c r="E5" s="151">
        <v>6</v>
      </c>
      <c r="F5" s="166">
        <f t="shared" si="0"/>
        <v>90</v>
      </c>
      <c r="G5">
        <f>VLOOKUP($C5,약재관리!A:J,10,FALSE)</f>
        <v>18</v>
      </c>
      <c r="H5" s="5">
        <f t="shared" si="1"/>
        <v>108</v>
      </c>
      <c r="I5" s="6">
        <f t="shared" si="2"/>
        <v>1620</v>
      </c>
      <c r="K5" s="8" t="s">
        <v>12</v>
      </c>
      <c r="L5" s="169" t="s">
        <v>402</v>
      </c>
      <c r="M5" s="170"/>
    </row>
    <row r="6" spans="2:13">
      <c r="B6" s="3">
        <v>5</v>
      </c>
      <c r="C6" t="s">
        <v>406</v>
      </c>
      <c r="D6" s="4"/>
      <c r="E6" s="151">
        <v>4</v>
      </c>
      <c r="F6" s="166">
        <f t="shared" si="0"/>
        <v>60</v>
      </c>
      <c r="G6">
        <f>VLOOKUP($C6,약재관리!A:J,10,FALSE)</f>
        <v>14.8</v>
      </c>
      <c r="H6" s="5">
        <f t="shared" si="1"/>
        <v>59.2</v>
      </c>
      <c r="I6" s="6">
        <f t="shared" si="2"/>
        <v>888</v>
      </c>
      <c r="K6" s="8" t="s">
        <v>13</v>
      </c>
      <c r="L6" s="169">
        <v>48</v>
      </c>
      <c r="M6" s="170"/>
    </row>
    <row r="7" spans="2:13" ht="17.25" thickBot="1">
      <c r="B7" s="3">
        <v>6</v>
      </c>
      <c r="C7" t="s">
        <v>407</v>
      </c>
      <c r="D7" s="4"/>
      <c r="E7" s="151">
        <v>4</v>
      </c>
      <c r="F7" s="166">
        <f t="shared" si="0"/>
        <v>60</v>
      </c>
      <c r="G7">
        <f>VLOOKUP($C7,약재관리!A:J,10,FALSE)</f>
        <v>28.3</v>
      </c>
      <c r="H7" s="5">
        <f t="shared" si="1"/>
        <v>113.2</v>
      </c>
      <c r="I7" s="6">
        <f t="shared" si="2"/>
        <v>1698</v>
      </c>
      <c r="K7" s="8" t="s">
        <v>14</v>
      </c>
      <c r="L7" s="177" t="s">
        <v>403</v>
      </c>
      <c r="M7" s="178"/>
    </row>
    <row r="8" spans="2:13" ht="17.25" thickBot="1">
      <c r="B8" s="3">
        <v>7</v>
      </c>
      <c r="C8" t="s">
        <v>405</v>
      </c>
      <c r="D8" s="4"/>
      <c r="E8" s="151">
        <v>4</v>
      </c>
      <c r="F8" s="166">
        <f t="shared" si="0"/>
        <v>60</v>
      </c>
      <c r="G8">
        <f>VLOOKUP($C8,약재관리!A:J,10,FALSE)</f>
        <v>10.8</v>
      </c>
      <c r="H8" s="5">
        <f t="shared" si="1"/>
        <v>43.2</v>
      </c>
      <c r="I8" s="6">
        <f t="shared" si="2"/>
        <v>648</v>
      </c>
      <c r="K8" s="171" t="s">
        <v>15</v>
      </c>
      <c r="L8" s="172"/>
      <c r="M8" s="173"/>
    </row>
    <row r="9" spans="2:13">
      <c r="B9" s="3">
        <v>8</v>
      </c>
      <c r="D9" s="4"/>
      <c r="F9" s="166">
        <f t="shared" si="0"/>
        <v>0</v>
      </c>
      <c r="H9" s="5">
        <f t="shared" si="1"/>
        <v>0</v>
      </c>
      <c r="I9" s="6">
        <f t="shared" si="2"/>
        <v>0</v>
      </c>
      <c r="K9" s="179" t="s">
        <v>409</v>
      </c>
      <c r="L9" s="180"/>
      <c r="M9" s="181"/>
    </row>
    <row r="10" spans="2:13">
      <c r="B10" s="3">
        <v>9</v>
      </c>
      <c r="D10" s="4"/>
      <c r="F10" s="166">
        <f t="shared" si="0"/>
        <v>0</v>
      </c>
      <c r="H10" s="5">
        <f t="shared" si="1"/>
        <v>0</v>
      </c>
      <c r="I10" s="6">
        <f t="shared" si="2"/>
        <v>0</v>
      </c>
      <c r="K10" s="182"/>
      <c r="L10" s="183"/>
      <c r="M10" s="184"/>
    </row>
    <row r="11" spans="2:13">
      <c r="B11" s="3">
        <v>10</v>
      </c>
      <c r="D11" s="4"/>
      <c r="F11" s="166">
        <f t="shared" si="0"/>
        <v>0</v>
      </c>
      <c r="H11" s="5">
        <f t="shared" si="1"/>
        <v>0</v>
      </c>
      <c r="I11" s="6">
        <f t="shared" si="2"/>
        <v>0</v>
      </c>
      <c r="K11" s="182"/>
      <c r="L11" s="183"/>
      <c r="M11" s="184"/>
    </row>
    <row r="12" spans="2:13">
      <c r="B12" s="3">
        <v>11</v>
      </c>
      <c r="D12" s="4"/>
      <c r="F12" s="166">
        <f t="shared" si="0"/>
        <v>0</v>
      </c>
      <c r="H12" s="5">
        <f t="shared" si="1"/>
        <v>0</v>
      </c>
      <c r="I12" s="6">
        <f t="shared" si="2"/>
        <v>0</v>
      </c>
      <c r="K12" s="182"/>
      <c r="L12" s="183"/>
      <c r="M12" s="184"/>
    </row>
    <row r="13" spans="2:13" ht="17.25" thickBot="1">
      <c r="B13" s="3">
        <v>12</v>
      </c>
      <c r="D13" s="4"/>
      <c r="F13" s="166">
        <f t="shared" si="0"/>
        <v>0</v>
      </c>
      <c r="H13" s="5">
        <f t="shared" si="1"/>
        <v>0</v>
      </c>
      <c r="I13" s="6">
        <f t="shared" si="2"/>
        <v>0</v>
      </c>
      <c r="K13" s="185"/>
      <c r="L13" s="186"/>
      <c r="M13" s="187"/>
    </row>
    <row r="14" spans="2:13">
      <c r="B14" s="3">
        <v>13</v>
      </c>
      <c r="D14" s="4"/>
      <c r="F14" s="166">
        <f t="shared" si="0"/>
        <v>0</v>
      </c>
      <c r="H14" s="5">
        <f t="shared" si="1"/>
        <v>0</v>
      </c>
      <c r="I14" s="6">
        <f t="shared" si="2"/>
        <v>0</v>
      </c>
      <c r="K14" s="156" t="s">
        <v>16</v>
      </c>
      <c r="L14" s="9">
        <v>15</v>
      </c>
      <c r="M14" s="10" t="s">
        <v>17</v>
      </c>
    </row>
    <row r="15" spans="2:13">
      <c r="B15" s="3">
        <v>14</v>
      </c>
      <c r="D15" s="4"/>
      <c r="F15" s="166">
        <f t="shared" si="0"/>
        <v>0</v>
      </c>
      <c r="H15" s="5">
        <f t="shared" si="1"/>
        <v>0</v>
      </c>
      <c r="I15" s="6">
        <f t="shared" si="2"/>
        <v>0</v>
      </c>
      <c r="K15" s="155" t="s">
        <v>18</v>
      </c>
      <c r="L15">
        <v>15</v>
      </c>
      <c r="M15" s="4" t="s">
        <v>19</v>
      </c>
    </row>
    <row r="16" spans="2:13">
      <c r="B16" s="3">
        <v>15</v>
      </c>
      <c r="D16" s="4"/>
      <c r="F16" s="166">
        <f t="shared" si="0"/>
        <v>0</v>
      </c>
      <c r="H16" s="5">
        <f t="shared" si="1"/>
        <v>0</v>
      </c>
      <c r="I16" s="6">
        <f t="shared" si="2"/>
        <v>0</v>
      </c>
      <c r="K16" s="155" t="s">
        <v>20</v>
      </c>
      <c r="L16">
        <v>45</v>
      </c>
      <c r="M16" s="4" t="s">
        <v>21</v>
      </c>
    </row>
    <row r="17" spans="2:13" ht="17.25" thickBot="1">
      <c r="B17" s="3">
        <v>16</v>
      </c>
      <c r="D17" s="4"/>
      <c r="F17" s="166">
        <f t="shared" si="0"/>
        <v>0</v>
      </c>
      <c r="H17" s="5">
        <f t="shared" si="1"/>
        <v>0</v>
      </c>
      <c r="I17" s="6">
        <f t="shared" si="2"/>
        <v>0</v>
      </c>
      <c r="K17" s="14" t="s">
        <v>22</v>
      </c>
      <c r="L17" s="11">
        <v>100</v>
      </c>
      <c r="M17" s="12" t="s">
        <v>23</v>
      </c>
    </row>
    <row r="18" spans="2:13">
      <c r="B18" s="3">
        <v>17</v>
      </c>
      <c r="D18" s="4"/>
      <c r="F18" s="166">
        <f t="shared" si="0"/>
        <v>0</v>
      </c>
      <c r="H18" s="5">
        <f t="shared" si="1"/>
        <v>0</v>
      </c>
      <c r="I18" s="6">
        <f t="shared" si="2"/>
        <v>0</v>
      </c>
      <c r="K18" s="156" t="s">
        <v>24</v>
      </c>
      <c r="L18" s="9">
        <f>SUM(E2:E31)</f>
        <v>54</v>
      </c>
      <c r="M18" s="10" t="s">
        <v>25</v>
      </c>
    </row>
    <row r="19" spans="2:13">
      <c r="B19" s="3">
        <v>18</v>
      </c>
      <c r="D19" s="4"/>
      <c r="F19" s="166">
        <f t="shared" si="0"/>
        <v>0</v>
      </c>
      <c r="H19" s="5">
        <f t="shared" si="1"/>
        <v>0</v>
      </c>
      <c r="I19" s="6">
        <f t="shared" si="2"/>
        <v>0</v>
      </c>
      <c r="K19" s="155" t="s">
        <v>26</v>
      </c>
      <c r="L19">
        <f>L15*L18</f>
        <v>810</v>
      </c>
      <c r="M19" s="4" t="s">
        <v>25</v>
      </c>
    </row>
    <row r="20" spans="2:13" ht="17.25" thickBot="1">
      <c r="B20" s="3">
        <v>19</v>
      </c>
      <c r="D20" s="4"/>
      <c r="F20" s="166">
        <f t="shared" si="0"/>
        <v>0</v>
      </c>
      <c r="H20" s="5">
        <f t="shared" si="1"/>
        <v>0</v>
      </c>
      <c r="I20" s="6">
        <f t="shared" si="2"/>
        <v>0</v>
      </c>
      <c r="K20" s="14" t="s">
        <v>27</v>
      </c>
      <c r="L20" s="11">
        <f>L16*L17+L19</f>
        <v>5310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810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680.00000000000011</v>
      </c>
      <c r="M30" s="4" t="s">
        <v>388</v>
      </c>
    </row>
    <row r="31" spans="2:13" ht="17.25" thickBot="1">
      <c r="B31" s="13">
        <v>30</v>
      </c>
      <c r="C31" s="14"/>
      <c r="D31" s="12"/>
      <c r="E31" s="159"/>
      <c r="F31" s="167">
        <f t="shared" si="0"/>
        <v>0</v>
      </c>
      <c r="G31" s="14"/>
      <c r="H31" s="15">
        <f t="shared" si="1"/>
        <v>0</v>
      </c>
      <c r="I31" s="16">
        <f t="shared" si="2"/>
        <v>0</v>
      </c>
      <c r="K31" s="14" t="s">
        <v>387</v>
      </c>
      <c r="L31" s="15">
        <f>SUM(I2:I31)</f>
        <v>10200</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1" t="s">
        <v>8</v>
      </c>
      <c r="L1" s="172"/>
      <c r="M1" s="173"/>
    </row>
    <row r="2" spans="2:13">
      <c r="B2" s="3">
        <v>1</v>
      </c>
      <c r="C2" t="s">
        <v>404</v>
      </c>
      <c r="D2" s="4"/>
      <c r="E2" s="151">
        <v>6</v>
      </c>
      <c r="F2" s="166">
        <f>E2*$L$15</f>
        <v>120</v>
      </c>
      <c r="G2">
        <f>VLOOKUP($C2,약재관리!A:J,10,FALSE)</f>
        <v>8.5</v>
      </c>
      <c r="H2" s="5">
        <f>G2*E2</f>
        <v>51</v>
      </c>
      <c r="I2" s="154">
        <f>G2*F2</f>
        <v>1020</v>
      </c>
      <c r="K2" s="7" t="s">
        <v>9</v>
      </c>
      <c r="L2" s="174">
        <v>24</v>
      </c>
      <c r="M2" s="175"/>
    </row>
    <row r="3" spans="2:13">
      <c r="B3" s="3">
        <v>2</v>
      </c>
      <c r="C3" t="s">
        <v>405</v>
      </c>
      <c r="D3" s="4"/>
      <c r="E3" s="151">
        <v>6</v>
      </c>
      <c r="F3" s="166">
        <f t="shared" ref="F3:F31" si="0">E3*$L$15</f>
        <v>120</v>
      </c>
      <c r="G3">
        <f>VLOOKUP($C3,약재관리!A:J,10,FALSE)</f>
        <v>10.8</v>
      </c>
      <c r="H3" s="5">
        <f t="shared" ref="H3:H31" si="1">G3*E3</f>
        <v>64.800000000000011</v>
      </c>
      <c r="I3" s="6">
        <f t="shared" ref="I3:I31" si="2">G3*F3</f>
        <v>1296</v>
      </c>
      <c r="K3" s="8" t="s">
        <v>10</v>
      </c>
      <c r="L3" s="169" t="s">
        <v>401</v>
      </c>
      <c r="M3" s="170"/>
    </row>
    <row r="4" spans="2:13">
      <c r="B4" s="3">
        <v>3</v>
      </c>
      <c r="C4" t="s">
        <v>406</v>
      </c>
      <c r="D4" s="4"/>
      <c r="E4" s="151">
        <v>4</v>
      </c>
      <c r="F4" s="166">
        <f t="shared" si="0"/>
        <v>80</v>
      </c>
      <c r="G4">
        <f>VLOOKUP($C4,약재관리!A:J,10,FALSE)</f>
        <v>14.8</v>
      </c>
      <c r="H4" s="5">
        <f t="shared" si="1"/>
        <v>59.2</v>
      </c>
      <c r="I4" s="6">
        <f t="shared" si="2"/>
        <v>1184</v>
      </c>
      <c r="K4" s="8" t="s">
        <v>11</v>
      </c>
      <c r="L4" s="176">
        <v>45577</v>
      </c>
      <c r="M4" s="170"/>
    </row>
    <row r="5" spans="2:13">
      <c r="B5" s="3">
        <v>4</v>
      </c>
      <c r="C5" t="s">
        <v>407</v>
      </c>
      <c r="D5" s="4"/>
      <c r="E5" s="151">
        <v>2</v>
      </c>
      <c r="F5" s="166">
        <f t="shared" si="0"/>
        <v>40</v>
      </c>
      <c r="G5">
        <f>VLOOKUP($C5,약재관리!A:J,10,FALSE)</f>
        <v>28.3</v>
      </c>
      <c r="H5" s="5">
        <f t="shared" si="1"/>
        <v>56.6</v>
      </c>
      <c r="I5" s="6">
        <f t="shared" si="2"/>
        <v>1132</v>
      </c>
      <c r="K5" s="8" t="s">
        <v>12</v>
      </c>
      <c r="L5" s="169" t="s">
        <v>402</v>
      </c>
      <c r="M5" s="170"/>
    </row>
    <row r="6" spans="2:13">
      <c r="B6" s="3">
        <v>5</v>
      </c>
      <c r="C6" t="s">
        <v>408</v>
      </c>
      <c r="D6" s="4"/>
      <c r="E6" s="151">
        <v>8</v>
      </c>
      <c r="F6" s="166">
        <f t="shared" si="0"/>
        <v>160</v>
      </c>
      <c r="G6">
        <f>VLOOKUP($C6,약재관리!A:J,10,FALSE)</f>
        <v>24</v>
      </c>
      <c r="H6" s="5">
        <f t="shared" si="1"/>
        <v>192</v>
      </c>
      <c r="I6" s="6">
        <f t="shared" si="2"/>
        <v>3840</v>
      </c>
      <c r="K6" s="8" t="s">
        <v>13</v>
      </c>
      <c r="L6" s="169">
        <v>48</v>
      </c>
      <c r="M6" s="170"/>
    </row>
    <row r="7" spans="2:13" ht="17.25" thickBot="1">
      <c r="B7" s="3">
        <v>6</v>
      </c>
      <c r="D7" s="4"/>
      <c r="F7" s="166">
        <f t="shared" si="0"/>
        <v>0</v>
      </c>
      <c r="H7" s="5">
        <f t="shared" si="1"/>
        <v>0</v>
      </c>
      <c r="I7" s="6">
        <f t="shared" si="2"/>
        <v>0</v>
      </c>
      <c r="K7" s="8" t="s">
        <v>14</v>
      </c>
      <c r="L7" s="177" t="s">
        <v>403</v>
      </c>
      <c r="M7" s="178"/>
    </row>
    <row r="8" spans="2:13" ht="17.25" thickBot="1">
      <c r="B8" s="3">
        <v>7</v>
      </c>
      <c r="D8" s="4"/>
      <c r="F8" s="166">
        <f t="shared" si="0"/>
        <v>0</v>
      </c>
      <c r="H8" s="5">
        <f t="shared" si="1"/>
        <v>0</v>
      </c>
      <c r="I8" s="6">
        <f t="shared" si="2"/>
        <v>0</v>
      </c>
      <c r="K8" s="171" t="s">
        <v>15</v>
      </c>
      <c r="L8" s="172"/>
      <c r="M8" s="173"/>
    </row>
    <row r="9" spans="2:13">
      <c r="B9" s="3">
        <v>8</v>
      </c>
      <c r="D9" s="4"/>
      <c r="F9" s="166">
        <f t="shared" si="0"/>
        <v>0</v>
      </c>
      <c r="H9" s="5">
        <f t="shared" si="1"/>
        <v>0</v>
      </c>
      <c r="I9" s="6">
        <f t="shared" si="2"/>
        <v>0</v>
      </c>
      <c r="K9" s="179" t="s">
        <v>409</v>
      </c>
      <c r="L9" s="180"/>
      <c r="M9" s="181"/>
    </row>
    <row r="10" spans="2:13">
      <c r="B10" s="3">
        <v>9</v>
      </c>
      <c r="D10" s="4"/>
      <c r="F10" s="166">
        <f t="shared" si="0"/>
        <v>0</v>
      </c>
      <c r="H10" s="5">
        <f t="shared" si="1"/>
        <v>0</v>
      </c>
      <c r="I10" s="6">
        <f t="shared" si="2"/>
        <v>0</v>
      </c>
      <c r="K10" s="182"/>
      <c r="L10" s="183"/>
      <c r="M10" s="184"/>
    </row>
    <row r="11" spans="2:13">
      <c r="B11" s="3">
        <v>10</v>
      </c>
      <c r="D11" s="4"/>
      <c r="F11" s="166">
        <f t="shared" si="0"/>
        <v>0</v>
      </c>
      <c r="H11" s="5">
        <f t="shared" si="1"/>
        <v>0</v>
      </c>
      <c r="I11" s="6">
        <f t="shared" si="2"/>
        <v>0</v>
      </c>
      <c r="K11" s="182"/>
      <c r="L11" s="183"/>
      <c r="M11" s="184"/>
    </row>
    <row r="12" spans="2:13">
      <c r="B12" s="3">
        <v>11</v>
      </c>
      <c r="D12" s="4"/>
      <c r="F12" s="166">
        <f t="shared" si="0"/>
        <v>0</v>
      </c>
      <c r="H12" s="5">
        <f t="shared" si="1"/>
        <v>0</v>
      </c>
      <c r="I12" s="6">
        <f t="shared" si="2"/>
        <v>0</v>
      </c>
      <c r="K12" s="182"/>
      <c r="L12" s="183"/>
      <c r="M12" s="184"/>
    </row>
    <row r="13" spans="2:13" ht="17.25" thickBot="1">
      <c r="B13" s="3">
        <v>12</v>
      </c>
      <c r="D13" s="4"/>
      <c r="F13" s="166">
        <f t="shared" si="0"/>
        <v>0</v>
      </c>
      <c r="H13" s="5">
        <f t="shared" si="1"/>
        <v>0</v>
      </c>
      <c r="I13" s="6">
        <f t="shared" si="2"/>
        <v>0</v>
      </c>
      <c r="K13" s="185"/>
      <c r="L13" s="186"/>
      <c r="M13" s="187"/>
    </row>
    <row r="14" spans="2:13">
      <c r="B14" s="3">
        <v>13</v>
      </c>
      <c r="D14" s="4"/>
      <c r="F14" s="166">
        <f t="shared" si="0"/>
        <v>0</v>
      </c>
      <c r="H14" s="5">
        <f t="shared" si="1"/>
        <v>0</v>
      </c>
      <c r="I14" s="6">
        <f t="shared" si="2"/>
        <v>0</v>
      </c>
      <c r="K14" s="156" t="s">
        <v>16</v>
      </c>
      <c r="L14" s="9">
        <v>15</v>
      </c>
      <c r="M14" s="10" t="s">
        <v>17</v>
      </c>
    </row>
    <row r="15" spans="2:13">
      <c r="B15" s="3">
        <v>14</v>
      </c>
      <c r="D15" s="4"/>
      <c r="F15" s="166">
        <f t="shared" si="0"/>
        <v>0</v>
      </c>
      <c r="H15" s="5">
        <f t="shared" si="1"/>
        <v>0</v>
      </c>
      <c r="I15" s="6">
        <f t="shared" si="2"/>
        <v>0</v>
      </c>
      <c r="K15" s="155" t="s">
        <v>18</v>
      </c>
      <c r="L15">
        <v>20</v>
      </c>
      <c r="M15" s="4" t="s">
        <v>19</v>
      </c>
    </row>
    <row r="16" spans="2:13">
      <c r="B16" s="3">
        <v>15</v>
      </c>
      <c r="D16" s="4"/>
      <c r="F16" s="166">
        <f t="shared" si="0"/>
        <v>0</v>
      </c>
      <c r="H16" s="5">
        <f t="shared" si="1"/>
        <v>0</v>
      </c>
      <c r="I16" s="6">
        <f t="shared" si="2"/>
        <v>0</v>
      </c>
      <c r="K16" s="155" t="s">
        <v>20</v>
      </c>
      <c r="L16">
        <v>45</v>
      </c>
      <c r="M16" s="4" t="s">
        <v>21</v>
      </c>
    </row>
    <row r="17" spans="2:13" ht="17.25" thickBot="1">
      <c r="B17" s="3">
        <v>16</v>
      </c>
      <c r="D17" s="4"/>
      <c r="F17" s="166">
        <f t="shared" si="0"/>
        <v>0</v>
      </c>
      <c r="H17" s="5">
        <f t="shared" si="1"/>
        <v>0</v>
      </c>
      <c r="I17" s="6">
        <f t="shared" si="2"/>
        <v>0</v>
      </c>
      <c r="K17" s="14" t="s">
        <v>22</v>
      </c>
      <c r="L17" s="11">
        <v>100</v>
      </c>
      <c r="M17" s="12" t="s">
        <v>23</v>
      </c>
    </row>
    <row r="18" spans="2:13">
      <c r="B18" s="3">
        <v>17</v>
      </c>
      <c r="D18" s="4"/>
      <c r="F18" s="166">
        <f t="shared" si="0"/>
        <v>0</v>
      </c>
      <c r="H18" s="5">
        <f t="shared" si="1"/>
        <v>0</v>
      </c>
      <c r="I18" s="6">
        <f t="shared" si="2"/>
        <v>0</v>
      </c>
      <c r="K18" s="156" t="s">
        <v>24</v>
      </c>
      <c r="L18" s="9">
        <f>SUM(E2:E31)</f>
        <v>26</v>
      </c>
      <c r="M18" s="10" t="s">
        <v>25</v>
      </c>
    </row>
    <row r="19" spans="2:13">
      <c r="B19" s="3">
        <v>18</v>
      </c>
      <c r="D19" s="4"/>
      <c r="F19" s="166">
        <f t="shared" si="0"/>
        <v>0</v>
      </c>
      <c r="H19" s="5">
        <f t="shared" si="1"/>
        <v>0</v>
      </c>
      <c r="I19" s="6">
        <f t="shared" si="2"/>
        <v>0</v>
      </c>
      <c r="K19" s="155" t="s">
        <v>26</v>
      </c>
      <c r="L19">
        <f>L15*L18</f>
        <v>520</v>
      </c>
      <c r="M19" s="4" t="s">
        <v>25</v>
      </c>
    </row>
    <row r="20" spans="2:13" ht="17.25" thickBot="1">
      <c r="B20" s="3">
        <v>19</v>
      </c>
      <c r="D20" s="4"/>
      <c r="F20" s="166">
        <f t="shared" si="0"/>
        <v>0</v>
      </c>
      <c r="H20" s="5">
        <f t="shared" si="1"/>
        <v>0</v>
      </c>
      <c r="I20" s="6">
        <f t="shared" si="2"/>
        <v>0</v>
      </c>
      <c r="K20" s="14" t="s">
        <v>27</v>
      </c>
      <c r="L20" s="11">
        <f>L16*L17+L19</f>
        <v>5020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1" t="s">
        <v>390</v>
      </c>
      <c r="L22" s="172"/>
      <c r="M22" s="173"/>
    </row>
    <row r="23" spans="2:13">
      <c r="B23" s="3">
        <v>22</v>
      </c>
      <c r="D23" s="4"/>
      <c r="F23" s="166">
        <f t="shared" si="0"/>
        <v>0</v>
      </c>
      <c r="H23" s="5">
        <f t="shared" si="1"/>
        <v>0</v>
      </c>
      <c r="I23" s="6">
        <f t="shared" si="2"/>
        <v>0</v>
      </c>
      <c r="K23" s="155" t="s">
        <v>384</v>
      </c>
      <c r="L23">
        <f>SUM(F2:F31)</f>
        <v>520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1" t="s">
        <v>389</v>
      </c>
      <c r="L29" s="172"/>
      <c r="M29" s="173"/>
    </row>
    <row r="30" spans="2:13">
      <c r="B30" s="3">
        <v>29</v>
      </c>
      <c r="D30" s="4"/>
      <c r="F30" s="166">
        <f t="shared" si="0"/>
        <v>0</v>
      </c>
      <c r="H30" s="5">
        <f t="shared" si="1"/>
        <v>0</v>
      </c>
      <c r="I30" s="6">
        <f t="shared" si="2"/>
        <v>0</v>
      </c>
      <c r="K30" s="155" t="s">
        <v>28</v>
      </c>
      <c r="L30" s="5">
        <f>SUM(H2:H31)</f>
        <v>423.6</v>
      </c>
      <c r="M30" s="4" t="s">
        <v>388</v>
      </c>
    </row>
    <row r="31" spans="2:13" ht="17.25" thickBot="1">
      <c r="B31" s="13">
        <v>30</v>
      </c>
      <c r="C31" s="14"/>
      <c r="D31" s="12"/>
      <c r="E31" s="159"/>
      <c r="F31" s="167">
        <f t="shared" si="0"/>
        <v>0</v>
      </c>
      <c r="G31" s="14"/>
      <c r="H31" s="15">
        <f t="shared" si="1"/>
        <v>0</v>
      </c>
      <c r="I31" s="16">
        <f t="shared" si="2"/>
        <v>0</v>
      </c>
      <c r="K31" s="14" t="s">
        <v>387</v>
      </c>
      <c r="L31" s="15">
        <f>SUM(I2:I31)</f>
        <v>8472</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27" zoomScaleNormal="100" workbookViewId="0">
      <selection activeCell="O144" sqref="O144"/>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3">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2"/>
      <c r="L71" s="58"/>
      <c r="M71" s="58"/>
      <c r="N71" s="152"/>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3"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v>20700</v>
      </c>
      <c r="F143" s="53">
        <f t="shared" si="25"/>
        <v>0</v>
      </c>
      <c r="G143" s="54">
        <f>C143/500</f>
        <v>41</v>
      </c>
      <c r="H143" s="54">
        <f>D143/600</f>
        <v>38.333333333333336</v>
      </c>
      <c r="I143" s="68">
        <f t="shared" si="23"/>
        <v>34.5</v>
      </c>
      <c r="J143" s="56">
        <v>38</v>
      </c>
      <c r="K143" s="57"/>
      <c r="L143" s="58" t="s">
        <v>105</v>
      </c>
      <c r="M143" s="58"/>
      <c r="N143" s="59" t="s">
        <v>400</v>
      </c>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2">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대청룡탕</vt:lpstr>
      <vt:lpstr>마황가출탕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2024-11-01T10:43:59Z</dcterms:modified>
</cp:coreProperties>
</file>