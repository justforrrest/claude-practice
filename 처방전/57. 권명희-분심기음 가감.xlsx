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488" documentId="8_{6EB8DC0A-AB56-415F-A9F3-EA1534264548}" xr6:coauthVersionLast="47" xr6:coauthVersionMax="47" xr10:uidLastSave="{5B37D92E-AE1C-4365-B9F9-BDFAF6A9373B}"/>
  <bookViews>
    <workbookView xWindow="-120" yWindow="-120" windowWidth="29040" windowHeight="15720" xr2:uid="{8B9F1886-173A-4475-B0CF-D9F36CE30773}"/>
  </bookViews>
  <sheets>
    <sheet name="처방전양식 (2)" sheetId="5" r:id="rId1"/>
    <sheet name="처방전양식" sheetId="4" r:id="rId2"/>
    <sheet name="약재관리"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1" i="5" l="1"/>
  <c r="H21" i="5"/>
  <c r="G21" i="5"/>
  <c r="F21" i="5"/>
  <c r="G23" i="5"/>
  <c r="H23" i="5" s="1"/>
  <c r="H31" i="5"/>
  <c r="F31" i="5"/>
  <c r="I31" i="5" s="1"/>
  <c r="I30" i="5"/>
  <c r="H30" i="5"/>
  <c r="F30" i="5"/>
  <c r="H29" i="5"/>
  <c r="F29" i="5"/>
  <c r="I29" i="5" s="1"/>
  <c r="H28" i="5"/>
  <c r="F28" i="5"/>
  <c r="I28" i="5" s="1"/>
  <c r="H27" i="5"/>
  <c r="F27" i="5"/>
  <c r="I27" i="5" s="1"/>
  <c r="I26" i="5"/>
  <c r="H26" i="5"/>
  <c r="F26" i="5"/>
  <c r="I25" i="5"/>
  <c r="H25" i="5"/>
  <c r="F25" i="5"/>
  <c r="I24" i="5"/>
  <c r="H24" i="5"/>
  <c r="F24" i="5"/>
  <c r="F23" i="5"/>
  <c r="G22" i="5"/>
  <c r="I22" i="5" s="1"/>
  <c r="F22" i="5"/>
  <c r="G20" i="5"/>
  <c r="I20" i="5" s="1"/>
  <c r="F20" i="5"/>
  <c r="G19" i="5"/>
  <c r="I19" i="5" s="1"/>
  <c r="F19" i="5"/>
  <c r="L18" i="5"/>
  <c r="L19" i="5" s="1"/>
  <c r="L20" i="5" s="1"/>
  <c r="G18" i="5"/>
  <c r="F18" i="5"/>
  <c r="G17" i="5"/>
  <c r="I17" i="5" s="1"/>
  <c r="F17" i="5"/>
  <c r="G16" i="5"/>
  <c r="I16" i="5" s="1"/>
  <c r="F16" i="5"/>
  <c r="G15" i="5"/>
  <c r="I15" i="5" s="1"/>
  <c r="F15" i="5"/>
  <c r="G14" i="5"/>
  <c r="I14" i="5" s="1"/>
  <c r="F14" i="5"/>
  <c r="G13" i="5"/>
  <c r="I13" i="5" s="1"/>
  <c r="F13" i="5"/>
  <c r="G12" i="5"/>
  <c r="I12" i="5" s="1"/>
  <c r="F12" i="5"/>
  <c r="G11" i="5"/>
  <c r="I11" i="5" s="1"/>
  <c r="F11" i="5"/>
  <c r="G10" i="5"/>
  <c r="I10" i="5" s="1"/>
  <c r="F10" i="5"/>
  <c r="G9" i="5"/>
  <c r="I9" i="5" s="1"/>
  <c r="F9" i="5"/>
  <c r="G8" i="5"/>
  <c r="I8" i="5" s="1"/>
  <c r="F8" i="5"/>
  <c r="G7" i="5"/>
  <c r="I7" i="5" s="1"/>
  <c r="F7" i="5"/>
  <c r="G6" i="5"/>
  <c r="I6" i="5" s="1"/>
  <c r="F6" i="5"/>
  <c r="G5" i="5"/>
  <c r="I5" i="5" s="1"/>
  <c r="F5" i="5"/>
  <c r="G4" i="5"/>
  <c r="I4" i="5" s="1"/>
  <c r="F4" i="5"/>
  <c r="G3" i="5"/>
  <c r="I3" i="5" s="1"/>
  <c r="F3" i="5"/>
  <c r="G2" i="5"/>
  <c r="I2" i="5" s="1"/>
  <c r="F2" i="5"/>
  <c r="I100" i="3"/>
  <c r="H100" i="3"/>
  <c r="I26" i="3"/>
  <c r="H26" i="3"/>
  <c r="G26" i="3"/>
  <c r="F26" i="3"/>
  <c r="G2" i="4"/>
  <c r="I174" i="3"/>
  <c r="G40" i="3"/>
  <c r="I18" i="5" l="1"/>
  <c r="I23" i="5"/>
  <c r="L23" i="5"/>
  <c r="L31" i="5"/>
  <c r="H4" i="5"/>
  <c r="H7" i="5"/>
  <c r="H10" i="5"/>
  <c r="H13" i="5"/>
  <c r="H16" i="5"/>
  <c r="H19" i="5"/>
  <c r="H22" i="5"/>
  <c r="H2" i="5"/>
  <c r="H5" i="5"/>
  <c r="H8" i="5"/>
  <c r="H11" i="5"/>
  <c r="H14" i="5"/>
  <c r="H17" i="5"/>
  <c r="H20" i="5"/>
  <c r="H3" i="5"/>
  <c r="H9" i="5"/>
  <c r="H12" i="5"/>
  <c r="H15" i="5"/>
  <c r="H18" i="5"/>
  <c r="H6" i="5"/>
  <c r="I63" i="3"/>
  <c r="G121" i="3"/>
  <c r="I121" i="3"/>
  <c r="H121" i="3"/>
  <c r="F121" i="3"/>
  <c r="F2" i="4"/>
  <c r="I52" i="3"/>
  <c r="H52" i="3"/>
  <c r="G52" i="3"/>
  <c r="F52" i="3"/>
  <c r="L30" i="5" l="1"/>
  <c r="G3" i="4"/>
  <c r="G4" i="4"/>
  <c r="H4" i="4" s="1"/>
  <c r="G5" i="4"/>
  <c r="H5" i="4" s="1"/>
  <c r="G6" i="4"/>
  <c r="H6" i="4" s="1"/>
  <c r="G7" i="4"/>
  <c r="H7" i="4" s="1"/>
  <c r="G8" i="4"/>
  <c r="H8" i="4" s="1"/>
  <c r="G9" i="4"/>
  <c r="G10" i="4"/>
  <c r="I10" i="4" s="1"/>
  <c r="G11" i="4"/>
  <c r="G12" i="4"/>
  <c r="H12" i="4" s="1"/>
  <c r="G13" i="4"/>
  <c r="H13" i="4" s="1"/>
  <c r="G14" i="4"/>
  <c r="H14" i="4" s="1"/>
  <c r="G15" i="4"/>
  <c r="H15" i="4" s="1"/>
  <c r="G16" i="4"/>
  <c r="H16" i="4" s="1"/>
  <c r="G17" i="4"/>
  <c r="G18" i="4"/>
  <c r="G19" i="4"/>
  <c r="G20" i="4"/>
  <c r="H20" i="4" s="1"/>
  <c r="G21" i="4"/>
  <c r="H21" i="4" s="1"/>
  <c r="G22" i="4"/>
  <c r="H22" i="4" s="1"/>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8" i="4" l="1"/>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<sst xmlns="http://schemas.openxmlformats.org/spreadsheetml/2006/main" count="667" uniqueCount="437">
  <si>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</si>
  <si>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</si>
  <si>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</si>
  <si>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</si>
  <si>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</si>
  <si>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</si>
  <si>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</si>
  <si>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</si>
  <si>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</si>
  <si>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</si>
  <si>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</si>
  <si>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</si>
  <si>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</si>
  <si>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</si>
  <si>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</si>
  <si>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</si>
  <si>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</si>
  <si>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</si>
  <si>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</si>
  <si>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</si>
  <si>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</si>
  <si>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</si>
  <si>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</si>
  <si>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</si>
  <si>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</si>
  <si>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</si>
  <si>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</si>
  <si>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</si>
  <si>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</si>
  <si>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</si>
  <si>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</si>
  <si>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</si>
  <si>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</si>
  <si>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</si>
  <si>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</si>
  <si>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</si>
  <si>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</si>
  <si>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</si>
  <si>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</si>
  <si>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</si>
  <si>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</si>
  <si>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</si>
  <si>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</si>
  <si>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</si>
  <si>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</si>
  <si>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</si>
  <si>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</si>
  <si>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</si>
  <si>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</si>
  <si>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</si>
  <si>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</si>
  <si>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</si>
  <si>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</si>
  <si>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</si>
  <si>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</si>
  <si>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</si>
  <si>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</si>
  <si>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</si>
  <si>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</si>
  <si>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</si>
  <si>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</si>
  <si>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</si>
  <si>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</si>
  <si>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</si>
  <si>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</si>
  <si>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</si>
  <si>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</si>
  <si>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</si>
  <si>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</si>
  <si>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</si>
  <si>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</si>
  <si>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</si>
  <si>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</si>
  <si>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</si>
  <si>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</si>
  <si>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</si>
  <si>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</si>
  <si>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</si>
  <si>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</si>
  <si>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</si>
  <si>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</si>
  <si>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</si>
  <si>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</si>
  <si>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</si>
  <si>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</si>
  <si>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</si>
  <si>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</si>
  <si>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</si>
  <si>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</si>
  <si>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</si>
  <si>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</si>
  <si>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</si>
  <si>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</si>
  <si>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</si>
  <si>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</si>
  <si>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</si>
  <si>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</si>
  <si>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</si>
  <si>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</si>
  <si>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</si>
  <si>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</si>
  <si>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</si>
  <si>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</si>
  <si>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</si>
  <si>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</si>
  <si>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</si>
  <si>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</si>
  <si>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</si>
  <si>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</si>
  <si>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</si>
  <si>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</si>
  <si>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</si>
  <si>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</si>
  <si>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</si>
  <si>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</si>
  <si>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</si>
  <si>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</si>
  <si>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</si>
  <si>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</si>
  <si>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</si>
  <si>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</si>
  <si>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</si>
  <si>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</si>
  <si>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</si>
  <si>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</si>
  <si>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</si>
  <si>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</si>
  <si>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</si>
  <si>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</si>
  <si>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</si>
  <si>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</si>
  <si>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</si>
  <si>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</si>
  <si>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</si>
  <si>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</si>
  <si>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</si>
  <si>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</si>
  <si>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</si>
  <si>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</si>
  <si>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</si>
  <si>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</si>
  <si>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</si>
  <si>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</si>
  <si>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</si>
  <si>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</si>
  <si>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</si>
  <si>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</si>
  <si>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</si>
  <si>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</si>
  <si>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</si>
  <si>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</si>
  <si>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</si>
  <si>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</si>
  <si>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</si>
  <si>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</si>
  <si>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</si>
  <si>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</si>
  <si>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</si>
  <si>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</si>
  <si>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</si>
  <si>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</si>
  <si>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</si>
  <si>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</si>
  <si>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</si>
  <si>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</si>
  <si>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</si>
  <si>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</si>
  <si>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</si>
  <si>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</si>
  <si>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</si>
  <si>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</si>
  <si>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</si>
  <si>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</si>
  <si>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</si>
  <si>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</si>
  <si>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</si>
  <si>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</si>
  <si>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</si>
  <si>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</si>
  <si>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</si>
  <si>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</si>
  <si>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</si>
  <si>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</si>
  <si>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</si>
  <si>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</si>
  <si>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</si>
  <si>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</si>
  <si>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</si>
  <si>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</si>
  <si>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</si>
  <si>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</si>
  <si>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</si>
  <si>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</si>
  <si>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</si>
  <si>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</si>
  <si>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</si>
  <si>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</si>
  <si>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</si>
  <si>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</si>
  <si>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</si>
  <si>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</si>
  <si>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</si>
  <si>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</si>
  <si>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</si>
  <si>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</si>
  <si>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</si>
  <si>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</si>
  <si>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</si>
  <si>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</si>
  <si>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</si>
  <si>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</si>
  <si>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</si>
  <si>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</si>
  <si>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</si>
  <si>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</si>
  <si>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</si>
  <si>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</si>
  <si>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</si>
  <si>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</si>
  <si>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</si>
  <si>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</si>
  <si>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</si>
  <si>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</si>
  <si>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</si>
  <si>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</si>
  <si>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</si>
  <si>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</si>
  <si>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</si>
  <si>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</si>
  <si>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</si>
  <si>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</si>
  <si>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</si>
  <si>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</si>
  <si>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</si>
  <si>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</si>
  <si>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</si>
  <si>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</si>
  <si>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</si>
  <si>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</si>
  <si>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</si>
  <si>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</si>
  <si>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</si>
  <si>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</si>
  <si>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</si>
  <si>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</si>
  <si>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</si>
  <si>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</si>
  <si>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</si>
  <si>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</si>
  <si>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</si>
  <si>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</si>
  <si>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</si>
  <si>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</si>
  <si>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</si>
  <si>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</si>
  <si>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</si>
  <si>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</si>
  <si>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</si>
  <si>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</si>
  <si>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</si>
  <si>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</si>
  <si>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</si>
  <si>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</si>
  <si>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</si>
  <si>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</si>
  <si>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</si>
  <si>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</si>
  <si>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</si>
  <si>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</si>
  <si>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</si>
  <si>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</si>
  <si>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</si>
  <si>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</si>
  <si>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</si>
  <si>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</si>
  <si>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</si>
  <si>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</si>
  <si>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</si>
  <si>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</si>
  <si>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</si>
  <si>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</si>
  <si>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</si>
  <si>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</si>
  <si>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</si>
  <si>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</si>
  <si>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</si>
  <si>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</si>
  <si>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</si>
  <si>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</si>
  <si>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</si>
  <si>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</si>
  <si>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</si>
  <si>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</si>
  <si>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</si>
  <si>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</si>
  <si>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</si>
  <si>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</si>
  <si>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</si>
  <si>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</si>
  <si>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</si>
  <si>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</si>
  <si>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</si>
  <si>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</si>
  <si>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</si>
  <si>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</si>
  <si>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</si>
  <si>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</si>
  <si>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</si>
  <si>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</si>
  <si>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</si>
  <si>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</si>
  <si>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</si>
  <si>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</si>
  <si>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</si>
  <si>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</si>
  <si>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</si>
  <si>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</si>
  <si>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</si>
  <si>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</si>
  <si>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</si>
  <si>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</si>
  <si>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</si>
  <si>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</si>
  <si>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</si>
  <si>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</si>
  <si>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</si>
  <si>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</si>
  <si>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</si>
  <si>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</si>
  <si>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</si>
  <si>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</si>
  <si>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</si>
  <si>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</si>
  <si>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</si>
  <si>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</si>
  <si>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</si>
  <si>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</si>
  <si>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</si>
  <si>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</si>
  <si>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</si>
  <si>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</si>
  <si>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</si>
  <si>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</si>
  <si>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</si>
  <si>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</si>
  <si>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</si>
  <si>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</si>
  <si>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</si>
  <si>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</si>
  <si>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</si>
  <si>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</si>
  <si>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</si>
  <si>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</si>
  <si>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</si>
  <si>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</si>
  <si>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</si>
  <si>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</si>
  <si>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</si>
  <si>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</si>
  <si>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</si>
  <si>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</si>
  <si>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</si>
  <si>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</si>
  <si>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</si>
  <si>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</si>
  <si>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</si>
  <si>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</si>
  <si>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</si>
  <si>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</si>
  <si>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</si>
  <si>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</si>
  <si>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</si>
  <si>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</si>
  <si>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</si>
  <si>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</si>
  <si>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</si>
  <si>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</si>
  <si>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</si>
  <si>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</si>
  <si>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</si>
  <si>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</si>
  <si>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</si>
  <si>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</si>
  <si>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</si>
  <si>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</si>
  <si>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</si>
  <si>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</si>
  <si>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</si>
  <si>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</si>
  <si>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</si>
  <si>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</si>
  <si>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</si>
  <si>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</si>
  <si>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</si>
  <si>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</si>
  <si>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</si>
  <si>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</si>
  <si>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</si>
  <si>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</si>
  <si>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</si>
  <si>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</si>
  <si>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</si>
  <si>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</si>
  <si>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</si>
  <si>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</si>
  <si>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</si>
  <si>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</si>
  <si>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추말</t>
    <phoneticPr fontId="5" type="noConversion"/>
  </si>
  <si>
    <t>향부자</t>
    <phoneticPr fontId="5" type="noConversion"/>
  </si>
  <si>
    <t>대복피</t>
    <phoneticPr fontId="5" type="noConversion"/>
  </si>
  <si>
    <t>복령</t>
    <phoneticPr fontId="5" type="noConversion"/>
  </si>
  <si>
    <t>반하</t>
    <phoneticPr fontId="5" type="noConversion"/>
  </si>
  <si>
    <t>목통</t>
    <phoneticPr fontId="5" type="noConversion"/>
  </si>
  <si>
    <t>오약</t>
    <phoneticPr fontId="5" type="noConversion"/>
  </si>
  <si>
    <t>청피</t>
    <phoneticPr fontId="5" type="noConversion"/>
  </si>
  <si>
    <t>길경</t>
    <phoneticPr fontId="5" type="noConversion"/>
  </si>
  <si>
    <t>목향</t>
    <phoneticPr fontId="5" type="noConversion"/>
  </si>
  <si>
    <t>생강</t>
    <phoneticPr fontId="5" type="noConversion"/>
  </si>
  <si>
    <t>진피1</t>
    <phoneticPr fontId="5" type="noConversion"/>
  </si>
  <si>
    <t>창출1</t>
    <phoneticPr fontId="5" type="noConversion"/>
  </si>
  <si>
    <t>택사1</t>
    <phoneticPr fontId="5" type="noConversion"/>
  </si>
  <si>
    <t>자소엽</t>
    <phoneticPr fontId="5" type="noConversion"/>
  </si>
  <si>
    <t>저령</t>
    <phoneticPr fontId="5" type="noConversion"/>
  </si>
  <si>
    <t>황련</t>
    <phoneticPr fontId="5" type="noConversion"/>
  </si>
  <si>
    <t>봉출</t>
    <phoneticPr fontId="5" type="noConversion"/>
  </si>
  <si>
    <t>나복자</t>
    <phoneticPr fontId="5" type="noConversion"/>
  </si>
  <si>
    <t>등심초</t>
    <phoneticPr fontId="5" type="noConversion"/>
  </si>
  <si>
    <t>지실</t>
    <phoneticPr fontId="5" type="noConversion"/>
  </si>
  <si>
    <t>대황</t>
    <phoneticPr fontId="5" type="noConversion"/>
  </si>
  <si>
    <t>권명희</t>
    <phoneticPr fontId="5" type="noConversion"/>
  </si>
  <si>
    <t>F</t>
    <phoneticPr fontId="5" type="noConversion"/>
  </si>
  <si>
    <t xml:space="preserve">가감유기음자 + 저령 등심 황련 봉출 나복자 대황
</t>
    <phoneticPr fontId="5" type="noConversion"/>
  </si>
  <si>
    <t>분심기음가감</t>
    <phoneticPr fontId="5" type="noConversion"/>
  </si>
  <si>
    <t>오미자</t>
    <phoneticPr fontId="5" type="noConversion"/>
  </si>
  <si>
    <t>소자</t>
    <phoneticPr fontId="5" type="noConversion"/>
  </si>
  <si>
    <t>상백피</t>
    <phoneticPr fontId="5" type="noConversion"/>
  </si>
  <si>
    <t xml:space="preserve">가감유기음자 + 저령 등심 황련 대황 소자 상백피 오미자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</si>
</sst>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B247F-47D8-45C1-85EC-B24CE0065457}">
  <sheetPr>
    <pageSetUpPr fitToPage="1"/>
  </sheetPr>
  <dimension ref="B1:M31"/>
  <sheetViews>
    <sheetView tabSelected="1" workbookViewId="0">
      <selection activeCell="E19" sqref="E19"/>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408</v>
      </c>
      <c r="D2" s="4"/>
      <c r="E2" s="88">
        <v>8</v>
      </c>
      <c r="F2" s="101">
        <f>E2*$L$15</f>
        <v>160</v>
      </c>
      <c r="G2">
        <f>VLOOKUP($C2,약재관리!A:J,10,FALSE)</f>
        <v>14.7</v>
      </c>
      <c r="H2" s="5">
        <f>G2*E2</f>
        <v>117.6</v>
      </c>
      <c r="I2" s="90">
        <f>G2*F2</f>
        <v>2352</v>
      </c>
      <c r="K2" s="7" t="s">
        <v>9</v>
      </c>
      <c r="L2" s="152">
        <v>57</v>
      </c>
      <c r="M2" s="153"/>
    </row>
    <row r="3" spans="2:13">
      <c r="B3" s="3">
        <v>2</v>
      </c>
      <c r="C3" t="s">
        <v>409</v>
      </c>
      <c r="D3" s="4"/>
      <c r="E3" s="88">
        <v>6</v>
      </c>
      <c r="F3" s="101">
        <f t="shared" ref="F3:F31" si="0">E3*$L$15</f>
        <v>120</v>
      </c>
      <c r="G3">
        <f>VLOOKUP($C3,약재관리!A:J,10,FALSE)</f>
        <v>5.3</v>
      </c>
      <c r="H3" s="5">
        <f t="shared" ref="H3:H31" si="1">G3*E3</f>
        <v>31.799999999999997</v>
      </c>
      <c r="I3" s="6">
        <f t="shared" ref="I3:I31" si="2">G3*F3</f>
        <v>636</v>
      </c>
      <c r="K3" s="8" t="s">
        <v>10</v>
      </c>
      <c r="L3" s="147" t="s">
        <v>432</v>
      </c>
      <c r="M3" s="148"/>
    </row>
    <row r="4" spans="2:13">
      <c r="B4" s="3">
        <v>3</v>
      </c>
      <c r="C4" t="s">
        <v>418</v>
      </c>
      <c r="D4" s="4"/>
      <c r="E4" s="88">
        <v>6</v>
      </c>
      <c r="F4" s="101">
        <f t="shared" si="0"/>
        <v>120</v>
      </c>
      <c r="G4">
        <f>VLOOKUP($C4,약재관리!A:J,10,FALSE)</f>
        <v>17.600000000000001</v>
      </c>
      <c r="H4" s="5">
        <f t="shared" si="1"/>
        <v>105.60000000000001</v>
      </c>
      <c r="I4" s="6">
        <f t="shared" si="2"/>
        <v>2112</v>
      </c>
      <c r="K4" s="8" t="s">
        <v>11</v>
      </c>
      <c r="L4" s="154">
        <v>45663</v>
      </c>
      <c r="M4" s="148"/>
    </row>
    <row r="5" spans="2:13">
      <c r="B5" s="3">
        <v>4</v>
      </c>
      <c r="C5" t="s">
        <v>410</v>
      </c>
      <c r="D5" s="4"/>
      <c r="E5" s="88">
        <v>4</v>
      </c>
      <c r="F5" s="101">
        <f t="shared" si="0"/>
        <v>80</v>
      </c>
      <c r="G5">
        <f>VLOOKUP($C5,약재관리!A:J,10,FALSE)</f>
        <v>11</v>
      </c>
      <c r="H5" s="5">
        <f t="shared" si="1"/>
        <v>44</v>
      </c>
      <c r="I5" s="6">
        <f t="shared" si="2"/>
        <v>880</v>
      </c>
      <c r="K5" s="8" t="s">
        <v>12</v>
      </c>
      <c r="L5" s="147" t="s">
        <v>429</v>
      </c>
      <c r="M5" s="148"/>
    </row>
    <row r="6" spans="2:13">
      <c r="B6" s="3">
        <v>5</v>
      </c>
      <c r="C6" t="s">
        <v>411</v>
      </c>
      <c r="D6" s="4"/>
      <c r="E6" s="88">
        <v>4</v>
      </c>
      <c r="F6" s="101">
        <f t="shared" si="0"/>
        <v>80</v>
      </c>
      <c r="G6">
        <f>VLOOKUP($C6,약재관리!A:J,10,FALSE)</f>
        <v>47</v>
      </c>
      <c r="H6" s="5">
        <f t="shared" si="1"/>
        <v>188</v>
      </c>
      <c r="I6" s="6">
        <f t="shared" si="2"/>
        <v>3760</v>
      </c>
      <c r="K6" s="8" t="s">
        <v>13</v>
      </c>
      <c r="L6" s="147" t="s">
        <v>430</v>
      </c>
      <c r="M6" s="148"/>
    </row>
    <row r="7" spans="2:13" ht="17.25" thickBot="1">
      <c r="B7" s="3">
        <v>6</v>
      </c>
      <c r="C7" t="s">
        <v>419</v>
      </c>
      <c r="D7" s="4"/>
      <c r="E7" s="88">
        <v>4</v>
      </c>
      <c r="F7" s="101">
        <f t="shared" si="0"/>
        <v>80</v>
      </c>
      <c r="G7">
        <f>VLOOKUP($C7,약재관리!A:J,10,FALSE)</f>
        <v>22</v>
      </c>
      <c r="H7" s="5">
        <f t="shared" si="1"/>
        <v>88</v>
      </c>
      <c r="I7" s="6">
        <f t="shared" si="2"/>
        <v>1760</v>
      </c>
      <c r="K7" s="8" t="s">
        <v>14</v>
      </c>
      <c r="L7" s="155">
        <v>63</v>
      </c>
      <c r="M7" s="156"/>
    </row>
    <row r="8" spans="2:13" ht="17.25" thickBot="1">
      <c r="B8" s="3">
        <v>7</v>
      </c>
      <c r="C8" t="s">
        <v>427</v>
      </c>
      <c r="D8" s="4"/>
      <c r="E8" s="88">
        <v>4</v>
      </c>
      <c r="F8" s="101">
        <f t="shared" si="0"/>
        <v>80</v>
      </c>
      <c r="G8">
        <f>VLOOKUP($C8,약재관리!A:J,10,FALSE)</f>
        <v>16.7</v>
      </c>
      <c r="H8" s="5">
        <f t="shared" si="1"/>
        <v>66.8</v>
      </c>
      <c r="I8" s="6">
        <f t="shared" si="2"/>
        <v>1336</v>
      </c>
      <c r="K8" s="149" t="s">
        <v>15</v>
      </c>
      <c r="L8" s="150"/>
      <c r="M8" s="151"/>
    </row>
    <row r="9" spans="2:13">
      <c r="B9" s="3">
        <v>8</v>
      </c>
      <c r="C9" t="s">
        <v>412</v>
      </c>
      <c r="D9" s="4"/>
      <c r="E9" s="88">
        <v>4</v>
      </c>
      <c r="F9" s="101">
        <f t="shared" si="0"/>
        <v>80</v>
      </c>
      <c r="G9">
        <f>VLOOKUP($C9,약재관리!A:J,10,FALSE)</f>
        <v>10.7</v>
      </c>
      <c r="H9" s="5">
        <f t="shared" si="1"/>
        <v>42.8</v>
      </c>
      <c r="I9" s="6">
        <f t="shared" si="2"/>
        <v>856</v>
      </c>
      <c r="K9" s="157" t="s">
        <v>436</v>
      </c>
      <c r="L9" s="158"/>
      <c r="M9" s="159"/>
    </row>
    <row r="10" spans="2:13">
      <c r="B10" s="3">
        <v>9</v>
      </c>
      <c r="C10" t="s">
        <v>420</v>
      </c>
      <c r="D10" s="4"/>
      <c r="E10" s="88">
        <v>4</v>
      </c>
      <c r="F10" s="101">
        <f t="shared" si="0"/>
        <v>80</v>
      </c>
      <c r="G10">
        <f>VLOOKUP($C10,약재관리!A:J,10,FALSE)</f>
        <v>23.7</v>
      </c>
      <c r="H10" s="5">
        <f t="shared" si="1"/>
        <v>94.8</v>
      </c>
      <c r="I10" s="6">
        <f t="shared" si="2"/>
        <v>1896</v>
      </c>
      <c r="K10" s="160"/>
      <c r="L10" s="161"/>
      <c r="M10" s="162"/>
    </row>
    <row r="11" spans="2:13">
      <c r="B11" s="3">
        <v>10</v>
      </c>
      <c r="C11" t="s">
        <v>413</v>
      </c>
      <c r="D11" s="4"/>
      <c r="E11" s="88">
        <v>4</v>
      </c>
      <c r="F11" s="101">
        <f t="shared" si="0"/>
        <v>80</v>
      </c>
      <c r="G11">
        <f>VLOOKUP($C11,약재관리!A:J,10,FALSE)</f>
        <v>9.1999999999999993</v>
      </c>
      <c r="H11" s="5">
        <f t="shared" si="1"/>
        <v>36.799999999999997</v>
      </c>
      <c r="I11" s="6">
        <f t="shared" si="2"/>
        <v>736</v>
      </c>
      <c r="K11" s="160"/>
      <c r="L11" s="161"/>
      <c r="M11" s="162"/>
    </row>
    <row r="12" spans="2:13">
      <c r="B12" s="3">
        <v>11</v>
      </c>
      <c r="C12" t="s">
        <v>414</v>
      </c>
      <c r="D12" s="4"/>
      <c r="E12" s="88">
        <v>4</v>
      </c>
      <c r="F12" s="101">
        <f t="shared" si="0"/>
        <v>80</v>
      </c>
      <c r="G12">
        <f>VLOOKUP($C12,약재관리!A:J,10,FALSE)</f>
        <v>7.3</v>
      </c>
      <c r="H12" s="5">
        <f t="shared" si="1"/>
        <v>29.2</v>
      </c>
      <c r="I12" s="6">
        <f t="shared" si="2"/>
        <v>584</v>
      </c>
      <c r="K12" s="160"/>
      <c r="L12" s="161"/>
      <c r="M12" s="162"/>
    </row>
    <row r="13" spans="2:13" ht="17.25" thickBot="1">
      <c r="B13" s="3">
        <v>12</v>
      </c>
      <c r="C13" t="s">
        <v>421</v>
      </c>
      <c r="D13" s="4"/>
      <c r="E13" s="88">
        <v>3</v>
      </c>
      <c r="F13" s="101">
        <f t="shared" si="0"/>
        <v>60</v>
      </c>
      <c r="G13">
        <f>VLOOKUP($C13,약재관리!A:J,10,FALSE)</f>
        <v>12</v>
      </c>
      <c r="H13" s="5">
        <f t="shared" si="1"/>
        <v>36</v>
      </c>
      <c r="I13" s="6">
        <f t="shared" si="2"/>
        <v>720</v>
      </c>
      <c r="K13" s="163"/>
      <c r="L13" s="164"/>
      <c r="M13" s="165"/>
    </row>
    <row r="14" spans="2:13">
      <c r="B14" s="3">
        <v>13</v>
      </c>
      <c r="C14" t="s">
        <v>415</v>
      </c>
      <c r="D14" s="4"/>
      <c r="E14" s="88">
        <v>3</v>
      </c>
      <c r="F14" s="101">
        <f t="shared" si="0"/>
        <v>60</v>
      </c>
      <c r="G14">
        <f>VLOOKUP($C14,약재관리!A:J,10,FALSE)</f>
        <v>11.2</v>
      </c>
      <c r="H14" s="5">
        <f t="shared" si="1"/>
        <v>33.599999999999994</v>
      </c>
      <c r="I14" s="6">
        <f t="shared" si="2"/>
        <v>672</v>
      </c>
      <c r="K14" s="92" t="s">
        <v>16</v>
      </c>
      <c r="L14" s="9">
        <v>15</v>
      </c>
      <c r="M14" s="10" t="s">
        <v>17</v>
      </c>
    </row>
    <row r="15" spans="2:13">
      <c r="B15" s="3">
        <v>14</v>
      </c>
      <c r="C15" t="s">
        <v>416</v>
      </c>
      <c r="D15" s="4"/>
      <c r="E15" s="88">
        <v>2</v>
      </c>
      <c r="F15" s="101">
        <f t="shared" si="0"/>
        <v>40</v>
      </c>
      <c r="G15">
        <f>VLOOKUP($C15,약재관리!A:J,10,FALSE)</f>
        <v>9.8000000000000007</v>
      </c>
      <c r="H15" s="5">
        <f t="shared" si="1"/>
        <v>19.600000000000001</v>
      </c>
      <c r="I15" s="6">
        <f t="shared" si="2"/>
        <v>392</v>
      </c>
      <c r="K15" s="91" t="s">
        <v>18</v>
      </c>
      <c r="L15">
        <v>20</v>
      </c>
      <c r="M15" s="4" t="s">
        <v>19</v>
      </c>
    </row>
    <row r="16" spans="2:13">
      <c r="B16" s="3">
        <v>15</v>
      </c>
      <c r="C16" t="s">
        <v>417</v>
      </c>
      <c r="D16" s="4"/>
      <c r="E16" s="88">
        <v>3</v>
      </c>
      <c r="F16" s="101">
        <f t="shared" si="0"/>
        <v>60</v>
      </c>
      <c r="G16">
        <f>VLOOKUP($C16,약재관리!A:J,10,FALSE)</f>
        <v>15</v>
      </c>
      <c r="H16" s="5">
        <f t="shared" si="1"/>
        <v>45</v>
      </c>
      <c r="I16" s="6">
        <f t="shared" si="2"/>
        <v>900</v>
      </c>
      <c r="K16" s="91" t="s">
        <v>20</v>
      </c>
      <c r="L16">
        <v>45</v>
      </c>
      <c r="M16" s="4" t="s">
        <v>21</v>
      </c>
    </row>
    <row r="17" spans="2:13" ht="17.25" thickBot="1">
      <c r="B17" s="3">
        <v>16</v>
      </c>
      <c r="C17" t="s">
        <v>422</v>
      </c>
      <c r="D17" s="4"/>
      <c r="E17" s="88">
        <v>4</v>
      </c>
      <c r="F17" s="101">
        <f t="shared" si="0"/>
        <v>80</v>
      </c>
      <c r="G17">
        <f>VLOOKUP($C17,약재관리!A:J,10,FALSE)</f>
        <v>46.7</v>
      </c>
      <c r="H17" s="5">
        <f t="shared" si="1"/>
        <v>186.8</v>
      </c>
      <c r="I17" s="6">
        <f t="shared" si="2"/>
        <v>3736</v>
      </c>
      <c r="K17" s="14" t="s">
        <v>22</v>
      </c>
      <c r="L17" s="11">
        <v>100</v>
      </c>
      <c r="M17" s="12" t="s">
        <v>23</v>
      </c>
    </row>
    <row r="18" spans="2:13">
      <c r="B18" s="3">
        <v>17</v>
      </c>
      <c r="C18" t="s">
        <v>426</v>
      </c>
      <c r="D18" s="4"/>
      <c r="E18" s="88">
        <v>1</v>
      </c>
      <c r="F18" s="101">
        <f t="shared" si="0"/>
        <v>20</v>
      </c>
      <c r="G18">
        <f>VLOOKUP($C18,약재관리!A:J,10,FALSE)</f>
        <v>65</v>
      </c>
      <c r="H18" s="5">
        <f t="shared" si="1"/>
        <v>65</v>
      </c>
      <c r="I18" s="6">
        <f t="shared" si="2"/>
        <v>1300</v>
      </c>
      <c r="K18" s="92" t="s">
        <v>24</v>
      </c>
      <c r="L18" s="9">
        <f>SUM(E2:E31)</f>
        <v>84</v>
      </c>
      <c r="M18" s="10" t="s">
        <v>25</v>
      </c>
    </row>
    <row r="19" spans="2:13">
      <c r="B19" s="3">
        <v>18</v>
      </c>
      <c r="C19" t="s">
        <v>423</v>
      </c>
      <c r="D19" s="4"/>
      <c r="E19" s="88">
        <v>2</v>
      </c>
      <c r="F19" s="101">
        <f t="shared" si="0"/>
        <v>40</v>
      </c>
      <c r="G19">
        <f>VLOOKUP($C19,약재관리!A:J,10,FALSE)</f>
        <v>136.69999999999999</v>
      </c>
      <c r="H19" s="5">
        <f t="shared" si="1"/>
        <v>273.39999999999998</v>
      </c>
      <c r="I19" s="6">
        <f t="shared" si="2"/>
        <v>5468</v>
      </c>
      <c r="K19" s="91" t="s">
        <v>26</v>
      </c>
      <c r="L19">
        <f>L15*L18</f>
        <v>1680</v>
      </c>
      <c r="M19" s="4" t="s">
        <v>25</v>
      </c>
    </row>
    <row r="20" spans="2:13" ht="17.25" thickBot="1">
      <c r="B20" s="3">
        <v>19</v>
      </c>
      <c r="C20" t="s">
        <v>434</v>
      </c>
      <c r="D20" s="4"/>
      <c r="E20" s="88">
        <v>4</v>
      </c>
      <c r="F20" s="101">
        <f t="shared" si="0"/>
        <v>80</v>
      </c>
      <c r="G20">
        <f>VLOOKUP($C20,약재관리!A:J,10,FALSE)</f>
        <v>7.5</v>
      </c>
      <c r="H20" s="5">
        <f t="shared" si="1"/>
        <v>30</v>
      </c>
      <c r="I20" s="6">
        <f t="shared" si="2"/>
        <v>600</v>
      </c>
      <c r="K20" s="14" t="s">
        <v>27</v>
      </c>
      <c r="L20" s="11">
        <f>L16*L17+L19</f>
        <v>6180</v>
      </c>
      <c r="M20" s="12" t="s">
        <v>23</v>
      </c>
    </row>
    <row r="21" spans="2:13" ht="17.25" thickBot="1">
      <c r="B21" s="3">
        <v>20</v>
      </c>
      <c r="C21" t="s">
        <v>435</v>
      </c>
      <c r="D21" s="4"/>
      <c r="E21" s="88">
        <v>4</v>
      </c>
      <c r="F21" s="101">
        <f t="shared" si="0"/>
        <v>80</v>
      </c>
      <c r="G21">
        <f>VLOOKUP($C21,약재관리!A:J,10,FALSE)</f>
        <v>35</v>
      </c>
      <c r="H21" s="5">
        <f t="shared" si="1"/>
        <v>140</v>
      </c>
      <c r="I21" s="6">
        <f t="shared" si="2"/>
        <v>2800</v>
      </c>
      <c r="J21" s="91"/>
      <c r="M21" s="94"/>
    </row>
    <row r="22" spans="2:13" ht="17.25" thickBot="1">
      <c r="B22" s="3">
        <v>21</v>
      </c>
      <c r="C22" t="s">
        <v>428</v>
      </c>
      <c r="D22" s="4"/>
      <c r="E22" s="88">
        <v>4</v>
      </c>
      <c r="F22" s="101">
        <f t="shared" si="0"/>
        <v>80</v>
      </c>
      <c r="G22">
        <f>VLOOKUP($C22,약재관리!A:J,10,FALSE)</f>
        <v>13</v>
      </c>
      <c r="H22" s="5">
        <f t="shared" si="1"/>
        <v>52</v>
      </c>
      <c r="I22" s="6">
        <f t="shared" si="2"/>
        <v>1040</v>
      </c>
      <c r="K22" s="149" t="s">
        <v>388</v>
      </c>
      <c r="L22" s="150"/>
      <c r="M22" s="151"/>
    </row>
    <row r="23" spans="2:13">
      <c r="B23" s="3">
        <v>22</v>
      </c>
      <c r="C23" t="s">
        <v>433</v>
      </c>
      <c r="D23" s="4"/>
      <c r="E23" s="88">
        <v>2</v>
      </c>
      <c r="F23" s="101">
        <f t="shared" si="0"/>
        <v>40</v>
      </c>
      <c r="G23">
        <f>VLOOKUP($C23,약재관리!A:J,10,FALSE)</f>
        <v>25.2</v>
      </c>
      <c r="H23" s="5">
        <f t="shared" si="1"/>
        <v>50.4</v>
      </c>
      <c r="I23" s="6">
        <f t="shared" si="2"/>
        <v>1008</v>
      </c>
      <c r="K23" s="91" t="s">
        <v>382</v>
      </c>
      <c r="L23">
        <f>SUM(F2:F31)</f>
        <v>1680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1777.1999999999998</v>
      </c>
      <c r="M30" s="4" t="s">
        <v>386</v>
      </c>
    </row>
    <row r="31" spans="2:13" ht="17.25" thickBot="1">
      <c r="B31" s="13">
        <v>30</v>
      </c>
      <c r="C31" s="14"/>
      <c r="D31" s="12"/>
      <c r="E31" s="95"/>
      <c r="F31" s="102">
        <f t="shared" si="0"/>
        <v>0</v>
      </c>
      <c r="G31" s="14"/>
      <c r="H31" s="15">
        <f t="shared" si="1"/>
        <v>0</v>
      </c>
      <c r="I31" s="16">
        <f t="shared" si="2"/>
        <v>0</v>
      </c>
      <c r="K31" s="14" t="s">
        <v>385</v>
      </c>
      <c r="L31" s="15">
        <f>SUM(I2:I31)</f>
        <v>35544</v>
      </c>
      <c r="M31" s="12" t="s">
        <v>386</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E23" sqref="E2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408</v>
      </c>
      <c r="D2" s="4"/>
      <c r="E2" s="88">
        <v>8</v>
      </c>
      <c r="F2" s="101">
        <f>E2*$L$15</f>
        <v>160</v>
      </c>
      <c r="G2">
        <f>VLOOKUP($C2,약재관리!A:J,10,FALSE)</f>
        <v>14.7</v>
      </c>
      <c r="H2" s="5">
        <f>G2*E2</f>
        <v>117.6</v>
      </c>
      <c r="I2" s="90">
        <f>G2*F2</f>
        <v>2352</v>
      </c>
      <c r="K2" s="7" t="s">
        <v>9</v>
      </c>
      <c r="L2" s="152">
        <v>57</v>
      </c>
      <c r="M2" s="153"/>
    </row>
    <row r="3" spans="2:13">
      <c r="B3" s="3">
        <v>2</v>
      </c>
      <c r="C3" t="s">
        <v>409</v>
      </c>
      <c r="D3" s="4"/>
      <c r="E3" s="88">
        <v>6</v>
      </c>
      <c r="F3" s="101">
        <f t="shared" ref="F3:F31" si="0">E3*$L$15</f>
        <v>120</v>
      </c>
      <c r="G3">
        <f>VLOOKUP($C3,약재관리!A:J,10,FALSE)</f>
        <v>5.3</v>
      </c>
      <c r="H3" s="5">
        <f t="shared" ref="H3:H31" si="1">G3*E3</f>
        <v>31.799999999999997</v>
      </c>
      <c r="I3" s="6">
        <f t="shared" ref="I3:I31" si="2">G3*F3</f>
        <v>636</v>
      </c>
      <c r="K3" s="8" t="s">
        <v>10</v>
      </c>
      <c r="L3" s="147" t="s">
        <v>432</v>
      </c>
      <c r="M3" s="148"/>
    </row>
    <row r="4" spans="2:13">
      <c r="B4" s="3">
        <v>3</v>
      </c>
      <c r="C4" t="s">
        <v>418</v>
      </c>
      <c r="D4" s="4"/>
      <c r="E4" s="88">
        <v>6</v>
      </c>
      <c r="F4" s="101">
        <f t="shared" si="0"/>
        <v>120</v>
      </c>
      <c r="G4">
        <f>VLOOKUP($C4,약재관리!A:J,10,FALSE)</f>
        <v>17.600000000000001</v>
      </c>
      <c r="H4" s="5">
        <f t="shared" si="1"/>
        <v>105.60000000000001</v>
      </c>
      <c r="I4" s="6">
        <f t="shared" si="2"/>
        <v>2112</v>
      </c>
      <c r="K4" s="8" t="s">
        <v>11</v>
      </c>
      <c r="L4" s="154">
        <v>45649</v>
      </c>
      <c r="M4" s="148"/>
    </row>
    <row r="5" spans="2:13">
      <c r="B5" s="3">
        <v>4</v>
      </c>
      <c r="C5" t="s">
        <v>410</v>
      </c>
      <c r="D5" s="4"/>
      <c r="E5" s="88">
        <v>4</v>
      </c>
      <c r="F5" s="101">
        <f t="shared" si="0"/>
        <v>80</v>
      </c>
      <c r="G5">
        <f>VLOOKUP($C5,약재관리!A:J,10,FALSE)</f>
        <v>11</v>
      </c>
      <c r="H5" s="5">
        <f t="shared" si="1"/>
        <v>44</v>
      </c>
      <c r="I5" s="6">
        <f t="shared" si="2"/>
        <v>880</v>
      </c>
      <c r="K5" s="8" t="s">
        <v>12</v>
      </c>
      <c r="L5" s="147" t="s">
        <v>429</v>
      </c>
      <c r="M5" s="148"/>
    </row>
    <row r="6" spans="2:13">
      <c r="B6" s="3">
        <v>5</v>
      </c>
      <c r="C6" t="s">
        <v>411</v>
      </c>
      <c r="D6" s="4"/>
      <c r="E6" s="88">
        <v>4</v>
      </c>
      <c r="F6" s="101">
        <f t="shared" si="0"/>
        <v>80</v>
      </c>
      <c r="G6">
        <f>VLOOKUP($C6,약재관리!A:J,10,FALSE)</f>
        <v>47</v>
      </c>
      <c r="H6" s="5">
        <f t="shared" si="1"/>
        <v>188</v>
      </c>
      <c r="I6" s="6">
        <f t="shared" si="2"/>
        <v>3760</v>
      </c>
      <c r="K6" s="8" t="s">
        <v>13</v>
      </c>
      <c r="L6" s="147" t="s">
        <v>430</v>
      </c>
      <c r="M6" s="148"/>
    </row>
    <row r="7" spans="2:13" ht="17.25" thickBot="1">
      <c r="B7" s="3">
        <v>6</v>
      </c>
      <c r="C7" t="s">
        <v>419</v>
      </c>
      <c r="D7" s="4"/>
      <c r="E7" s="88">
        <v>4</v>
      </c>
      <c r="F7" s="101">
        <f t="shared" si="0"/>
        <v>80</v>
      </c>
      <c r="G7">
        <f>VLOOKUP($C7,약재관리!A:J,10,FALSE)</f>
        <v>22</v>
      </c>
      <c r="H7" s="5">
        <f t="shared" si="1"/>
        <v>88</v>
      </c>
      <c r="I7" s="6">
        <f t="shared" si="2"/>
        <v>1760</v>
      </c>
      <c r="K7" s="8" t="s">
        <v>14</v>
      </c>
      <c r="L7" s="155">
        <v>63</v>
      </c>
      <c r="M7" s="156"/>
    </row>
    <row r="8" spans="2:13" ht="17.25" thickBot="1">
      <c r="B8" s="3">
        <v>7</v>
      </c>
      <c r="C8" t="s">
        <v>427</v>
      </c>
      <c r="D8" s="4"/>
      <c r="E8" s="88">
        <v>4</v>
      </c>
      <c r="F8" s="101">
        <f t="shared" si="0"/>
        <v>80</v>
      </c>
      <c r="G8">
        <f>VLOOKUP($C8,약재관리!A:J,10,FALSE)</f>
        <v>16.7</v>
      </c>
      <c r="H8" s="5">
        <f t="shared" si="1"/>
        <v>66.8</v>
      </c>
      <c r="I8" s="6">
        <f t="shared" si="2"/>
        <v>1336</v>
      </c>
      <c r="K8" s="149" t="s">
        <v>15</v>
      </c>
      <c r="L8" s="150"/>
      <c r="M8" s="151"/>
    </row>
    <row r="9" spans="2:13">
      <c r="B9" s="3">
        <v>8</v>
      </c>
      <c r="C9" t="s">
        <v>412</v>
      </c>
      <c r="D9" s="4"/>
      <c r="E9" s="88">
        <v>4</v>
      </c>
      <c r="F9" s="101">
        <f t="shared" si="0"/>
        <v>80</v>
      </c>
      <c r="G9">
        <f>VLOOKUP($C9,약재관리!A:J,10,FALSE)</f>
        <v>10.7</v>
      </c>
      <c r="H9" s="5">
        <f t="shared" si="1"/>
        <v>42.8</v>
      </c>
      <c r="I9" s="6">
        <f t="shared" si="2"/>
        <v>856</v>
      </c>
      <c r="K9" s="157" t="s">
        <v>431</v>
      </c>
      <c r="L9" s="158"/>
      <c r="M9" s="159"/>
    </row>
    <row r="10" spans="2:13">
      <c r="B10" s="3">
        <v>9</v>
      </c>
      <c r="C10" t="s">
        <v>420</v>
      </c>
      <c r="D10" s="4"/>
      <c r="E10" s="88">
        <v>4</v>
      </c>
      <c r="F10" s="101">
        <f t="shared" si="0"/>
        <v>80</v>
      </c>
      <c r="G10">
        <f>VLOOKUP($C10,약재관리!A:J,10,FALSE)</f>
        <v>23.7</v>
      </c>
      <c r="H10" s="5">
        <f t="shared" si="1"/>
        <v>94.8</v>
      </c>
      <c r="I10" s="6">
        <f t="shared" si="2"/>
        <v>1896</v>
      </c>
      <c r="K10" s="160"/>
      <c r="L10" s="161"/>
      <c r="M10" s="162"/>
    </row>
    <row r="11" spans="2:13">
      <c r="B11" s="3">
        <v>10</v>
      </c>
      <c r="C11" t="s">
        <v>413</v>
      </c>
      <c r="D11" s="4"/>
      <c r="E11" s="88">
        <v>4</v>
      </c>
      <c r="F11" s="101">
        <f t="shared" si="0"/>
        <v>80</v>
      </c>
      <c r="G11">
        <f>VLOOKUP($C11,약재관리!A:J,10,FALSE)</f>
        <v>9.1999999999999993</v>
      </c>
      <c r="H11" s="5">
        <f t="shared" si="1"/>
        <v>36.799999999999997</v>
      </c>
      <c r="I11" s="6">
        <f t="shared" si="2"/>
        <v>736</v>
      </c>
      <c r="K11" s="160"/>
      <c r="L11" s="161"/>
      <c r="M11" s="162"/>
    </row>
    <row r="12" spans="2:13">
      <c r="B12" s="3">
        <v>11</v>
      </c>
      <c r="C12" t="s">
        <v>414</v>
      </c>
      <c r="D12" s="4"/>
      <c r="E12" s="88">
        <v>4</v>
      </c>
      <c r="F12" s="101">
        <f t="shared" si="0"/>
        <v>80</v>
      </c>
      <c r="G12">
        <f>VLOOKUP($C12,약재관리!A:J,10,FALSE)</f>
        <v>7.3</v>
      </c>
      <c r="H12" s="5">
        <f t="shared" si="1"/>
        <v>29.2</v>
      </c>
      <c r="I12" s="6">
        <f t="shared" si="2"/>
        <v>584</v>
      </c>
      <c r="K12" s="160"/>
      <c r="L12" s="161"/>
      <c r="M12" s="162"/>
    </row>
    <row r="13" spans="2:13" ht="17.25" thickBot="1">
      <c r="B13" s="3">
        <v>12</v>
      </c>
      <c r="C13" t="s">
        <v>421</v>
      </c>
      <c r="D13" s="4"/>
      <c r="E13" s="88">
        <v>3</v>
      </c>
      <c r="F13" s="101">
        <f t="shared" si="0"/>
        <v>60</v>
      </c>
      <c r="G13">
        <f>VLOOKUP($C13,약재관리!A:J,10,FALSE)</f>
        <v>12</v>
      </c>
      <c r="H13" s="5">
        <f t="shared" si="1"/>
        <v>36</v>
      </c>
      <c r="I13" s="6">
        <f t="shared" si="2"/>
        <v>720</v>
      </c>
      <c r="K13" s="163"/>
      <c r="L13" s="164"/>
      <c r="M13" s="165"/>
    </row>
    <row r="14" spans="2:13">
      <c r="B14" s="3">
        <v>13</v>
      </c>
      <c r="C14" t="s">
        <v>415</v>
      </c>
      <c r="D14" s="4"/>
      <c r="E14" s="88">
        <v>3</v>
      </c>
      <c r="F14" s="101">
        <f t="shared" si="0"/>
        <v>60</v>
      </c>
      <c r="G14">
        <f>VLOOKUP($C14,약재관리!A:J,10,FALSE)</f>
        <v>11.2</v>
      </c>
      <c r="H14" s="5">
        <f t="shared" si="1"/>
        <v>33.599999999999994</v>
      </c>
      <c r="I14" s="6">
        <f t="shared" si="2"/>
        <v>672</v>
      </c>
      <c r="K14" s="92" t="s">
        <v>16</v>
      </c>
      <c r="L14" s="9">
        <v>15</v>
      </c>
      <c r="M14" s="10" t="s">
        <v>17</v>
      </c>
    </row>
    <row r="15" spans="2:13">
      <c r="B15" s="3">
        <v>14</v>
      </c>
      <c r="C15" t="s">
        <v>416</v>
      </c>
      <c r="D15" s="4"/>
      <c r="E15" s="88">
        <v>2</v>
      </c>
      <c r="F15" s="101">
        <f t="shared" si="0"/>
        <v>40</v>
      </c>
      <c r="G15">
        <f>VLOOKUP($C15,약재관리!A:J,10,FALSE)</f>
        <v>9.8000000000000007</v>
      </c>
      <c r="H15" s="5">
        <f t="shared" si="1"/>
        <v>19.600000000000001</v>
      </c>
      <c r="I15" s="6">
        <f t="shared" si="2"/>
        <v>392</v>
      </c>
      <c r="K15" s="91" t="s">
        <v>18</v>
      </c>
      <c r="L15">
        <v>20</v>
      </c>
      <c r="M15" s="4" t="s">
        <v>19</v>
      </c>
    </row>
    <row r="16" spans="2:13">
      <c r="B16" s="3">
        <v>15</v>
      </c>
      <c r="C16" t="s">
        <v>417</v>
      </c>
      <c r="D16" s="4"/>
      <c r="E16" s="88">
        <v>3</v>
      </c>
      <c r="F16" s="101">
        <f t="shared" si="0"/>
        <v>60</v>
      </c>
      <c r="G16">
        <f>VLOOKUP($C16,약재관리!A:J,10,FALSE)</f>
        <v>15</v>
      </c>
      <c r="H16" s="5">
        <f t="shared" si="1"/>
        <v>45</v>
      </c>
      <c r="I16" s="6">
        <f t="shared" si="2"/>
        <v>900</v>
      </c>
      <c r="K16" s="91" t="s">
        <v>20</v>
      </c>
      <c r="L16">
        <v>45</v>
      </c>
      <c r="M16" s="4" t="s">
        <v>21</v>
      </c>
    </row>
    <row r="17" spans="2:13" ht="17.25" thickBot="1">
      <c r="B17" s="3">
        <v>16</v>
      </c>
      <c r="C17" t="s">
        <v>422</v>
      </c>
      <c r="D17" s="4"/>
      <c r="E17" s="88">
        <v>4</v>
      </c>
      <c r="F17" s="101">
        <f t="shared" si="0"/>
        <v>80</v>
      </c>
      <c r="G17">
        <f>VLOOKUP($C17,약재관리!A:J,10,FALSE)</f>
        <v>46.7</v>
      </c>
      <c r="H17" s="5">
        <f t="shared" si="1"/>
        <v>186.8</v>
      </c>
      <c r="I17" s="6">
        <f t="shared" si="2"/>
        <v>3736</v>
      </c>
      <c r="K17" s="14" t="s">
        <v>22</v>
      </c>
      <c r="L17" s="11">
        <v>100</v>
      </c>
      <c r="M17" s="12" t="s">
        <v>23</v>
      </c>
    </row>
    <row r="18" spans="2:13">
      <c r="B18" s="3">
        <v>17</v>
      </c>
      <c r="C18" t="s">
        <v>426</v>
      </c>
      <c r="D18" s="4"/>
      <c r="E18" s="88">
        <v>3</v>
      </c>
      <c r="F18" s="101">
        <f t="shared" si="0"/>
        <v>60</v>
      </c>
      <c r="G18">
        <f>VLOOKUP($C18,약재관리!A:J,10,FALSE)</f>
        <v>65</v>
      </c>
      <c r="H18" s="5">
        <f t="shared" si="1"/>
        <v>195</v>
      </c>
      <c r="I18" s="6">
        <f t="shared" si="2"/>
        <v>3900</v>
      </c>
      <c r="K18" s="92" t="s">
        <v>24</v>
      </c>
      <c r="L18" s="9">
        <f>SUM(E2:E31)</f>
        <v>84</v>
      </c>
      <c r="M18" s="10" t="s">
        <v>25</v>
      </c>
    </row>
    <row r="19" spans="2:13">
      <c r="B19" s="3">
        <v>18</v>
      </c>
      <c r="C19" t="s">
        <v>423</v>
      </c>
      <c r="D19" s="4"/>
      <c r="E19" s="88">
        <v>2</v>
      </c>
      <c r="F19" s="101">
        <f t="shared" si="0"/>
        <v>40</v>
      </c>
      <c r="G19">
        <f>VLOOKUP($C19,약재관리!A:J,10,FALSE)</f>
        <v>136.69999999999999</v>
      </c>
      <c r="H19" s="5">
        <f t="shared" si="1"/>
        <v>273.39999999999998</v>
      </c>
      <c r="I19" s="6">
        <f t="shared" si="2"/>
        <v>5468</v>
      </c>
      <c r="K19" s="91" t="s">
        <v>26</v>
      </c>
      <c r="L19">
        <f>L15*L18</f>
        <v>1680</v>
      </c>
      <c r="M19" s="4" t="s">
        <v>25</v>
      </c>
    </row>
    <row r="20" spans="2:13" ht="17.25" thickBot="1">
      <c r="B20" s="3">
        <v>19</v>
      </c>
      <c r="C20" t="s">
        <v>424</v>
      </c>
      <c r="D20" s="4"/>
      <c r="E20" s="88">
        <v>4</v>
      </c>
      <c r="F20" s="101">
        <f t="shared" si="0"/>
        <v>80</v>
      </c>
      <c r="G20">
        <f>VLOOKUP($C20,약재관리!A:J,10,FALSE)</f>
        <v>10.8</v>
      </c>
      <c r="H20" s="5">
        <f t="shared" si="1"/>
        <v>43.2</v>
      </c>
      <c r="I20" s="6">
        <f t="shared" si="2"/>
        <v>864</v>
      </c>
      <c r="K20" s="14" t="s">
        <v>27</v>
      </c>
      <c r="L20" s="11">
        <f>L16*L17+L19</f>
        <v>6180</v>
      </c>
      <c r="M20" s="12" t="s">
        <v>23</v>
      </c>
    </row>
    <row r="21" spans="2:13" ht="17.25" thickBot="1">
      <c r="B21" s="3">
        <v>20</v>
      </c>
      <c r="C21" t="s">
        <v>425</v>
      </c>
      <c r="D21" s="4"/>
      <c r="E21" s="88">
        <v>4</v>
      </c>
      <c r="F21" s="101">
        <f t="shared" si="0"/>
        <v>80</v>
      </c>
      <c r="G21">
        <f>VLOOKUP($C21,약재관리!A:J,10,FALSE)</f>
        <v>6.7</v>
      </c>
      <c r="H21" s="5">
        <f t="shared" si="1"/>
        <v>26.8</v>
      </c>
      <c r="I21" s="6">
        <f t="shared" si="2"/>
        <v>536</v>
      </c>
      <c r="J21" s="91"/>
      <c r="M21" s="94"/>
    </row>
    <row r="22" spans="2:13" ht="17.25" thickBot="1">
      <c r="B22" s="3">
        <v>21</v>
      </c>
      <c r="C22" t="s">
        <v>428</v>
      </c>
      <c r="D22" s="4"/>
      <c r="E22" s="88">
        <v>4</v>
      </c>
      <c r="F22" s="101">
        <f t="shared" si="0"/>
        <v>80</v>
      </c>
      <c r="G22">
        <f>VLOOKUP($C22,약재관리!A:J,10,FALSE)</f>
        <v>13</v>
      </c>
      <c r="H22" s="5">
        <f t="shared" si="1"/>
        <v>52</v>
      </c>
      <c r="I22" s="6">
        <f t="shared" si="2"/>
        <v>1040</v>
      </c>
      <c r="K22" s="149" t="s">
        <v>388</v>
      </c>
      <c r="L22" s="150"/>
      <c r="M22" s="151"/>
    </row>
    <row r="23" spans="2:13">
      <c r="B23" s="3">
        <v>22</v>
      </c>
      <c r="D23" s="4"/>
      <c r="F23" s="101">
        <f t="shared" si="0"/>
        <v>0</v>
      </c>
      <c r="H23" s="5">
        <f t="shared" si="1"/>
        <v>0</v>
      </c>
      <c r="I23" s="6">
        <f t="shared" si="2"/>
        <v>0</v>
      </c>
      <c r="K23" s="91" t="s">
        <v>382</v>
      </c>
      <c r="L23">
        <f>SUM(F2:F31)</f>
        <v>1680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1756.7999999999997</v>
      </c>
      <c r="M30" s="4" t="s">
        <v>386</v>
      </c>
    </row>
    <row r="31" spans="2:13" ht="17.25" thickBot="1">
      <c r="B31" s="13">
        <v>30</v>
      </c>
      <c r="C31" s="14"/>
      <c r="D31" s="12"/>
      <c r="E31" s="95"/>
      <c r="F31" s="102">
        <f t="shared" si="0"/>
        <v>0</v>
      </c>
      <c r="G31" s="14"/>
      <c r="H31" s="15">
        <f t="shared" si="1"/>
        <v>0</v>
      </c>
      <c r="I31" s="16">
        <f t="shared" si="2"/>
        <v>0</v>
      </c>
      <c r="K31" s="14" t="s">
        <v>385</v>
      </c>
      <c r="L31" s="15">
        <f>SUM(I2:I31)</f>
        <v>35136</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H160" sqref="H160"/>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45602</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21500</v>
      </c>
      <c r="D31" s="36"/>
      <c r="E31" s="37">
        <v>30800</v>
      </c>
      <c r="F31" s="115">
        <f t="shared" si="3"/>
        <v>0</v>
      </c>
      <c r="G31" s="38">
        <f>C31/500</f>
        <v>43</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6700</v>
      </c>
      <c r="F32" s="73">
        <f t="shared" si="3"/>
        <v>23</v>
      </c>
      <c r="G32" s="51">
        <f>C32/500</f>
        <v>25.8</v>
      </c>
      <c r="H32" s="51">
        <f t="shared" si="1"/>
        <v>12.5</v>
      </c>
      <c r="I32" s="138">
        <f t="shared" si="2"/>
        <v>11.166666666666666</v>
      </c>
      <c r="J32" s="52">
        <v>11.2</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12700</v>
      </c>
      <c r="D38" s="36">
        <v>15000</v>
      </c>
      <c r="E38" s="37">
        <v>15000</v>
      </c>
      <c r="F38" s="115">
        <f t="shared" ref="F38:F69" si="8">B38/500</f>
        <v>29.8</v>
      </c>
      <c r="G38" s="38">
        <f>C38/500</f>
        <v>25.4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15600</v>
      </c>
      <c r="D46" s="36">
        <v>19000</v>
      </c>
      <c r="E46" s="37">
        <v>23100</v>
      </c>
      <c r="F46" s="115">
        <f t="shared" si="8"/>
        <v>0</v>
      </c>
      <c r="G46" s="44">
        <f t="shared" si="9"/>
        <v>31.2</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23000</v>
      </c>
      <c r="D54" s="36">
        <v>39000</v>
      </c>
      <c r="E54" s="37">
        <v>28000</v>
      </c>
      <c r="F54" s="115">
        <f t="shared" si="8"/>
        <v>0</v>
      </c>
      <c r="G54" s="38">
        <f>C54/500</f>
        <v>46</v>
      </c>
      <c r="H54" s="38">
        <f t="shared" si="10"/>
        <v>65</v>
      </c>
      <c r="I54" s="48">
        <f t="shared" si="10"/>
        <v>46.666666666666664</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1"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16500</v>
      </c>
      <c r="E76" s="37">
        <v>16300</v>
      </c>
      <c r="F76" s="115">
        <f t="shared" si="15"/>
        <v>33.799999999999997</v>
      </c>
      <c r="G76" s="38">
        <f t="shared" si="12"/>
        <v>26.4</v>
      </c>
      <c r="H76" s="44">
        <f t="shared" si="13"/>
        <v>27.5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c r="D78" s="36"/>
      <c r="E78" s="37">
        <v>17000</v>
      </c>
      <c r="F78" s="115">
        <f t="shared" si="15"/>
        <v>0</v>
      </c>
      <c r="G78" s="38">
        <f t="shared" si="12"/>
        <v>0</v>
      </c>
      <c r="H78" s="38">
        <f t="shared" si="13"/>
        <v>0</v>
      </c>
      <c r="I78" s="39">
        <f t="shared" si="14"/>
        <v>28.333333333333332</v>
      </c>
      <c r="J78" s="40">
        <v>28.3</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5500</v>
      </c>
      <c r="D82" s="36">
        <v>7000</v>
      </c>
      <c r="E82" s="37">
        <v>6600</v>
      </c>
      <c r="F82" s="115">
        <f t="shared" si="15"/>
        <v>19.8</v>
      </c>
      <c r="G82" s="38">
        <f t="shared" ref="G82:G99" si="16">C82/500</f>
        <v>11</v>
      </c>
      <c r="H82" s="38">
        <f t="shared" si="13"/>
        <v>11.666666666666666</v>
      </c>
      <c r="I82" s="48">
        <f t="shared" si="14"/>
        <v>11</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187</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9" t="s">
        <v>190</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114</v>
      </c>
    </row>
    <row r="88" spans="1:14" ht="15.75" customHeight="1">
      <c r="A88" s="130" t="s">
        <v>191</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84</v>
      </c>
    </row>
    <row r="89" spans="1:14" ht="15.75" customHeight="1">
      <c r="A89" s="119" t="s">
        <v>192</v>
      </c>
      <c r="B89" s="125"/>
      <c r="C89" s="36">
        <v>13200</v>
      </c>
      <c r="D89" s="36">
        <v>15000</v>
      </c>
      <c r="E89" s="37">
        <v>13100</v>
      </c>
      <c r="F89" s="115">
        <f t="shared" si="15"/>
        <v>0</v>
      </c>
      <c r="G89" s="38">
        <f t="shared" si="16"/>
        <v>26.4</v>
      </c>
      <c r="H89" s="38">
        <f t="shared" si="13"/>
        <v>25</v>
      </c>
      <c r="I89" s="48">
        <f t="shared" si="14"/>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15"/>
        <v>0</v>
      </c>
      <c r="G90" s="44">
        <f t="shared" si="16"/>
        <v>7</v>
      </c>
      <c r="H90" s="38">
        <f t="shared" si="13"/>
        <v>7.5</v>
      </c>
      <c r="I90" s="39">
        <f t="shared" si="14"/>
        <v>7.166666666666667</v>
      </c>
      <c r="J90" s="40">
        <v>7</v>
      </c>
      <c r="K90" s="41"/>
      <c r="L90" s="42" t="s">
        <v>164</v>
      </c>
      <c r="M90" s="47"/>
      <c r="N90" s="45" t="s">
        <v>84</v>
      </c>
    </row>
    <row r="91" spans="1:14" ht="15.75" customHeight="1">
      <c r="A91" s="119" t="s">
        <v>196</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15"/>
        <v>0</v>
      </c>
      <c r="G92" s="38">
        <f t="shared" si="16"/>
        <v>20.8</v>
      </c>
      <c r="H92" s="44">
        <f t="shared" si="13"/>
        <v>18.333333333333332</v>
      </c>
      <c r="I92" s="39">
        <f t="shared" si="14"/>
        <v>41</v>
      </c>
      <c r="J92" s="40">
        <v>18.3</v>
      </c>
      <c r="K92" s="41"/>
      <c r="L92" s="42" t="s">
        <v>201</v>
      </c>
      <c r="M92" s="58" t="s">
        <v>202</v>
      </c>
      <c r="N92" s="43" t="s">
        <v>203</v>
      </c>
    </row>
    <row r="93" spans="1:14" ht="15.75" customHeight="1">
      <c r="A93" s="119" t="s">
        <v>204</v>
      </c>
      <c r="B93" s="125"/>
      <c r="C93" s="36">
        <v>125800</v>
      </c>
      <c r="D93" s="36"/>
      <c r="E93" s="37">
        <v>169000</v>
      </c>
      <c r="F93" s="115">
        <f t="shared" si="15"/>
        <v>0</v>
      </c>
      <c r="G93" s="38">
        <f t="shared" si="16"/>
        <v>251.6</v>
      </c>
      <c r="H93" s="38">
        <f t="shared" si="13"/>
        <v>0</v>
      </c>
      <c r="I93" s="39">
        <f t="shared" si="14"/>
        <v>281.66666666666669</v>
      </c>
      <c r="K93" s="41"/>
      <c r="L93" s="113" t="s">
        <v>205</v>
      </c>
      <c r="M93" s="42"/>
      <c r="N93" s="43" t="s">
        <v>206</v>
      </c>
    </row>
    <row r="94" spans="1:14" ht="15.75" customHeight="1">
      <c r="A94" s="119" t="s">
        <v>207</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19" t="s">
        <v>208</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209</v>
      </c>
      <c r="B96" s="125"/>
      <c r="C96" s="36">
        <v>17500</v>
      </c>
      <c r="D96" s="36"/>
      <c r="E96" s="37">
        <v>20100</v>
      </c>
      <c r="F96" s="115">
        <f t="shared" si="15"/>
        <v>0</v>
      </c>
      <c r="G96" s="38">
        <f t="shared" si="16"/>
        <v>35</v>
      </c>
      <c r="H96" s="38">
        <f t="shared" si="13"/>
        <v>0</v>
      </c>
      <c r="I96" s="39">
        <f t="shared" si="14"/>
        <v>33.5</v>
      </c>
      <c r="J96" s="40">
        <v>35</v>
      </c>
      <c r="K96" s="41"/>
      <c r="L96" s="42" t="s">
        <v>42</v>
      </c>
      <c r="M96" s="42"/>
      <c r="N96" s="43" t="s">
        <v>42</v>
      </c>
    </row>
    <row r="97" spans="1:14" ht="15.75" customHeight="1">
      <c r="A97" s="119" t="s">
        <v>210</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211</v>
      </c>
      <c r="B98" s="125">
        <v>7500</v>
      </c>
      <c r="C98" s="36">
        <v>7000</v>
      </c>
      <c r="D98" s="36">
        <v>9000</v>
      </c>
      <c r="E98" s="37"/>
      <c r="F98" s="115">
        <f t="shared" si="15"/>
        <v>15</v>
      </c>
      <c r="G98" s="44">
        <f t="shared" si="16"/>
        <v>14</v>
      </c>
      <c r="H98" s="38">
        <f t="shared" si="13"/>
        <v>15</v>
      </c>
      <c r="I98" s="39">
        <f t="shared" si="14"/>
        <v>0</v>
      </c>
      <c r="J98" s="40">
        <v>15</v>
      </c>
      <c r="K98" s="67"/>
      <c r="L98" s="68" t="s">
        <v>152</v>
      </c>
      <c r="M98" s="47" t="s">
        <v>270</v>
      </c>
      <c r="N98" s="43"/>
    </row>
    <row r="99" spans="1:14" ht="15.75" customHeight="1">
      <c r="A99" s="119" t="s">
        <v>212</v>
      </c>
      <c r="B99" s="125">
        <v>10300</v>
      </c>
      <c r="C99" s="36">
        <v>7500</v>
      </c>
      <c r="D99" s="36">
        <v>9000</v>
      </c>
      <c r="E99" s="37"/>
      <c r="F99" s="115">
        <f t="shared" si="15"/>
        <v>20.6</v>
      </c>
      <c r="G99" s="44">
        <f t="shared" si="16"/>
        <v>15</v>
      </c>
      <c r="H99" s="38">
        <f t="shared" si="13"/>
        <v>15</v>
      </c>
      <c r="I99" s="39">
        <f t="shared" si="14"/>
        <v>0</v>
      </c>
      <c r="J99" s="40">
        <v>17.399999999999999</v>
      </c>
      <c r="K99" s="67"/>
      <c r="L99" s="57" t="s">
        <v>152</v>
      </c>
      <c r="M99" s="47"/>
      <c r="N99" s="43"/>
    </row>
    <row r="100" spans="1:14" ht="15.75" customHeight="1">
      <c r="A100" s="119" t="s">
        <v>213</v>
      </c>
      <c r="B100" s="125"/>
      <c r="C100" s="36">
        <v>5500</v>
      </c>
      <c r="D100" s="36">
        <v>5500</v>
      </c>
      <c r="E100" s="37">
        <v>2800</v>
      </c>
      <c r="F100" s="115">
        <f t="shared" si="15"/>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15"/>
        <v>0</v>
      </c>
      <c r="G101" s="38">
        <f t="shared" ref="G101:G108" si="17">C101/500</f>
        <v>0</v>
      </c>
      <c r="H101" s="38">
        <f t="shared" ref="H101:H108" si="18">D101/600</f>
        <v>0</v>
      </c>
      <c r="I101" s="39">
        <f t="shared" ref="I101:I108" si="19">E101/600</f>
        <v>0</v>
      </c>
      <c r="K101" s="41"/>
      <c r="L101" s="42"/>
      <c r="M101" s="42"/>
      <c r="N101" s="43"/>
    </row>
    <row r="102" spans="1:14" ht="15.75" customHeight="1">
      <c r="A102" s="119" t="s">
        <v>217</v>
      </c>
      <c r="B102" s="125">
        <v>22400</v>
      </c>
      <c r="C102" s="36">
        <v>13800</v>
      </c>
      <c r="D102" s="36"/>
      <c r="E102" s="37">
        <v>18900</v>
      </c>
      <c r="F102" s="115">
        <f t="shared" ref="F102:F133" si="20">B102/500</f>
        <v>44.8</v>
      </c>
      <c r="G102" s="38">
        <f t="shared" si="17"/>
        <v>27.6</v>
      </c>
      <c r="H102" s="38">
        <f t="shared" si="18"/>
        <v>0</v>
      </c>
      <c r="I102" s="39">
        <f t="shared" si="19"/>
        <v>31.5</v>
      </c>
      <c r="J102" s="40">
        <v>31.5</v>
      </c>
      <c r="K102" s="41"/>
      <c r="L102" s="42" t="s">
        <v>164</v>
      </c>
      <c r="M102" s="47"/>
      <c r="N102" s="43" t="s">
        <v>84</v>
      </c>
    </row>
    <row r="103" spans="1:14" ht="15" customHeight="1">
      <c r="A103" s="119" t="s">
        <v>218</v>
      </c>
      <c r="B103" s="125"/>
      <c r="C103" s="36">
        <v>15000</v>
      </c>
      <c r="D103" s="36">
        <v>20000</v>
      </c>
      <c r="E103" s="37"/>
      <c r="F103" s="115">
        <f t="shared" si="20"/>
        <v>0</v>
      </c>
      <c r="G103" s="38">
        <f t="shared" si="17"/>
        <v>30</v>
      </c>
      <c r="H103" s="38">
        <f t="shared" si="18"/>
        <v>33.333333333333336</v>
      </c>
      <c r="I103" s="39">
        <f t="shared" si="19"/>
        <v>0</v>
      </c>
      <c r="J103" s="40">
        <v>33.299999999999997</v>
      </c>
      <c r="K103" s="41"/>
      <c r="L103" s="42"/>
      <c r="M103" s="42"/>
      <c r="N103" s="43"/>
    </row>
    <row r="104" spans="1:14" ht="15" customHeight="1">
      <c r="A104" s="119" t="s">
        <v>219</v>
      </c>
      <c r="B104" s="125"/>
      <c r="C104" s="36">
        <v>58500</v>
      </c>
      <c r="D104" s="36"/>
      <c r="E104" s="37">
        <v>81200</v>
      </c>
      <c r="F104" s="115">
        <f t="shared" si="20"/>
        <v>0</v>
      </c>
      <c r="G104" s="44">
        <f t="shared" si="17"/>
        <v>117</v>
      </c>
      <c r="H104" s="38">
        <f t="shared" si="18"/>
        <v>0</v>
      </c>
      <c r="I104" s="39">
        <f t="shared" si="19"/>
        <v>135.33333333333334</v>
      </c>
      <c r="J104" s="40">
        <v>117</v>
      </c>
      <c r="K104" s="41"/>
      <c r="L104" s="57" t="s">
        <v>65</v>
      </c>
      <c r="M104" s="42"/>
      <c r="N104" s="43" t="s">
        <v>84</v>
      </c>
    </row>
    <row r="105" spans="1:14" ht="15" customHeight="1">
      <c r="A105" s="119" t="s">
        <v>220</v>
      </c>
      <c r="B105" s="125"/>
      <c r="C105" s="36">
        <v>3100</v>
      </c>
      <c r="D105" s="36">
        <v>5000</v>
      </c>
      <c r="E105" s="37">
        <v>3700</v>
      </c>
      <c r="F105" s="115">
        <f t="shared" si="20"/>
        <v>0</v>
      </c>
      <c r="G105" s="38">
        <f t="shared" si="17"/>
        <v>6.2</v>
      </c>
      <c r="H105" s="38">
        <f t="shared" si="18"/>
        <v>8.3333333333333339</v>
      </c>
      <c r="I105" s="39">
        <f t="shared" si="19"/>
        <v>6.166666666666667</v>
      </c>
      <c r="J105" s="40">
        <v>6.2</v>
      </c>
      <c r="K105" s="41"/>
      <c r="L105" s="42"/>
      <c r="M105" s="47"/>
      <c r="N105" s="43" t="s">
        <v>114</v>
      </c>
    </row>
    <row r="106" spans="1:14" ht="15" customHeight="1">
      <c r="A106" s="119" t="s">
        <v>221</v>
      </c>
      <c r="B106" s="125"/>
      <c r="C106" s="36">
        <v>5700</v>
      </c>
      <c r="D106" s="36">
        <v>7800</v>
      </c>
      <c r="E106" s="37">
        <v>4500</v>
      </c>
      <c r="F106" s="115">
        <f t="shared" si="20"/>
        <v>0</v>
      </c>
      <c r="G106" s="38">
        <f t="shared" si="17"/>
        <v>11.4</v>
      </c>
      <c r="H106" s="38">
        <f t="shared" si="18"/>
        <v>13</v>
      </c>
      <c r="I106" s="39">
        <f t="shared" si="19"/>
        <v>7.5</v>
      </c>
      <c r="J106" s="40">
        <v>7.5</v>
      </c>
      <c r="K106" s="41"/>
      <c r="L106" s="42"/>
      <c r="M106" s="47"/>
      <c r="N106" s="43"/>
    </row>
    <row r="107" spans="1:14" ht="15" customHeight="1">
      <c r="A107" s="119" t="s">
        <v>222</v>
      </c>
      <c r="B107" s="125"/>
      <c r="C107" s="36">
        <v>5800</v>
      </c>
      <c r="D107" s="36">
        <v>6000</v>
      </c>
      <c r="E107" s="37"/>
      <c r="F107" s="115">
        <f t="shared" si="20"/>
        <v>0</v>
      </c>
      <c r="G107" s="38">
        <f t="shared" si="17"/>
        <v>11.6</v>
      </c>
      <c r="H107" s="38">
        <f t="shared" si="18"/>
        <v>10</v>
      </c>
      <c r="I107" s="39">
        <f t="shared" si="19"/>
        <v>0</v>
      </c>
      <c r="J107" s="40">
        <v>10</v>
      </c>
      <c r="K107" s="41"/>
      <c r="L107" s="42"/>
      <c r="M107" s="42"/>
      <c r="N107" s="43"/>
    </row>
    <row r="108" spans="1:14" ht="15" customHeight="1">
      <c r="A108" s="119" t="s">
        <v>223</v>
      </c>
      <c r="B108" s="125"/>
      <c r="C108" s="36">
        <v>5700</v>
      </c>
      <c r="D108" s="36"/>
      <c r="E108" s="37">
        <v>7000</v>
      </c>
      <c r="F108" s="115">
        <f t="shared" si="20"/>
        <v>0</v>
      </c>
      <c r="G108" s="38">
        <f t="shared" si="17"/>
        <v>11.4</v>
      </c>
      <c r="H108" s="38">
        <f t="shared" si="18"/>
        <v>0</v>
      </c>
      <c r="I108" s="39">
        <f t="shared" si="19"/>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20"/>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65</v>
      </c>
      <c r="M110" s="68"/>
      <c r="N110" s="70" t="s">
        <v>84</v>
      </c>
    </row>
    <row r="111" spans="1:14" ht="15" customHeight="1">
      <c r="A111" s="119" t="s">
        <v>227</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20"/>
        <v>59.8</v>
      </c>
      <c r="G112" s="38">
        <f>C112/500</f>
        <v>15.6</v>
      </c>
      <c r="H112" s="38">
        <f t="shared" si="21"/>
        <v>16.666666666666668</v>
      </c>
      <c r="I112" s="39">
        <f t="shared" si="21"/>
        <v>14.5</v>
      </c>
      <c r="J112" s="40">
        <v>15.3</v>
      </c>
      <c r="K112" s="67"/>
      <c r="L112" s="68"/>
      <c r="M112" s="71" t="s">
        <v>147</v>
      </c>
      <c r="N112" s="66" t="s">
        <v>230</v>
      </c>
    </row>
    <row r="113" spans="1:14" ht="15" customHeight="1">
      <c r="A113" s="119" t="s">
        <v>231</v>
      </c>
      <c r="B113" s="125"/>
      <c r="C113" s="36">
        <v>8500</v>
      </c>
      <c r="D113" s="36">
        <v>8000</v>
      </c>
      <c r="E113" s="37">
        <v>8500</v>
      </c>
      <c r="F113" s="115">
        <f t="shared" si="20"/>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239</v>
      </c>
      <c r="B117" s="125"/>
      <c r="C117" s="36">
        <v>14000</v>
      </c>
      <c r="D117" s="36">
        <v>38000</v>
      </c>
      <c r="E117" s="37">
        <v>23500</v>
      </c>
      <c r="F117" s="115">
        <f t="shared" si="20"/>
        <v>0</v>
      </c>
      <c r="G117" s="44">
        <f t="shared" si="23"/>
        <v>28</v>
      </c>
      <c r="H117" s="38">
        <f t="shared" si="22"/>
        <v>63.333333333333336</v>
      </c>
      <c r="I117" s="39">
        <f t="shared" si="24"/>
        <v>39.166666666666664</v>
      </c>
      <c r="J117" s="40">
        <v>28</v>
      </c>
      <c r="K117" s="41"/>
      <c r="L117" s="42" t="s">
        <v>50</v>
      </c>
      <c r="M117" s="47" t="s">
        <v>240</v>
      </c>
      <c r="N117" s="43" t="s">
        <v>84</v>
      </c>
    </row>
    <row r="118" spans="1:14" ht="15" customHeight="1">
      <c r="A118" s="118" t="s">
        <v>241</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242</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18" t="s">
        <v>243</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244</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18" t="s">
        <v>247</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248</v>
      </c>
      <c r="B124" s="125"/>
      <c r="C124" s="36">
        <v>8400</v>
      </c>
      <c r="D124" s="36"/>
      <c r="E124" s="37"/>
      <c r="F124" s="115">
        <f t="shared" si="20"/>
        <v>0</v>
      </c>
      <c r="G124" s="38">
        <f t="shared" si="23"/>
        <v>16.8</v>
      </c>
      <c r="H124" s="38">
        <f t="shared" si="22"/>
        <v>0</v>
      </c>
      <c r="I124" s="39">
        <f t="shared" si="24"/>
        <v>0</v>
      </c>
      <c r="J124" s="40">
        <v>16.8</v>
      </c>
      <c r="K124" s="41"/>
      <c r="L124" s="42" t="s">
        <v>50</v>
      </c>
      <c r="M124" s="42"/>
      <c r="N124" s="43"/>
    </row>
    <row r="125" spans="1:14" ht="15" customHeight="1">
      <c r="A125" s="118" t="s">
        <v>249</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253</v>
      </c>
      <c r="N127" s="43"/>
    </row>
    <row r="128" spans="1:14" ht="15" customHeight="1">
      <c r="A128" s="118" t="s">
        <v>254</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255</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18" t="s">
        <v>257</v>
      </c>
      <c r="B130" s="125"/>
      <c r="C130" s="36">
        <v>12800</v>
      </c>
      <c r="D130" s="36">
        <v>11500</v>
      </c>
      <c r="E130" s="37">
        <v>11600</v>
      </c>
      <c r="F130" s="115">
        <f t="shared" si="20"/>
        <v>0</v>
      </c>
      <c r="G130" s="38">
        <f>C130/600</f>
        <v>21.333333333333332</v>
      </c>
      <c r="H130" s="38">
        <f t="shared" si="25"/>
        <v>19.166666666666668</v>
      </c>
      <c r="I130" s="39">
        <f t="shared" si="24"/>
        <v>19.333333333333332</v>
      </c>
      <c r="J130" s="40">
        <v>19.2</v>
      </c>
      <c r="K130" s="41"/>
      <c r="L130" s="57" t="s">
        <v>258</v>
      </c>
      <c r="M130" s="58"/>
      <c r="N130" s="43" t="s">
        <v>259</v>
      </c>
    </row>
    <row r="131" spans="1:14" ht="15" customHeight="1">
      <c r="A131" s="118" t="s">
        <v>260</v>
      </c>
      <c r="B131" s="125"/>
      <c r="C131" s="36">
        <v>34000</v>
      </c>
      <c r="D131" s="36"/>
      <c r="E131" s="37">
        <v>55900</v>
      </c>
      <c r="F131" s="115">
        <f t="shared" si="20"/>
        <v>0</v>
      </c>
      <c r="G131" s="38">
        <f>C131/500</f>
        <v>68</v>
      </c>
      <c r="H131" s="38">
        <f t="shared" si="25"/>
        <v>0</v>
      </c>
      <c r="I131" s="39">
        <f t="shared" si="24"/>
        <v>93.166666666666671</v>
      </c>
      <c r="J131" s="40">
        <v>68</v>
      </c>
      <c r="K131" s="41"/>
      <c r="L131" s="42" t="s">
        <v>50</v>
      </c>
      <c r="M131" s="42"/>
      <c r="N131" s="43" t="s">
        <v>84</v>
      </c>
    </row>
    <row r="132" spans="1:14" ht="15" customHeight="1">
      <c r="A132" s="118" t="s">
        <v>261</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262</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114</v>
      </c>
    </row>
    <row r="134" spans="1:14" ht="15" customHeight="1">
      <c r="A134" s="118" t="s">
        <v>263</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264</v>
      </c>
    </row>
    <row r="135" spans="1:14" ht="15" customHeight="1">
      <c r="A135" s="118" t="s">
        <v>265</v>
      </c>
      <c r="B135" s="125"/>
      <c r="C135" s="36">
        <v>13800</v>
      </c>
      <c r="D135" s="36">
        <v>17500</v>
      </c>
      <c r="E135" s="37"/>
      <c r="F135" s="115">
        <f t="shared" si="26"/>
        <v>0</v>
      </c>
      <c r="G135" s="38">
        <f>C135/500</f>
        <v>27.6</v>
      </c>
      <c r="H135" s="38">
        <f t="shared" si="25"/>
        <v>29.166666666666668</v>
      </c>
      <c r="I135" s="39">
        <f t="shared" si="24"/>
        <v>0</v>
      </c>
      <c r="J135" s="40">
        <v>29.2</v>
      </c>
      <c r="K135" s="69"/>
      <c r="L135" s="68"/>
      <c r="M135" s="68"/>
      <c r="N135" s="70"/>
    </row>
    <row r="136" spans="1:14" ht="15" customHeight="1">
      <c r="A136" s="118" t="s">
        <v>266</v>
      </c>
      <c r="B136" s="125"/>
      <c r="C136" s="36">
        <v>13200</v>
      </c>
      <c r="D136" s="36">
        <v>14000</v>
      </c>
      <c r="E136" s="37"/>
      <c r="F136" s="115">
        <f t="shared" si="26"/>
        <v>0</v>
      </c>
      <c r="G136" s="38">
        <f>C136/600</f>
        <v>22</v>
      </c>
      <c r="H136" s="38">
        <f t="shared" si="25"/>
        <v>23.333333333333332</v>
      </c>
      <c r="I136" s="39">
        <f t="shared" si="24"/>
        <v>0</v>
      </c>
      <c r="J136" s="40">
        <v>22</v>
      </c>
      <c r="K136" s="69"/>
      <c r="L136" s="68" t="s">
        <v>105</v>
      </c>
      <c r="M136" s="68"/>
      <c r="N136" s="70"/>
    </row>
    <row r="137" spans="1:14" ht="15" customHeight="1">
      <c r="A137" s="118" t="s">
        <v>267</v>
      </c>
      <c r="B137" s="125"/>
      <c r="C137" s="36">
        <v>11900</v>
      </c>
      <c r="D137" s="36"/>
      <c r="E137" s="37"/>
      <c r="F137" s="115">
        <f t="shared" si="26"/>
        <v>0</v>
      </c>
      <c r="G137" s="38">
        <f>C137/500</f>
        <v>23.8</v>
      </c>
      <c r="H137" s="38">
        <f t="shared" si="25"/>
        <v>0</v>
      </c>
      <c r="I137" s="39">
        <f t="shared" si="24"/>
        <v>0</v>
      </c>
      <c r="J137" s="40">
        <v>23.8</v>
      </c>
      <c r="K137" s="69"/>
      <c r="L137" s="68" t="s">
        <v>164</v>
      </c>
      <c r="M137" s="68"/>
      <c r="N137" s="70"/>
    </row>
    <row r="138" spans="1:14" ht="15" customHeight="1">
      <c r="A138" s="118" t="s">
        <v>268</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26"/>
        <v>0</v>
      </c>
      <c r="G139" s="38">
        <f>C139/500</f>
        <v>11.6</v>
      </c>
      <c r="H139" s="38">
        <f t="shared" si="25"/>
        <v>12.5</v>
      </c>
      <c r="I139" s="39">
        <f t="shared" si="24"/>
        <v>0</v>
      </c>
      <c r="K139" s="69"/>
      <c r="L139" s="68"/>
      <c r="M139" s="68" t="s">
        <v>152</v>
      </c>
      <c r="N139" s="70"/>
    </row>
    <row r="140" spans="1:14" ht="15" customHeight="1">
      <c r="A140" s="118" t="s">
        <v>272</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273</v>
      </c>
      <c r="M140" s="68"/>
      <c r="N140" s="70" t="s">
        <v>396</v>
      </c>
    </row>
    <row r="141" spans="1:14" ht="15" customHeight="1">
      <c r="A141" s="118" t="s">
        <v>274</v>
      </c>
      <c r="B141" s="125"/>
      <c r="C141" s="36">
        <v>56000</v>
      </c>
      <c r="D141" s="36">
        <v>30000</v>
      </c>
      <c r="E141" s="37">
        <v>62500</v>
      </c>
      <c r="F141" s="115">
        <f t="shared" si="26"/>
        <v>0</v>
      </c>
      <c r="G141" s="44">
        <f>C141/600</f>
        <v>93.333333333333329</v>
      </c>
      <c r="H141" s="38">
        <f>D141/300</f>
        <v>100</v>
      </c>
      <c r="I141" s="39">
        <f t="shared" si="24"/>
        <v>104.16666666666667</v>
      </c>
      <c r="J141" s="40">
        <v>90</v>
      </c>
      <c r="K141" s="69"/>
      <c r="L141" s="57" t="s">
        <v>275</v>
      </c>
      <c r="M141" s="71" t="s">
        <v>276</v>
      </c>
      <c r="N141" s="70" t="s">
        <v>407</v>
      </c>
    </row>
    <row r="142" spans="1:14" ht="15" customHeight="1" thickBot="1">
      <c r="A142" s="129" t="s">
        <v>277</v>
      </c>
      <c r="B142" s="126"/>
      <c r="C142" s="49">
        <v>6000</v>
      </c>
      <c r="D142" s="49">
        <v>7500</v>
      </c>
      <c r="E142" s="50">
        <v>7200</v>
      </c>
      <c r="F142" s="73">
        <f t="shared" si="26"/>
        <v>0</v>
      </c>
      <c r="G142" s="51">
        <f>C142/500</f>
        <v>12</v>
      </c>
      <c r="H142" s="51">
        <f>D142/600</f>
        <v>12.5</v>
      </c>
      <c r="I142" s="60">
        <f t="shared" si="24"/>
        <v>12</v>
      </c>
      <c r="J142" s="52">
        <v>12</v>
      </c>
      <c r="K142" s="61"/>
      <c r="L142" s="53"/>
      <c r="M142" s="53"/>
      <c r="N142" s="62" t="s">
        <v>42</v>
      </c>
    </row>
    <row r="143" spans="1:14" ht="15" customHeight="1">
      <c r="A143" s="130" t="s">
        <v>278</v>
      </c>
      <c r="B143" s="128"/>
      <c r="C143" s="26">
        <v>7500</v>
      </c>
      <c r="D143" s="26">
        <v>8500</v>
      </c>
      <c r="E143" s="27">
        <v>7200</v>
      </c>
      <c r="F143" s="28">
        <f t="shared" si="26"/>
        <v>0</v>
      </c>
      <c r="G143" s="29">
        <f>C143/500</f>
        <v>15</v>
      </c>
      <c r="H143" s="29">
        <f>D143/600</f>
        <v>14.166666666666666</v>
      </c>
      <c r="I143" s="56">
        <f t="shared" si="24"/>
        <v>12</v>
      </c>
      <c r="J143" s="31">
        <v>12</v>
      </c>
      <c r="K143" s="32"/>
      <c r="L143" s="33" t="s">
        <v>42</v>
      </c>
      <c r="M143" s="34" t="s">
        <v>152</v>
      </c>
      <c r="N143" s="35" t="s">
        <v>189</v>
      </c>
    </row>
    <row r="144" spans="1:14" ht="15" customHeight="1">
      <c r="A144" s="119" t="s">
        <v>279</v>
      </c>
      <c r="B144" s="125"/>
      <c r="C144" s="36">
        <v>20500</v>
      </c>
      <c r="D144" s="36">
        <v>23000</v>
      </c>
      <c r="E144" s="37">
        <v>20700</v>
      </c>
      <c r="F144" s="115">
        <f t="shared" si="26"/>
        <v>0</v>
      </c>
      <c r="G144" s="38">
        <f>C144/500</f>
        <v>41</v>
      </c>
      <c r="H144" s="38">
        <f>D144/600</f>
        <v>38.333333333333336</v>
      </c>
      <c r="I144" s="48">
        <f t="shared" si="24"/>
        <v>34.5</v>
      </c>
      <c r="J144" s="40">
        <v>38</v>
      </c>
      <c r="K144" s="41"/>
      <c r="L144" s="42" t="s">
        <v>105</v>
      </c>
      <c r="M144" s="42"/>
      <c r="N144" s="43" t="s">
        <v>398</v>
      </c>
    </row>
    <row r="145" spans="1:14" ht="15" customHeight="1">
      <c r="A145" s="119" t="s">
        <v>280</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281</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282</v>
      </c>
      <c r="B147" s="125"/>
      <c r="C147" s="36">
        <v>20000</v>
      </c>
      <c r="D147" s="36">
        <v>20000</v>
      </c>
      <c r="E147" s="37"/>
      <c r="F147" s="115">
        <f t="shared" si="26"/>
        <v>0</v>
      </c>
      <c r="G147" s="38">
        <f>C147/1000</f>
        <v>20</v>
      </c>
      <c r="H147" s="38">
        <f>D147/1000</f>
        <v>20</v>
      </c>
      <c r="I147" s="39">
        <f t="shared" si="24"/>
        <v>0</v>
      </c>
      <c r="J147" s="40">
        <v>20</v>
      </c>
      <c r="K147" s="41"/>
      <c r="L147" s="42" t="s">
        <v>283</v>
      </c>
      <c r="M147" s="47" t="s">
        <v>283</v>
      </c>
      <c r="N147" s="43"/>
    </row>
    <row r="148" spans="1:14" ht="15" customHeight="1">
      <c r="A148" s="119" t="s">
        <v>284</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20" t="s">
        <v>286</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287</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288</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289</v>
      </c>
      <c r="B152" s="125"/>
      <c r="C152" s="36">
        <v>7700</v>
      </c>
      <c r="D152" s="36"/>
      <c r="E152" s="37">
        <v>10200</v>
      </c>
      <c r="F152" s="115">
        <f t="shared" si="26"/>
        <v>0</v>
      </c>
      <c r="G152" s="44">
        <f>C152/500</f>
        <v>15.4</v>
      </c>
      <c r="H152" s="38">
        <f t="shared" si="27"/>
        <v>0</v>
      </c>
      <c r="I152" s="39">
        <f t="shared" si="28"/>
        <v>17</v>
      </c>
      <c r="J152" s="40">
        <v>15.4</v>
      </c>
      <c r="K152" s="41"/>
      <c r="L152" s="42" t="s">
        <v>57</v>
      </c>
      <c r="M152" s="42"/>
      <c r="N152" s="43"/>
    </row>
    <row r="153" spans="1:14" ht="15" customHeight="1">
      <c r="A153" s="119" t="s">
        <v>290</v>
      </c>
      <c r="B153" s="125"/>
      <c r="C153" s="36">
        <v>3500</v>
      </c>
      <c r="D153" s="36">
        <v>4500</v>
      </c>
      <c r="E153" s="37"/>
      <c r="F153" s="115">
        <f t="shared" si="26"/>
        <v>0</v>
      </c>
      <c r="G153" s="38">
        <f>C153/600</f>
        <v>5.833333333333333</v>
      </c>
      <c r="H153" s="38">
        <f t="shared" si="27"/>
        <v>7.5</v>
      </c>
      <c r="I153" s="39">
        <f t="shared" si="28"/>
        <v>0</v>
      </c>
      <c r="K153" s="41"/>
      <c r="L153" s="42" t="s">
        <v>49</v>
      </c>
      <c r="M153" s="42"/>
      <c r="N153" s="43"/>
    </row>
    <row r="154" spans="1:14" ht="15" customHeight="1">
      <c r="A154" s="120" t="s">
        <v>291</v>
      </c>
      <c r="B154" s="125"/>
      <c r="C154" s="36">
        <v>4500</v>
      </c>
      <c r="D154" s="36"/>
      <c r="E154" s="37"/>
      <c r="F154" s="115">
        <f t="shared" si="26"/>
        <v>0</v>
      </c>
      <c r="G154" s="38">
        <f>C154/600</f>
        <v>7.5</v>
      </c>
      <c r="H154" s="38">
        <f t="shared" si="27"/>
        <v>0</v>
      </c>
      <c r="I154" s="39">
        <f t="shared" si="28"/>
        <v>0</v>
      </c>
      <c r="J154" s="40">
        <v>7.5</v>
      </c>
      <c r="K154" s="41"/>
      <c r="L154" s="42" t="s">
        <v>292</v>
      </c>
      <c r="M154" s="42"/>
      <c r="N154" s="43"/>
    </row>
    <row r="155" spans="1:14" ht="15" customHeight="1">
      <c r="A155" s="120" t="s">
        <v>293</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20" t="s">
        <v>294</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20" t="s">
        <v>297</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298</v>
      </c>
      <c r="B159" s="125"/>
      <c r="C159" s="36">
        <v>10000</v>
      </c>
      <c r="D159" s="36"/>
      <c r="E159" s="37">
        <v>10000</v>
      </c>
      <c r="F159" s="115">
        <f t="shared" si="26"/>
        <v>0</v>
      </c>
      <c r="G159" s="38">
        <f t="shared" si="29"/>
        <v>20</v>
      </c>
      <c r="H159" s="38">
        <f t="shared" si="27"/>
        <v>0</v>
      </c>
      <c r="I159" s="48">
        <f t="shared" si="28"/>
        <v>16.666666666666668</v>
      </c>
      <c r="J159" s="40">
        <v>16.7</v>
      </c>
      <c r="K159" s="41"/>
      <c r="L159" s="42" t="s">
        <v>246</v>
      </c>
      <c r="M159" s="42"/>
      <c r="N159" s="43" t="s">
        <v>299</v>
      </c>
    </row>
    <row r="160" spans="1:14" ht="15" customHeight="1">
      <c r="A160" s="120" t="s">
        <v>300</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301</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302</v>
      </c>
      <c r="B162" s="125">
        <v>8800</v>
      </c>
      <c r="C162" s="36">
        <v>5100</v>
      </c>
      <c r="D162" s="36">
        <v>5800</v>
      </c>
      <c r="E162" s="37">
        <v>7000</v>
      </c>
      <c r="F162" s="115">
        <f t="shared" si="26"/>
        <v>17.600000000000001</v>
      </c>
      <c r="G162" s="38">
        <f t="shared" si="29"/>
        <v>10.199999999999999</v>
      </c>
      <c r="H162" s="38">
        <f t="shared" si="27"/>
        <v>9.6666666666666661</v>
      </c>
      <c r="I162" s="48">
        <f t="shared" si="28"/>
        <v>11.666666666666666</v>
      </c>
      <c r="J162" s="40">
        <v>17.600000000000001</v>
      </c>
      <c r="K162" s="67"/>
      <c r="L162" s="68" t="s">
        <v>303</v>
      </c>
      <c r="M162" s="58" t="s">
        <v>304</v>
      </c>
      <c r="N162" s="66" t="s">
        <v>305</v>
      </c>
    </row>
    <row r="163" spans="1:14" ht="15" customHeight="1">
      <c r="A163" s="120" t="s">
        <v>306</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307</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308</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309</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310</v>
      </c>
      <c r="B167" s="125"/>
      <c r="C167" s="36">
        <v>11000</v>
      </c>
      <c r="D167" s="36"/>
      <c r="E167" s="37">
        <v>16300</v>
      </c>
      <c r="F167" s="115">
        <f t="shared" si="30"/>
        <v>0</v>
      </c>
      <c r="G167" s="72">
        <f t="shared" si="29"/>
        <v>22</v>
      </c>
      <c r="H167" s="38">
        <f t="shared" si="27"/>
        <v>0</v>
      </c>
      <c r="I167" s="146">
        <f t="shared" si="28"/>
        <v>27.166666666666668</v>
      </c>
      <c r="J167" s="40">
        <v>22</v>
      </c>
      <c r="K167" s="41"/>
      <c r="L167" s="57" t="s">
        <v>50</v>
      </c>
      <c r="M167" s="42"/>
      <c r="N167" s="43" t="s">
        <v>84</v>
      </c>
    </row>
    <row r="168" spans="1:14" ht="15" customHeight="1">
      <c r="A168" s="121" t="s">
        <v>314</v>
      </c>
      <c r="B168" s="125">
        <v>31900</v>
      </c>
      <c r="C168" s="36"/>
      <c r="D168" s="36">
        <v>17000</v>
      </c>
      <c r="E168" s="37">
        <v>25800</v>
      </c>
      <c r="F168" s="115">
        <f t="shared" si="30"/>
        <v>63.8</v>
      </c>
      <c r="G168" s="38">
        <f t="shared" si="29"/>
        <v>0</v>
      </c>
      <c r="H168" s="38">
        <f t="shared" si="27"/>
        <v>28.333333333333332</v>
      </c>
      <c r="I168" s="39">
        <f t="shared" si="28"/>
        <v>43</v>
      </c>
      <c r="J168" s="40">
        <v>43</v>
      </c>
      <c r="K168" s="41" t="s">
        <v>311</v>
      </c>
      <c r="L168" s="42"/>
      <c r="M168" s="47" t="s">
        <v>312</v>
      </c>
      <c r="N168" s="66" t="s">
        <v>313</v>
      </c>
    </row>
    <row r="169" spans="1:14" ht="15" customHeight="1">
      <c r="A169" s="121" t="s">
        <v>315</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18" t="s">
        <v>317</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1" t="s">
        <v>318</v>
      </c>
      <c r="B171" s="125"/>
      <c r="C171" s="36">
        <v>5800</v>
      </c>
      <c r="D171" s="36"/>
      <c r="E171" s="37"/>
      <c r="F171" s="115">
        <f t="shared" si="30"/>
        <v>0</v>
      </c>
      <c r="G171" s="38">
        <f t="shared" si="31"/>
        <v>11.6</v>
      </c>
      <c r="H171" s="38">
        <f t="shared" si="27"/>
        <v>0</v>
      </c>
      <c r="I171" s="39">
        <f t="shared" si="28"/>
        <v>0</v>
      </c>
      <c r="J171" s="40">
        <v>11.6</v>
      </c>
      <c r="K171" s="41"/>
      <c r="L171" s="42" t="s">
        <v>319</v>
      </c>
      <c r="M171" s="42"/>
      <c r="N171" s="43"/>
    </row>
    <row r="172" spans="1:14" ht="15" customHeight="1">
      <c r="A172" s="121" t="s">
        <v>320</v>
      </c>
      <c r="B172" s="125"/>
      <c r="C172" s="36">
        <v>21900</v>
      </c>
      <c r="D172" s="36">
        <v>24000</v>
      </c>
      <c r="E172" s="37">
        <v>24300</v>
      </c>
      <c r="F172" s="115">
        <f t="shared" si="30"/>
        <v>0</v>
      </c>
      <c r="G172" s="38">
        <f t="shared" si="31"/>
        <v>43.8</v>
      </c>
      <c r="H172" s="38">
        <f t="shared" si="27"/>
        <v>40</v>
      </c>
      <c r="I172" s="39">
        <f t="shared" si="28"/>
        <v>40.5</v>
      </c>
      <c r="J172" s="40">
        <v>40</v>
      </c>
      <c r="K172" s="41"/>
      <c r="L172" s="42" t="s">
        <v>65</v>
      </c>
      <c r="M172" s="47"/>
      <c r="N172" s="43" t="s">
        <v>84</v>
      </c>
    </row>
    <row r="173" spans="1:14" ht="15" customHeight="1">
      <c r="A173" s="121" t="s">
        <v>321</v>
      </c>
      <c r="B173" s="125"/>
      <c r="C173" s="36">
        <v>13800</v>
      </c>
      <c r="D173" s="36"/>
      <c r="E173" s="37">
        <v>17100</v>
      </c>
      <c r="F173" s="115">
        <f t="shared" si="30"/>
        <v>0</v>
      </c>
      <c r="G173" s="38">
        <f t="shared" si="31"/>
        <v>27.6</v>
      </c>
      <c r="H173" s="38">
        <f t="shared" si="27"/>
        <v>0</v>
      </c>
      <c r="I173" s="39">
        <f t="shared" si="28"/>
        <v>28.5</v>
      </c>
      <c r="J173" s="40">
        <v>28.5</v>
      </c>
      <c r="K173" s="41"/>
      <c r="L173" s="42" t="s">
        <v>246</v>
      </c>
      <c r="M173" s="42"/>
      <c r="N173" s="43" t="s">
        <v>322</v>
      </c>
    </row>
    <row r="174" spans="1:14" ht="15" customHeight="1">
      <c r="A174" s="121" t="s">
        <v>403</v>
      </c>
      <c r="B174" s="125"/>
      <c r="C174" s="36">
        <v>11000</v>
      </c>
      <c r="D174" s="36"/>
      <c r="E174" s="37">
        <v>11000</v>
      </c>
      <c r="F174" s="115">
        <f t="shared" si="30"/>
        <v>0</v>
      </c>
      <c r="G174" s="38">
        <f t="shared" si="31"/>
        <v>22</v>
      </c>
      <c r="H174" s="38">
        <f t="shared" si="2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1" t="s">
        <v>324</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325</v>
      </c>
      <c r="B177" s="125"/>
      <c r="C177" s="36">
        <v>3300</v>
      </c>
      <c r="D177" s="36">
        <v>5800</v>
      </c>
      <c r="E177" s="37">
        <v>4400</v>
      </c>
      <c r="F177" s="115">
        <f t="shared" si="30"/>
        <v>0</v>
      </c>
      <c r="G177" s="38">
        <f t="shared" si="31"/>
        <v>6.6</v>
      </c>
      <c r="H177" s="38">
        <f t="shared" si="27"/>
        <v>9.6666666666666661</v>
      </c>
      <c r="I177" s="39">
        <f t="shared" si="32"/>
        <v>7.333333333333333</v>
      </c>
      <c r="J177" s="40">
        <v>7.3</v>
      </c>
      <c r="K177" s="41"/>
      <c r="L177" s="42"/>
      <c r="M177" s="42" t="s">
        <v>326</v>
      </c>
      <c r="N177" s="43" t="s">
        <v>84</v>
      </c>
    </row>
    <row r="178" spans="1:14" ht="15" customHeight="1">
      <c r="A178" s="121" t="s">
        <v>327</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328</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329</v>
      </c>
      <c r="B180" s="125"/>
      <c r="C180" s="36">
        <v>5800</v>
      </c>
      <c r="D180" s="36">
        <v>7000</v>
      </c>
      <c r="E180" s="37"/>
      <c r="F180" s="115">
        <f t="shared" si="30"/>
        <v>0</v>
      </c>
      <c r="G180" s="38">
        <f t="shared" si="31"/>
        <v>11.6</v>
      </c>
      <c r="H180" s="38">
        <f t="shared" si="27"/>
        <v>11.666666666666666</v>
      </c>
      <c r="I180" s="39">
        <f t="shared" si="32"/>
        <v>0</v>
      </c>
      <c r="J180" s="40">
        <v>11.7</v>
      </c>
      <c r="K180" s="41"/>
      <c r="L180" s="42" t="s">
        <v>273</v>
      </c>
      <c r="M180" s="42"/>
      <c r="N180" s="43"/>
    </row>
    <row r="181" spans="1:14" ht="15" customHeight="1">
      <c r="A181" s="121" t="s">
        <v>330</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331</v>
      </c>
      <c r="B182" s="126">
        <v>10800</v>
      </c>
      <c r="C182" s="49">
        <v>10500</v>
      </c>
      <c r="D182" s="49">
        <v>7500</v>
      </c>
      <c r="E182" s="50">
        <v>12800</v>
      </c>
      <c r="F182" s="73">
        <f t="shared" si="30"/>
        <v>21.6</v>
      </c>
      <c r="G182" s="51">
        <f t="shared" si="31"/>
        <v>21</v>
      </c>
      <c r="H182" s="51">
        <f t="shared" si="27"/>
        <v>12.5</v>
      </c>
      <c r="I182" s="60">
        <f t="shared" si="32"/>
        <v>21.333333333333332</v>
      </c>
      <c r="J182" s="52">
        <v>21.3</v>
      </c>
      <c r="K182" s="142"/>
      <c r="L182" s="53" t="s">
        <v>42</v>
      </c>
      <c r="M182" s="54"/>
      <c r="N182" s="62" t="s">
        <v>189</v>
      </c>
    </row>
    <row r="183" spans="1:14" ht="15" customHeight="1">
      <c r="A183" s="134" t="s">
        <v>332</v>
      </c>
      <c r="B183" s="128"/>
      <c r="C183" s="26">
        <v>11800</v>
      </c>
      <c r="D183" s="26">
        <v>15000</v>
      </c>
      <c r="E183" s="27">
        <v>14200</v>
      </c>
      <c r="F183" s="28">
        <f t="shared" si="30"/>
        <v>0</v>
      </c>
      <c r="G183" s="29">
        <f t="shared" si="31"/>
        <v>23.6</v>
      </c>
      <c r="H183" s="29">
        <f t="shared" si="27"/>
        <v>25</v>
      </c>
      <c r="I183" s="56">
        <f t="shared" si="32"/>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31"/>
        <v>11</v>
      </c>
      <c r="H184" s="38"/>
      <c r="I184" s="39"/>
      <c r="J184" s="40">
        <v>11</v>
      </c>
      <c r="K184" s="139"/>
      <c r="L184" s="42" t="s">
        <v>334</v>
      </c>
      <c r="M184" s="135"/>
      <c r="N184" s="145"/>
    </row>
    <row r="185" spans="1:14" ht="15" customHeight="1" thickBot="1">
      <c r="A185" s="122" t="s">
        <v>335</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105</v>
      </c>
      <c r="M185" s="54" t="s">
        <v>336</v>
      </c>
      <c r="N185" s="62"/>
    </row>
    <row r="186" spans="1:14" ht="15" customHeight="1">
      <c r="A186" s="132" t="s">
        <v>337</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1" t="s">
        <v>343</v>
      </c>
      <c r="B188" s="125"/>
      <c r="C188" s="36">
        <v>14000</v>
      </c>
      <c r="D188" s="36">
        <v>18000</v>
      </c>
      <c r="E188" s="37"/>
      <c r="F188" s="115">
        <f t="shared" si="33"/>
        <v>0</v>
      </c>
      <c r="G188" s="38">
        <f>C188/500</f>
        <v>28</v>
      </c>
      <c r="H188" s="38">
        <f t="shared" ref="H188:I193" si="35">D188/600</f>
        <v>30</v>
      </c>
      <c r="I188" s="39">
        <f t="shared" si="35"/>
        <v>0</v>
      </c>
      <c r="J188" s="40">
        <v>30</v>
      </c>
      <c r="K188" s="41"/>
      <c r="L188" s="42"/>
      <c r="M188" s="42"/>
      <c r="N188" s="43"/>
    </row>
    <row r="189" spans="1:14" ht="15" customHeight="1">
      <c r="A189" s="121" t="s">
        <v>344</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345</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50</v>
      </c>
      <c r="M191" s="33"/>
      <c r="N191" s="35"/>
    </row>
    <row r="192" spans="1:14" ht="15" customHeight="1">
      <c r="A192" s="120" t="s">
        <v>347</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348</v>
      </c>
      <c r="N192" s="43" t="s">
        <v>399</v>
      </c>
    </row>
    <row r="193" spans="1:14" ht="15" customHeight="1">
      <c r="A193" s="120" t="s">
        <v>349</v>
      </c>
      <c r="B193" s="125"/>
      <c r="C193" s="36">
        <v>7200</v>
      </c>
      <c r="D193" s="36">
        <v>9500</v>
      </c>
      <c r="E193" s="37">
        <v>8800</v>
      </c>
      <c r="F193" s="115">
        <f t="shared" si="33"/>
        <v>0</v>
      </c>
      <c r="G193" s="38">
        <f t="shared" si="36"/>
        <v>14.4</v>
      </c>
      <c r="H193" s="38">
        <f t="shared" si="35"/>
        <v>15.833333333333334</v>
      </c>
      <c r="I193" s="98">
        <f t="shared" si="35"/>
        <v>14.666666666666666</v>
      </c>
      <c r="J193" s="40">
        <v>14.7</v>
      </c>
      <c r="K193" s="41"/>
      <c r="L193" s="113" t="s">
        <v>42</v>
      </c>
      <c r="M193" s="47" t="s">
        <v>350</v>
      </c>
      <c r="N193" s="43" t="s">
        <v>42</v>
      </c>
    </row>
    <row r="194" spans="1:14" ht="15" customHeight="1">
      <c r="A194" s="120" t="s">
        <v>351</v>
      </c>
      <c r="B194" s="125"/>
      <c r="C194" s="36"/>
      <c r="D194" s="36"/>
      <c r="E194" s="37">
        <v>39000</v>
      </c>
      <c r="F194" s="115">
        <f t="shared" si="33"/>
        <v>0</v>
      </c>
      <c r="G194" s="38">
        <f t="shared" si="36"/>
        <v>0</v>
      </c>
      <c r="H194" s="38">
        <f>D194/600</f>
        <v>0</v>
      </c>
      <c r="I194" s="39">
        <f>E194/1000</f>
        <v>39</v>
      </c>
      <c r="J194" s="40">
        <v>39</v>
      </c>
      <c r="K194" s="41"/>
      <c r="L194" s="42"/>
      <c r="M194" s="42"/>
      <c r="N194" s="43" t="s">
        <v>352</v>
      </c>
    </row>
    <row r="195" spans="1:14" ht="15" customHeight="1">
      <c r="A195" s="120" t="s">
        <v>353</v>
      </c>
      <c r="B195" s="125"/>
      <c r="C195" s="36">
        <v>12000</v>
      </c>
      <c r="D195" s="36">
        <v>6000</v>
      </c>
      <c r="E195" s="37">
        <v>15300</v>
      </c>
      <c r="F195" s="115">
        <f t="shared" si="33"/>
        <v>0</v>
      </c>
      <c r="G195" s="38">
        <f t="shared" si="36"/>
        <v>24</v>
      </c>
      <c r="H195" s="38">
        <f>D195/600</f>
        <v>10</v>
      </c>
      <c r="I195" s="39">
        <f t="shared" ref="I195:I205" si="37">E195/600</f>
        <v>25.5</v>
      </c>
      <c r="J195" s="40">
        <v>24</v>
      </c>
      <c r="K195" s="41"/>
      <c r="L195" s="42" t="s">
        <v>354</v>
      </c>
      <c r="M195" s="42" t="s">
        <v>253</v>
      </c>
      <c r="N195" s="43" t="s">
        <v>391</v>
      </c>
    </row>
    <row r="196" spans="1:14" ht="15" customHeight="1">
      <c r="A196" s="120" t="s">
        <v>355</v>
      </c>
      <c r="B196" s="125"/>
      <c r="C196" s="36">
        <v>23000</v>
      </c>
      <c r="D196" s="36">
        <v>28000</v>
      </c>
      <c r="E196" s="37"/>
      <c r="F196" s="115">
        <f t="shared" si="33"/>
        <v>0</v>
      </c>
      <c r="G196" s="38">
        <f t="shared" si="36"/>
        <v>46</v>
      </c>
      <c r="H196" s="38">
        <f>D196/600</f>
        <v>46.666666666666664</v>
      </c>
      <c r="I196" s="39">
        <f t="shared" si="37"/>
        <v>0</v>
      </c>
      <c r="J196" s="40">
        <v>46.7</v>
      </c>
      <c r="K196" s="41"/>
      <c r="L196" s="42"/>
      <c r="M196" s="47"/>
      <c r="N196" s="43"/>
    </row>
    <row r="197" spans="1:14" ht="15" customHeight="1">
      <c r="A197" s="120" t="s">
        <v>356</v>
      </c>
      <c r="B197" s="125"/>
      <c r="C197" s="36">
        <v>9600</v>
      </c>
      <c r="D197" s="36"/>
      <c r="E197" s="37">
        <v>11900</v>
      </c>
      <c r="F197" s="115">
        <f t="shared" si="33"/>
        <v>0</v>
      </c>
      <c r="G197" s="38">
        <f t="shared" si="36"/>
        <v>19.2</v>
      </c>
      <c r="H197" s="38">
        <f>D197/600</f>
        <v>0</v>
      </c>
      <c r="I197" s="39">
        <f t="shared" si="37"/>
        <v>19.833333333333332</v>
      </c>
      <c r="J197" s="40">
        <v>19.8</v>
      </c>
      <c r="K197" s="41"/>
      <c r="L197" s="42" t="s">
        <v>296</v>
      </c>
      <c r="M197" s="42"/>
      <c r="N197" s="43" t="s">
        <v>396</v>
      </c>
    </row>
    <row r="198" spans="1:14" ht="15" customHeight="1">
      <c r="A198" s="120" t="s">
        <v>357</v>
      </c>
      <c r="B198" s="125"/>
      <c r="C198" s="36">
        <v>20500</v>
      </c>
      <c r="D198" s="36">
        <v>30000</v>
      </c>
      <c r="E198" s="37">
        <v>26500</v>
      </c>
      <c r="F198" s="115">
        <f t="shared" si="33"/>
        <v>0</v>
      </c>
      <c r="G198" s="38">
        <f t="shared" si="36"/>
        <v>41</v>
      </c>
      <c r="H198" s="38">
        <f>D198/600</f>
        <v>50</v>
      </c>
      <c r="I198" s="39">
        <f t="shared" si="37"/>
        <v>44.166666666666664</v>
      </c>
      <c r="J198" s="40">
        <v>44.2</v>
      </c>
      <c r="K198" s="41"/>
      <c r="L198" s="42" t="s">
        <v>358</v>
      </c>
      <c r="M198" s="47" t="s">
        <v>359</v>
      </c>
      <c r="N198" s="43" t="s">
        <v>65</v>
      </c>
    </row>
    <row r="199" spans="1:14" ht="15" customHeight="1">
      <c r="A199" s="120" t="s">
        <v>360</v>
      </c>
      <c r="B199" s="125"/>
      <c r="C199" s="36"/>
      <c r="D199" s="36">
        <v>8500</v>
      </c>
      <c r="E199" s="37"/>
      <c r="F199" s="115">
        <f t="shared" si="33"/>
        <v>0</v>
      </c>
      <c r="G199" s="38">
        <f t="shared" si="36"/>
        <v>0</v>
      </c>
      <c r="H199" s="38">
        <f>D199/1000</f>
        <v>8.5</v>
      </c>
      <c r="I199" s="39">
        <f t="shared" si="37"/>
        <v>0</v>
      </c>
      <c r="K199" s="41"/>
      <c r="L199" s="42"/>
      <c r="M199" s="47" t="s">
        <v>361</v>
      </c>
      <c r="N199" s="43"/>
    </row>
    <row r="200" spans="1:14" ht="15" customHeight="1">
      <c r="A200" s="120" t="s">
        <v>362</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363</v>
      </c>
    </row>
    <row r="201" spans="1:14" ht="15" customHeight="1">
      <c r="A201" s="120" t="s">
        <v>364</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365</v>
      </c>
      <c r="M201" s="47" t="s">
        <v>366</v>
      </c>
      <c r="N201" s="43" t="s">
        <v>367</v>
      </c>
    </row>
    <row r="202" spans="1:14" ht="15" customHeight="1">
      <c r="A202" s="120" t="s">
        <v>368</v>
      </c>
      <c r="B202" s="125"/>
      <c r="C202" s="36">
        <v>68400</v>
      </c>
      <c r="D202" s="36">
        <v>68000</v>
      </c>
      <c r="E202" s="37">
        <v>82000</v>
      </c>
      <c r="F202" s="115">
        <f t="shared" si="33"/>
        <v>0</v>
      </c>
      <c r="G202" s="38">
        <f t="shared" si="36"/>
        <v>136.80000000000001</v>
      </c>
      <c r="H202" s="44">
        <f t="shared" si="38"/>
        <v>113.33333333333333</v>
      </c>
      <c r="I202" s="39">
        <f t="shared" si="37"/>
        <v>136.66666666666666</v>
      </c>
      <c r="J202" s="40">
        <v>136.69999999999999</v>
      </c>
      <c r="K202" s="41"/>
      <c r="L202" s="42" t="s">
        <v>369</v>
      </c>
      <c r="M202" s="58" t="s">
        <v>370</v>
      </c>
      <c r="N202" s="43" t="s">
        <v>371</v>
      </c>
    </row>
    <row r="203" spans="1:14" ht="15" customHeight="1">
      <c r="A203" s="120" t="s">
        <v>372</v>
      </c>
      <c r="B203" s="125"/>
      <c r="C203" s="36">
        <v>12800</v>
      </c>
      <c r="D203" s="36">
        <v>9500</v>
      </c>
      <c r="E203" s="37">
        <v>16600</v>
      </c>
      <c r="F203" s="115">
        <f t="shared" si="33"/>
        <v>0</v>
      </c>
      <c r="G203" s="38">
        <f t="shared" si="36"/>
        <v>25.6</v>
      </c>
      <c r="H203" s="38">
        <f t="shared" si="38"/>
        <v>15.833333333333334</v>
      </c>
      <c r="I203" s="39">
        <f t="shared" si="37"/>
        <v>27.666666666666668</v>
      </c>
      <c r="J203" s="40">
        <v>27.7</v>
      </c>
      <c r="K203" s="41"/>
      <c r="L203" s="42"/>
      <c r="M203" s="47" t="s">
        <v>373</v>
      </c>
      <c r="N203" s="43" t="s">
        <v>374</v>
      </c>
    </row>
    <row r="204" spans="1:14" ht="15" customHeight="1">
      <c r="A204" s="120" t="s">
        <v>375</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376</v>
      </c>
      <c r="B205" s="126"/>
      <c r="C205" s="49">
        <v>4500</v>
      </c>
      <c r="D205" s="49">
        <v>4500</v>
      </c>
      <c r="E205" s="50">
        <v>5400</v>
      </c>
      <c r="F205" s="73">
        <f t="shared" si="33"/>
        <v>0</v>
      </c>
      <c r="G205" s="51">
        <f t="shared" si="36"/>
        <v>9</v>
      </c>
      <c r="H205" s="51">
        <f t="shared" si="38"/>
        <v>7.5</v>
      </c>
      <c r="I205" s="74">
        <f t="shared" si="37"/>
        <v>9</v>
      </c>
      <c r="J205" s="52">
        <v>9</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2025-01-06T01:43:42Z</cp:lastPrinted>
  <dcterms:created xsi:type="dcterms:W3CDTF">2024-09-12T16:35:01Z</dcterms:created>
  <dcterms:modified xsi:type="dcterms:W3CDTF">2025-01-06T03:05:51Z</dcterms:modified>
</cp:coreProperties>
</file>