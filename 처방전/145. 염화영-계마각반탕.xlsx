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788" documentId="8_{6EB8DC0A-AB56-415F-A9F3-EA1534264548}" xr6:coauthVersionLast="47" xr6:coauthVersionMax="47" xr10:uidLastSave="{7EA8D295-B0A8-4525-8466-B67761BE1214}"/>
  <bookViews>
    <workbookView xWindow="-120" yWindow="-120" windowWidth="29040" windowHeight="15720" xr2:uid="{8B9F1886-173A-4475-B0CF-D9F36CE30773}"/>
  </bookViews>
  <sheets>
    <sheet name="처방전양식 (7)" sheetId="12" r:id="rId1"/>
    <sheet name="처방전양식 (6)" sheetId="11" r:id="rId2"/>
    <sheet name="처방전양식 (5)" sheetId="10" r:id="rId3"/>
    <sheet name="처방전양식 (4)" sheetId="9" r:id="rId4"/>
    <sheet name="처방전양식 (3)" sheetId="8" r:id="rId5"/>
    <sheet name="처방전양식 (2)" sheetId="7" r:id="rId6"/>
    <sheet name="처방전양식" sheetId="4" r:id="rId7"/>
    <sheet name="약재관리" sheetId="6" r:id="rId8"/>
  </sheets>
  <externalReferences>
    <externalReference r:id="rId9"/>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2" l="1"/>
  <c r="H21" i="12" s="1"/>
  <c r="H31" i="12"/>
  <c r="F31" i="12"/>
  <c r="I31" i="12" s="1"/>
  <c r="H30" i="12"/>
  <c r="F30" i="12"/>
  <c r="I30" i="12" s="1"/>
  <c r="H29" i="12"/>
  <c r="F29" i="12"/>
  <c r="I29" i="12" s="1"/>
  <c r="H28" i="12"/>
  <c r="F28" i="12"/>
  <c r="I28" i="12" s="1"/>
  <c r="H27" i="12"/>
  <c r="F27" i="12"/>
  <c r="I27" i="12" s="1"/>
  <c r="I26" i="12"/>
  <c r="H26" i="12"/>
  <c r="F26" i="12"/>
  <c r="H25" i="12"/>
  <c r="F25" i="12"/>
  <c r="I25" i="12" s="1"/>
  <c r="H24" i="12"/>
  <c r="F24" i="12"/>
  <c r="I24" i="12" s="1"/>
  <c r="H23" i="12"/>
  <c r="F23" i="12"/>
  <c r="I23" i="12" s="1"/>
  <c r="H22" i="12"/>
  <c r="F22" i="12"/>
  <c r="I22" i="12" s="1"/>
  <c r="F21" i="12"/>
  <c r="G20" i="12"/>
  <c r="F20" i="12"/>
  <c r="G19" i="12"/>
  <c r="F19" i="12"/>
  <c r="L18" i="12"/>
  <c r="L19" i="12" s="1"/>
  <c r="L20" i="12" s="1"/>
  <c r="G18" i="12"/>
  <c r="F18" i="12"/>
  <c r="G17" i="12"/>
  <c r="F17" i="12"/>
  <c r="G16" i="12"/>
  <c r="F16" i="12"/>
  <c r="G15" i="12"/>
  <c r="F15" i="12"/>
  <c r="G14" i="12"/>
  <c r="F14" i="12"/>
  <c r="G13" i="12"/>
  <c r="F13" i="12"/>
  <c r="G12" i="12"/>
  <c r="F12" i="12"/>
  <c r="G11" i="12"/>
  <c r="F11" i="12"/>
  <c r="G10" i="12"/>
  <c r="F10" i="12"/>
  <c r="G9" i="12"/>
  <c r="F9" i="12"/>
  <c r="G8" i="12"/>
  <c r="F8" i="12"/>
  <c r="G7" i="12"/>
  <c r="F7" i="12"/>
  <c r="G6" i="12"/>
  <c r="F6" i="12"/>
  <c r="G5" i="12"/>
  <c r="F5" i="12"/>
  <c r="G4" i="12"/>
  <c r="F4" i="12"/>
  <c r="G3" i="12"/>
  <c r="F3" i="12"/>
  <c r="G2" i="12"/>
  <c r="F2" i="12"/>
  <c r="H31" i="11"/>
  <c r="F31" i="11"/>
  <c r="I31" i="11" s="1"/>
  <c r="H30" i="11"/>
  <c r="F30" i="11"/>
  <c r="I30" i="11" s="1"/>
  <c r="H29" i="11"/>
  <c r="F29" i="11"/>
  <c r="I29" i="11" s="1"/>
  <c r="H28" i="11"/>
  <c r="F28" i="11"/>
  <c r="I28" i="11" s="1"/>
  <c r="H27" i="11"/>
  <c r="F27" i="11"/>
  <c r="I27" i="11" s="1"/>
  <c r="H26" i="11"/>
  <c r="F26" i="11"/>
  <c r="I26" i="11" s="1"/>
  <c r="H25" i="11"/>
  <c r="F25" i="11"/>
  <c r="I25" i="11" s="1"/>
  <c r="H24" i="11"/>
  <c r="F24" i="11"/>
  <c r="I24" i="11" s="1"/>
  <c r="H23" i="11"/>
  <c r="F23" i="11"/>
  <c r="I23" i="11" s="1"/>
  <c r="H22" i="11"/>
  <c r="F22" i="11"/>
  <c r="I22" i="11" s="1"/>
  <c r="H21" i="11"/>
  <c r="F21" i="11"/>
  <c r="I21" i="11" s="1"/>
  <c r="G20" i="11"/>
  <c r="F20" i="11"/>
  <c r="G19" i="11"/>
  <c r="F19" i="11"/>
  <c r="L18" i="11"/>
  <c r="L19" i="11" s="1"/>
  <c r="L20" i="11" s="1"/>
  <c r="G18" i="11"/>
  <c r="F18" i="11"/>
  <c r="G17" i="11"/>
  <c r="F17" i="11"/>
  <c r="G16" i="11"/>
  <c r="F16" i="11"/>
  <c r="G15" i="11"/>
  <c r="F15" i="11"/>
  <c r="G14" i="11"/>
  <c r="F14" i="11"/>
  <c r="G13" i="11"/>
  <c r="F13" i="11"/>
  <c r="G12" i="11"/>
  <c r="F12" i="11"/>
  <c r="G11" i="11"/>
  <c r="F11" i="11"/>
  <c r="G10" i="11"/>
  <c r="F10" i="11"/>
  <c r="G9" i="11"/>
  <c r="F9" i="11"/>
  <c r="G8" i="11"/>
  <c r="F8" i="11"/>
  <c r="G7" i="11"/>
  <c r="F7" i="11"/>
  <c r="G6" i="11"/>
  <c r="F6" i="11"/>
  <c r="G5" i="11"/>
  <c r="F5" i="11"/>
  <c r="G4" i="11"/>
  <c r="F4" i="11"/>
  <c r="G3" i="11"/>
  <c r="F3" i="11"/>
  <c r="G2" i="11"/>
  <c r="F2" i="11"/>
  <c r="L23" i="11" s="1"/>
  <c r="H31" i="10"/>
  <c r="F31" i="10"/>
  <c r="I31" i="10" s="1"/>
  <c r="H30" i="10"/>
  <c r="F30" i="10"/>
  <c r="I30" i="10" s="1"/>
  <c r="I29" i="10"/>
  <c r="H29" i="10"/>
  <c r="F29" i="10"/>
  <c r="I28" i="10"/>
  <c r="H28" i="10"/>
  <c r="F28" i="10"/>
  <c r="I27" i="10"/>
  <c r="H27" i="10"/>
  <c r="F27" i="10"/>
  <c r="I26" i="10"/>
  <c r="H26" i="10"/>
  <c r="F26" i="10"/>
  <c r="I25" i="10"/>
  <c r="H25" i="10"/>
  <c r="F25" i="10"/>
  <c r="I24" i="10"/>
  <c r="H24" i="10"/>
  <c r="F24" i="10"/>
  <c r="H23" i="10"/>
  <c r="F23" i="10"/>
  <c r="I23" i="10" s="1"/>
  <c r="H22" i="10"/>
  <c r="F22" i="10"/>
  <c r="I22" i="10" s="1"/>
  <c r="H21" i="10"/>
  <c r="F21" i="10"/>
  <c r="I21" i="10" s="1"/>
  <c r="G20" i="10"/>
  <c r="I20" i="10" s="1"/>
  <c r="F20" i="10"/>
  <c r="L19" i="10"/>
  <c r="L20" i="10" s="1"/>
  <c r="G19" i="10"/>
  <c r="I19" i="10" s="1"/>
  <c r="F19" i="10"/>
  <c r="L18" i="10"/>
  <c r="G18" i="10"/>
  <c r="H18" i="10" s="1"/>
  <c r="F18" i="10"/>
  <c r="G17" i="10"/>
  <c r="I17" i="10" s="1"/>
  <c r="F17" i="10"/>
  <c r="G16" i="10"/>
  <c r="I16" i="10" s="1"/>
  <c r="F16" i="10"/>
  <c r="G15" i="10"/>
  <c r="H15" i="10" s="1"/>
  <c r="F15" i="10"/>
  <c r="G14" i="10"/>
  <c r="I14" i="10" s="1"/>
  <c r="F14" i="10"/>
  <c r="G13" i="10"/>
  <c r="H13" i="10" s="1"/>
  <c r="F13" i="10"/>
  <c r="G12" i="10"/>
  <c r="H12" i="10" s="1"/>
  <c r="F12" i="10"/>
  <c r="G11" i="10"/>
  <c r="I11" i="10" s="1"/>
  <c r="F11" i="10"/>
  <c r="G10" i="10"/>
  <c r="I10" i="10" s="1"/>
  <c r="F10" i="10"/>
  <c r="G9" i="10"/>
  <c r="H9" i="10" s="1"/>
  <c r="F9" i="10"/>
  <c r="G8" i="10"/>
  <c r="I8" i="10" s="1"/>
  <c r="F8" i="10"/>
  <c r="G7" i="10"/>
  <c r="H7" i="10" s="1"/>
  <c r="F7" i="10"/>
  <c r="G6" i="10"/>
  <c r="H6" i="10" s="1"/>
  <c r="F6" i="10"/>
  <c r="G5" i="10"/>
  <c r="I5" i="10" s="1"/>
  <c r="F5" i="10"/>
  <c r="G4" i="10"/>
  <c r="I4" i="10" s="1"/>
  <c r="F4" i="10"/>
  <c r="G3" i="10"/>
  <c r="H3" i="10" s="1"/>
  <c r="F3" i="10"/>
  <c r="G2" i="10"/>
  <c r="F2" i="10"/>
  <c r="I31" i="9"/>
  <c r="H31" i="9"/>
  <c r="F31" i="9"/>
  <c r="I30" i="9"/>
  <c r="H30" i="9"/>
  <c r="F30" i="9"/>
  <c r="I29" i="9"/>
  <c r="H29" i="9"/>
  <c r="F29" i="9"/>
  <c r="I28" i="9"/>
  <c r="H28" i="9"/>
  <c r="F28" i="9"/>
  <c r="H27" i="9"/>
  <c r="F27" i="9"/>
  <c r="I27" i="9" s="1"/>
  <c r="I26" i="9"/>
  <c r="H26" i="9"/>
  <c r="F26" i="9"/>
  <c r="I25" i="9"/>
  <c r="H25" i="9"/>
  <c r="F25" i="9"/>
  <c r="I24" i="9"/>
  <c r="H24" i="9"/>
  <c r="F24" i="9"/>
  <c r="H23" i="9"/>
  <c r="F23" i="9"/>
  <c r="I23" i="9" s="1"/>
  <c r="I22" i="9"/>
  <c r="H22" i="9"/>
  <c r="F22" i="9"/>
  <c r="I21" i="9"/>
  <c r="H21" i="9"/>
  <c r="F21" i="9"/>
  <c r="I20" i="9"/>
  <c r="F20" i="9"/>
  <c r="L19" i="9"/>
  <c r="L20" i="9" s="1"/>
  <c r="I19" i="9"/>
  <c r="F19" i="9"/>
  <c r="L18" i="9"/>
  <c r="H18" i="9"/>
  <c r="F18" i="9"/>
  <c r="I17" i="9"/>
  <c r="F17" i="9"/>
  <c r="I16" i="9"/>
  <c r="F16" i="9"/>
  <c r="H15" i="9"/>
  <c r="F15" i="9"/>
  <c r="I14" i="9"/>
  <c r="F14" i="9"/>
  <c r="I13" i="9"/>
  <c r="F13" i="9"/>
  <c r="H12" i="9"/>
  <c r="F12" i="9"/>
  <c r="I11" i="9"/>
  <c r="F11" i="9"/>
  <c r="I10" i="9"/>
  <c r="F10" i="9"/>
  <c r="G9" i="9"/>
  <c r="H9" i="9" s="1"/>
  <c r="F9" i="9"/>
  <c r="G8" i="9"/>
  <c r="F8" i="9"/>
  <c r="G7" i="9"/>
  <c r="I7" i="9" s="1"/>
  <c r="F7" i="9"/>
  <c r="G6" i="9"/>
  <c r="H6" i="9" s="1"/>
  <c r="F6" i="9"/>
  <c r="G5" i="9"/>
  <c r="F5" i="9"/>
  <c r="G4" i="9"/>
  <c r="F4" i="9"/>
  <c r="G3" i="9"/>
  <c r="H3" i="9" s="1"/>
  <c r="F3" i="9"/>
  <c r="G2" i="9"/>
  <c r="F2" i="9"/>
  <c r="G19" i="8"/>
  <c r="H19" i="8" s="1"/>
  <c r="G20" i="8"/>
  <c r="H20" i="8" s="1"/>
  <c r="G18" i="8"/>
  <c r="H18" i="8" s="1"/>
  <c r="G14" i="8"/>
  <c r="H14" i="8" s="1"/>
  <c r="G15" i="8"/>
  <c r="H15" i="8" s="1"/>
  <c r="G16" i="8"/>
  <c r="H16" i="8" s="1"/>
  <c r="G17" i="8"/>
  <c r="H17" i="8" s="1"/>
  <c r="G11" i="8"/>
  <c r="H11" i="8" s="1"/>
  <c r="G12" i="8"/>
  <c r="H12" i="8" s="1"/>
  <c r="G13" i="8"/>
  <c r="I13" i="8" s="1"/>
  <c r="H31" i="8"/>
  <c r="F31" i="8"/>
  <c r="I31" i="8" s="1"/>
  <c r="I30" i="8"/>
  <c r="H30" i="8"/>
  <c r="F30" i="8"/>
  <c r="I29" i="8"/>
  <c r="H29" i="8"/>
  <c r="F29" i="8"/>
  <c r="I28" i="8"/>
  <c r="H28" i="8"/>
  <c r="F28" i="8"/>
  <c r="H27" i="8"/>
  <c r="F27" i="8"/>
  <c r="I27" i="8" s="1"/>
  <c r="I26" i="8"/>
  <c r="H26" i="8"/>
  <c r="F26" i="8"/>
  <c r="I25" i="8"/>
  <c r="H25" i="8"/>
  <c r="F25" i="8"/>
  <c r="I24" i="8"/>
  <c r="H24" i="8"/>
  <c r="F24" i="8"/>
  <c r="H23" i="8"/>
  <c r="F23" i="8"/>
  <c r="I23" i="8" s="1"/>
  <c r="I22" i="8"/>
  <c r="H22" i="8"/>
  <c r="F22" i="8"/>
  <c r="I21" i="8"/>
  <c r="H21" i="8"/>
  <c r="F21" i="8"/>
  <c r="F20" i="8"/>
  <c r="F19" i="8"/>
  <c r="L18" i="8"/>
  <c r="L19" i="8" s="1"/>
  <c r="L20" i="8" s="1"/>
  <c r="F18" i="8"/>
  <c r="F17" i="8"/>
  <c r="F16" i="8"/>
  <c r="F15" i="8"/>
  <c r="F14" i="8"/>
  <c r="F13" i="8"/>
  <c r="F12" i="8"/>
  <c r="F11" i="8"/>
  <c r="G10" i="8"/>
  <c r="F10" i="8"/>
  <c r="G9" i="8"/>
  <c r="F9" i="8"/>
  <c r="G8" i="8"/>
  <c r="F8" i="8"/>
  <c r="G7" i="8"/>
  <c r="F7" i="8"/>
  <c r="G6" i="8"/>
  <c r="F6" i="8"/>
  <c r="G5" i="8"/>
  <c r="F5" i="8"/>
  <c r="G4" i="8"/>
  <c r="F4" i="8"/>
  <c r="G3" i="8"/>
  <c r="F3" i="8"/>
  <c r="G2" i="8"/>
  <c r="F2" i="8"/>
  <c r="H31" i="7"/>
  <c r="F31" i="7"/>
  <c r="I31" i="7" s="1"/>
  <c r="I30" i="7"/>
  <c r="H30" i="7"/>
  <c r="F30" i="7"/>
  <c r="H29" i="7"/>
  <c r="F29" i="7"/>
  <c r="I29" i="7" s="1"/>
  <c r="H28" i="7"/>
  <c r="F28" i="7"/>
  <c r="I28" i="7" s="1"/>
  <c r="H27" i="7"/>
  <c r="F27" i="7"/>
  <c r="I27" i="7" s="1"/>
  <c r="H26" i="7"/>
  <c r="F26" i="7"/>
  <c r="I26" i="7" s="1"/>
  <c r="H25" i="7"/>
  <c r="F25" i="7"/>
  <c r="I25" i="7" s="1"/>
  <c r="H24" i="7"/>
  <c r="F24" i="7"/>
  <c r="I24" i="7" s="1"/>
  <c r="H23" i="7"/>
  <c r="F23" i="7"/>
  <c r="I23" i="7" s="1"/>
  <c r="I22" i="7"/>
  <c r="H22" i="7"/>
  <c r="F22" i="7"/>
  <c r="H21" i="7"/>
  <c r="F21" i="7"/>
  <c r="I21" i="7" s="1"/>
  <c r="H20" i="7"/>
  <c r="F20" i="7"/>
  <c r="I20" i="7" s="1"/>
  <c r="H19" i="7"/>
  <c r="F19" i="7"/>
  <c r="I19" i="7" s="1"/>
  <c r="L18" i="7"/>
  <c r="L19" i="7" s="1"/>
  <c r="L20" i="7" s="1"/>
  <c r="I18" i="7"/>
  <c r="H18" i="7"/>
  <c r="F18" i="7"/>
  <c r="H17" i="7"/>
  <c r="F17" i="7"/>
  <c r="I17" i="7" s="1"/>
  <c r="H16" i="7"/>
  <c r="F16" i="7"/>
  <c r="I16" i="7" s="1"/>
  <c r="H15" i="7"/>
  <c r="F15" i="7"/>
  <c r="I15" i="7" s="1"/>
  <c r="H14" i="7"/>
  <c r="F14" i="7"/>
  <c r="I14" i="7" s="1"/>
  <c r="H13" i="7"/>
  <c r="F13" i="7"/>
  <c r="I13" i="7" s="1"/>
  <c r="H12" i="7"/>
  <c r="F12" i="7"/>
  <c r="I12" i="7" s="1"/>
  <c r="F11" i="7"/>
  <c r="G10" i="7"/>
  <c r="F10" i="7"/>
  <c r="G9" i="7"/>
  <c r="F9" i="7"/>
  <c r="G8" i="7"/>
  <c r="F8" i="7"/>
  <c r="G7" i="7"/>
  <c r="F7" i="7"/>
  <c r="G6" i="7"/>
  <c r="H6" i="7" s="1"/>
  <c r="F6" i="7"/>
  <c r="G5" i="7"/>
  <c r="F5" i="7"/>
  <c r="G4" i="7"/>
  <c r="F4" i="7"/>
  <c r="G3" i="7"/>
  <c r="F3" i="7"/>
  <c r="G2" i="7"/>
  <c r="F2" i="7"/>
  <c r="G11" i="4"/>
  <c r="G10" i="4"/>
  <c r="G9" i="4"/>
  <c r="G8" i="4"/>
  <c r="G2" i="4"/>
  <c r="G3" i="4"/>
  <c r="G4" i="4"/>
  <c r="G5" i="4"/>
  <c r="G6" i="4"/>
  <c r="G7" i="4"/>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L23" i="12" l="1"/>
  <c r="I21" i="12"/>
  <c r="I20" i="12"/>
  <c r="H20" i="12"/>
  <c r="I19" i="12"/>
  <c r="H19" i="12"/>
  <c r="H18" i="12"/>
  <c r="I18" i="12"/>
  <c r="I17" i="12"/>
  <c r="H17" i="12"/>
  <c r="I16" i="12"/>
  <c r="H16" i="12"/>
  <c r="I15" i="12"/>
  <c r="H15" i="12"/>
  <c r="H14" i="12"/>
  <c r="I14" i="12"/>
  <c r="I13" i="12"/>
  <c r="H13" i="12"/>
  <c r="I12" i="12"/>
  <c r="H12" i="12"/>
  <c r="H11" i="12"/>
  <c r="I11" i="12"/>
  <c r="I10" i="12"/>
  <c r="H10" i="12"/>
  <c r="H9" i="12"/>
  <c r="I9" i="12"/>
  <c r="I8" i="12"/>
  <c r="H8" i="12"/>
  <c r="H7" i="12"/>
  <c r="I7" i="12"/>
  <c r="H6" i="12"/>
  <c r="I6" i="12"/>
  <c r="I5" i="12"/>
  <c r="H5" i="12"/>
  <c r="H4" i="12"/>
  <c r="I4" i="12"/>
  <c r="I3" i="12"/>
  <c r="H3" i="12"/>
  <c r="H2" i="12"/>
  <c r="I2" i="12"/>
  <c r="I20" i="11"/>
  <c r="H20" i="11"/>
  <c r="H19" i="11"/>
  <c r="I19" i="11"/>
  <c r="H18" i="11"/>
  <c r="I18" i="11"/>
  <c r="I17" i="11"/>
  <c r="H17" i="11"/>
  <c r="I16" i="11"/>
  <c r="H16" i="11"/>
  <c r="H15" i="11"/>
  <c r="I15" i="11"/>
  <c r="I14" i="11"/>
  <c r="H14" i="11"/>
  <c r="H13" i="11"/>
  <c r="I13" i="11"/>
  <c r="I12" i="11"/>
  <c r="H12" i="11"/>
  <c r="H11" i="11"/>
  <c r="I11" i="11"/>
  <c r="I10" i="11"/>
  <c r="H10" i="11"/>
  <c r="H9" i="11"/>
  <c r="I9" i="11"/>
  <c r="I8" i="11"/>
  <c r="H8" i="11"/>
  <c r="I7" i="11"/>
  <c r="H7" i="11"/>
  <c r="H6" i="11"/>
  <c r="I6" i="11"/>
  <c r="I5" i="11"/>
  <c r="H5" i="11"/>
  <c r="H4" i="11"/>
  <c r="I4" i="11"/>
  <c r="H3" i="11"/>
  <c r="I3" i="11"/>
  <c r="H2" i="11"/>
  <c r="L30" i="11" s="1"/>
  <c r="I2" i="11"/>
  <c r="L31" i="11" s="1"/>
  <c r="L23" i="10"/>
  <c r="I2" i="10"/>
  <c r="I3" i="10"/>
  <c r="L31" i="10" s="1"/>
  <c r="I6" i="10"/>
  <c r="I9" i="10"/>
  <c r="I12" i="10"/>
  <c r="I15" i="10"/>
  <c r="I18" i="10"/>
  <c r="H4" i="10"/>
  <c r="H10" i="10"/>
  <c r="H16" i="10"/>
  <c r="I7" i="10"/>
  <c r="I13" i="10"/>
  <c r="H19" i="10"/>
  <c r="H2" i="10"/>
  <c r="H5" i="10"/>
  <c r="H8" i="10"/>
  <c r="H11" i="10"/>
  <c r="H14" i="10"/>
  <c r="H17" i="10"/>
  <c r="H20" i="10"/>
  <c r="I5" i="9"/>
  <c r="I4" i="9"/>
  <c r="L23" i="9"/>
  <c r="I2" i="9"/>
  <c r="I8" i="9"/>
  <c r="I3" i="9"/>
  <c r="I6" i="9"/>
  <c r="I9" i="9"/>
  <c r="I12" i="9"/>
  <c r="I15" i="9"/>
  <c r="I18" i="9"/>
  <c r="H4" i="9"/>
  <c r="H7" i="9"/>
  <c r="H10" i="9"/>
  <c r="H13" i="9"/>
  <c r="H16" i="9"/>
  <c r="H19" i="9"/>
  <c r="H2" i="9"/>
  <c r="H5" i="9"/>
  <c r="H8" i="9"/>
  <c r="H11" i="9"/>
  <c r="H14" i="9"/>
  <c r="H17" i="9"/>
  <c r="H20" i="9"/>
  <c r="I2" i="8"/>
  <c r="I19" i="8"/>
  <c r="I20" i="8"/>
  <c r="I10" i="8"/>
  <c r="I4" i="8"/>
  <c r="I11" i="8"/>
  <c r="I18" i="8"/>
  <c r="I16" i="8"/>
  <c r="I17" i="8"/>
  <c r="I14" i="8"/>
  <c r="I15" i="8"/>
  <c r="H13" i="8"/>
  <c r="I12" i="8"/>
  <c r="I9" i="8"/>
  <c r="I8" i="8"/>
  <c r="I7" i="8"/>
  <c r="I6" i="8"/>
  <c r="I5" i="8"/>
  <c r="I3" i="8"/>
  <c r="L23" i="8"/>
  <c r="H4" i="8"/>
  <c r="H7" i="8"/>
  <c r="H10" i="8"/>
  <c r="H2" i="8"/>
  <c r="H5" i="8"/>
  <c r="H8" i="8"/>
  <c r="H3" i="8"/>
  <c r="H6" i="8"/>
  <c r="H9" i="8"/>
  <c r="L23" i="7"/>
  <c r="I8" i="7"/>
  <c r="I9" i="7"/>
  <c r="I2" i="7"/>
  <c r="I3" i="7"/>
  <c r="I4" i="7"/>
  <c r="I10" i="7"/>
  <c r="I5" i="7"/>
  <c r="I11" i="7"/>
  <c r="I7" i="7"/>
  <c r="H4" i="7"/>
  <c r="H7" i="7"/>
  <c r="H10" i="7"/>
  <c r="H2" i="7"/>
  <c r="H5" i="7"/>
  <c r="H8" i="7"/>
  <c r="H11" i="7"/>
  <c r="H3" i="7"/>
  <c r="H9" i="7"/>
  <c r="I6" i="7"/>
  <c r="F2" i="4"/>
  <c r="L31" i="12" l="1"/>
  <c r="L30" i="12"/>
  <c r="L30" i="10"/>
  <c r="L31" i="9"/>
  <c r="L30" i="9"/>
  <c r="L31" i="8"/>
  <c r="L30" i="8"/>
  <c r="L31" i="7"/>
  <c r="L30" i="7"/>
  <c r="H4" i="4"/>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<sst xmlns="http://schemas.openxmlformats.org/spreadsheetml/2006/main" count="977" uniqueCount="457">
  <si>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</si>
  <si>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</si>
  <si>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</si>
  <si>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</si>
  <si>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</si>
  <si>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</si>
  <si>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</si>
  <si>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</si>
  <si>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</si>
  <si>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</si>
  <si>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</si>
  <si>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</si>
  <si>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</si>
  <si>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</si>
  <si>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</si>
  <si>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</si>
  <si>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</si>
  <si>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</si>
  <si>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</si>
  <si>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</si>
  <si>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</si>
  <si>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</si>
  <si>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</si>
  <si>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</si>
  <si>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</si>
  <si>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</si>
  <si>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</si>
  <si>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</si>
  <si>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</si>
  <si>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</si>
  <si>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</si>
  <si>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</si>
  <si>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</si>
  <si>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</si>
  <si>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</si>
  <si>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</si>
  <si>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</si>
  <si>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</si>
  <si>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</si>
  <si>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</si>
  <si>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</si>
  <si>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</si>
  <si>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</si>
  <si>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</si>
  <si>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</si>
  <si>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</si>
  <si>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</si>
  <si>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</si>
  <si>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</si>
  <si>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</si>
  <si>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</si>
  <si>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</si>
  <si>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</si>
  <si>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</si>
  <si>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</si>
  <si>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</si>
  <si>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</si>
  <si>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</si>
  <si>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</si>
  <si>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</si>
  <si>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</si>
  <si>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</si>
  <si>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</si>
  <si>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</si>
  <si>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</si>
  <si>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</si>
  <si>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</si>
  <si>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</si>
  <si>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</si>
  <si>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</si>
  <si>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</si>
  <si>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</si>
  <si>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</si>
  <si>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</si>
  <si>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</si>
  <si>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</si>
  <si>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</si>
  <si>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</si>
  <si>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</si>
  <si>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</si>
  <si>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</si>
  <si>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</si>
  <si>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</si>
  <si>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</si>
  <si>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</si>
  <si>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</si>
  <si>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</si>
  <si>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</si>
  <si>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</si>
  <si>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</si>
  <si>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</si>
  <si>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</si>
  <si>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</si>
  <si>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</si>
  <si>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</si>
  <si>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</si>
  <si>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</si>
  <si>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</si>
  <si>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</si>
  <si>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</si>
  <si>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</si>
  <si>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</si>
  <si>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</si>
  <si>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</si>
  <si>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</si>
  <si>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</si>
  <si>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</si>
  <si>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</si>
  <si>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</si>
  <si>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</si>
  <si>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</si>
  <si>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</si>
  <si>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</si>
  <si>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</si>
  <si>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</si>
  <si>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</si>
  <si>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</si>
  <si>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</si>
  <si>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</si>
  <si>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</si>
  <si>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</si>
  <si>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</si>
  <si>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</si>
  <si>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</si>
  <si>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</si>
  <si>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</si>
  <si>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</si>
  <si>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</si>
  <si>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</si>
  <si>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</si>
  <si>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</si>
  <si>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</si>
  <si>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</si>
  <si>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</si>
  <si>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</si>
  <si>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</si>
  <si>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</si>
  <si>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</si>
  <si>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</si>
  <si>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</si>
  <si>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</si>
  <si>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</si>
  <si>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</si>
  <si>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</si>
  <si>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</si>
  <si>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</si>
  <si>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</si>
  <si>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</si>
  <si>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</si>
  <si>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</si>
  <si>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</si>
  <si>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</si>
  <si>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</si>
  <si>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</si>
  <si>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</si>
  <si>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</si>
  <si>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</si>
  <si>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</si>
  <si>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</si>
  <si>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</si>
  <si>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</si>
  <si>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</si>
  <si>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</si>
  <si>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</si>
  <si>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</si>
  <si>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</si>
  <si>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</si>
  <si>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</si>
  <si>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</si>
  <si>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</si>
  <si>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</si>
  <si>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</si>
  <si>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</si>
  <si>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</si>
  <si>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</si>
  <si>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</si>
  <si>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</si>
  <si>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</si>
  <si>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</si>
  <si>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</si>
  <si>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</si>
  <si>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</si>
  <si>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</si>
  <si>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</si>
  <si>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</si>
  <si>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</si>
  <si>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</si>
  <si>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</si>
  <si>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</si>
  <si>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</si>
  <si>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</si>
  <si>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</si>
  <si>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</si>
  <si>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</si>
  <si>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</si>
  <si>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</si>
  <si>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</si>
  <si>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</si>
  <si>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</si>
  <si>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</si>
  <si>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</si>
  <si>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</si>
  <si>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</si>
  <si>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</si>
  <si>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</si>
  <si>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</si>
  <si>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</si>
  <si>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</si>
  <si>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</si>
  <si>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</si>
  <si>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</si>
  <si>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</si>
  <si>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</si>
  <si>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</si>
  <si>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</si>
  <si>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</si>
  <si>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</si>
  <si>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</si>
  <si>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</si>
  <si>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</si>
  <si>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</si>
  <si>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</si>
  <si>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</si>
  <si>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</si>
  <si>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</si>
  <si>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</si>
  <si>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</si>
  <si>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</si>
  <si>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</si>
  <si>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</si>
  <si>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</si>
  <si>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</si>
  <si>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</si>
  <si>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</si>
  <si>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</si>
  <si>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</si>
  <si>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</si>
  <si>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</si>
  <si>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</si>
  <si>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</si>
  <si>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</si>
  <si>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</si>
  <si>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</si>
  <si>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</si>
  <si>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</si>
  <si>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</si>
  <si>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</si>
  <si>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</si>
  <si>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</si>
  <si>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</si>
  <si>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</si>
  <si>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</si>
  <si>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</si>
  <si>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</si>
  <si>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</si>
  <si>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</si>
  <si>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</si>
  <si>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</si>
  <si>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</si>
  <si>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</si>
  <si>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</si>
  <si>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</si>
  <si>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</si>
  <si>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</si>
  <si>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</si>
  <si>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</si>
  <si>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</si>
  <si>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</si>
  <si>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</si>
  <si>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</si>
  <si>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</si>
  <si>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</si>
  <si>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</si>
  <si>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</si>
  <si>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</si>
  <si>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</si>
  <si>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</si>
  <si>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</si>
  <si>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</si>
  <si>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</si>
  <si>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</si>
  <si>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</si>
  <si>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</si>
  <si>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</si>
  <si>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</si>
  <si>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</si>
  <si>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</si>
  <si>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</si>
  <si>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</si>
  <si>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</si>
  <si>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</si>
  <si>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</si>
  <si>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</si>
  <si>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</si>
  <si>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</si>
  <si>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</si>
  <si>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</si>
  <si>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</si>
  <si>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</si>
  <si>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</si>
  <si>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</si>
  <si>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</si>
  <si>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</si>
  <si>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</si>
  <si>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</si>
  <si>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</si>
  <si>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</si>
  <si>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</si>
  <si>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</si>
  <si>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</si>
  <si>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</si>
  <si>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</si>
  <si>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</si>
  <si>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</si>
  <si>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</si>
  <si>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</si>
  <si>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</si>
  <si>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</si>
  <si>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</si>
  <si>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</si>
  <si>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</si>
  <si>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</si>
  <si>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</si>
  <si>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</si>
  <si>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</si>
  <si>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</si>
  <si>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</si>
  <si>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</si>
  <si>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</si>
  <si>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</si>
  <si>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</si>
  <si>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</si>
  <si>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</si>
  <si>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</si>
  <si>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</si>
  <si>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</si>
  <si>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</si>
  <si>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</si>
  <si>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</si>
  <si>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</si>
  <si>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</si>
  <si>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</si>
  <si>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</si>
  <si>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</si>
  <si>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</si>
  <si>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</si>
  <si>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</si>
  <si>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</si>
  <si>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</si>
  <si>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</si>
  <si>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</si>
  <si>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</si>
  <si>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</si>
  <si>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</si>
  <si>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</si>
  <si>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</si>
  <si>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</si>
  <si>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</si>
  <si>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</si>
  <si>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</si>
  <si>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</si>
  <si>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</si>
  <si>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</si>
  <si>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</si>
  <si>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</si>
  <si>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</si>
  <si>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</si>
  <si>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</si>
  <si>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</si>
  <si>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</si>
  <si>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</si>
  <si>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</si>
  <si>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</si>
  <si>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</si>
  <si>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</si>
  <si>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</si>
  <si>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</si>
  <si>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</si>
  <si>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</si>
  <si>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</si>
  <si>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</si>
  <si>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</si>
  <si>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</si>
  <si>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</si>
  <si>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</si>
  <si>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</si>
  <si>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</si>
  <si>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</si>
  <si>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</si>
  <si>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</si>
  <si>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</si>
  <si>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</si>
  <si>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</si>
  <si>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</si>
  <si>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</si>
  <si>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</si>
  <si>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</si>
  <si>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</si>
  <si>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</si>
  <si>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</si>
  <si>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</si>
  <si>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</si>
  <si>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</si>
  <si>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</si>
  <si>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</si>
  <si>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</si>
  <si>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</si>
  <si>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</si>
  <si>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</si>
  <si>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</si>
  <si>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</si>
  <si>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</si>
  <si>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</si>
  <si>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</si>
  <si>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</si>
  <si>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</si>
  <si>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</si>
  <si>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계마각반탕</t>
    <phoneticPr fontId="5" type="noConversion"/>
  </si>
  <si>
    <t>염화영</t>
    <phoneticPr fontId="5" type="noConversion"/>
  </si>
  <si>
    <t>F</t>
    <phoneticPr fontId="5" type="noConversion"/>
  </si>
  <si>
    <t>육계</t>
    <phoneticPr fontId="5" type="noConversion"/>
  </si>
  <si>
    <t>대추</t>
    <phoneticPr fontId="5" type="noConversion"/>
  </si>
  <si>
    <t>백작약</t>
    <phoneticPr fontId="5" type="noConversion"/>
  </si>
  <si>
    <t>생강</t>
    <phoneticPr fontId="5" type="noConversion"/>
  </si>
  <si>
    <t>감초</t>
    <phoneticPr fontId="5" type="noConversion"/>
  </si>
  <si>
    <t>마황</t>
    <phoneticPr fontId="5" type="noConversion"/>
  </si>
  <si>
    <t>행인</t>
    <phoneticPr fontId="5" type="noConversion"/>
  </si>
  <si>
    <t>자완</t>
    <phoneticPr fontId="5" type="noConversion"/>
  </si>
  <si>
    <t>관동화</t>
    <phoneticPr fontId="5" type="noConversion"/>
  </si>
  <si>
    <t>계지</t>
    <phoneticPr fontId="5" type="noConversion"/>
  </si>
  <si>
    <t xml:space="preserve">계마각반탕(계지+육계 반반) + 자완 관동화 </t>
    <phoneticPr fontId="5" type="noConversion"/>
  </si>
  <si>
    <t>맥문동</t>
    <phoneticPr fontId="5" type="noConversion"/>
  </si>
  <si>
    <t>반하</t>
    <phoneticPr fontId="5" type="noConversion"/>
  </si>
  <si>
    <t>인삼</t>
    <phoneticPr fontId="5" type="noConversion"/>
  </si>
  <si>
    <t>산약</t>
    <phoneticPr fontId="5" type="noConversion"/>
  </si>
  <si>
    <t>석고</t>
    <phoneticPr fontId="5" type="noConversion"/>
  </si>
  <si>
    <t>마행감석+맥문동탕</t>
    <phoneticPr fontId="5" type="noConversion"/>
  </si>
  <si>
    <t xml:space="preserve">마행감석 합 맥문동탕(갱미代산약) </t>
    <phoneticPr fontId="5" type="noConversion"/>
  </si>
  <si>
    <t>숙지황</t>
    <phoneticPr fontId="5" type="noConversion"/>
  </si>
  <si>
    <t>백출</t>
    <phoneticPr fontId="5" type="noConversion"/>
  </si>
  <si>
    <t>당귀1</t>
    <phoneticPr fontId="5" type="noConversion"/>
  </si>
  <si>
    <t>진피1</t>
    <phoneticPr fontId="5" type="noConversion"/>
  </si>
  <si>
    <t>패모</t>
    <phoneticPr fontId="5" type="noConversion"/>
  </si>
  <si>
    <t>상백피</t>
    <phoneticPr fontId="5" type="noConversion"/>
  </si>
  <si>
    <t>오미자</t>
    <phoneticPr fontId="5" type="noConversion"/>
  </si>
  <si>
    <t>대보청폐탕</t>
    <phoneticPr fontId="5" type="noConversion"/>
  </si>
  <si>
    <t>복령</t>
    <phoneticPr fontId="5" type="noConversion"/>
  </si>
  <si>
    <t>사인</t>
    <phoneticPr fontId="5" type="noConversion"/>
  </si>
  <si>
    <t>고량강</t>
    <phoneticPr fontId="5" type="noConversion"/>
  </si>
  <si>
    <t>황기</t>
    <phoneticPr fontId="5" type="noConversion"/>
  </si>
  <si>
    <t>과루인</t>
    <phoneticPr fontId="5" type="noConversion"/>
  </si>
  <si>
    <t>천궁1</t>
    <phoneticPr fontId="5" type="noConversion"/>
  </si>
  <si>
    <t>대보청폐탕 + 행인 오미자 반하 과루인</t>
    <phoneticPr fontId="5" type="noConversion"/>
  </si>
  <si>
    <t>소청룡탕</t>
    <phoneticPr fontId="5" type="noConversion"/>
  </si>
  <si>
    <t>세신</t>
    <phoneticPr fontId="5" type="noConversion"/>
  </si>
  <si>
    <t>건강</t>
    <phoneticPr fontId="5" type="noConversion"/>
  </si>
  <si>
    <t>대보청폐탕 + 행인 오미자 반하 자완 관동화</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</si>
</sst>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1">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2ab25238472eeb1d/&#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s>
    <sheetDataSet>
      <sheetData sheetId="0" refreshError="1"/>
      <sheetData sheetId="1" refreshError="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45902</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16.5</v>
          </cell>
        </row>
        <row r="4">
          <cell r="A4" t="str">
            <v>감국</v>
          </cell>
          <cell r="B4"/>
          <cell r="C4">
            <v>10000</v>
          </cell>
          <cell r="D4"/>
          <cell r="E4">
            <v>11700</v>
          </cell>
          <cell r="F4">
            <v>0</v>
          </cell>
          <cell r="G4">
            <v>20</v>
          </cell>
          <cell r="H4">
            <v>0</v>
          </cell>
          <cell r="I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23000</v>
          </cell>
          <cell r="D8">
            <v>21000</v>
          </cell>
          <cell r="E8">
            <v>27400</v>
          </cell>
          <cell r="F8">
            <v>0</v>
          </cell>
          <cell r="G8">
            <v>46</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8900</v>
          </cell>
          <cell r="F12">
            <v>39.799999999999997</v>
          </cell>
          <cell r="G12">
            <v>11.2</v>
          </cell>
          <cell r="H12">
            <v>18.333333333333332</v>
          </cell>
          <cell r="I12">
            <v>14.833333333333334</v>
          </cell>
          <cell r="J12">
            <v>14.4</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cell r="F16"/>
          <cell r="G16"/>
          <cell r="H16"/>
          <cell r="I16"/>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8900</v>
          </cell>
          <cell r="F37">
            <v>0</v>
          </cell>
          <cell r="G37">
            <v>13.2</v>
          </cell>
          <cell r="H37">
            <v>0</v>
          </cell>
          <cell r="I37">
            <v>14.833333333333334</v>
          </cell>
          <cell r="J37">
            <v>14.8</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12700</v>
          </cell>
          <cell r="D39">
            <v>15000</v>
          </cell>
          <cell r="E39">
            <v>16300</v>
          </cell>
          <cell r="F39">
            <v>29.8</v>
          </cell>
          <cell r="G39">
            <v>25.4</v>
          </cell>
          <cell r="H39">
            <v>25</v>
          </cell>
          <cell r="I39">
            <v>27.166666666666668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12500</v>
          </cell>
          <cell r="F44">
            <v>0</v>
          </cell>
          <cell r="G44">
            <v>20.6</v>
          </cell>
          <cell r="H44">
            <v>16.666666666666668</v>
          </cell>
          <cell r="I44">
            <v>20.833333333333332</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13200</v>
          </cell>
          <cell r="D53"/>
          <cell r="E53">
            <v>15800</v>
          </cell>
          <cell r="F53">
            <v>0</v>
          </cell>
          <cell r="G53">
            <v>26.4</v>
          </cell>
          <cell r="H53">
            <v>0</v>
          </cell>
          <cell r="I53">
            <v>26.333333333333332</v>
          </cell>
          <cell r="J53">
            <v>26.3</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39000</v>
          </cell>
          <cell r="E55">
            <v>23500</v>
          </cell>
          <cell r="F55">
            <v>0</v>
          </cell>
          <cell r="G55">
            <v>39.200000000000003</v>
          </cell>
          <cell r="H55">
            <v>65</v>
          </cell>
          <cell r="I55">
            <v>39.166666666666664</v>
          </cell>
          <cell r="J55">
            <v>44.3</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v>0</v>
          </cell>
          <cell r="G62">
            <v>0</v>
          </cell>
          <cell r="H62">
            <v>0</v>
          </cell>
          <cell r="I62">
            <v>17.5</v>
          </cell>
          <cell r="J62">
            <v>17.5</v>
          </cell>
        </row>
        <row r="63">
          <cell r="A63" t="str">
            <v>박하</v>
          </cell>
          <cell r="B63"/>
          <cell r="C63">
            <v>8500</v>
          </cell>
          <cell r="D63"/>
          <cell r="E63">
            <v>10800</v>
          </cell>
          <cell r="F63">
            <v>0</v>
          </cell>
          <cell r="G63">
            <v>17</v>
          </cell>
          <cell r="H63">
            <v>0</v>
          </cell>
          <cell r="I63">
            <v>18</v>
          </cell>
          <cell r="J63">
            <v>21.8</v>
          </cell>
        </row>
        <row r="64">
          <cell r="A64" t="str">
            <v>반하</v>
          </cell>
          <cell r="B64"/>
          <cell r="C64">
            <v>20500</v>
          </cell>
          <cell r="D64">
            <v>26500</v>
          </cell>
          <cell r="E64">
            <v>20500</v>
          </cell>
          <cell r="F64">
            <v>0</v>
          </cell>
          <cell r="G64">
            <v>41</v>
          </cell>
          <cell r="H64">
            <v>53</v>
          </cell>
          <cell r="I64">
            <v>41</v>
          </cell>
          <cell r="J64">
            <v>41</v>
          </cell>
        </row>
        <row r="65">
          <cell r="A65" t="str">
            <v>방기1</v>
          </cell>
          <cell r="B65"/>
          <cell r="C65"/>
          <cell r="D65"/>
          <cell r="E65">
            <v>42100</v>
          </cell>
          <cell r="F65">
            <v>0</v>
          </cell>
          <cell r="G65">
            <v>0</v>
          </cell>
          <cell r="H65">
            <v>0</v>
          </cell>
          <cell r="I65">
            <v>70.166666666666671</v>
          </cell>
          <cell r="J65">
            <v>70.2</v>
          </cell>
        </row>
        <row r="66">
          <cell r="A66" t="str">
            <v>방기2</v>
          </cell>
          <cell r="B66"/>
          <cell r="C66">
            <v>3000</v>
          </cell>
          <cell r="D66"/>
          <cell r="E66">
            <v>3500</v>
          </cell>
          <cell r="F66">
            <v>0</v>
          </cell>
          <cell r="G66">
            <v>6</v>
          </cell>
          <cell r="H66">
            <v>0</v>
          </cell>
          <cell r="I66">
            <v>5.833333333333333</v>
          </cell>
          <cell r="J66">
            <v>5.8</v>
          </cell>
        </row>
        <row r="67">
          <cell r="A67" t="str">
            <v>방기3</v>
          </cell>
          <cell r="B67"/>
          <cell r="C67"/>
          <cell r="D67"/>
          <cell r="E67"/>
          <cell r="F67">
            <v>0</v>
          </cell>
          <cell r="G67">
            <v>0</v>
          </cell>
          <cell r="H67">
            <v>0</v>
          </cell>
          <cell r="I67">
            <v>0</v>
          </cell>
        </row>
        <row r="68">
          <cell r="A68" t="str">
            <v>방풍1</v>
          </cell>
          <cell r="B68"/>
          <cell r="C68">
            <v>5900</v>
          </cell>
          <cell r="D68"/>
          <cell r="E68">
            <v>7000</v>
          </cell>
          <cell r="F68">
            <v>0</v>
          </cell>
          <cell r="G68">
            <v>11.8</v>
          </cell>
          <cell r="H68">
            <v>0</v>
          </cell>
          <cell r="I68">
            <v>11.666666666666666</v>
          </cell>
          <cell r="J68">
            <v>13.2</v>
          </cell>
        </row>
        <row r="69">
          <cell r="A69" t="str">
            <v>방풍2</v>
          </cell>
          <cell r="B69"/>
          <cell r="C69">
            <v>11300</v>
          </cell>
          <cell r="D69">
            <v>14000</v>
          </cell>
          <cell r="E69"/>
          <cell r="F69">
            <v>0</v>
          </cell>
          <cell r="G69">
            <v>22.6</v>
          </cell>
          <cell r="H69">
            <v>23.333333333333332</v>
          </cell>
          <cell r="I69">
            <v>0</v>
          </cell>
          <cell r="J69">
            <v>22.6</v>
          </cell>
        </row>
        <row r="70">
          <cell r="A70" t="str">
            <v>백강잠</v>
          </cell>
          <cell r="B70"/>
          <cell r="C70">
            <v>14000</v>
          </cell>
          <cell r="D70"/>
          <cell r="E70"/>
          <cell r="F70">
            <v>0</v>
          </cell>
          <cell r="G70">
            <v>28</v>
          </cell>
          <cell r="H70">
            <v>0</v>
          </cell>
          <cell r="I70">
            <v>0</v>
          </cell>
          <cell r="J70">
            <v>28</v>
          </cell>
        </row>
        <row r="71">
          <cell r="A71" t="str">
            <v>백개자</v>
          </cell>
          <cell r="B71"/>
          <cell r="C71">
            <v>3600</v>
          </cell>
          <cell r="D71"/>
          <cell r="E71">
            <v>3800</v>
          </cell>
          <cell r="F71">
            <v>0</v>
          </cell>
          <cell r="G71">
            <v>7.2</v>
          </cell>
          <cell r="H71">
            <v>0</v>
          </cell>
          <cell r="I71">
            <v>6.333333333333333</v>
          </cell>
          <cell r="J71">
            <v>6.3</v>
          </cell>
        </row>
        <row r="72">
          <cell r="A72" t="str">
            <v>백두구</v>
          </cell>
          <cell r="B72"/>
          <cell r="C72">
            <v>10500</v>
          </cell>
          <cell r="D72"/>
          <cell r="E72">
            <v>12600</v>
          </cell>
          <cell r="F72">
            <v>0</v>
          </cell>
          <cell r="G72">
            <v>21</v>
          </cell>
          <cell r="H72">
            <v>0</v>
          </cell>
          <cell r="I72">
            <v>21</v>
          </cell>
          <cell r="J72">
            <v>21</v>
          </cell>
        </row>
        <row r="73">
          <cell r="A73" t="str">
            <v>백두옹</v>
          </cell>
          <cell r="B73"/>
          <cell r="C73"/>
          <cell r="D73"/>
          <cell r="E73"/>
          <cell r="F73"/>
          <cell r="G73"/>
          <cell r="H73"/>
          <cell r="I73"/>
        </row>
        <row r="74">
          <cell r="A74" t="str">
            <v>백부근</v>
          </cell>
          <cell r="B74"/>
          <cell r="C74">
            <v>10700</v>
          </cell>
          <cell r="D74">
            <v>15000</v>
          </cell>
          <cell r="E74"/>
          <cell r="F74">
            <v>0</v>
          </cell>
          <cell r="G74">
            <v>21.4</v>
          </cell>
          <cell r="H74">
            <v>25</v>
          </cell>
          <cell r="I74">
            <v>0</v>
          </cell>
          <cell r="J74">
            <v>23.3</v>
          </cell>
        </row>
        <row r="75">
          <cell r="A75" t="str">
            <v>백부자</v>
          </cell>
          <cell r="B75"/>
          <cell r="C75"/>
          <cell r="D75"/>
          <cell r="E75"/>
          <cell r="F75">
            <v>0</v>
          </cell>
          <cell r="G75">
            <v>0</v>
          </cell>
          <cell r="H75">
            <v>0</v>
          </cell>
          <cell r="I75">
            <v>0</v>
          </cell>
        </row>
        <row r="76">
          <cell r="A76" t="str">
            <v>백선피</v>
          </cell>
          <cell r="B76"/>
          <cell r="C76"/>
          <cell r="D76"/>
          <cell r="E76"/>
          <cell r="F76"/>
          <cell r="G76"/>
          <cell r="H76"/>
          <cell r="I76"/>
        </row>
        <row r="77">
          <cell r="A77" t="str">
            <v>백자인</v>
          </cell>
          <cell r="B77"/>
          <cell r="C77">
            <v>21500</v>
          </cell>
          <cell r="D77">
            <v>32000</v>
          </cell>
          <cell r="E77">
            <v>27500</v>
          </cell>
          <cell r="F77">
            <v>0</v>
          </cell>
          <cell r="G77">
            <v>43</v>
          </cell>
          <cell r="H77">
            <v>53.333333333333336</v>
          </cell>
          <cell r="I77">
            <v>45.833333333333336</v>
          </cell>
          <cell r="J77">
            <v>43</v>
          </cell>
        </row>
        <row r="78">
          <cell r="A78" t="str">
            <v>백작약</v>
          </cell>
          <cell r="B78">
            <v>9800</v>
          </cell>
          <cell r="C78">
            <v>9000</v>
          </cell>
          <cell r="D78">
            <v>15000</v>
          </cell>
          <cell r="E78">
            <v>9200</v>
          </cell>
          <cell r="F78">
            <v>19.600000000000001</v>
          </cell>
          <cell r="G78">
            <v>18</v>
          </cell>
          <cell r="H78">
            <v>25</v>
          </cell>
          <cell r="I78">
            <v>15.333333333333334</v>
          </cell>
          <cell r="J78">
            <v>19.600000000000001</v>
          </cell>
        </row>
        <row r="79">
          <cell r="A79" t="str">
            <v>백지</v>
          </cell>
          <cell r="B79">
            <v>16900</v>
          </cell>
          <cell r="C79">
            <v>13200</v>
          </cell>
          <cell r="D79">
            <v>16500</v>
          </cell>
          <cell r="E79">
            <v>16300</v>
          </cell>
          <cell r="F79">
            <v>33.799999999999997</v>
          </cell>
          <cell r="G79">
            <v>26.4</v>
          </cell>
          <cell r="H79">
            <v>27.5</v>
          </cell>
          <cell r="I79">
            <v>27.166666666666668</v>
          </cell>
          <cell r="J79">
            <v>26.4</v>
          </cell>
        </row>
        <row r="80">
          <cell r="A80" t="str">
            <v>백질려</v>
          </cell>
          <cell r="B80"/>
          <cell r="C80"/>
          <cell r="D80"/>
          <cell r="E80">
            <v>9600</v>
          </cell>
          <cell r="F80">
            <v>0</v>
          </cell>
          <cell r="G80">
            <v>0</v>
          </cell>
          <cell r="H80">
            <v>0</v>
          </cell>
          <cell r="I80">
            <v>16</v>
          </cell>
          <cell r="J80">
            <v>16</v>
          </cell>
        </row>
        <row r="81">
          <cell r="A81" t="str">
            <v>백출</v>
          </cell>
          <cell r="B81"/>
          <cell r="C81">
            <v>14000</v>
          </cell>
          <cell r="D81">
            <v>16000</v>
          </cell>
          <cell r="E81">
            <v>16700</v>
          </cell>
          <cell r="F81">
            <v>0</v>
          </cell>
          <cell r="G81">
            <v>28</v>
          </cell>
          <cell r="H81">
            <v>26.666666666666668</v>
          </cell>
          <cell r="I81">
            <v>27.833333333333332</v>
          </cell>
          <cell r="J81">
            <v>30.3</v>
          </cell>
        </row>
        <row r="82">
          <cell r="A82" t="str">
            <v>백편두</v>
          </cell>
          <cell r="B82"/>
          <cell r="C82">
            <v>6300</v>
          </cell>
          <cell r="D82"/>
          <cell r="E82"/>
          <cell r="F82">
            <v>0</v>
          </cell>
          <cell r="G82">
            <v>10.5</v>
          </cell>
          <cell r="H82">
            <v>0</v>
          </cell>
          <cell r="I82">
            <v>0</v>
          </cell>
          <cell r="J82">
            <v>10.5</v>
          </cell>
        </row>
        <row r="83">
          <cell r="A83" t="str">
            <v>백하수오</v>
          </cell>
          <cell r="B83"/>
          <cell r="C83">
            <v>23000</v>
          </cell>
          <cell r="D83"/>
          <cell r="E83">
            <v>29900</v>
          </cell>
          <cell r="F83">
            <v>0</v>
          </cell>
          <cell r="G83">
            <v>46</v>
          </cell>
          <cell r="H83">
            <v>0</v>
          </cell>
          <cell r="I83">
            <v>49.833333333333336</v>
          </cell>
          <cell r="J83">
            <v>49.8</v>
          </cell>
        </row>
        <row r="84">
          <cell r="A84" t="str">
            <v>백합</v>
          </cell>
          <cell r="B84"/>
          <cell r="C84">
            <v>10000</v>
          </cell>
          <cell r="D84"/>
          <cell r="E84"/>
          <cell r="F84">
            <v>0</v>
          </cell>
          <cell r="G84">
            <v>16.666666666666668</v>
          </cell>
          <cell r="H84">
            <v>0</v>
          </cell>
          <cell r="I84">
            <v>0</v>
          </cell>
          <cell r="J84">
            <v>16.7</v>
          </cell>
        </row>
        <row r="85">
          <cell r="A85" t="str">
            <v>별갑</v>
          </cell>
          <cell r="B85"/>
          <cell r="C85">
            <v>20500</v>
          </cell>
          <cell r="D85"/>
          <cell r="E85">
            <v>16600</v>
          </cell>
          <cell r="F85">
            <v>0</v>
          </cell>
          <cell r="G85">
            <v>34.166666666666664</v>
          </cell>
          <cell r="H85">
            <v>0</v>
          </cell>
          <cell r="I85">
            <v>27.666666666666668</v>
          </cell>
        </row>
        <row r="86">
          <cell r="A86" t="str">
            <v>복령</v>
          </cell>
          <cell r="B86">
            <v>9900</v>
          </cell>
          <cell r="C86">
            <v>4400</v>
          </cell>
          <cell r="D86">
            <v>7000</v>
          </cell>
          <cell r="E86">
            <v>5400</v>
          </cell>
          <cell r="F86">
            <v>19.8</v>
          </cell>
          <cell r="G86">
            <v>8.8000000000000007</v>
          </cell>
          <cell r="H86">
            <v>11.666666666666666</v>
          </cell>
          <cell r="I86">
            <v>9</v>
          </cell>
          <cell r="J86">
            <v>9</v>
          </cell>
        </row>
        <row r="87">
          <cell r="A87" t="str">
            <v>복분자</v>
          </cell>
          <cell r="B87"/>
          <cell r="C87">
            <v>5200</v>
          </cell>
          <cell r="D87"/>
          <cell r="E87"/>
          <cell r="F87">
            <v>0</v>
          </cell>
          <cell r="G87">
            <v>10.4</v>
          </cell>
          <cell r="H87">
            <v>0</v>
          </cell>
          <cell r="I87">
            <v>0</v>
          </cell>
          <cell r="J87">
            <v>10.4</v>
          </cell>
        </row>
        <row r="88">
          <cell r="A88" t="str">
            <v>복신</v>
          </cell>
          <cell r="B88"/>
          <cell r="C88"/>
          <cell r="D88">
            <v>16000</v>
          </cell>
          <cell r="E88"/>
          <cell r="F88">
            <v>0</v>
          </cell>
          <cell r="G88">
            <v>0</v>
          </cell>
          <cell r="H88">
            <v>26.666666666666668</v>
          </cell>
          <cell r="I88">
            <v>0</v>
          </cell>
        </row>
        <row r="89">
          <cell r="A89" t="str">
            <v>봉출</v>
          </cell>
          <cell r="B89"/>
          <cell r="C89">
            <v>4500</v>
          </cell>
          <cell r="D89">
            <v>6500</v>
          </cell>
          <cell r="E89">
            <v>5900</v>
          </cell>
          <cell r="F89">
            <v>0</v>
          </cell>
          <cell r="G89">
            <v>9</v>
          </cell>
          <cell r="H89">
            <v>10.833333333333334</v>
          </cell>
          <cell r="I89">
            <v>9.8333333333333339</v>
          </cell>
          <cell r="J89">
            <v>10.8</v>
          </cell>
        </row>
        <row r="90">
          <cell r="A90" t="str">
            <v>부소맥</v>
          </cell>
          <cell r="B90"/>
          <cell r="C90"/>
          <cell r="D90"/>
          <cell r="E90">
            <v>6200</v>
          </cell>
          <cell r="F90"/>
          <cell r="G90"/>
          <cell r="H90"/>
          <cell r="I90">
            <v>10.333333333333334</v>
          </cell>
          <cell r="J90">
            <v>10.3</v>
          </cell>
        </row>
        <row r="91">
          <cell r="A91" t="str">
            <v>부자</v>
          </cell>
          <cell r="B91"/>
          <cell r="C91"/>
          <cell r="D91">
            <v>11000</v>
          </cell>
          <cell r="E91">
            <v>11900</v>
          </cell>
          <cell r="F91">
            <v>0</v>
          </cell>
          <cell r="G91">
            <v>0</v>
          </cell>
          <cell r="H91">
            <v>18.333333333333332</v>
          </cell>
          <cell r="I91">
            <v>19.833333333333332</v>
          </cell>
          <cell r="J91">
            <v>18.3</v>
          </cell>
        </row>
        <row r="92">
          <cell r="A92" t="str">
            <v>빈랑</v>
          </cell>
          <cell r="B92"/>
          <cell r="C92">
            <v>4200</v>
          </cell>
          <cell r="D92">
            <v>7000</v>
          </cell>
          <cell r="E92">
            <v>5000</v>
          </cell>
          <cell r="F92">
            <v>0</v>
          </cell>
          <cell r="G92">
            <v>8.4</v>
          </cell>
          <cell r="H92">
            <v>11.666666666666666</v>
          </cell>
          <cell r="I92">
            <v>8.3333333333333339</v>
          </cell>
          <cell r="J92">
            <v>8.3000000000000007</v>
          </cell>
        </row>
        <row r="93">
          <cell r="A93" t="str">
            <v>사삼</v>
          </cell>
          <cell r="B93"/>
          <cell r="C93">
            <v>10500</v>
          </cell>
          <cell r="D93">
            <v>16500</v>
          </cell>
          <cell r="E93">
            <v>12600</v>
          </cell>
          <cell r="F93">
            <v>0</v>
          </cell>
          <cell r="G93">
            <v>21</v>
          </cell>
          <cell r="H93">
            <v>27.5</v>
          </cell>
          <cell r="I93">
            <v>21</v>
          </cell>
          <cell r="J93">
            <v>27.2</v>
          </cell>
        </row>
        <row r="94">
          <cell r="A94" t="str">
            <v>사인</v>
          </cell>
          <cell r="B94"/>
          <cell r="C94">
            <v>13200</v>
          </cell>
          <cell r="D94">
            <v>15000</v>
          </cell>
          <cell r="E94">
            <v>13100</v>
          </cell>
          <cell r="F94">
            <v>0</v>
          </cell>
          <cell r="G94">
            <v>26.4</v>
          </cell>
          <cell r="H94">
            <v>25</v>
          </cell>
          <cell r="I94">
            <v>21.833333333333332</v>
          </cell>
          <cell r="J94">
            <v>21.8</v>
          </cell>
        </row>
        <row r="95">
          <cell r="A95" t="str">
            <v>산사</v>
          </cell>
          <cell r="B95"/>
          <cell r="C95">
            <v>3500</v>
          </cell>
          <cell r="D95">
            <v>4500</v>
          </cell>
          <cell r="E95">
            <v>5000</v>
          </cell>
          <cell r="F95">
            <v>0</v>
          </cell>
          <cell r="G95">
            <v>7</v>
          </cell>
          <cell r="H95">
            <v>7.5</v>
          </cell>
          <cell r="I95">
            <v>8.3333333333333339</v>
          </cell>
          <cell r="J95">
            <v>7</v>
          </cell>
        </row>
        <row r="96">
          <cell r="A96" t="str">
            <v>산수유</v>
          </cell>
          <cell r="B96"/>
          <cell r="C96">
            <v>12500</v>
          </cell>
          <cell r="D96">
            <v>24000</v>
          </cell>
          <cell r="E96">
            <v>15600</v>
          </cell>
          <cell r="F96">
            <v>0</v>
          </cell>
          <cell r="G96">
            <v>25</v>
          </cell>
          <cell r="H96">
            <v>40</v>
          </cell>
          <cell r="I96">
            <v>26</v>
          </cell>
          <cell r="J96">
            <v>27.7</v>
          </cell>
        </row>
        <row r="97">
          <cell r="A97" t="str">
            <v>산약</v>
          </cell>
          <cell r="B97"/>
          <cell r="C97">
            <v>10400</v>
          </cell>
          <cell r="D97">
            <v>11000</v>
          </cell>
          <cell r="E97">
            <v>24600</v>
          </cell>
          <cell r="F97">
            <v>0</v>
          </cell>
          <cell r="G97">
            <v>20.8</v>
          </cell>
          <cell r="H97">
            <v>18.333333333333332</v>
          </cell>
          <cell r="I97">
            <v>41</v>
          </cell>
          <cell r="J97">
            <v>18.3</v>
          </cell>
        </row>
        <row r="98">
          <cell r="A98" t="str">
            <v>산조인</v>
          </cell>
          <cell r="B98"/>
          <cell r="C98">
            <v>125800</v>
          </cell>
          <cell r="D98"/>
          <cell r="E98">
            <v>169000</v>
          </cell>
          <cell r="F98">
            <v>0</v>
          </cell>
          <cell r="G98">
            <v>251.6</v>
          </cell>
          <cell r="H98">
            <v>0</v>
          </cell>
          <cell r="I98">
            <v>281.66666666666669</v>
          </cell>
        </row>
        <row r="99">
          <cell r="A99" t="str">
            <v>삼릉</v>
          </cell>
          <cell r="B99"/>
          <cell r="C99">
            <v>3800</v>
          </cell>
          <cell r="D99">
            <v>5500</v>
          </cell>
          <cell r="E99">
            <v>4900</v>
          </cell>
          <cell r="F99">
            <v>0</v>
          </cell>
          <cell r="G99">
            <v>7.6</v>
          </cell>
          <cell r="H99">
            <v>9.1666666666666661</v>
          </cell>
          <cell r="I99">
            <v>8.1666666666666661</v>
          </cell>
          <cell r="J99">
            <v>9.1999999999999993</v>
          </cell>
        </row>
        <row r="100">
          <cell r="A100" t="str">
            <v>상기생</v>
          </cell>
          <cell r="B100"/>
          <cell r="C100"/>
          <cell r="D100"/>
          <cell r="E100"/>
          <cell r="F100">
            <v>0</v>
          </cell>
          <cell r="G100">
            <v>0</v>
          </cell>
          <cell r="H100">
            <v>0</v>
          </cell>
          <cell r="I100">
            <v>0</v>
          </cell>
        </row>
        <row r="101">
          <cell r="A101" t="str">
            <v>상백피</v>
          </cell>
          <cell r="B101"/>
          <cell r="C101">
            <v>17500</v>
          </cell>
          <cell r="D101"/>
          <cell r="E101">
            <v>20100</v>
          </cell>
          <cell r="F101">
            <v>0</v>
          </cell>
          <cell r="G101">
            <v>35</v>
          </cell>
          <cell r="H101">
            <v>0</v>
          </cell>
          <cell r="I101">
            <v>33.5</v>
          </cell>
          <cell r="J101">
            <v>35</v>
          </cell>
        </row>
        <row r="102">
          <cell r="A102" t="str">
            <v>상표초</v>
          </cell>
          <cell r="B102"/>
          <cell r="C102"/>
          <cell r="D102"/>
          <cell r="E102"/>
          <cell r="F102">
            <v>0</v>
          </cell>
          <cell r="G102">
            <v>0</v>
          </cell>
          <cell r="H102">
            <v>0</v>
          </cell>
          <cell r="I102">
            <v>0</v>
          </cell>
        </row>
        <row r="103">
          <cell r="A103" t="str">
            <v>생강</v>
          </cell>
          <cell r="B103">
            <v>7500</v>
          </cell>
          <cell r="C103">
            <v>7000</v>
          </cell>
          <cell r="D103">
            <v>9000</v>
          </cell>
          <cell r="E103"/>
          <cell r="F103">
            <v>15</v>
          </cell>
          <cell r="G103">
            <v>14</v>
          </cell>
          <cell r="H103">
            <v>15</v>
          </cell>
          <cell r="I103">
            <v>0</v>
          </cell>
          <cell r="J103">
            <v>15</v>
          </cell>
        </row>
        <row r="104">
          <cell r="A104" t="str">
            <v>생지황</v>
          </cell>
          <cell r="B104">
            <v>10300</v>
          </cell>
          <cell r="C104">
            <v>7500</v>
          </cell>
          <cell r="D104">
            <v>9000</v>
          </cell>
          <cell r="E104"/>
          <cell r="F104">
            <v>20.6</v>
          </cell>
          <cell r="G104">
            <v>15</v>
          </cell>
          <cell r="H104">
            <v>15</v>
          </cell>
          <cell r="I104">
            <v>0</v>
          </cell>
          <cell r="J104">
            <v>17.399999999999999</v>
          </cell>
        </row>
        <row r="105">
          <cell r="A105" t="str">
            <v>석고</v>
          </cell>
          <cell r="B105"/>
          <cell r="C105">
            <v>5500</v>
          </cell>
          <cell r="D105">
            <v>5500</v>
          </cell>
          <cell r="E105">
            <v>4600</v>
          </cell>
          <cell r="F105">
            <v>0</v>
          </cell>
          <cell r="G105">
            <v>5.5</v>
          </cell>
          <cell r="H105">
            <v>5.5</v>
          </cell>
          <cell r="I105">
            <v>4.5999999999999996</v>
          </cell>
          <cell r="J105">
            <v>5.5</v>
          </cell>
        </row>
        <row r="106">
          <cell r="A106" t="str">
            <v>석곡</v>
          </cell>
          <cell r="B106"/>
          <cell r="C106"/>
          <cell r="D106"/>
          <cell r="E106"/>
          <cell r="F106">
            <v>0</v>
          </cell>
          <cell r="G106">
            <v>0</v>
          </cell>
          <cell r="H106">
            <v>0</v>
          </cell>
          <cell r="I106">
            <v>0</v>
          </cell>
        </row>
        <row r="107">
          <cell r="A107" t="str">
            <v>석창포</v>
          </cell>
          <cell r="B107">
            <v>22400</v>
          </cell>
          <cell r="C107">
            <v>15000</v>
          </cell>
          <cell r="D107"/>
          <cell r="E107">
            <v>19000</v>
          </cell>
          <cell r="F107">
            <v>44.8</v>
          </cell>
          <cell r="G107">
            <v>30</v>
          </cell>
          <cell r="H107">
            <v>0</v>
          </cell>
          <cell r="I107">
            <v>31.666666666666668</v>
          </cell>
          <cell r="J107">
            <v>31.5</v>
          </cell>
        </row>
        <row r="108">
          <cell r="A108" t="str">
            <v>선복화</v>
          </cell>
          <cell r="B108"/>
          <cell r="C108">
            <v>15000</v>
          </cell>
          <cell r="D108">
            <v>20000</v>
          </cell>
          <cell r="E108"/>
          <cell r="F108">
            <v>0</v>
          </cell>
          <cell r="G108">
            <v>30</v>
          </cell>
          <cell r="H108">
            <v>33.333333333333336</v>
          </cell>
          <cell r="I108">
            <v>0</v>
          </cell>
          <cell r="J108">
            <v>33.299999999999997</v>
          </cell>
        </row>
        <row r="109">
          <cell r="A109" t="str">
            <v>세신</v>
          </cell>
          <cell r="B109"/>
          <cell r="C109">
            <v>66000</v>
          </cell>
          <cell r="D109"/>
          <cell r="E109">
            <v>84500</v>
          </cell>
          <cell r="F109">
            <v>0</v>
          </cell>
          <cell r="G109">
            <v>132</v>
          </cell>
          <cell r="H109">
            <v>0</v>
          </cell>
          <cell r="I109">
            <v>140.83333333333334</v>
          </cell>
          <cell r="J109">
            <v>145.19999999999999</v>
          </cell>
        </row>
        <row r="110">
          <cell r="A110" t="str">
            <v>소목</v>
          </cell>
          <cell r="B110"/>
          <cell r="C110">
            <v>3100</v>
          </cell>
          <cell r="D110">
            <v>5000</v>
          </cell>
          <cell r="E110">
            <v>3700</v>
          </cell>
          <cell r="F110">
            <v>0</v>
          </cell>
          <cell r="G110">
            <v>6.2</v>
          </cell>
          <cell r="H110">
            <v>8.3333333333333339</v>
          </cell>
          <cell r="I110">
            <v>6.166666666666667</v>
          </cell>
          <cell r="J110">
            <v>6.2</v>
          </cell>
        </row>
        <row r="111">
          <cell r="A111" t="str">
            <v>소자</v>
          </cell>
          <cell r="B111"/>
          <cell r="C111">
            <v>5700</v>
          </cell>
          <cell r="D111">
            <v>7800</v>
          </cell>
          <cell r="E111">
            <v>4500</v>
          </cell>
          <cell r="F111">
            <v>0</v>
          </cell>
          <cell r="G111">
            <v>11.4</v>
          </cell>
          <cell r="H111">
            <v>13</v>
          </cell>
          <cell r="I111">
            <v>7.5</v>
          </cell>
          <cell r="J111">
            <v>7.5</v>
          </cell>
        </row>
        <row r="112">
          <cell r="A112" t="str">
            <v>소회향</v>
          </cell>
          <cell r="B112"/>
          <cell r="C112">
            <v>5800</v>
          </cell>
          <cell r="D112">
            <v>6000</v>
          </cell>
          <cell r="E112"/>
          <cell r="F112">
            <v>0</v>
          </cell>
          <cell r="G112">
            <v>11.6</v>
          </cell>
          <cell r="H112">
            <v>10</v>
          </cell>
          <cell r="I112">
            <v>0</v>
          </cell>
          <cell r="J112">
            <v>10</v>
          </cell>
        </row>
        <row r="113">
          <cell r="A113" t="str">
            <v>속단</v>
          </cell>
          <cell r="B113"/>
          <cell r="C113">
            <v>5700</v>
          </cell>
          <cell r="D113"/>
          <cell r="E113">
            <v>7000</v>
          </cell>
          <cell r="F113">
            <v>0</v>
          </cell>
          <cell r="G113">
            <v>11.4</v>
          </cell>
          <cell r="H113">
            <v>0</v>
          </cell>
          <cell r="I113">
            <v>11.666666666666666</v>
          </cell>
          <cell r="J113">
            <v>11.7</v>
          </cell>
        </row>
        <row r="114">
          <cell r="A114" t="str">
            <v>숙지황</v>
          </cell>
          <cell r="B114"/>
          <cell r="C114">
            <v>20000</v>
          </cell>
          <cell r="D114">
            <v>20000</v>
          </cell>
          <cell r="E114">
            <v>20000</v>
          </cell>
          <cell r="F114">
            <v>0</v>
          </cell>
          <cell r="G114">
            <v>20</v>
          </cell>
          <cell r="H114">
            <v>20</v>
          </cell>
          <cell r="I114">
            <v>20</v>
          </cell>
          <cell r="J114">
            <v>20</v>
          </cell>
        </row>
        <row r="115">
          <cell r="A115" t="str">
            <v>승마</v>
          </cell>
          <cell r="B115"/>
          <cell r="C115">
            <v>15500</v>
          </cell>
          <cell r="D115"/>
          <cell r="E115">
            <v>19200</v>
          </cell>
          <cell r="F115">
            <v>0</v>
          </cell>
          <cell r="G115">
            <v>31</v>
          </cell>
          <cell r="H115">
            <v>0</v>
          </cell>
          <cell r="I115">
            <v>32</v>
          </cell>
          <cell r="J115">
            <v>31</v>
          </cell>
        </row>
        <row r="116">
          <cell r="A116" t="str">
            <v>시호1</v>
          </cell>
          <cell r="B116"/>
          <cell r="C116"/>
          <cell r="D116"/>
          <cell r="E116">
            <v>43600</v>
          </cell>
          <cell r="F116">
            <v>0</v>
          </cell>
          <cell r="G116">
            <v>0</v>
          </cell>
          <cell r="H116">
            <v>0</v>
          </cell>
          <cell r="I116">
            <v>72.666666666666671</v>
          </cell>
          <cell r="J116">
            <v>72.7</v>
          </cell>
        </row>
        <row r="117">
          <cell r="A117" t="str">
            <v>시호2</v>
          </cell>
          <cell r="B117">
            <v>29900</v>
          </cell>
          <cell r="C117">
            <v>7800</v>
          </cell>
          <cell r="D117">
            <v>10000</v>
          </cell>
          <cell r="E117">
            <v>8700</v>
          </cell>
          <cell r="F117">
            <v>59.8</v>
          </cell>
          <cell r="G117">
            <v>15.6</v>
          </cell>
          <cell r="H117">
            <v>16.666666666666668</v>
          </cell>
          <cell r="I117">
            <v>14.5</v>
          </cell>
          <cell r="J117">
            <v>15.3</v>
          </cell>
        </row>
        <row r="118">
          <cell r="A118" t="str">
            <v>신곡</v>
          </cell>
          <cell r="B118"/>
          <cell r="C118">
            <v>8500</v>
          </cell>
          <cell r="D118">
            <v>8000</v>
          </cell>
          <cell r="E118">
            <v>8500</v>
          </cell>
          <cell r="F118">
            <v>0</v>
          </cell>
          <cell r="G118">
            <v>8.5</v>
          </cell>
          <cell r="H118">
            <v>8</v>
          </cell>
          <cell r="I118">
            <v>8.5</v>
          </cell>
          <cell r="J118">
            <v>8</v>
          </cell>
        </row>
        <row r="119">
          <cell r="A119" t="str">
            <v>신이화</v>
          </cell>
          <cell r="B119"/>
          <cell r="C119">
            <v>18000</v>
          </cell>
          <cell r="D119">
            <v>15000</v>
          </cell>
          <cell r="E119">
            <v>24100</v>
          </cell>
          <cell r="F119">
            <v>0</v>
          </cell>
          <cell r="G119">
            <v>36</v>
          </cell>
          <cell r="H119">
            <v>25</v>
          </cell>
          <cell r="I119">
            <v>40.166666666666664</v>
          </cell>
          <cell r="J119">
            <v>36</v>
          </cell>
        </row>
        <row r="120">
          <cell r="A120" t="str">
            <v>아교</v>
          </cell>
          <cell r="B120"/>
          <cell r="C120">
            <v>8000</v>
          </cell>
          <cell r="D120"/>
          <cell r="E120">
            <v>8000</v>
          </cell>
          <cell r="F120">
            <v>0</v>
          </cell>
          <cell r="G120">
            <v>26.666666666666668</v>
          </cell>
          <cell r="H120">
            <v>0</v>
          </cell>
          <cell r="I120">
            <v>26.666666666666668</v>
          </cell>
          <cell r="J120">
            <v>26.7</v>
          </cell>
        </row>
        <row r="121">
          <cell r="A121" t="str">
            <v>애엽</v>
          </cell>
          <cell r="B121"/>
          <cell r="C121"/>
          <cell r="D121"/>
          <cell r="E121"/>
          <cell r="F121"/>
          <cell r="G121"/>
          <cell r="H121"/>
          <cell r="I121"/>
          <cell r="J121"/>
        </row>
        <row r="122">
          <cell r="A122" t="str">
            <v>여정자</v>
          </cell>
          <cell r="B122"/>
          <cell r="C122">
            <v>2600</v>
          </cell>
          <cell r="D122">
            <v>4000</v>
          </cell>
          <cell r="E122"/>
          <cell r="F122">
            <v>0</v>
          </cell>
          <cell r="G122">
            <v>5.2</v>
          </cell>
          <cell r="H122">
            <v>6.666666666666667</v>
          </cell>
          <cell r="I122">
            <v>0</v>
          </cell>
          <cell r="J122">
            <v>6.7</v>
          </cell>
        </row>
        <row r="123">
          <cell r="A123" t="str">
            <v>연교</v>
          </cell>
          <cell r="B123"/>
          <cell r="C123">
            <v>13500</v>
          </cell>
          <cell r="D123">
            <v>38000</v>
          </cell>
          <cell r="E123">
            <v>23500</v>
          </cell>
          <cell r="F123">
            <v>0</v>
          </cell>
          <cell r="G123">
            <v>27</v>
          </cell>
          <cell r="H123">
            <v>63.333333333333336</v>
          </cell>
          <cell r="I123">
            <v>39.166666666666664</v>
          </cell>
          <cell r="J123">
            <v>28</v>
          </cell>
        </row>
        <row r="124">
          <cell r="A124" t="str">
            <v>연육</v>
          </cell>
          <cell r="B124"/>
          <cell r="C124">
            <v>3700</v>
          </cell>
          <cell r="D124">
            <v>5500</v>
          </cell>
          <cell r="E124"/>
          <cell r="F124">
            <v>0</v>
          </cell>
          <cell r="G124">
            <v>7.4</v>
          </cell>
          <cell r="H124">
            <v>9.1666666666666661</v>
          </cell>
          <cell r="I124">
            <v>0</v>
          </cell>
          <cell r="J124">
            <v>9.1999999999999993</v>
          </cell>
        </row>
        <row r="125">
          <cell r="A125" t="str">
            <v>오가피</v>
          </cell>
          <cell r="B125"/>
          <cell r="C125">
            <v>8200</v>
          </cell>
          <cell r="D125">
            <v>12000</v>
          </cell>
          <cell r="E125">
            <v>9900</v>
          </cell>
          <cell r="F125">
            <v>0</v>
          </cell>
          <cell r="G125">
            <v>16.399999999999999</v>
          </cell>
          <cell r="H125">
            <v>20</v>
          </cell>
          <cell r="I125">
            <v>16.5</v>
          </cell>
          <cell r="J125">
            <v>16.5</v>
          </cell>
        </row>
        <row r="126">
          <cell r="A126" t="str">
            <v>오령지</v>
          </cell>
          <cell r="B126"/>
          <cell r="C126"/>
          <cell r="D126"/>
          <cell r="E126"/>
          <cell r="F126">
            <v>0</v>
          </cell>
          <cell r="G126">
            <v>0</v>
          </cell>
          <cell r="H126">
            <v>0</v>
          </cell>
          <cell r="I126">
            <v>0</v>
          </cell>
        </row>
        <row r="127">
          <cell r="A127" t="str">
            <v>오매</v>
          </cell>
          <cell r="B127"/>
          <cell r="C127">
            <v>7200</v>
          </cell>
          <cell r="D127">
            <v>7000</v>
          </cell>
          <cell r="E127">
            <v>6400</v>
          </cell>
          <cell r="F127">
            <v>0</v>
          </cell>
          <cell r="G127">
            <v>14.4</v>
          </cell>
          <cell r="H127">
            <v>11.666666666666666</v>
          </cell>
          <cell r="I127">
            <v>10.666666666666666</v>
          </cell>
          <cell r="J127">
            <v>11.7</v>
          </cell>
        </row>
        <row r="128">
          <cell r="A128" t="str">
            <v>오미자</v>
          </cell>
          <cell r="B128">
            <v>17900</v>
          </cell>
          <cell r="C128">
            <v>11000</v>
          </cell>
          <cell r="D128">
            <v>16000</v>
          </cell>
          <cell r="E128">
            <v>14100</v>
          </cell>
          <cell r="F128">
            <v>35.799999999999997</v>
          </cell>
          <cell r="G128">
            <v>22</v>
          </cell>
          <cell r="H128">
            <v>26.666666666666668</v>
          </cell>
          <cell r="I128">
            <v>23.5</v>
          </cell>
          <cell r="J128">
            <v>23.5</v>
          </cell>
        </row>
        <row r="129">
          <cell r="A129" t="str">
            <v>오배자</v>
          </cell>
          <cell r="B129"/>
          <cell r="C129"/>
          <cell r="D129"/>
          <cell r="E129"/>
          <cell r="F129">
            <v>0</v>
          </cell>
          <cell r="G129">
            <v>0</v>
          </cell>
          <cell r="H129">
            <v>0</v>
          </cell>
          <cell r="I129">
            <v>0</v>
          </cell>
        </row>
        <row r="130">
          <cell r="A130" t="str">
            <v>오수유</v>
          </cell>
          <cell r="B130"/>
          <cell r="C130">
            <v>8400</v>
          </cell>
          <cell r="D130"/>
          <cell r="E130"/>
          <cell r="F130">
            <v>0</v>
          </cell>
          <cell r="G130">
            <v>16.8</v>
          </cell>
          <cell r="H130">
            <v>0</v>
          </cell>
          <cell r="I130">
            <v>0</v>
          </cell>
          <cell r="J130">
            <v>16.8</v>
          </cell>
        </row>
        <row r="131">
          <cell r="A131" t="str">
            <v>오약</v>
          </cell>
          <cell r="B131"/>
          <cell r="C131">
            <v>4600</v>
          </cell>
          <cell r="D131">
            <v>7000</v>
          </cell>
          <cell r="E131">
            <v>5500</v>
          </cell>
          <cell r="F131">
            <v>0</v>
          </cell>
          <cell r="G131">
            <v>9.1999999999999993</v>
          </cell>
          <cell r="H131">
            <v>11.666666666666666</v>
          </cell>
          <cell r="I131">
            <v>9.1666666666666661</v>
          </cell>
          <cell r="J131">
            <v>9.1999999999999993</v>
          </cell>
        </row>
        <row r="132">
          <cell r="A132" t="str">
            <v>용골</v>
          </cell>
          <cell r="B132"/>
          <cell r="C132">
            <v>14000</v>
          </cell>
          <cell r="D132">
            <v>15000</v>
          </cell>
          <cell r="E132">
            <v>14000</v>
          </cell>
          <cell r="F132">
            <v>0</v>
          </cell>
          <cell r="G132">
            <v>14</v>
          </cell>
          <cell r="H132">
            <v>15</v>
          </cell>
          <cell r="I132">
            <v>14</v>
          </cell>
          <cell r="J132">
            <v>14</v>
          </cell>
        </row>
        <row r="133">
          <cell r="A133" t="str">
            <v>용담초</v>
          </cell>
          <cell r="B133"/>
          <cell r="C133">
            <v>27500</v>
          </cell>
          <cell r="D133">
            <v>26000</v>
          </cell>
          <cell r="E133"/>
          <cell r="F133">
            <v>0</v>
          </cell>
          <cell r="G133">
            <v>55</v>
          </cell>
          <cell r="H133">
            <v>43.333333333333336</v>
          </cell>
          <cell r="I133">
            <v>0</v>
          </cell>
          <cell r="J133">
            <v>55</v>
          </cell>
        </row>
        <row r="134">
          <cell r="A134" t="str">
            <v>우방자</v>
          </cell>
          <cell r="B134"/>
          <cell r="C134">
            <v>7300</v>
          </cell>
          <cell r="D134">
            <v>8500</v>
          </cell>
          <cell r="E134">
            <v>6100</v>
          </cell>
          <cell r="F134">
            <v>0</v>
          </cell>
          <cell r="G134">
            <v>14.6</v>
          </cell>
          <cell r="H134">
            <v>14.166666666666666</v>
          </cell>
          <cell r="I134">
            <v>10.166666666666666</v>
          </cell>
          <cell r="J134">
            <v>10.199999999999999</v>
          </cell>
        </row>
        <row r="135">
          <cell r="A135" t="str">
            <v>우슬</v>
          </cell>
          <cell r="B135"/>
          <cell r="C135">
            <v>5700</v>
          </cell>
          <cell r="D135">
            <v>9500</v>
          </cell>
          <cell r="E135">
            <v>6900</v>
          </cell>
          <cell r="F135">
            <v>0</v>
          </cell>
          <cell r="G135">
            <v>11.4</v>
          </cell>
          <cell r="H135">
            <v>15.833333333333334</v>
          </cell>
          <cell r="I135">
            <v>11.5</v>
          </cell>
          <cell r="J135">
            <v>17.7</v>
          </cell>
        </row>
        <row r="136">
          <cell r="A136" t="str">
            <v>원육</v>
          </cell>
          <cell r="B136"/>
          <cell r="C136">
            <v>12800</v>
          </cell>
          <cell r="D136">
            <v>13500</v>
          </cell>
          <cell r="E136">
            <v>12300</v>
          </cell>
          <cell r="F136">
            <v>0</v>
          </cell>
          <cell r="G136">
            <v>21.333333333333332</v>
          </cell>
          <cell r="H136">
            <v>22.5</v>
          </cell>
          <cell r="I136">
            <v>20.5</v>
          </cell>
          <cell r="J136">
            <v>20.5</v>
          </cell>
        </row>
        <row r="137">
          <cell r="A137" t="str">
            <v>원지</v>
          </cell>
          <cell r="B137"/>
          <cell r="C137">
            <v>46800</v>
          </cell>
          <cell r="D137"/>
          <cell r="E137">
            <v>55900</v>
          </cell>
          <cell r="F137">
            <v>0</v>
          </cell>
          <cell r="G137">
            <v>93.6</v>
          </cell>
          <cell r="H137">
            <v>0</v>
          </cell>
          <cell r="I137">
            <v>93.166666666666671</v>
          </cell>
          <cell r="J137">
            <v>68</v>
          </cell>
        </row>
        <row r="138">
          <cell r="A138" t="str">
            <v>위령선</v>
          </cell>
          <cell r="B138"/>
          <cell r="C138">
            <v>14500</v>
          </cell>
          <cell r="D138">
            <v>19000</v>
          </cell>
          <cell r="E138">
            <v>17700</v>
          </cell>
          <cell r="F138">
            <v>0</v>
          </cell>
          <cell r="G138">
            <v>29</v>
          </cell>
          <cell r="H138">
            <v>31.666666666666668</v>
          </cell>
          <cell r="I138">
            <v>29.5</v>
          </cell>
          <cell r="J138">
            <v>29</v>
          </cell>
        </row>
        <row r="139">
          <cell r="A139" t="str">
            <v>유백피</v>
          </cell>
          <cell r="B139"/>
          <cell r="C139"/>
          <cell r="D139"/>
          <cell r="E139"/>
          <cell r="F139"/>
          <cell r="G139"/>
          <cell r="H139"/>
          <cell r="I139"/>
        </row>
        <row r="140">
          <cell r="A140" t="str">
            <v>유향</v>
          </cell>
          <cell r="B140"/>
          <cell r="C140"/>
          <cell r="D140"/>
          <cell r="E140">
            <v>8800</v>
          </cell>
          <cell r="F140">
            <v>0</v>
          </cell>
          <cell r="G140">
            <v>0</v>
          </cell>
          <cell r="H140">
            <v>0</v>
          </cell>
          <cell r="I140">
            <v>14.666666666666666</v>
          </cell>
          <cell r="J140">
            <v>14.7</v>
          </cell>
        </row>
        <row r="141">
          <cell r="A141" t="str">
            <v>육계</v>
          </cell>
          <cell r="B141">
            <v>14800</v>
          </cell>
          <cell r="C141"/>
          <cell r="D141"/>
          <cell r="E141">
            <v>8600</v>
          </cell>
          <cell r="F141">
            <v>29.6</v>
          </cell>
          <cell r="G141">
            <v>0</v>
          </cell>
          <cell r="H141">
            <v>0</v>
          </cell>
          <cell r="I141">
            <v>14.333333333333334</v>
          </cell>
          <cell r="J141">
            <v>14.8</v>
          </cell>
        </row>
        <row r="142">
          <cell r="A142" t="str">
            <v>육두구</v>
          </cell>
          <cell r="B142"/>
          <cell r="C142">
            <v>13800</v>
          </cell>
          <cell r="D142">
            <v>17500</v>
          </cell>
          <cell r="E142"/>
          <cell r="F142">
            <v>0</v>
          </cell>
          <cell r="G142">
            <v>27.6</v>
          </cell>
          <cell r="H142">
            <v>29.166666666666668</v>
          </cell>
          <cell r="I142">
            <v>0</v>
          </cell>
          <cell r="J142">
            <v>29.2</v>
          </cell>
        </row>
        <row r="143">
          <cell r="A143" t="str">
            <v>육종용</v>
          </cell>
          <cell r="B143"/>
          <cell r="C143">
            <v>13200</v>
          </cell>
          <cell r="D143">
            <v>14000</v>
          </cell>
          <cell r="E143">
            <v>13000</v>
          </cell>
          <cell r="F143">
            <v>0</v>
          </cell>
          <cell r="G143">
            <v>22</v>
          </cell>
          <cell r="H143">
            <v>23.333333333333332</v>
          </cell>
          <cell r="I143">
            <v>26</v>
          </cell>
          <cell r="J143">
            <v>22</v>
          </cell>
        </row>
        <row r="144">
          <cell r="A144" t="str">
            <v>음양곽</v>
          </cell>
          <cell r="B144"/>
          <cell r="C144">
            <v>11900</v>
          </cell>
          <cell r="D144"/>
          <cell r="E144"/>
          <cell r="F144">
            <v>0</v>
          </cell>
          <cell r="G144">
            <v>23.8</v>
          </cell>
          <cell r="H144">
            <v>0</v>
          </cell>
          <cell r="I144">
            <v>0</v>
          </cell>
          <cell r="J144">
            <v>23.8</v>
          </cell>
        </row>
        <row r="145">
          <cell r="A145" t="str">
            <v>의이인</v>
          </cell>
          <cell r="B145"/>
          <cell r="C145">
            <v>7900</v>
          </cell>
          <cell r="D145">
            <v>10000</v>
          </cell>
          <cell r="E145">
            <v>7900</v>
          </cell>
          <cell r="F145">
            <v>0</v>
          </cell>
          <cell r="G145">
            <v>15.8</v>
          </cell>
          <cell r="H145">
            <v>16.666666666666668</v>
          </cell>
          <cell r="I145">
            <v>13.166666666666666</v>
          </cell>
          <cell r="J145">
            <v>15.8</v>
          </cell>
        </row>
        <row r="146">
          <cell r="A146" t="str">
            <v>익모초</v>
          </cell>
          <cell r="B146"/>
          <cell r="C146">
            <v>5800</v>
          </cell>
          <cell r="D146">
            <v>7500</v>
          </cell>
          <cell r="E146"/>
          <cell r="F146">
            <v>0</v>
          </cell>
          <cell r="G146">
            <v>11.6</v>
          </cell>
          <cell r="H146">
            <v>12.5</v>
          </cell>
          <cell r="I146">
            <v>0</v>
          </cell>
        </row>
        <row r="147">
          <cell r="A147" t="str">
            <v>익지인</v>
          </cell>
          <cell r="B147"/>
          <cell r="C147">
            <v>11600</v>
          </cell>
          <cell r="D147">
            <v>10500</v>
          </cell>
          <cell r="E147">
            <v>13700</v>
          </cell>
          <cell r="F147">
            <v>0</v>
          </cell>
          <cell r="G147">
            <v>23.2</v>
          </cell>
          <cell r="H147">
            <v>17.5</v>
          </cell>
          <cell r="I147">
            <v>22.833333333333332</v>
          </cell>
          <cell r="J147">
            <v>22.8</v>
          </cell>
        </row>
        <row r="148">
          <cell r="A148" t="str">
            <v>인삼</v>
          </cell>
          <cell r="B148"/>
          <cell r="C148">
            <v>60000</v>
          </cell>
          <cell r="D148">
            <v>30000</v>
          </cell>
          <cell r="E148">
            <v>67500</v>
          </cell>
          <cell r="F148">
            <v>0</v>
          </cell>
          <cell r="G148">
            <v>100</v>
          </cell>
          <cell r="H148">
            <v>100</v>
          </cell>
          <cell r="I148">
            <v>112.5</v>
          </cell>
          <cell r="J148">
            <v>108.3</v>
          </cell>
        </row>
        <row r="149">
          <cell r="A149" t="str">
            <v>인진</v>
          </cell>
          <cell r="B149"/>
          <cell r="C149">
            <v>6000</v>
          </cell>
          <cell r="D149">
            <v>7500</v>
          </cell>
          <cell r="E149">
            <v>7200</v>
          </cell>
          <cell r="F149">
            <v>0</v>
          </cell>
          <cell r="G149">
            <v>12</v>
          </cell>
          <cell r="H149">
            <v>12.5</v>
          </cell>
          <cell r="I149">
            <v>12</v>
          </cell>
          <cell r="J149">
            <v>12</v>
          </cell>
        </row>
        <row r="150">
          <cell r="A150" t="str">
            <v>자소엽</v>
          </cell>
          <cell r="B150"/>
          <cell r="C150">
            <v>7500</v>
          </cell>
          <cell r="D150">
            <v>8500</v>
          </cell>
          <cell r="E150">
            <v>7200</v>
          </cell>
          <cell r="F150">
            <v>0</v>
          </cell>
          <cell r="G150">
            <v>15</v>
          </cell>
          <cell r="H150">
            <v>14.166666666666666</v>
          </cell>
          <cell r="I150">
            <v>12</v>
          </cell>
          <cell r="J150">
            <v>12</v>
          </cell>
        </row>
        <row r="151">
          <cell r="A151" t="str">
            <v>자완</v>
          </cell>
          <cell r="B151"/>
          <cell r="C151">
            <v>29000</v>
          </cell>
          <cell r="D151">
            <v>23000</v>
          </cell>
          <cell r="E151">
            <v>20700</v>
          </cell>
          <cell r="F151">
            <v>0</v>
          </cell>
          <cell r="G151">
            <v>48.333333333333336</v>
          </cell>
          <cell r="H151">
            <v>38.333333333333336</v>
          </cell>
          <cell r="I151">
            <v>34.5</v>
          </cell>
          <cell r="J151">
            <v>38</v>
          </cell>
        </row>
        <row r="152">
          <cell r="A152" t="str">
            <v>자충</v>
          </cell>
          <cell r="B152"/>
          <cell r="C152"/>
          <cell r="D152"/>
          <cell r="E152">
            <v>31200</v>
          </cell>
          <cell r="F152">
            <v>0</v>
          </cell>
          <cell r="G152">
            <v>0</v>
          </cell>
          <cell r="H152">
            <v>0</v>
          </cell>
          <cell r="I152">
            <v>52</v>
          </cell>
          <cell r="J152">
            <v>52</v>
          </cell>
        </row>
        <row r="153">
          <cell r="A153" t="str">
            <v>저령</v>
          </cell>
          <cell r="B153"/>
          <cell r="C153">
            <v>22500</v>
          </cell>
          <cell r="D153">
            <v>28000</v>
          </cell>
          <cell r="E153">
            <v>26900</v>
          </cell>
          <cell r="F153">
            <v>0</v>
          </cell>
          <cell r="G153">
            <v>45</v>
          </cell>
          <cell r="H153">
            <v>46.666666666666664</v>
          </cell>
          <cell r="I153">
            <v>44.833333333333336</v>
          </cell>
          <cell r="J153">
            <v>46.7</v>
          </cell>
        </row>
        <row r="154">
          <cell r="A154" t="str">
            <v>적복령</v>
          </cell>
          <cell r="B154"/>
          <cell r="C154"/>
          <cell r="D154">
            <v>9000</v>
          </cell>
          <cell r="E154"/>
          <cell r="F154">
            <v>0</v>
          </cell>
          <cell r="G154">
            <v>0</v>
          </cell>
          <cell r="H154">
            <v>15</v>
          </cell>
          <cell r="I154">
            <v>0</v>
          </cell>
          <cell r="J154">
            <v>15</v>
          </cell>
        </row>
        <row r="155">
          <cell r="A155" t="str">
            <v>적하수오</v>
          </cell>
          <cell r="B155"/>
          <cell r="C155">
            <v>20000</v>
          </cell>
          <cell r="D155">
            <v>20000</v>
          </cell>
          <cell r="E155"/>
          <cell r="F155">
            <v>0</v>
          </cell>
          <cell r="G155">
            <v>20</v>
          </cell>
          <cell r="H155">
            <v>20</v>
          </cell>
          <cell r="I155">
            <v>0</v>
          </cell>
          <cell r="J155">
            <v>20</v>
          </cell>
        </row>
        <row r="156">
          <cell r="A156" t="str">
            <v>전호</v>
          </cell>
          <cell r="B156"/>
          <cell r="C156">
            <v>11500</v>
          </cell>
          <cell r="D156">
            <v>16000</v>
          </cell>
          <cell r="E156">
            <v>16500</v>
          </cell>
          <cell r="F156">
            <v>0</v>
          </cell>
          <cell r="G156">
            <v>23</v>
          </cell>
          <cell r="H156">
            <v>26.666666666666668</v>
          </cell>
          <cell r="I156">
            <v>27.5</v>
          </cell>
          <cell r="J156">
            <v>23</v>
          </cell>
        </row>
        <row r="157">
          <cell r="A157" t="str">
            <v>정향</v>
          </cell>
          <cell r="B157"/>
          <cell r="C157"/>
          <cell r="D157"/>
          <cell r="E157"/>
          <cell r="F157">
            <v>0</v>
          </cell>
          <cell r="G157">
            <v>0</v>
          </cell>
          <cell r="H157">
            <v>0</v>
          </cell>
          <cell r="I157">
            <v>0</v>
          </cell>
        </row>
        <row r="158">
          <cell r="A158" t="str">
            <v>조협</v>
          </cell>
          <cell r="B158"/>
          <cell r="C158"/>
          <cell r="D158"/>
          <cell r="E158">
            <v>7800</v>
          </cell>
          <cell r="F158">
            <v>0</v>
          </cell>
          <cell r="G158">
            <v>0</v>
          </cell>
          <cell r="H158">
            <v>0</v>
          </cell>
          <cell r="I158">
            <v>13</v>
          </cell>
          <cell r="J158">
            <v>13</v>
          </cell>
        </row>
        <row r="159">
          <cell r="A159" t="str">
            <v>조구등</v>
          </cell>
          <cell r="B159"/>
          <cell r="C159">
            <v>8600</v>
          </cell>
          <cell r="D159">
            <v>11000</v>
          </cell>
          <cell r="E159"/>
          <cell r="F159">
            <v>0</v>
          </cell>
          <cell r="G159">
            <v>17.2</v>
          </cell>
          <cell r="H159">
            <v>18.333333333333332</v>
          </cell>
          <cell r="I159">
            <v>0</v>
          </cell>
          <cell r="J159">
            <v>18.3</v>
          </cell>
        </row>
        <row r="160">
          <cell r="A160" t="str">
            <v>죽여1</v>
          </cell>
          <cell r="B160"/>
          <cell r="C160">
            <v>8000</v>
          </cell>
          <cell r="D160"/>
          <cell r="E160">
            <v>10200</v>
          </cell>
          <cell r="F160">
            <v>0</v>
          </cell>
          <cell r="G160">
            <v>16</v>
          </cell>
          <cell r="H160">
            <v>0</v>
          </cell>
          <cell r="I160">
            <v>17</v>
          </cell>
          <cell r="J160">
            <v>15.4</v>
          </cell>
        </row>
        <row r="161">
          <cell r="A161" t="str">
            <v>죽여2</v>
          </cell>
          <cell r="B161"/>
          <cell r="C161">
            <v>3500</v>
          </cell>
          <cell r="D161">
            <v>4500</v>
          </cell>
          <cell r="E161"/>
          <cell r="F161">
            <v>0</v>
          </cell>
          <cell r="G161">
            <v>5.833333333333333</v>
          </cell>
          <cell r="H161">
            <v>7.5</v>
          </cell>
          <cell r="I161">
            <v>0</v>
          </cell>
        </row>
        <row r="162">
          <cell r="A162" t="str">
            <v>죽엽</v>
          </cell>
          <cell r="B162"/>
          <cell r="C162">
            <v>4500</v>
          </cell>
          <cell r="D162"/>
          <cell r="E162"/>
          <cell r="F162">
            <v>0</v>
          </cell>
          <cell r="G162">
            <v>7.5</v>
          </cell>
          <cell r="H162">
            <v>0</v>
          </cell>
          <cell r="I162">
            <v>0</v>
          </cell>
          <cell r="J162">
            <v>7.5</v>
          </cell>
        </row>
        <row r="163">
          <cell r="A163" t="str">
            <v>지각</v>
          </cell>
          <cell r="B163"/>
          <cell r="C163">
            <v>4800</v>
          </cell>
          <cell r="D163">
            <v>7000</v>
          </cell>
          <cell r="E163">
            <v>6000</v>
          </cell>
          <cell r="F163">
            <v>0</v>
          </cell>
          <cell r="G163">
            <v>9.6</v>
          </cell>
          <cell r="H163">
            <v>11.666666666666666</v>
          </cell>
          <cell r="I163">
            <v>10</v>
          </cell>
          <cell r="J163">
            <v>10</v>
          </cell>
        </row>
        <row r="164">
          <cell r="A164" t="str">
            <v>지골피</v>
          </cell>
          <cell r="B164"/>
          <cell r="C164">
            <v>10600</v>
          </cell>
          <cell r="D164">
            <v>14000</v>
          </cell>
          <cell r="E164">
            <v>14200</v>
          </cell>
          <cell r="F164">
            <v>0</v>
          </cell>
          <cell r="G164">
            <v>21.2</v>
          </cell>
          <cell r="H164">
            <v>23.333333333333332</v>
          </cell>
          <cell r="I164">
            <v>23.666666666666668</v>
          </cell>
          <cell r="J164">
            <v>21.7</v>
          </cell>
        </row>
        <row r="165">
          <cell r="A165" t="str">
            <v>지모</v>
          </cell>
          <cell r="B165"/>
          <cell r="C165">
            <v>7800</v>
          </cell>
          <cell r="D165">
            <v>11000</v>
          </cell>
          <cell r="E165">
            <v>9600</v>
          </cell>
          <cell r="F165">
            <v>0</v>
          </cell>
          <cell r="G165">
            <v>15.6</v>
          </cell>
          <cell r="H165">
            <v>18.333333333333332</v>
          </cell>
          <cell r="I165">
            <v>16</v>
          </cell>
          <cell r="J165">
            <v>16.7</v>
          </cell>
        </row>
        <row r="166">
          <cell r="A166" t="str">
            <v>지부자</v>
          </cell>
          <cell r="B166"/>
          <cell r="C166"/>
          <cell r="D166"/>
          <cell r="E166">
            <v>5600</v>
          </cell>
          <cell r="F166">
            <v>0</v>
          </cell>
          <cell r="G166">
            <v>0</v>
          </cell>
          <cell r="H166">
            <v>0</v>
          </cell>
          <cell r="I166">
            <v>9.3333333333333339</v>
          </cell>
          <cell r="J166">
            <v>9.3000000000000007</v>
          </cell>
        </row>
        <row r="167">
          <cell r="A167" t="str">
            <v>지실</v>
          </cell>
          <cell r="B167"/>
          <cell r="C167">
            <v>10000</v>
          </cell>
          <cell r="D167"/>
          <cell r="E167">
            <v>10000</v>
          </cell>
          <cell r="F167">
            <v>0</v>
          </cell>
          <cell r="G167">
            <v>20</v>
          </cell>
          <cell r="H167">
            <v>0</v>
          </cell>
          <cell r="I167">
            <v>16.666666666666668</v>
          </cell>
          <cell r="J167">
            <v>16.7</v>
          </cell>
        </row>
        <row r="168">
          <cell r="A168" t="str">
            <v>지유</v>
          </cell>
          <cell r="B168"/>
          <cell r="C168"/>
          <cell r="D168"/>
          <cell r="E168"/>
          <cell r="F168">
            <v>0</v>
          </cell>
          <cell r="G168">
            <v>0</v>
          </cell>
          <cell r="H168">
            <v>0</v>
          </cell>
          <cell r="I168">
            <v>0</v>
          </cell>
        </row>
        <row r="169">
          <cell r="A169" t="str">
            <v>진교</v>
          </cell>
          <cell r="B169"/>
          <cell r="C169">
            <v>9500</v>
          </cell>
          <cell r="D169">
            <v>14000</v>
          </cell>
          <cell r="E169"/>
          <cell r="F169">
            <v>0</v>
          </cell>
          <cell r="G169">
            <v>19</v>
          </cell>
          <cell r="H169">
            <v>23.333333333333332</v>
          </cell>
          <cell r="I169">
            <v>0</v>
          </cell>
          <cell r="J169">
            <v>23.3</v>
          </cell>
        </row>
        <row r="170">
          <cell r="A170" t="str">
            <v>진피1</v>
          </cell>
          <cell r="B170">
            <v>8800</v>
          </cell>
          <cell r="C170">
            <v>5100</v>
          </cell>
          <cell r="D170">
            <v>5800</v>
          </cell>
          <cell r="E170">
            <v>7000</v>
          </cell>
          <cell r="F170">
            <v>17.600000000000001</v>
          </cell>
          <cell r="G170">
            <v>10.199999999999999</v>
          </cell>
          <cell r="H170">
            <v>9.6666666666666661</v>
          </cell>
          <cell r="I170">
            <v>11.666666666666666</v>
          </cell>
          <cell r="J170">
            <v>17.600000000000001</v>
          </cell>
        </row>
        <row r="171">
          <cell r="A171" t="str">
            <v>진피2</v>
          </cell>
          <cell r="B171">
            <v>22500</v>
          </cell>
          <cell r="C171"/>
          <cell r="D171"/>
          <cell r="E171"/>
          <cell r="F171">
            <v>45</v>
          </cell>
          <cell r="G171">
            <v>0</v>
          </cell>
          <cell r="H171">
            <v>0</v>
          </cell>
          <cell r="I171">
            <v>0</v>
          </cell>
          <cell r="J171">
            <v>45</v>
          </cell>
        </row>
        <row r="172">
          <cell r="A172" t="str">
            <v>진피3</v>
          </cell>
          <cell r="B172"/>
          <cell r="C172"/>
          <cell r="D172"/>
          <cell r="E172"/>
          <cell r="F172">
            <v>0</v>
          </cell>
          <cell r="G172">
            <v>0</v>
          </cell>
          <cell r="H172">
            <v>0</v>
          </cell>
          <cell r="I172">
            <v>0</v>
          </cell>
          <cell r="J172"/>
        </row>
        <row r="173">
          <cell r="A173" t="str">
            <v>차전자</v>
          </cell>
          <cell r="B173"/>
          <cell r="C173">
            <v>5300</v>
          </cell>
          <cell r="D173">
            <v>14000</v>
          </cell>
          <cell r="E173"/>
          <cell r="F173">
            <v>0</v>
          </cell>
          <cell r="G173">
            <v>10.6</v>
          </cell>
          <cell r="H173">
            <v>23.333333333333332</v>
          </cell>
          <cell r="I173">
            <v>0</v>
          </cell>
          <cell r="J173">
            <v>23.3</v>
          </cell>
        </row>
        <row r="174">
          <cell r="A174" t="str">
            <v>창이자</v>
          </cell>
          <cell r="B174"/>
          <cell r="C174"/>
          <cell r="D174"/>
          <cell r="E174"/>
          <cell r="F174">
            <v>0</v>
          </cell>
          <cell r="G174">
            <v>0</v>
          </cell>
          <cell r="H174">
            <v>0</v>
          </cell>
          <cell r="I174">
            <v>0</v>
          </cell>
        </row>
        <row r="175">
          <cell r="A175" t="str">
            <v>창출1</v>
          </cell>
          <cell r="B175"/>
          <cell r="C175">
            <v>11000</v>
          </cell>
          <cell r="D175"/>
          <cell r="E175">
            <v>15000</v>
          </cell>
          <cell r="F175">
            <v>0</v>
          </cell>
          <cell r="G175">
            <v>22</v>
          </cell>
          <cell r="H175">
            <v>0</v>
          </cell>
          <cell r="I175">
            <v>25</v>
          </cell>
          <cell r="J175">
            <v>25</v>
          </cell>
        </row>
        <row r="176">
          <cell r="A176" t="str">
            <v>창출2</v>
          </cell>
          <cell r="B176">
            <v>31900</v>
          </cell>
          <cell r="C176"/>
          <cell r="D176">
            <v>17000</v>
          </cell>
          <cell r="E176">
            <v>25800</v>
          </cell>
          <cell r="F176">
            <v>63.8</v>
          </cell>
          <cell r="G176">
            <v>0</v>
          </cell>
          <cell r="H176">
            <v>28.333333333333332</v>
          </cell>
          <cell r="I176">
            <v>43</v>
          </cell>
          <cell r="J176">
            <v>43</v>
          </cell>
        </row>
        <row r="177">
          <cell r="A177" t="str">
            <v>천궁1</v>
          </cell>
          <cell r="B177"/>
          <cell r="C177">
            <v>5200</v>
          </cell>
          <cell r="D177">
            <v>14000</v>
          </cell>
          <cell r="E177">
            <v>6500</v>
          </cell>
          <cell r="F177">
            <v>0</v>
          </cell>
          <cell r="G177">
            <v>10.4</v>
          </cell>
          <cell r="H177">
            <v>23.333333333333332</v>
          </cell>
          <cell r="I177">
            <v>10.833333333333334</v>
          </cell>
          <cell r="J177">
            <v>10.8</v>
          </cell>
        </row>
        <row r="178">
          <cell r="A178" t="str">
            <v>천궁2</v>
          </cell>
          <cell r="B178"/>
          <cell r="C178"/>
          <cell r="D178"/>
          <cell r="E178">
            <v>12500</v>
          </cell>
          <cell r="F178">
            <v>0</v>
          </cell>
          <cell r="G178">
            <v>0</v>
          </cell>
          <cell r="H178">
            <v>0</v>
          </cell>
          <cell r="I178">
            <v>20.833333333333332</v>
          </cell>
          <cell r="J178">
            <v>20.8</v>
          </cell>
        </row>
        <row r="179">
          <cell r="A179" t="str">
            <v>천련자</v>
          </cell>
          <cell r="B179"/>
          <cell r="C179">
            <v>5800</v>
          </cell>
          <cell r="D179"/>
          <cell r="E179"/>
          <cell r="F179">
            <v>0</v>
          </cell>
          <cell r="G179">
            <v>11.6</v>
          </cell>
          <cell r="H179">
            <v>0</v>
          </cell>
          <cell r="I179">
            <v>0</v>
          </cell>
          <cell r="J179">
            <v>11.6</v>
          </cell>
        </row>
        <row r="180">
          <cell r="A180" t="str">
            <v>천마</v>
          </cell>
          <cell r="B180"/>
          <cell r="C180">
            <v>21900</v>
          </cell>
          <cell r="D180">
            <v>24000</v>
          </cell>
          <cell r="E180">
            <v>24300</v>
          </cell>
          <cell r="F180">
            <v>0</v>
          </cell>
          <cell r="G180">
            <v>43.8</v>
          </cell>
          <cell r="H180">
            <v>40</v>
          </cell>
          <cell r="I180">
            <v>40.5</v>
          </cell>
          <cell r="J180">
            <v>40</v>
          </cell>
        </row>
        <row r="181">
          <cell r="A181" t="str">
            <v>천문동</v>
          </cell>
          <cell r="B181"/>
          <cell r="C181">
            <v>13800</v>
          </cell>
          <cell r="D181"/>
          <cell r="E181">
            <v>17900</v>
          </cell>
          <cell r="F181">
            <v>0</v>
          </cell>
          <cell r="G181">
            <v>27.6</v>
          </cell>
          <cell r="H181">
            <v>0</v>
          </cell>
          <cell r="I181">
            <v>29.833333333333332</v>
          </cell>
          <cell r="J181">
            <v>29.8</v>
          </cell>
        </row>
        <row r="182">
          <cell r="A182" t="str">
            <v>천오</v>
          </cell>
          <cell r="B182"/>
          <cell r="C182">
            <v>11000</v>
          </cell>
          <cell r="D182"/>
          <cell r="E182">
            <v>11000</v>
          </cell>
          <cell r="F182">
            <v>0</v>
          </cell>
          <cell r="G182">
            <v>22</v>
          </cell>
          <cell r="H182">
            <v>0</v>
          </cell>
          <cell r="I182">
            <v>22</v>
          </cell>
          <cell r="J182">
            <v>22</v>
          </cell>
        </row>
        <row r="183">
          <cell r="A183" t="str">
            <v>천초(촉초)</v>
          </cell>
          <cell r="B183"/>
          <cell r="C183"/>
          <cell r="D183"/>
          <cell r="E183"/>
          <cell r="F183"/>
          <cell r="G183"/>
          <cell r="H183"/>
          <cell r="I183"/>
        </row>
        <row r="184">
          <cell r="A184" t="str">
            <v>천화분</v>
          </cell>
          <cell r="B184"/>
          <cell r="C184">
            <v>11300</v>
          </cell>
          <cell r="D184"/>
          <cell r="E184">
            <v>14200</v>
          </cell>
          <cell r="F184">
            <v>0</v>
          </cell>
          <cell r="G184">
            <v>22.6</v>
          </cell>
          <cell r="H184">
            <v>0</v>
          </cell>
          <cell r="I184">
            <v>23.666666666666668</v>
          </cell>
          <cell r="J184">
            <v>22.6</v>
          </cell>
        </row>
        <row r="185">
          <cell r="A185" t="str">
            <v>청상자</v>
          </cell>
          <cell r="B185"/>
          <cell r="C185"/>
          <cell r="D185">
            <v>8500</v>
          </cell>
          <cell r="E185"/>
          <cell r="F185">
            <v>0</v>
          </cell>
          <cell r="G185">
            <v>0</v>
          </cell>
          <cell r="H185">
            <v>14.166666666666666</v>
          </cell>
          <cell r="I185">
            <v>0</v>
          </cell>
          <cell r="J185">
            <v>14.2</v>
          </cell>
        </row>
        <row r="186">
          <cell r="A186" t="str">
            <v>청피</v>
          </cell>
          <cell r="B186"/>
          <cell r="C186">
            <v>3300</v>
          </cell>
          <cell r="D186">
            <v>5800</v>
          </cell>
          <cell r="E186">
            <v>4400</v>
          </cell>
          <cell r="F186">
            <v>0</v>
          </cell>
          <cell r="G186">
            <v>6.6</v>
          </cell>
          <cell r="H186">
            <v>9.6666666666666661</v>
          </cell>
          <cell r="I186">
            <v>7.333333333333333</v>
          </cell>
          <cell r="J186">
            <v>7.3</v>
          </cell>
        </row>
        <row r="187">
          <cell r="A187" t="str">
            <v>초결</v>
          </cell>
          <cell r="B187"/>
          <cell r="C187"/>
          <cell r="D187"/>
          <cell r="E187"/>
          <cell r="F187">
            <v>0</v>
          </cell>
          <cell r="G187">
            <v>0</v>
          </cell>
          <cell r="H187">
            <v>0</v>
          </cell>
          <cell r="I187">
            <v>0</v>
          </cell>
        </row>
        <row r="188">
          <cell r="A188" t="str">
            <v>초과</v>
          </cell>
          <cell r="B188"/>
          <cell r="C188"/>
          <cell r="D188"/>
          <cell r="E188"/>
          <cell r="F188">
            <v>0</v>
          </cell>
          <cell r="G188">
            <v>0</v>
          </cell>
          <cell r="H188">
            <v>0</v>
          </cell>
          <cell r="I188">
            <v>0</v>
          </cell>
        </row>
        <row r="189">
          <cell r="A189" t="str">
            <v>초두구</v>
          </cell>
          <cell r="B189"/>
          <cell r="C189">
            <v>5800</v>
          </cell>
          <cell r="D189">
            <v>7000</v>
          </cell>
          <cell r="E189"/>
          <cell r="F189">
            <v>0</v>
          </cell>
          <cell r="G189">
            <v>11.6</v>
          </cell>
          <cell r="H189">
            <v>11.666666666666666</v>
          </cell>
          <cell r="I189">
            <v>0</v>
          </cell>
          <cell r="J189">
            <v>11.7</v>
          </cell>
        </row>
        <row r="190">
          <cell r="A190" t="str">
            <v>측백엽</v>
          </cell>
          <cell r="B190"/>
          <cell r="C190"/>
          <cell r="D190"/>
          <cell r="E190"/>
          <cell r="F190">
            <v>0</v>
          </cell>
          <cell r="G190">
            <v>0</v>
          </cell>
          <cell r="H190">
            <v>0</v>
          </cell>
          <cell r="I190">
            <v>0</v>
          </cell>
        </row>
        <row r="191">
          <cell r="A191" t="str">
            <v>치자</v>
          </cell>
          <cell r="B191">
            <v>10800</v>
          </cell>
          <cell r="C191">
            <v>9500</v>
          </cell>
          <cell r="D191">
            <v>7500</v>
          </cell>
          <cell r="E191">
            <v>12700</v>
          </cell>
          <cell r="F191">
            <v>21.6</v>
          </cell>
          <cell r="G191">
            <v>19</v>
          </cell>
          <cell r="H191">
            <v>12.5</v>
          </cell>
          <cell r="I191">
            <v>21.166666666666668</v>
          </cell>
          <cell r="J191">
            <v>26</v>
          </cell>
        </row>
        <row r="192">
          <cell r="A192" t="str">
            <v>택사1</v>
          </cell>
          <cell r="B192"/>
          <cell r="C192">
            <v>13200</v>
          </cell>
          <cell r="D192">
            <v>15000</v>
          </cell>
          <cell r="E192">
            <v>16300</v>
          </cell>
          <cell r="F192">
            <v>0</v>
          </cell>
          <cell r="G192">
            <v>26.4</v>
          </cell>
          <cell r="H192">
            <v>25</v>
          </cell>
          <cell r="I192">
            <v>27.166666666666668</v>
          </cell>
          <cell r="J192">
            <v>23.7</v>
          </cell>
        </row>
        <row r="193">
          <cell r="A193" t="str">
            <v>택사2</v>
          </cell>
          <cell r="B193"/>
          <cell r="C193">
            <v>5500</v>
          </cell>
          <cell r="D193"/>
          <cell r="E193"/>
          <cell r="F193"/>
          <cell r="G193">
            <v>11</v>
          </cell>
          <cell r="H193"/>
          <cell r="I193"/>
          <cell r="J193">
            <v>11</v>
          </cell>
        </row>
        <row r="194">
          <cell r="A194" t="str">
            <v>토사자</v>
          </cell>
          <cell r="B194"/>
          <cell r="C194">
            <v>10000</v>
          </cell>
          <cell r="D194">
            <v>10000</v>
          </cell>
          <cell r="E194">
            <v>10300</v>
          </cell>
          <cell r="F194">
            <v>0</v>
          </cell>
          <cell r="G194">
            <v>16.666666666666668</v>
          </cell>
          <cell r="H194">
            <v>16.666666666666668</v>
          </cell>
          <cell r="I194">
            <v>17.166666666666668</v>
          </cell>
          <cell r="J194">
            <v>17.2</v>
          </cell>
        </row>
        <row r="195">
          <cell r="A195" t="str">
            <v>파고지</v>
          </cell>
          <cell r="B195"/>
          <cell r="C195">
            <v>4700</v>
          </cell>
          <cell r="D195">
            <v>5500</v>
          </cell>
          <cell r="E195">
            <v>4700</v>
          </cell>
          <cell r="F195">
            <v>0</v>
          </cell>
          <cell r="G195">
            <v>7.833333333333333</v>
          </cell>
          <cell r="H195">
            <v>9.1666666666666661</v>
          </cell>
          <cell r="I195">
            <v>7.833333333333333</v>
          </cell>
          <cell r="J195">
            <v>9.1999999999999993</v>
          </cell>
        </row>
        <row r="196">
          <cell r="A196" t="str">
            <v>파극천</v>
          </cell>
          <cell r="B196"/>
          <cell r="C196">
            <v>21000</v>
          </cell>
          <cell r="D196">
            <v>25500</v>
          </cell>
          <cell r="E196">
            <v>25400</v>
          </cell>
          <cell r="F196">
            <v>0</v>
          </cell>
          <cell r="G196">
            <v>35</v>
          </cell>
          <cell r="H196">
            <v>42.5</v>
          </cell>
          <cell r="I196">
            <v>42.333333333333336</v>
          </cell>
          <cell r="J196">
            <v>35</v>
          </cell>
        </row>
        <row r="197">
          <cell r="A197" t="str">
            <v>패모</v>
          </cell>
          <cell r="B197"/>
          <cell r="C197">
            <v>19000</v>
          </cell>
          <cell r="D197">
            <v>19200</v>
          </cell>
          <cell r="E197">
            <v>19200</v>
          </cell>
          <cell r="F197">
            <v>0</v>
          </cell>
          <cell r="G197">
            <v>38</v>
          </cell>
          <cell r="H197">
            <v>32</v>
          </cell>
          <cell r="I197">
            <v>32</v>
          </cell>
          <cell r="J197">
            <v>32</v>
          </cell>
        </row>
        <row r="198">
          <cell r="A198" t="str">
            <v>편축</v>
          </cell>
          <cell r="B198"/>
          <cell r="C198"/>
          <cell r="D198"/>
          <cell r="E198"/>
          <cell r="F198">
            <v>0</v>
          </cell>
          <cell r="G198">
            <v>0</v>
          </cell>
          <cell r="H198">
            <v>0</v>
          </cell>
          <cell r="I198">
            <v>0</v>
          </cell>
        </row>
        <row r="199">
          <cell r="A199" t="str">
            <v>포공영</v>
          </cell>
          <cell r="B199"/>
          <cell r="C199">
            <v>5200</v>
          </cell>
          <cell r="D199"/>
          <cell r="E199">
            <v>5600</v>
          </cell>
          <cell r="F199">
            <v>0</v>
          </cell>
          <cell r="G199">
            <v>8.6666666666666661</v>
          </cell>
          <cell r="H199">
            <v>0</v>
          </cell>
          <cell r="I199">
            <v>9.3333333333333339</v>
          </cell>
          <cell r="J199">
            <v>8.6999999999999993</v>
          </cell>
        </row>
        <row r="200">
          <cell r="A200" t="str">
            <v>해동피</v>
          </cell>
          <cell r="B200"/>
          <cell r="C200">
            <v>4000</v>
          </cell>
          <cell r="D200">
            <v>5500</v>
          </cell>
          <cell r="E200">
            <v>5100</v>
          </cell>
          <cell r="F200">
            <v>0</v>
          </cell>
          <cell r="G200">
            <v>8</v>
          </cell>
          <cell r="H200">
            <v>9.1666666666666661</v>
          </cell>
          <cell r="I200">
            <v>8.5</v>
          </cell>
          <cell r="J200">
            <v>8</v>
          </cell>
        </row>
        <row r="201">
          <cell r="A201" t="str">
            <v>행인</v>
          </cell>
          <cell r="B201"/>
          <cell r="C201">
            <v>5900</v>
          </cell>
          <cell r="D201">
            <v>6500</v>
          </cell>
          <cell r="E201">
            <v>6900</v>
          </cell>
          <cell r="F201">
            <v>0</v>
          </cell>
          <cell r="G201">
            <v>11.8</v>
          </cell>
          <cell r="H201">
            <v>10.833333333333334</v>
          </cell>
          <cell r="I201">
            <v>11.5</v>
          </cell>
          <cell r="J201">
            <v>12</v>
          </cell>
        </row>
        <row r="202">
          <cell r="A202" t="str">
            <v>향부자</v>
          </cell>
          <cell r="B202"/>
          <cell r="C202">
            <v>7200</v>
          </cell>
          <cell r="D202">
            <v>9500</v>
          </cell>
          <cell r="E202">
            <v>8600</v>
          </cell>
          <cell r="F202">
            <v>0</v>
          </cell>
          <cell r="G202">
            <v>14.4</v>
          </cell>
          <cell r="H202">
            <v>15.833333333333334</v>
          </cell>
          <cell r="I202">
            <v>14.333333333333334</v>
          </cell>
          <cell r="J202">
            <v>14.7</v>
          </cell>
        </row>
        <row r="203">
          <cell r="A203" t="str">
            <v>향시</v>
          </cell>
          <cell r="B203"/>
          <cell r="C203"/>
          <cell r="D203"/>
          <cell r="E203">
            <v>39000</v>
          </cell>
          <cell r="F203">
            <v>0</v>
          </cell>
          <cell r="G203">
            <v>0</v>
          </cell>
          <cell r="H203">
            <v>0</v>
          </cell>
          <cell r="I203">
            <v>39</v>
          </cell>
          <cell r="J203">
            <v>39</v>
          </cell>
        </row>
        <row r="204">
          <cell r="A204" t="str">
            <v>현삼</v>
          </cell>
          <cell r="B204"/>
          <cell r="C204">
            <v>12000</v>
          </cell>
          <cell r="D204">
            <v>6000</v>
          </cell>
          <cell r="E204">
            <v>15300</v>
          </cell>
          <cell r="F204">
            <v>0</v>
          </cell>
          <cell r="G204">
            <v>24</v>
          </cell>
          <cell r="H204">
            <v>10</v>
          </cell>
          <cell r="I204">
            <v>25.5</v>
          </cell>
          <cell r="J204">
            <v>24</v>
          </cell>
        </row>
        <row r="205">
          <cell r="A205" t="str">
            <v>현호색</v>
          </cell>
          <cell r="B205"/>
          <cell r="C205">
            <v>14500</v>
          </cell>
          <cell r="D205">
            <v>37000</v>
          </cell>
          <cell r="E205">
            <v>35800</v>
          </cell>
          <cell r="F205">
            <v>0</v>
          </cell>
          <cell r="G205">
            <v>24.166666666666668</v>
          </cell>
          <cell r="H205">
            <v>61.666666666666664</v>
          </cell>
          <cell r="I205">
            <v>59.666666666666664</v>
          </cell>
          <cell r="J205">
            <v>59.7</v>
          </cell>
        </row>
        <row r="206">
          <cell r="A206" t="str">
            <v>형개</v>
          </cell>
          <cell r="B206"/>
          <cell r="C206">
            <v>8800</v>
          </cell>
          <cell r="D206"/>
          <cell r="E206">
            <v>10500</v>
          </cell>
          <cell r="F206">
            <v>0</v>
          </cell>
          <cell r="G206">
            <v>17.600000000000001</v>
          </cell>
          <cell r="H206">
            <v>0</v>
          </cell>
          <cell r="I206">
            <v>17.5</v>
          </cell>
          <cell r="J206">
            <v>17.600000000000001</v>
          </cell>
        </row>
        <row r="207">
          <cell r="A207" t="str">
            <v>홍화</v>
          </cell>
          <cell r="B207"/>
          <cell r="C207">
            <v>19500</v>
          </cell>
          <cell r="D207">
            <v>30000</v>
          </cell>
          <cell r="E207">
            <v>26000</v>
          </cell>
          <cell r="F207">
            <v>0</v>
          </cell>
          <cell r="G207">
            <v>39</v>
          </cell>
          <cell r="H207">
            <v>50</v>
          </cell>
          <cell r="I207">
            <v>43.333333333333336</v>
          </cell>
          <cell r="J207">
            <v>44.2</v>
          </cell>
        </row>
        <row r="208">
          <cell r="A208" t="str">
            <v>활석</v>
          </cell>
          <cell r="B208"/>
          <cell r="C208"/>
          <cell r="D208">
            <v>8500</v>
          </cell>
          <cell r="E208"/>
          <cell r="F208">
            <v>0</v>
          </cell>
          <cell r="G208">
            <v>0</v>
          </cell>
          <cell r="H208">
            <v>8.5</v>
          </cell>
          <cell r="I208">
            <v>0</v>
          </cell>
          <cell r="J208">
            <v>8.5</v>
          </cell>
        </row>
        <row r="209">
          <cell r="A209" t="str">
            <v>황금</v>
          </cell>
          <cell r="B209"/>
          <cell r="C209">
            <v>9000</v>
          </cell>
          <cell r="D209">
            <v>9000</v>
          </cell>
          <cell r="E209">
            <v>13500</v>
          </cell>
          <cell r="F209">
            <v>0</v>
          </cell>
          <cell r="G209">
            <v>18</v>
          </cell>
          <cell r="H209">
            <v>15</v>
          </cell>
          <cell r="I209">
            <v>22.5</v>
          </cell>
          <cell r="J209">
            <v>22.5</v>
          </cell>
        </row>
        <row r="210">
          <cell r="A210" t="str">
            <v>황기</v>
          </cell>
          <cell r="B210"/>
          <cell r="C210">
            <v>11000</v>
          </cell>
          <cell r="D210">
            <v>24000</v>
          </cell>
          <cell r="E210">
            <v>13400</v>
          </cell>
          <cell r="F210">
            <v>0</v>
          </cell>
          <cell r="G210">
            <v>22</v>
          </cell>
          <cell r="H210">
            <v>40</v>
          </cell>
          <cell r="I210">
            <v>22.333333333333332</v>
          </cell>
          <cell r="J210">
            <v>22</v>
          </cell>
        </row>
        <row r="211">
          <cell r="A211" t="str">
            <v>황련</v>
          </cell>
          <cell r="B211"/>
          <cell r="C211">
            <v>68400</v>
          </cell>
          <cell r="D211">
            <v>85000</v>
          </cell>
          <cell r="E211">
            <v>84800</v>
          </cell>
          <cell r="F211">
            <v>0</v>
          </cell>
          <cell r="G211">
            <v>136.80000000000001</v>
          </cell>
          <cell r="H211">
            <v>141.66666666666666</v>
          </cell>
          <cell r="I211">
            <v>141.33333333333334</v>
          </cell>
          <cell r="J211">
            <v>136.80000000000001</v>
          </cell>
        </row>
        <row r="212">
          <cell r="A212" t="str">
            <v>황백</v>
          </cell>
          <cell r="B212"/>
          <cell r="C212">
            <v>12800</v>
          </cell>
          <cell r="D212">
            <v>9500</v>
          </cell>
          <cell r="E212">
            <v>16600</v>
          </cell>
          <cell r="F212">
            <v>0</v>
          </cell>
          <cell r="G212">
            <v>25.6</v>
          </cell>
          <cell r="H212">
            <v>15.833333333333334</v>
          </cell>
          <cell r="I212">
            <v>27.666666666666668</v>
          </cell>
          <cell r="J212">
            <v>27.7</v>
          </cell>
        </row>
        <row r="213">
          <cell r="A213" t="str">
            <v>황정</v>
          </cell>
          <cell r="B213"/>
          <cell r="C213"/>
          <cell r="D213">
            <v>9500</v>
          </cell>
          <cell r="E213"/>
          <cell r="F213">
            <v>0</v>
          </cell>
          <cell r="G213">
            <v>0</v>
          </cell>
          <cell r="H213">
            <v>15.833333333333334</v>
          </cell>
          <cell r="I213">
            <v>0</v>
          </cell>
        </row>
        <row r="214">
          <cell r="A214" t="str">
            <v>후박</v>
          </cell>
          <cell r="B214"/>
          <cell r="C214">
            <v>4500</v>
          </cell>
          <cell r="D214">
            <v>4500</v>
          </cell>
          <cell r="E214">
            <v>5400</v>
          </cell>
          <cell r="F214">
            <v>0</v>
          </cell>
          <cell r="G214">
            <v>9</v>
          </cell>
          <cell r="H214">
            <v>7.5</v>
          </cell>
          <cell r="I214">
            <v>9</v>
          </cell>
          <cell r="J214">
            <v>9</v>
          </cell>
        </row>
        <row r="215">
          <cell r="A215"/>
          <cell r="B215"/>
          <cell r="C215"/>
          <cell r="D215"/>
          <cell r="E215"/>
          <cell r="F215"/>
          <cell r="G215"/>
          <cell r="H215"/>
          <cell r="I215"/>
          <cell r="J215"/>
        </row>
        <row r="216">
          <cell r="A216"/>
          <cell r="B216"/>
          <cell r="C216"/>
          <cell r="D216"/>
          <cell r="E216"/>
          <cell r="F216"/>
          <cell r="G216"/>
          <cell r="H216"/>
          <cell r="I216"/>
          <cell r="J216"/>
        </row>
        <row r="217">
          <cell r="A217"/>
          <cell r="B217"/>
          <cell r="C217"/>
          <cell r="D217"/>
          <cell r="E217"/>
          <cell r="F217"/>
          <cell r="G217"/>
          <cell r="H217"/>
          <cell r="I217"/>
          <cell r="J217"/>
        </row>
        <row r="218">
          <cell r="A218"/>
          <cell r="B218"/>
          <cell r="C218"/>
          <cell r="D218"/>
          <cell r="E218"/>
          <cell r="F218"/>
          <cell r="G218"/>
          <cell r="H218"/>
          <cell r="I218"/>
          <cell r="J218"/>
        </row>
        <row r="219">
          <cell r="A219"/>
          <cell r="B219"/>
          <cell r="C219"/>
          <cell r="D219"/>
          <cell r="E219"/>
          <cell r="F219"/>
          <cell r="G219"/>
          <cell r="H219"/>
          <cell r="I219"/>
          <cell r="J219"/>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J2379"/>
        </row>
      </sheetData>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1DDFF-1E35-4408-904D-55D6208C34A8}">
  <sheetPr>
    <pageSetUpPr fitToPage="1"/>
  </sheetPr>
  <dimension ref="B1:M31"/>
  <sheetViews>
    <sheetView tabSelected="1" workbookViewId="0">
      <selection activeCell="I23" sqref="I2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4" t="s">
        <v>5</v>
      </c>
      <c r="L1" s="175"/>
      <c r="M1" s="176"/>
    </row>
    <row r="2" spans="2:13">
      <c r="B2" s="2">
        <v>1</v>
      </c>
      <c r="C2" t="s">
        <v>440</v>
      </c>
      <c r="D2" s="3"/>
      <c r="E2" s="87">
        <v>8</v>
      </c>
      <c r="F2" s="98">
        <f>E2*$L$15</f>
        <v>160</v>
      </c>
      <c r="G2">
        <f>VLOOKUP($C2,[1]약재관리!$A:$J,10,FALSE)</f>
        <v>27.2</v>
      </c>
      <c r="H2" s="4">
        <f>G2*E2</f>
        <v>217.6</v>
      </c>
      <c r="I2" s="89">
        <f>G2*F2</f>
        <v>4352</v>
      </c>
      <c r="K2" s="6" t="s">
        <v>6</v>
      </c>
      <c r="L2" s="186">
        <v>144</v>
      </c>
      <c r="M2" s="187"/>
    </row>
    <row r="3" spans="2:13">
      <c r="B3" s="2">
        <v>2</v>
      </c>
      <c r="C3" t="s">
        <v>438</v>
      </c>
      <c r="D3" s="3"/>
      <c r="E3" s="87">
        <v>6</v>
      </c>
      <c r="F3" s="98">
        <f t="shared" ref="F3:F31" si="0">E3*$L$15</f>
        <v>120</v>
      </c>
      <c r="G3">
        <f>VLOOKUP($C3,[1]약재관리!$A:$J,10,FALSE)</f>
        <v>20</v>
      </c>
      <c r="H3" s="4">
        <f t="shared" ref="H3:H31" si="1">G3*E3</f>
        <v>120</v>
      </c>
      <c r="I3" s="5">
        <f t="shared" ref="I3:I31" si="2">G3*F3</f>
        <v>2400</v>
      </c>
      <c r="K3" s="7" t="s">
        <v>7</v>
      </c>
      <c r="L3" s="188" t="s">
        <v>445</v>
      </c>
      <c r="M3" s="189"/>
    </row>
    <row r="4" spans="2:13">
      <c r="B4" s="2">
        <v>3</v>
      </c>
      <c r="C4" t="s">
        <v>422</v>
      </c>
      <c r="D4" s="3"/>
      <c r="E4" s="87">
        <v>6</v>
      </c>
      <c r="F4" s="98">
        <f t="shared" si="0"/>
        <v>120</v>
      </c>
      <c r="G4">
        <f>VLOOKUP($C4,[1]약재관리!$A:$J,10,FALSE)</f>
        <v>19.600000000000001</v>
      </c>
      <c r="H4" s="4">
        <f t="shared" si="1"/>
        <v>117.60000000000001</v>
      </c>
      <c r="I4" s="5">
        <f t="shared" si="2"/>
        <v>2352</v>
      </c>
      <c r="K4" s="7" t="s">
        <v>8</v>
      </c>
      <c r="L4" s="190">
        <v>46008</v>
      </c>
      <c r="M4" s="189"/>
    </row>
    <row r="5" spans="2:13">
      <c r="B5" s="2">
        <v>4</v>
      </c>
      <c r="C5" t="s">
        <v>431</v>
      </c>
      <c r="D5" s="3"/>
      <c r="E5" s="87">
        <v>4</v>
      </c>
      <c r="F5" s="98">
        <f t="shared" si="0"/>
        <v>80</v>
      </c>
      <c r="G5">
        <f>VLOOKUP($C5,[1]약재관리!$A:$J,10,FALSE)</f>
        <v>44.3</v>
      </c>
      <c r="H5" s="4">
        <f t="shared" si="1"/>
        <v>177.2</v>
      </c>
      <c r="I5" s="5">
        <f t="shared" si="2"/>
        <v>3544</v>
      </c>
      <c r="K5" s="7" t="s">
        <v>9</v>
      </c>
      <c r="L5" s="188" t="s">
        <v>418</v>
      </c>
      <c r="M5" s="189"/>
    </row>
    <row r="6" spans="2:13">
      <c r="B6" s="2">
        <v>5</v>
      </c>
      <c r="C6" t="s">
        <v>451</v>
      </c>
      <c r="D6" s="3"/>
      <c r="E6" s="87">
        <v>4</v>
      </c>
      <c r="F6" s="98">
        <f t="shared" si="0"/>
        <v>80</v>
      </c>
      <c r="G6">
        <f>VLOOKUP($C6,[1]약재관리!$A:$J,10,FALSE)</f>
        <v>10.8</v>
      </c>
      <c r="H6" s="4">
        <f t="shared" si="1"/>
        <v>43.2</v>
      </c>
      <c r="I6" s="5">
        <f t="shared" si="2"/>
        <v>864</v>
      </c>
      <c r="K6" s="7" t="s">
        <v>10</v>
      </c>
      <c r="L6" s="188">
        <v>60</v>
      </c>
      <c r="M6" s="189"/>
    </row>
    <row r="7" spans="2:13" ht="17.25" thickBot="1">
      <c r="B7" s="2">
        <v>6</v>
      </c>
      <c r="C7" t="s">
        <v>433</v>
      </c>
      <c r="D7" s="3"/>
      <c r="E7" s="87">
        <v>4</v>
      </c>
      <c r="F7" s="98">
        <f t="shared" si="0"/>
        <v>80</v>
      </c>
      <c r="G7">
        <f>VLOOKUP($C7,[1]약재관리!$A:$J,10,FALSE)</f>
        <v>108.3</v>
      </c>
      <c r="H7" s="4">
        <f t="shared" si="1"/>
        <v>433.2</v>
      </c>
      <c r="I7" s="5">
        <f t="shared" si="2"/>
        <v>8664</v>
      </c>
      <c r="K7" s="7" t="s">
        <v>11</v>
      </c>
      <c r="L7" s="172" t="s">
        <v>419</v>
      </c>
      <c r="M7" s="173"/>
    </row>
    <row r="8" spans="2:13" ht="17.25" thickBot="1">
      <c r="B8" s="2">
        <v>7</v>
      </c>
      <c r="C8" t="s">
        <v>446</v>
      </c>
      <c r="D8" s="3"/>
      <c r="E8" s="87">
        <v>4</v>
      </c>
      <c r="F8" s="98">
        <f t="shared" si="0"/>
        <v>80</v>
      </c>
      <c r="G8">
        <f>VLOOKUP($C8,[1]약재관리!$A:$J,10,FALSE)</f>
        <v>9</v>
      </c>
      <c r="H8" s="4">
        <f t="shared" si="1"/>
        <v>36</v>
      </c>
      <c r="I8" s="5">
        <f t="shared" si="2"/>
        <v>720</v>
      </c>
      <c r="K8" s="174" t="s">
        <v>12</v>
      </c>
      <c r="L8" s="175"/>
      <c r="M8" s="176"/>
    </row>
    <row r="9" spans="2:13">
      <c r="B9" s="2">
        <v>8</v>
      </c>
      <c r="C9" t="s">
        <v>439</v>
      </c>
      <c r="D9" s="3"/>
      <c r="E9" s="87">
        <v>4</v>
      </c>
      <c r="F9" s="98">
        <f t="shared" si="0"/>
        <v>80</v>
      </c>
      <c r="G9">
        <f>VLOOKUP($C9,[1]약재관리!$A:$J,10,FALSE)</f>
        <v>30.3</v>
      </c>
      <c r="H9" s="4">
        <f t="shared" si="1"/>
        <v>121.2</v>
      </c>
      <c r="I9" s="5">
        <f t="shared" si="2"/>
        <v>2424</v>
      </c>
      <c r="K9" s="177" t="s">
        <v>456</v>
      </c>
      <c r="L9" s="178"/>
      <c r="M9" s="179"/>
    </row>
    <row r="10" spans="2:13">
      <c r="B10" s="2">
        <v>9</v>
      </c>
      <c r="C10" t="s">
        <v>441</v>
      </c>
      <c r="D10" s="3"/>
      <c r="E10" s="87">
        <v>4</v>
      </c>
      <c r="F10" s="98">
        <f t="shared" si="0"/>
        <v>80</v>
      </c>
      <c r="G10">
        <f>VLOOKUP($C10,[1]약재관리!$A:$J,10,FALSE)</f>
        <v>17.600000000000001</v>
      </c>
      <c r="H10" s="4">
        <f t="shared" si="1"/>
        <v>70.400000000000006</v>
      </c>
      <c r="I10" s="5">
        <f t="shared" si="2"/>
        <v>1408</v>
      </c>
      <c r="K10" s="180"/>
      <c r="L10" s="181"/>
      <c r="M10" s="182"/>
    </row>
    <row r="11" spans="2:13">
      <c r="B11" s="2">
        <v>10</v>
      </c>
      <c r="C11" t="s">
        <v>447</v>
      </c>
      <c r="D11" s="3"/>
      <c r="E11" s="87">
        <v>4</v>
      </c>
      <c r="F11" s="98">
        <f t="shared" si="0"/>
        <v>80</v>
      </c>
      <c r="G11">
        <f>VLOOKUP($C11,[1]약재관리!$A:$J,10,FALSE)</f>
        <v>21.8</v>
      </c>
      <c r="H11" s="4">
        <f t="shared" si="1"/>
        <v>87.2</v>
      </c>
      <c r="I11" s="5">
        <f t="shared" si="2"/>
        <v>1744</v>
      </c>
      <c r="K11" s="180"/>
      <c r="L11" s="181"/>
      <c r="M11" s="182"/>
    </row>
    <row r="12" spans="2:13">
      <c r="B12" s="2">
        <v>11</v>
      </c>
      <c r="C12" t="s">
        <v>448</v>
      </c>
      <c r="D12" s="3"/>
      <c r="E12" s="87">
        <v>4</v>
      </c>
      <c r="F12" s="98">
        <f t="shared" si="0"/>
        <v>80</v>
      </c>
      <c r="G12">
        <f>VLOOKUP($C12,[1]약재관리!$A:$J,10,FALSE)</f>
        <v>17</v>
      </c>
      <c r="H12" s="4">
        <f t="shared" si="1"/>
        <v>68</v>
      </c>
      <c r="I12" s="5">
        <f t="shared" si="2"/>
        <v>1360</v>
      </c>
      <c r="K12" s="180"/>
      <c r="L12" s="181"/>
      <c r="M12" s="182"/>
    </row>
    <row r="13" spans="2:13" ht="17.25" thickBot="1">
      <c r="B13" s="2">
        <v>12</v>
      </c>
      <c r="C13" t="s">
        <v>442</v>
      </c>
      <c r="D13" s="3"/>
      <c r="E13" s="87">
        <v>4</v>
      </c>
      <c r="F13" s="98">
        <f t="shared" si="0"/>
        <v>80</v>
      </c>
      <c r="G13">
        <f>VLOOKUP($C13,[1]약재관리!$A:$J,10,FALSE)</f>
        <v>32</v>
      </c>
      <c r="H13" s="4">
        <f t="shared" si="1"/>
        <v>128</v>
      </c>
      <c r="I13" s="5">
        <f t="shared" si="2"/>
        <v>2560</v>
      </c>
      <c r="K13" s="183"/>
      <c r="L13" s="184"/>
      <c r="M13" s="185"/>
    </row>
    <row r="14" spans="2:13">
      <c r="B14" s="2">
        <v>13</v>
      </c>
      <c r="C14" t="s">
        <v>449</v>
      </c>
      <c r="D14" s="3"/>
      <c r="E14" s="87">
        <v>4</v>
      </c>
      <c r="F14" s="98">
        <f t="shared" si="0"/>
        <v>80</v>
      </c>
      <c r="G14">
        <f>VLOOKUP($C14,[1]약재관리!$A:$J,10,FALSE)</f>
        <v>22</v>
      </c>
      <c r="H14" s="4">
        <f t="shared" si="1"/>
        <v>88</v>
      </c>
      <c r="I14" s="5">
        <f t="shared" si="2"/>
        <v>1760</v>
      </c>
      <c r="K14" s="91" t="s">
        <v>13</v>
      </c>
      <c r="L14" s="8">
        <v>15</v>
      </c>
      <c r="M14" s="9" t="s">
        <v>14</v>
      </c>
    </row>
    <row r="15" spans="2:13">
      <c r="B15" s="2">
        <v>14</v>
      </c>
      <c r="C15" t="s">
        <v>443</v>
      </c>
      <c r="D15" s="3"/>
      <c r="E15" s="87">
        <v>4</v>
      </c>
      <c r="F15" s="98">
        <f t="shared" si="0"/>
        <v>80</v>
      </c>
      <c r="G15">
        <f>VLOOKUP($C15,[1]약재관리!$A:$J,10,FALSE)</f>
        <v>35</v>
      </c>
      <c r="H15" s="4">
        <f t="shared" si="1"/>
        <v>140</v>
      </c>
      <c r="I15" s="5">
        <f t="shared" si="2"/>
        <v>2800</v>
      </c>
      <c r="K15" s="90" t="s">
        <v>15</v>
      </c>
      <c r="L15">
        <v>20</v>
      </c>
      <c r="M15" s="3" t="s">
        <v>16</v>
      </c>
    </row>
    <row r="16" spans="2:13">
      <c r="B16" s="2">
        <v>15</v>
      </c>
      <c r="C16" t="s">
        <v>426</v>
      </c>
      <c r="D16" s="3"/>
      <c r="E16" s="87">
        <v>4</v>
      </c>
      <c r="F16" s="98">
        <f t="shared" si="0"/>
        <v>80</v>
      </c>
      <c r="G16">
        <f>VLOOKUP($C16,[1]약재관리!$A:$J,10,FALSE)</f>
        <v>12</v>
      </c>
      <c r="H16" s="4">
        <f t="shared" si="1"/>
        <v>48</v>
      </c>
      <c r="I16" s="5">
        <f t="shared" si="2"/>
        <v>960</v>
      </c>
      <c r="K16" s="90" t="s">
        <v>17</v>
      </c>
      <c r="L16">
        <v>30</v>
      </c>
      <c r="M16" s="3" t="s">
        <v>18</v>
      </c>
    </row>
    <row r="17" spans="2:13" ht="17.25" thickBot="1">
      <c r="B17" s="2">
        <v>16</v>
      </c>
      <c r="C17" t="s">
        <v>444</v>
      </c>
      <c r="D17" s="3"/>
      <c r="E17" s="87">
        <v>3</v>
      </c>
      <c r="F17" s="98">
        <f t="shared" si="0"/>
        <v>60</v>
      </c>
      <c r="G17">
        <f>VLOOKUP($C17,[1]약재관리!$A:$J,10,FALSE)</f>
        <v>23.5</v>
      </c>
      <c r="H17" s="4">
        <f t="shared" si="1"/>
        <v>70.5</v>
      </c>
      <c r="I17" s="5">
        <f t="shared" si="2"/>
        <v>1410</v>
      </c>
      <c r="K17" s="13" t="s">
        <v>19</v>
      </c>
      <c r="L17" s="10">
        <v>110</v>
      </c>
      <c r="M17" s="11" t="s">
        <v>20</v>
      </c>
    </row>
    <row r="18" spans="2:13">
      <c r="B18" s="2">
        <v>17</v>
      </c>
      <c r="C18" t="s">
        <v>427</v>
      </c>
      <c r="D18" s="3"/>
      <c r="E18" s="87">
        <v>4</v>
      </c>
      <c r="F18" s="98">
        <f t="shared" si="0"/>
        <v>80</v>
      </c>
      <c r="G18">
        <f>VLOOKUP($C18,[1]약재관리!$A:$J,10,FALSE)</f>
        <v>38</v>
      </c>
      <c r="H18" s="4">
        <f t="shared" si="1"/>
        <v>152</v>
      </c>
      <c r="I18" s="5">
        <f t="shared" si="2"/>
        <v>3040</v>
      </c>
      <c r="K18" s="91" t="s">
        <v>21</v>
      </c>
      <c r="L18" s="8">
        <f>SUM(E2:E31)</f>
        <v>87</v>
      </c>
      <c r="M18" s="9" t="s">
        <v>22</v>
      </c>
    </row>
    <row r="19" spans="2:13">
      <c r="B19" s="2">
        <v>18</v>
      </c>
      <c r="C19" t="s">
        <v>428</v>
      </c>
      <c r="D19" s="3"/>
      <c r="E19" s="87">
        <v>4</v>
      </c>
      <c r="F19" s="98">
        <f t="shared" si="0"/>
        <v>80</v>
      </c>
      <c r="G19">
        <f>VLOOKUP($C19,[1]약재관리!$A:$J,10,FALSE)</f>
        <v>121.7</v>
      </c>
      <c r="H19" s="4">
        <f t="shared" si="1"/>
        <v>486.8</v>
      </c>
      <c r="I19" s="5">
        <f t="shared" si="2"/>
        <v>9736</v>
      </c>
      <c r="K19" s="90" t="s">
        <v>23</v>
      </c>
      <c r="L19">
        <f>L15*L18</f>
        <v>1740</v>
      </c>
      <c r="M19" s="3" t="s">
        <v>22</v>
      </c>
    </row>
    <row r="20" spans="2:13" ht="17.25" thickBot="1">
      <c r="B20" s="2">
        <v>19</v>
      </c>
      <c r="C20" t="s">
        <v>432</v>
      </c>
      <c r="D20" s="3"/>
      <c r="E20" s="87">
        <v>6</v>
      </c>
      <c r="F20" s="98">
        <f t="shared" si="0"/>
        <v>120</v>
      </c>
      <c r="G20">
        <f>VLOOKUP($C20,[1]약재관리!$A:$J,10,FALSE)</f>
        <v>41</v>
      </c>
      <c r="H20" s="4">
        <f t="shared" si="1"/>
        <v>246</v>
      </c>
      <c r="I20" s="5">
        <f t="shared" si="2"/>
        <v>4920</v>
      </c>
      <c r="K20" s="13" t="s">
        <v>24</v>
      </c>
      <c r="L20" s="10">
        <f>L16*L17+L19</f>
        <v>5040</v>
      </c>
      <c r="M20" s="11" t="s">
        <v>20</v>
      </c>
    </row>
    <row r="21" spans="2:13" ht="17.25" thickBot="1">
      <c r="B21" s="2">
        <v>20</v>
      </c>
      <c r="C21" t="s">
        <v>424</v>
      </c>
      <c r="D21" s="3"/>
      <c r="E21" s="87">
        <v>2</v>
      </c>
      <c r="F21" s="98">
        <f t="shared" si="0"/>
        <v>40</v>
      </c>
      <c r="G21">
        <f>VLOOKUP($C21,[1]약재관리!$A:$J,10,FALSE)</f>
        <v>28.3</v>
      </c>
      <c r="H21" s="4">
        <f t="shared" si="1"/>
        <v>56.6</v>
      </c>
      <c r="I21" s="5">
        <f t="shared" si="2"/>
        <v>1132</v>
      </c>
      <c r="J21" s="90"/>
      <c r="M21" s="93"/>
    </row>
    <row r="22" spans="2:13" ht="17.25" thickBot="1">
      <c r="B22" s="2">
        <v>21</v>
      </c>
      <c r="D22" s="3"/>
      <c r="F22" s="98">
        <f t="shared" si="0"/>
        <v>0</v>
      </c>
      <c r="H22" s="4">
        <f t="shared" si="1"/>
        <v>0</v>
      </c>
      <c r="I22" s="5">
        <f t="shared" si="2"/>
        <v>0</v>
      </c>
      <c r="K22" s="174" t="s">
        <v>25</v>
      </c>
      <c r="L22" s="175"/>
      <c r="M22" s="176"/>
    </row>
    <row r="23" spans="2:13">
      <c r="B23" s="2">
        <v>22</v>
      </c>
      <c r="D23" s="3"/>
      <c r="F23" s="98">
        <f t="shared" si="0"/>
        <v>0</v>
      </c>
      <c r="H23" s="4">
        <f t="shared" si="1"/>
        <v>0</v>
      </c>
      <c r="I23" s="5">
        <f t="shared" si="2"/>
        <v>0</v>
      </c>
      <c r="K23" s="90" t="s">
        <v>26</v>
      </c>
      <c r="L23">
        <f>SUM(F2:F31)</f>
        <v>1740</v>
      </c>
      <c r="M23" s="3" t="s">
        <v>22</v>
      </c>
    </row>
    <row r="24" spans="2:13">
      <c r="B24" s="2">
        <v>23</v>
      </c>
      <c r="D24" s="3"/>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4" t="s">
        <v>32</v>
      </c>
      <c r="L29" s="175"/>
      <c r="M29" s="176"/>
    </row>
    <row r="30" spans="2:13">
      <c r="B30" s="2">
        <v>29</v>
      </c>
      <c r="D30" s="3"/>
      <c r="F30" s="98">
        <f t="shared" si="0"/>
        <v>0</v>
      </c>
      <c r="H30" s="4">
        <f t="shared" si="1"/>
        <v>0</v>
      </c>
      <c r="I30" s="5">
        <f t="shared" si="2"/>
        <v>0</v>
      </c>
      <c r="K30" s="90" t="s">
        <v>28</v>
      </c>
      <c r="L30" s="4">
        <f>SUM(H2:H31)</f>
        <v>2907.5000000000005</v>
      </c>
      <c r="M30" s="3" t="s">
        <v>33</v>
      </c>
    </row>
    <row r="31" spans="2:13" ht="17.25" thickBot="1">
      <c r="B31" s="12">
        <v>30</v>
      </c>
      <c r="C31" s="13"/>
      <c r="D31" s="11"/>
      <c r="E31" s="94"/>
      <c r="F31" s="99">
        <f t="shared" si="0"/>
        <v>0</v>
      </c>
      <c r="G31" s="10"/>
      <c r="H31" s="14">
        <f t="shared" si="1"/>
        <v>0</v>
      </c>
      <c r="I31" s="15">
        <f t="shared" si="2"/>
        <v>0</v>
      </c>
      <c r="K31" s="13" t="s">
        <v>34</v>
      </c>
      <c r="L31" s="14">
        <f>SUM(I2:I31)</f>
        <v>58150</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38B5C-556A-40D3-B375-52F233F8C6B9}">
  <sheetPr>
    <pageSetUpPr fitToPage="1"/>
  </sheetPr>
  <dimension ref="B1:M31"/>
  <sheetViews>
    <sheetView workbookViewId="0">
      <selection activeCell="F21" sqref="F21"/>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4" t="s">
        <v>5</v>
      </c>
      <c r="L1" s="175"/>
      <c r="M1" s="176"/>
    </row>
    <row r="2" spans="2:13">
      <c r="B2" s="2">
        <v>1</v>
      </c>
      <c r="C2" t="s">
        <v>440</v>
      </c>
      <c r="D2" s="3"/>
      <c r="E2" s="87">
        <v>8</v>
      </c>
      <c r="F2" s="98">
        <f>E2*$L$15</f>
        <v>160</v>
      </c>
      <c r="G2">
        <f>VLOOKUP($C2,[1]약재관리!$A:$J,10,FALSE)</f>
        <v>27.2</v>
      </c>
      <c r="H2" s="4">
        <f>G2*E2</f>
        <v>217.6</v>
      </c>
      <c r="I2" s="89">
        <f>G2*F2</f>
        <v>4352</v>
      </c>
      <c r="K2" s="6" t="s">
        <v>6</v>
      </c>
      <c r="L2" s="186">
        <v>144</v>
      </c>
      <c r="M2" s="187"/>
    </row>
    <row r="3" spans="2:13">
      <c r="B3" s="2">
        <v>2</v>
      </c>
      <c r="C3" t="s">
        <v>438</v>
      </c>
      <c r="D3" s="3"/>
      <c r="E3" s="87">
        <v>6</v>
      </c>
      <c r="F3" s="98">
        <f t="shared" ref="F3:F31" si="0">E3*$L$15</f>
        <v>120</v>
      </c>
      <c r="G3">
        <f>VLOOKUP($C3,[1]약재관리!$A:$J,10,FALSE)</f>
        <v>20</v>
      </c>
      <c r="H3" s="4">
        <f t="shared" ref="H3:H31" si="1">G3*E3</f>
        <v>120</v>
      </c>
      <c r="I3" s="5">
        <f t="shared" ref="I3:I31" si="2">G3*F3</f>
        <v>2400</v>
      </c>
      <c r="K3" s="7" t="s">
        <v>7</v>
      </c>
      <c r="L3" s="188" t="s">
        <v>445</v>
      </c>
      <c r="M3" s="189"/>
    </row>
    <row r="4" spans="2:13">
      <c r="B4" s="2">
        <v>3</v>
      </c>
      <c r="C4" t="s">
        <v>422</v>
      </c>
      <c r="D4" s="3"/>
      <c r="E4" s="87">
        <v>6</v>
      </c>
      <c r="F4" s="98">
        <f t="shared" si="0"/>
        <v>120</v>
      </c>
      <c r="G4">
        <f>VLOOKUP($C4,[1]약재관리!$A:$J,10,FALSE)</f>
        <v>19.600000000000001</v>
      </c>
      <c r="H4" s="4">
        <f t="shared" si="1"/>
        <v>117.60000000000001</v>
      </c>
      <c r="I4" s="5">
        <f t="shared" si="2"/>
        <v>2352</v>
      </c>
      <c r="K4" s="7" t="s">
        <v>8</v>
      </c>
      <c r="L4" s="190">
        <v>45993</v>
      </c>
      <c r="M4" s="189"/>
    </row>
    <row r="5" spans="2:13">
      <c r="B5" s="2">
        <v>4</v>
      </c>
      <c r="C5" t="s">
        <v>431</v>
      </c>
      <c r="D5" s="3"/>
      <c r="E5" s="87">
        <v>4</v>
      </c>
      <c r="F5" s="98">
        <f t="shared" si="0"/>
        <v>80</v>
      </c>
      <c r="G5">
        <f>VLOOKUP($C5,[1]약재관리!$A:$J,10,FALSE)</f>
        <v>44.3</v>
      </c>
      <c r="H5" s="4">
        <f t="shared" si="1"/>
        <v>177.2</v>
      </c>
      <c r="I5" s="5">
        <f t="shared" si="2"/>
        <v>3544</v>
      </c>
      <c r="K5" s="7" t="s">
        <v>9</v>
      </c>
      <c r="L5" s="188" t="s">
        <v>418</v>
      </c>
      <c r="M5" s="189"/>
    </row>
    <row r="6" spans="2:13">
      <c r="B6" s="2">
        <v>5</v>
      </c>
      <c r="C6" t="s">
        <v>451</v>
      </c>
      <c r="D6" s="3"/>
      <c r="E6" s="87">
        <v>4</v>
      </c>
      <c r="F6" s="98">
        <f t="shared" si="0"/>
        <v>80</v>
      </c>
      <c r="G6">
        <f>VLOOKUP($C6,[1]약재관리!$A:$J,10,FALSE)</f>
        <v>10.8</v>
      </c>
      <c r="H6" s="4">
        <f t="shared" si="1"/>
        <v>43.2</v>
      </c>
      <c r="I6" s="5">
        <f t="shared" si="2"/>
        <v>864</v>
      </c>
      <c r="K6" s="7" t="s">
        <v>10</v>
      </c>
      <c r="L6" s="188">
        <v>60</v>
      </c>
      <c r="M6" s="189"/>
    </row>
    <row r="7" spans="2:13" ht="17.25" thickBot="1">
      <c r="B7" s="2">
        <v>6</v>
      </c>
      <c r="C7" t="s">
        <v>433</v>
      </c>
      <c r="D7" s="3"/>
      <c r="E7" s="87">
        <v>4</v>
      </c>
      <c r="F7" s="98">
        <f t="shared" si="0"/>
        <v>80</v>
      </c>
      <c r="G7">
        <f>VLOOKUP($C7,[1]약재관리!$A:$J,10,FALSE)</f>
        <v>108.3</v>
      </c>
      <c r="H7" s="4">
        <f t="shared" si="1"/>
        <v>433.2</v>
      </c>
      <c r="I7" s="5">
        <f t="shared" si="2"/>
        <v>8664</v>
      </c>
      <c r="K7" s="7" t="s">
        <v>11</v>
      </c>
      <c r="L7" s="172" t="s">
        <v>419</v>
      </c>
      <c r="M7" s="173"/>
    </row>
    <row r="8" spans="2:13" ht="17.25" thickBot="1">
      <c r="B8" s="2">
        <v>7</v>
      </c>
      <c r="C8" t="s">
        <v>446</v>
      </c>
      <c r="D8" s="3"/>
      <c r="E8" s="87">
        <v>4</v>
      </c>
      <c r="F8" s="98">
        <f t="shared" si="0"/>
        <v>80</v>
      </c>
      <c r="G8">
        <f>VLOOKUP($C8,[1]약재관리!$A:$J,10,FALSE)</f>
        <v>9</v>
      </c>
      <c r="H8" s="4">
        <f t="shared" si="1"/>
        <v>36</v>
      </c>
      <c r="I8" s="5">
        <f t="shared" si="2"/>
        <v>720</v>
      </c>
      <c r="K8" s="174" t="s">
        <v>12</v>
      </c>
      <c r="L8" s="175"/>
      <c r="M8" s="176"/>
    </row>
    <row r="9" spans="2:13">
      <c r="B9" s="2">
        <v>8</v>
      </c>
      <c r="C9" t="s">
        <v>439</v>
      </c>
      <c r="D9" s="3"/>
      <c r="E9" s="87">
        <v>4</v>
      </c>
      <c r="F9" s="98">
        <f t="shared" si="0"/>
        <v>80</v>
      </c>
      <c r="G9">
        <f>VLOOKUP($C9,[1]약재관리!$A:$J,10,FALSE)</f>
        <v>30.3</v>
      </c>
      <c r="H9" s="4">
        <f t="shared" si="1"/>
        <v>121.2</v>
      </c>
      <c r="I9" s="5">
        <f t="shared" si="2"/>
        <v>2424</v>
      </c>
      <c r="K9" s="177" t="s">
        <v>452</v>
      </c>
      <c r="L9" s="178"/>
      <c r="M9" s="179"/>
    </row>
    <row r="10" spans="2:13">
      <c r="B10" s="2">
        <v>9</v>
      </c>
      <c r="C10" t="s">
        <v>441</v>
      </c>
      <c r="D10" s="3"/>
      <c r="E10" s="87">
        <v>4</v>
      </c>
      <c r="F10" s="98">
        <f t="shared" si="0"/>
        <v>80</v>
      </c>
      <c r="G10">
        <f>VLOOKUP($C10,[1]약재관리!$A:$J,10,FALSE)</f>
        <v>17.600000000000001</v>
      </c>
      <c r="H10" s="4">
        <f t="shared" si="1"/>
        <v>70.400000000000006</v>
      </c>
      <c r="I10" s="5">
        <f t="shared" si="2"/>
        <v>1408</v>
      </c>
      <c r="K10" s="180"/>
      <c r="L10" s="181"/>
      <c r="M10" s="182"/>
    </row>
    <row r="11" spans="2:13">
      <c r="B11" s="2">
        <v>10</v>
      </c>
      <c r="C11" t="s">
        <v>447</v>
      </c>
      <c r="D11" s="3"/>
      <c r="E11" s="87">
        <v>4</v>
      </c>
      <c r="F11" s="98">
        <f t="shared" si="0"/>
        <v>80</v>
      </c>
      <c r="G11">
        <f>VLOOKUP($C11,[1]약재관리!$A:$J,10,FALSE)</f>
        <v>21.8</v>
      </c>
      <c r="H11" s="4">
        <f t="shared" si="1"/>
        <v>87.2</v>
      </c>
      <c r="I11" s="5">
        <f t="shared" si="2"/>
        <v>1744</v>
      </c>
      <c r="K11" s="180"/>
      <c r="L11" s="181"/>
      <c r="M11" s="182"/>
    </row>
    <row r="12" spans="2:13">
      <c r="B12" s="2">
        <v>11</v>
      </c>
      <c r="C12" t="s">
        <v>448</v>
      </c>
      <c r="D12" s="3"/>
      <c r="E12" s="87">
        <v>4</v>
      </c>
      <c r="F12" s="98">
        <f t="shared" si="0"/>
        <v>80</v>
      </c>
      <c r="G12">
        <f>VLOOKUP($C12,[1]약재관리!$A:$J,10,FALSE)</f>
        <v>17</v>
      </c>
      <c r="H12" s="4">
        <f t="shared" si="1"/>
        <v>68</v>
      </c>
      <c r="I12" s="5">
        <f t="shared" si="2"/>
        <v>1360</v>
      </c>
      <c r="K12" s="180"/>
      <c r="L12" s="181"/>
      <c r="M12" s="182"/>
    </row>
    <row r="13" spans="2:13" ht="17.25" thickBot="1">
      <c r="B13" s="2">
        <v>12</v>
      </c>
      <c r="C13" t="s">
        <v>442</v>
      </c>
      <c r="D13" s="3"/>
      <c r="E13" s="87">
        <v>4</v>
      </c>
      <c r="F13" s="98">
        <f t="shared" si="0"/>
        <v>80</v>
      </c>
      <c r="G13">
        <f>VLOOKUP($C13,[1]약재관리!$A:$J,10,FALSE)</f>
        <v>32</v>
      </c>
      <c r="H13" s="4">
        <f t="shared" si="1"/>
        <v>128</v>
      </c>
      <c r="I13" s="5">
        <f t="shared" si="2"/>
        <v>2560</v>
      </c>
      <c r="K13" s="183"/>
      <c r="L13" s="184"/>
      <c r="M13" s="185"/>
    </row>
    <row r="14" spans="2:13">
      <c r="B14" s="2">
        <v>13</v>
      </c>
      <c r="C14" t="s">
        <v>449</v>
      </c>
      <c r="D14" s="3"/>
      <c r="E14" s="87">
        <v>4</v>
      </c>
      <c r="F14" s="98">
        <f t="shared" si="0"/>
        <v>80</v>
      </c>
      <c r="G14">
        <f>VLOOKUP($C14,[1]약재관리!$A:$J,10,FALSE)</f>
        <v>22</v>
      </c>
      <c r="H14" s="4">
        <f t="shared" si="1"/>
        <v>88</v>
      </c>
      <c r="I14" s="5">
        <f t="shared" si="2"/>
        <v>1760</v>
      </c>
      <c r="K14" s="91" t="s">
        <v>13</v>
      </c>
      <c r="L14" s="8">
        <v>15</v>
      </c>
      <c r="M14" s="9" t="s">
        <v>14</v>
      </c>
    </row>
    <row r="15" spans="2:13">
      <c r="B15" s="2">
        <v>14</v>
      </c>
      <c r="C15" t="s">
        <v>443</v>
      </c>
      <c r="D15" s="3"/>
      <c r="E15" s="87">
        <v>4</v>
      </c>
      <c r="F15" s="98">
        <f t="shared" si="0"/>
        <v>80</v>
      </c>
      <c r="G15">
        <f>VLOOKUP($C15,[1]약재관리!$A:$J,10,FALSE)</f>
        <v>35</v>
      </c>
      <c r="H15" s="4">
        <f t="shared" si="1"/>
        <v>140</v>
      </c>
      <c r="I15" s="5">
        <f t="shared" si="2"/>
        <v>2800</v>
      </c>
      <c r="K15" s="90" t="s">
        <v>15</v>
      </c>
      <c r="L15">
        <v>20</v>
      </c>
      <c r="M15" s="3" t="s">
        <v>16</v>
      </c>
    </row>
    <row r="16" spans="2:13">
      <c r="B16" s="2">
        <v>15</v>
      </c>
      <c r="C16" t="s">
        <v>426</v>
      </c>
      <c r="D16" s="3"/>
      <c r="E16" s="87">
        <v>4</v>
      </c>
      <c r="F16" s="98">
        <f t="shared" si="0"/>
        <v>80</v>
      </c>
      <c r="G16">
        <f>VLOOKUP($C16,[1]약재관리!$A:$J,10,FALSE)</f>
        <v>12</v>
      </c>
      <c r="H16" s="4">
        <f t="shared" si="1"/>
        <v>48</v>
      </c>
      <c r="I16" s="5">
        <f t="shared" si="2"/>
        <v>960</v>
      </c>
      <c r="K16" s="90" t="s">
        <v>17</v>
      </c>
      <c r="L16">
        <v>30</v>
      </c>
      <c r="M16" s="3" t="s">
        <v>18</v>
      </c>
    </row>
    <row r="17" spans="2:13" ht="17.25" thickBot="1">
      <c r="B17" s="2">
        <v>16</v>
      </c>
      <c r="C17" t="s">
        <v>444</v>
      </c>
      <c r="D17" s="3"/>
      <c r="E17" s="87">
        <v>2</v>
      </c>
      <c r="F17" s="98">
        <f t="shared" si="0"/>
        <v>40</v>
      </c>
      <c r="G17">
        <f>VLOOKUP($C17,[1]약재관리!$A:$J,10,FALSE)</f>
        <v>23.5</v>
      </c>
      <c r="H17" s="4">
        <f t="shared" si="1"/>
        <v>47</v>
      </c>
      <c r="I17" s="5">
        <f t="shared" si="2"/>
        <v>940</v>
      </c>
      <c r="K17" s="13" t="s">
        <v>19</v>
      </c>
      <c r="L17" s="10">
        <v>110</v>
      </c>
      <c r="M17" s="11" t="s">
        <v>20</v>
      </c>
    </row>
    <row r="18" spans="2:13">
      <c r="B18" s="2">
        <v>17</v>
      </c>
      <c r="C18" t="s">
        <v>450</v>
      </c>
      <c r="D18" s="3"/>
      <c r="E18" s="87">
        <v>4</v>
      </c>
      <c r="F18" s="98">
        <f t="shared" si="0"/>
        <v>80</v>
      </c>
      <c r="G18">
        <f>VLOOKUP($C18,[1]약재관리!$A:$J,10,FALSE)</f>
        <v>10.8</v>
      </c>
      <c r="H18" s="4">
        <f t="shared" si="1"/>
        <v>43.2</v>
      </c>
      <c r="I18" s="5">
        <f t="shared" si="2"/>
        <v>864</v>
      </c>
      <c r="K18" s="91" t="s">
        <v>21</v>
      </c>
      <c r="L18" s="8">
        <f>SUM(E2:E31)</f>
        <v>80</v>
      </c>
      <c r="M18" s="9" t="s">
        <v>22</v>
      </c>
    </row>
    <row r="19" spans="2:13">
      <c r="B19" s="2">
        <v>18</v>
      </c>
      <c r="C19" t="s">
        <v>432</v>
      </c>
      <c r="D19" s="3"/>
      <c r="E19" s="87">
        <v>4</v>
      </c>
      <c r="F19" s="98">
        <f t="shared" si="0"/>
        <v>80</v>
      </c>
      <c r="G19">
        <f>VLOOKUP($C19,[1]약재관리!$A:$J,10,FALSE)</f>
        <v>41</v>
      </c>
      <c r="H19" s="4">
        <f t="shared" si="1"/>
        <v>164</v>
      </c>
      <c r="I19" s="5">
        <f t="shared" si="2"/>
        <v>3280</v>
      </c>
      <c r="K19" s="90" t="s">
        <v>23</v>
      </c>
      <c r="L19">
        <f>L15*L18</f>
        <v>1600</v>
      </c>
      <c r="M19" s="3" t="s">
        <v>22</v>
      </c>
    </row>
    <row r="20" spans="2:13" ht="17.25" thickBot="1">
      <c r="B20" s="2">
        <v>19</v>
      </c>
      <c r="C20" t="s">
        <v>424</v>
      </c>
      <c r="D20" s="3"/>
      <c r="E20" s="87">
        <v>2</v>
      </c>
      <c r="F20" s="98">
        <f t="shared" si="0"/>
        <v>40</v>
      </c>
      <c r="G20">
        <f>VLOOKUP($C20,[1]약재관리!$A:$J,10,FALSE)</f>
        <v>28.3</v>
      </c>
      <c r="H20" s="4">
        <f t="shared" si="1"/>
        <v>56.6</v>
      </c>
      <c r="I20" s="5">
        <f t="shared" si="2"/>
        <v>1132</v>
      </c>
      <c r="K20" s="13" t="s">
        <v>24</v>
      </c>
      <c r="L20" s="10">
        <f>L16*L17+L19</f>
        <v>4900</v>
      </c>
      <c r="M20" s="11" t="s">
        <v>20</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74" t="s">
        <v>25</v>
      </c>
      <c r="L22" s="175"/>
      <c r="M22" s="176"/>
    </row>
    <row r="23" spans="2:13">
      <c r="B23" s="2">
        <v>22</v>
      </c>
      <c r="D23" s="3"/>
      <c r="F23" s="98">
        <f t="shared" si="0"/>
        <v>0</v>
      </c>
      <c r="H23" s="4">
        <f t="shared" si="1"/>
        <v>0</v>
      </c>
      <c r="I23" s="5">
        <f t="shared" si="2"/>
        <v>0</v>
      </c>
      <c r="K23" s="90" t="s">
        <v>26</v>
      </c>
      <c r="L23">
        <f>SUM(F2:F31)</f>
        <v>1600</v>
      </c>
      <c r="M23" s="3" t="s">
        <v>22</v>
      </c>
    </row>
    <row r="24" spans="2:13">
      <c r="B24" s="2">
        <v>23</v>
      </c>
      <c r="D24" s="3"/>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4" t="s">
        <v>32</v>
      </c>
      <c r="L29" s="175"/>
      <c r="M29" s="176"/>
    </row>
    <row r="30" spans="2:13">
      <c r="B30" s="2">
        <v>29</v>
      </c>
      <c r="D30" s="3"/>
      <c r="F30" s="98">
        <f t="shared" si="0"/>
        <v>0</v>
      </c>
      <c r="H30" s="4">
        <f t="shared" si="1"/>
        <v>0</v>
      </c>
      <c r="I30" s="5">
        <f t="shared" si="2"/>
        <v>0</v>
      </c>
      <c r="K30" s="90" t="s">
        <v>28</v>
      </c>
      <c r="L30" s="4">
        <f>SUM(H2:H31)</f>
        <v>2206.4</v>
      </c>
      <c r="M30" s="3" t="s">
        <v>33</v>
      </c>
    </row>
    <row r="31" spans="2:13" ht="17.25" thickBot="1">
      <c r="B31" s="12">
        <v>30</v>
      </c>
      <c r="C31" s="13"/>
      <c r="D31" s="11"/>
      <c r="E31" s="94"/>
      <c r="F31" s="99">
        <f t="shared" si="0"/>
        <v>0</v>
      </c>
      <c r="G31" s="10"/>
      <c r="H31" s="14">
        <f t="shared" si="1"/>
        <v>0</v>
      </c>
      <c r="I31" s="15">
        <f t="shared" si="2"/>
        <v>0</v>
      </c>
      <c r="K31" s="13" t="s">
        <v>34</v>
      </c>
      <c r="L31" s="14">
        <f>SUM(I2:I31)</f>
        <v>44128</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43D4C-FF53-45A5-AEE6-64C58BC901D4}">
  <sheetPr>
    <pageSetUpPr fitToPage="1"/>
  </sheetPr>
  <dimension ref="B1:M31"/>
  <sheetViews>
    <sheetView workbookViewId="0">
      <selection activeCell="D25" sqref="D25"/>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4" t="s">
        <v>5</v>
      </c>
      <c r="L1" s="175"/>
      <c r="M1" s="176"/>
    </row>
    <row r="2" spans="2:13">
      <c r="B2" s="2">
        <v>1</v>
      </c>
      <c r="C2" t="s">
        <v>440</v>
      </c>
      <c r="D2" s="3"/>
      <c r="E2" s="87">
        <v>8</v>
      </c>
      <c r="F2" s="98">
        <f>E2*$L$15</f>
        <v>160</v>
      </c>
      <c r="G2">
        <f>VLOOKUP($C2,[1]약재관리!$A:$J,10,FALSE)</f>
        <v>27.2</v>
      </c>
      <c r="H2" s="4">
        <f>G2*E2</f>
        <v>217.6</v>
      </c>
      <c r="I2" s="89">
        <f>G2*F2</f>
        <v>4352</v>
      </c>
      <c r="K2" s="6" t="s">
        <v>6</v>
      </c>
      <c r="L2" s="186">
        <v>144</v>
      </c>
      <c r="M2" s="187"/>
    </row>
    <row r="3" spans="2:13">
      <c r="B3" s="2">
        <v>2</v>
      </c>
      <c r="C3" t="s">
        <v>438</v>
      </c>
      <c r="D3" s="3"/>
      <c r="E3" s="87">
        <v>6</v>
      </c>
      <c r="F3" s="98">
        <f t="shared" ref="F3:F31" si="0">E3*$L$15</f>
        <v>120</v>
      </c>
      <c r="G3">
        <f>VLOOKUP($C3,[1]약재관리!$A:$J,10,FALSE)</f>
        <v>20</v>
      </c>
      <c r="H3" s="4">
        <f t="shared" ref="H3:H31" si="1">G3*E3</f>
        <v>120</v>
      </c>
      <c r="I3" s="5">
        <f t="shared" ref="I3:I31" si="2">G3*F3</f>
        <v>2400</v>
      </c>
      <c r="K3" s="7" t="s">
        <v>7</v>
      </c>
      <c r="L3" s="188" t="s">
        <v>445</v>
      </c>
      <c r="M3" s="189"/>
    </row>
    <row r="4" spans="2:13">
      <c r="B4" s="2">
        <v>3</v>
      </c>
      <c r="C4" t="s">
        <v>422</v>
      </c>
      <c r="D4" s="3"/>
      <c r="E4" s="87">
        <v>6</v>
      </c>
      <c r="F4" s="98">
        <f t="shared" si="0"/>
        <v>120</v>
      </c>
      <c r="G4">
        <f>VLOOKUP($C4,[1]약재관리!$A:$J,10,FALSE)</f>
        <v>19.600000000000001</v>
      </c>
      <c r="H4" s="4">
        <f t="shared" si="1"/>
        <v>117.60000000000001</v>
      </c>
      <c r="I4" s="5">
        <f t="shared" si="2"/>
        <v>2352</v>
      </c>
      <c r="K4" s="7" t="s">
        <v>8</v>
      </c>
      <c r="L4" s="190">
        <v>45993</v>
      </c>
      <c r="M4" s="189"/>
    </row>
    <row r="5" spans="2:13">
      <c r="B5" s="2">
        <v>4</v>
      </c>
      <c r="C5" t="s">
        <v>431</v>
      </c>
      <c r="D5" s="3"/>
      <c r="E5" s="87">
        <v>4</v>
      </c>
      <c r="F5" s="98">
        <f t="shared" si="0"/>
        <v>80</v>
      </c>
      <c r="G5">
        <f>VLOOKUP($C5,[1]약재관리!$A:$J,10,FALSE)</f>
        <v>44.3</v>
      </c>
      <c r="H5" s="4">
        <f t="shared" si="1"/>
        <v>177.2</v>
      </c>
      <c r="I5" s="5">
        <f t="shared" si="2"/>
        <v>3544</v>
      </c>
      <c r="K5" s="7" t="s">
        <v>9</v>
      </c>
      <c r="L5" s="188" t="s">
        <v>418</v>
      </c>
      <c r="M5" s="189"/>
    </row>
    <row r="6" spans="2:13">
      <c r="B6" s="2">
        <v>5</v>
      </c>
      <c r="C6" t="s">
        <v>451</v>
      </c>
      <c r="D6" s="3"/>
      <c r="E6" s="87">
        <v>4</v>
      </c>
      <c r="F6" s="98">
        <f t="shared" si="0"/>
        <v>80</v>
      </c>
      <c r="G6">
        <f>VLOOKUP($C6,[1]약재관리!$A:$J,10,FALSE)</f>
        <v>10.8</v>
      </c>
      <c r="H6" s="4">
        <f t="shared" si="1"/>
        <v>43.2</v>
      </c>
      <c r="I6" s="5">
        <f t="shared" si="2"/>
        <v>864</v>
      </c>
      <c r="K6" s="7" t="s">
        <v>10</v>
      </c>
      <c r="L6" s="188">
        <v>60</v>
      </c>
      <c r="M6" s="189"/>
    </row>
    <row r="7" spans="2:13" ht="17.25" thickBot="1">
      <c r="B7" s="2">
        <v>6</v>
      </c>
      <c r="C7" t="s">
        <v>433</v>
      </c>
      <c r="D7" s="3"/>
      <c r="E7" s="87">
        <v>4</v>
      </c>
      <c r="F7" s="98">
        <f t="shared" si="0"/>
        <v>80</v>
      </c>
      <c r="G7">
        <f>VLOOKUP($C7,[1]약재관리!$A:$J,10,FALSE)</f>
        <v>108.3</v>
      </c>
      <c r="H7" s="4">
        <f t="shared" si="1"/>
        <v>433.2</v>
      </c>
      <c r="I7" s="5">
        <f t="shared" si="2"/>
        <v>8664</v>
      </c>
      <c r="K7" s="7" t="s">
        <v>11</v>
      </c>
      <c r="L7" s="172" t="s">
        <v>419</v>
      </c>
      <c r="M7" s="173"/>
    </row>
    <row r="8" spans="2:13" ht="17.25" thickBot="1">
      <c r="B8" s="2">
        <v>7</v>
      </c>
      <c r="C8" t="s">
        <v>446</v>
      </c>
      <c r="D8" s="3"/>
      <c r="E8" s="87">
        <v>4</v>
      </c>
      <c r="F8" s="98">
        <f t="shared" si="0"/>
        <v>80</v>
      </c>
      <c r="G8">
        <f>VLOOKUP($C8,[1]약재관리!$A:$J,10,FALSE)</f>
        <v>9</v>
      </c>
      <c r="H8" s="4">
        <f t="shared" si="1"/>
        <v>36</v>
      </c>
      <c r="I8" s="5">
        <f t="shared" si="2"/>
        <v>720</v>
      </c>
      <c r="K8" s="174" t="s">
        <v>12</v>
      </c>
      <c r="L8" s="175"/>
      <c r="M8" s="176"/>
    </row>
    <row r="9" spans="2:13">
      <c r="B9" s="2">
        <v>8</v>
      </c>
      <c r="C9" t="s">
        <v>439</v>
      </c>
      <c r="D9" s="3"/>
      <c r="E9" s="87">
        <v>4</v>
      </c>
      <c r="F9" s="98">
        <f t="shared" si="0"/>
        <v>80</v>
      </c>
      <c r="G9">
        <f>VLOOKUP($C9,[1]약재관리!$A:$J,10,FALSE)</f>
        <v>30.3</v>
      </c>
      <c r="H9" s="4">
        <f t="shared" si="1"/>
        <v>121.2</v>
      </c>
      <c r="I9" s="5">
        <f t="shared" si="2"/>
        <v>2424</v>
      </c>
      <c r="K9" s="177" t="s">
        <v>452</v>
      </c>
      <c r="L9" s="178"/>
      <c r="M9" s="179"/>
    </row>
    <row r="10" spans="2:13">
      <c r="B10" s="2">
        <v>9</v>
      </c>
      <c r="C10" t="s">
        <v>441</v>
      </c>
      <c r="D10" s="3"/>
      <c r="E10" s="87">
        <v>4</v>
      </c>
      <c r="F10" s="98">
        <f t="shared" si="0"/>
        <v>80</v>
      </c>
      <c r="G10">
        <f>VLOOKUP($C10,[1]약재관리!$A:$J,10,FALSE)</f>
        <v>17.600000000000001</v>
      </c>
      <c r="H10" s="4">
        <f t="shared" si="1"/>
        <v>70.400000000000006</v>
      </c>
      <c r="I10" s="5">
        <f t="shared" si="2"/>
        <v>1408</v>
      </c>
      <c r="K10" s="180"/>
      <c r="L10" s="181"/>
      <c r="M10" s="182"/>
    </row>
    <row r="11" spans="2:13">
      <c r="B11" s="2">
        <v>10</v>
      </c>
      <c r="C11" t="s">
        <v>447</v>
      </c>
      <c r="D11" s="3"/>
      <c r="E11" s="87">
        <v>4</v>
      </c>
      <c r="F11" s="98">
        <f t="shared" si="0"/>
        <v>80</v>
      </c>
      <c r="G11">
        <f>VLOOKUP($C11,[1]약재관리!$A:$J,10,FALSE)</f>
        <v>21.8</v>
      </c>
      <c r="H11" s="4">
        <f t="shared" si="1"/>
        <v>87.2</v>
      </c>
      <c r="I11" s="5">
        <f t="shared" si="2"/>
        <v>1744</v>
      </c>
      <c r="K11" s="180"/>
      <c r="L11" s="181"/>
      <c r="M11" s="182"/>
    </row>
    <row r="12" spans="2:13">
      <c r="B12" s="2">
        <v>11</v>
      </c>
      <c r="C12" t="s">
        <v>448</v>
      </c>
      <c r="D12" s="3"/>
      <c r="E12" s="87">
        <v>4</v>
      </c>
      <c r="F12" s="98">
        <f t="shared" si="0"/>
        <v>80</v>
      </c>
      <c r="G12">
        <f>VLOOKUP($C12,[1]약재관리!$A:$J,10,FALSE)</f>
        <v>17</v>
      </c>
      <c r="H12" s="4">
        <f t="shared" si="1"/>
        <v>68</v>
      </c>
      <c r="I12" s="5">
        <f t="shared" si="2"/>
        <v>1360</v>
      </c>
      <c r="K12" s="180"/>
      <c r="L12" s="181"/>
      <c r="M12" s="182"/>
    </row>
    <row r="13" spans="2:13" ht="17.25" thickBot="1">
      <c r="B13" s="2">
        <v>12</v>
      </c>
      <c r="C13" t="s">
        <v>442</v>
      </c>
      <c r="D13" s="3"/>
      <c r="E13" s="87">
        <v>4</v>
      </c>
      <c r="F13" s="98">
        <f t="shared" si="0"/>
        <v>80</v>
      </c>
      <c r="G13">
        <f>VLOOKUP($C13,[1]약재관리!$A:$J,10,FALSE)</f>
        <v>32</v>
      </c>
      <c r="H13" s="4">
        <f t="shared" si="1"/>
        <v>128</v>
      </c>
      <c r="I13" s="5">
        <f t="shared" si="2"/>
        <v>2560</v>
      </c>
      <c r="K13" s="183"/>
      <c r="L13" s="184"/>
      <c r="M13" s="185"/>
    </row>
    <row r="14" spans="2:13">
      <c r="B14" s="2">
        <v>13</v>
      </c>
      <c r="C14" t="s">
        <v>449</v>
      </c>
      <c r="D14" s="3"/>
      <c r="E14" s="87">
        <v>4</v>
      </c>
      <c r="F14" s="98">
        <f t="shared" si="0"/>
        <v>80</v>
      </c>
      <c r="G14">
        <f>VLOOKUP($C14,[1]약재관리!$A:$J,10,FALSE)</f>
        <v>22</v>
      </c>
      <c r="H14" s="4">
        <f t="shared" si="1"/>
        <v>88</v>
      </c>
      <c r="I14" s="5">
        <f t="shared" si="2"/>
        <v>1760</v>
      </c>
      <c r="K14" s="91" t="s">
        <v>13</v>
      </c>
      <c r="L14" s="8">
        <v>15</v>
      </c>
      <c r="M14" s="9" t="s">
        <v>14</v>
      </c>
    </row>
    <row r="15" spans="2:13">
      <c r="B15" s="2">
        <v>14</v>
      </c>
      <c r="C15" t="s">
        <v>443</v>
      </c>
      <c r="D15" s="3"/>
      <c r="E15" s="87">
        <v>4</v>
      </c>
      <c r="F15" s="98">
        <f t="shared" si="0"/>
        <v>80</v>
      </c>
      <c r="G15">
        <f>VLOOKUP($C15,[1]약재관리!$A:$J,10,FALSE)</f>
        <v>35</v>
      </c>
      <c r="H15" s="4">
        <f t="shared" si="1"/>
        <v>140</v>
      </c>
      <c r="I15" s="5">
        <f t="shared" si="2"/>
        <v>2800</v>
      </c>
      <c r="K15" s="90" t="s">
        <v>15</v>
      </c>
      <c r="L15">
        <v>20</v>
      </c>
      <c r="M15" s="3" t="s">
        <v>16</v>
      </c>
    </row>
    <row r="16" spans="2:13">
      <c r="B16" s="2">
        <v>15</v>
      </c>
      <c r="C16" t="s">
        <v>426</v>
      </c>
      <c r="D16" s="3"/>
      <c r="E16" s="87">
        <v>4</v>
      </c>
      <c r="F16" s="98">
        <f t="shared" si="0"/>
        <v>80</v>
      </c>
      <c r="G16">
        <f>VLOOKUP($C16,[1]약재관리!$A:$J,10,FALSE)</f>
        <v>12</v>
      </c>
      <c r="H16" s="4">
        <f t="shared" si="1"/>
        <v>48</v>
      </c>
      <c r="I16" s="5">
        <f t="shared" si="2"/>
        <v>960</v>
      </c>
      <c r="K16" s="90" t="s">
        <v>17</v>
      </c>
      <c r="L16">
        <v>30</v>
      </c>
      <c r="M16" s="3" t="s">
        <v>18</v>
      </c>
    </row>
    <row r="17" spans="2:13" ht="17.25" thickBot="1">
      <c r="B17" s="2">
        <v>16</v>
      </c>
      <c r="C17" t="s">
        <v>444</v>
      </c>
      <c r="D17" s="3"/>
      <c r="E17" s="87">
        <v>2</v>
      </c>
      <c r="F17" s="98">
        <f t="shared" si="0"/>
        <v>40</v>
      </c>
      <c r="G17">
        <f>VLOOKUP($C17,[1]약재관리!$A:$J,10,FALSE)</f>
        <v>23.5</v>
      </c>
      <c r="H17" s="4">
        <f t="shared" si="1"/>
        <v>47</v>
      </c>
      <c r="I17" s="5">
        <f t="shared" si="2"/>
        <v>940</v>
      </c>
      <c r="K17" s="13" t="s">
        <v>19</v>
      </c>
      <c r="L17" s="10">
        <v>110</v>
      </c>
      <c r="M17" s="11" t="s">
        <v>20</v>
      </c>
    </row>
    <row r="18" spans="2:13">
      <c r="B18" s="2">
        <v>17</v>
      </c>
      <c r="C18" t="s">
        <v>450</v>
      </c>
      <c r="D18" s="3"/>
      <c r="E18" s="87">
        <v>4</v>
      </c>
      <c r="F18" s="98">
        <f t="shared" si="0"/>
        <v>80</v>
      </c>
      <c r="G18">
        <f>VLOOKUP($C18,[1]약재관리!$A:$J,10,FALSE)</f>
        <v>10.8</v>
      </c>
      <c r="H18" s="4">
        <f t="shared" si="1"/>
        <v>43.2</v>
      </c>
      <c r="I18" s="5">
        <f t="shared" si="2"/>
        <v>864</v>
      </c>
      <c r="K18" s="91" t="s">
        <v>21</v>
      </c>
      <c r="L18" s="8">
        <f>SUM(E2:E31)</f>
        <v>80</v>
      </c>
      <c r="M18" s="9" t="s">
        <v>22</v>
      </c>
    </row>
    <row r="19" spans="2:13">
      <c r="B19" s="2">
        <v>18</v>
      </c>
      <c r="C19" t="s">
        <v>432</v>
      </c>
      <c r="D19" s="3"/>
      <c r="E19" s="87">
        <v>4</v>
      </c>
      <c r="F19" s="98">
        <f t="shared" si="0"/>
        <v>80</v>
      </c>
      <c r="G19">
        <f>VLOOKUP($C19,[1]약재관리!$A:$J,10,FALSE)</f>
        <v>41</v>
      </c>
      <c r="H19" s="4">
        <f t="shared" si="1"/>
        <v>164</v>
      </c>
      <c r="I19" s="5">
        <f t="shared" si="2"/>
        <v>3280</v>
      </c>
      <c r="K19" s="90" t="s">
        <v>23</v>
      </c>
      <c r="L19">
        <f>L15*L18</f>
        <v>1600</v>
      </c>
      <c r="M19" s="3" t="s">
        <v>22</v>
      </c>
    </row>
    <row r="20" spans="2:13" ht="17.25" thickBot="1">
      <c r="B20" s="2">
        <v>19</v>
      </c>
      <c r="C20" t="s">
        <v>424</v>
      </c>
      <c r="D20" s="3"/>
      <c r="E20" s="87">
        <v>2</v>
      </c>
      <c r="F20" s="98">
        <f t="shared" si="0"/>
        <v>40</v>
      </c>
      <c r="G20">
        <f>VLOOKUP($C20,[1]약재관리!$A:$J,10,FALSE)</f>
        <v>28.3</v>
      </c>
      <c r="H20" s="4">
        <f t="shared" si="1"/>
        <v>56.6</v>
      </c>
      <c r="I20" s="5">
        <f t="shared" si="2"/>
        <v>1132</v>
      </c>
      <c r="K20" s="13" t="s">
        <v>24</v>
      </c>
      <c r="L20" s="10">
        <f>L16*L17+L19</f>
        <v>4900</v>
      </c>
      <c r="M20" s="11" t="s">
        <v>20</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74" t="s">
        <v>25</v>
      </c>
      <c r="L22" s="175"/>
      <c r="M22" s="176"/>
    </row>
    <row r="23" spans="2:13">
      <c r="B23" s="2">
        <v>22</v>
      </c>
      <c r="D23" s="3"/>
      <c r="F23" s="98">
        <f t="shared" si="0"/>
        <v>0</v>
      </c>
      <c r="H23" s="4">
        <f t="shared" si="1"/>
        <v>0</v>
      </c>
      <c r="I23" s="5">
        <f t="shared" si="2"/>
        <v>0</v>
      </c>
      <c r="K23" s="90" t="s">
        <v>26</v>
      </c>
      <c r="L23">
        <f>SUM(F2:F31)</f>
        <v>1600</v>
      </c>
      <c r="M23" s="3" t="s">
        <v>22</v>
      </c>
    </row>
    <row r="24" spans="2:13">
      <c r="B24" s="2">
        <v>23</v>
      </c>
      <c r="D24" s="3"/>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4" t="s">
        <v>32</v>
      </c>
      <c r="L29" s="175"/>
      <c r="M29" s="176"/>
    </row>
    <row r="30" spans="2:13">
      <c r="B30" s="2">
        <v>29</v>
      </c>
      <c r="D30" s="3"/>
      <c r="F30" s="98">
        <f t="shared" si="0"/>
        <v>0</v>
      </c>
      <c r="H30" s="4">
        <f t="shared" si="1"/>
        <v>0</v>
      </c>
      <c r="I30" s="5">
        <f t="shared" si="2"/>
        <v>0</v>
      </c>
      <c r="K30" s="90" t="s">
        <v>28</v>
      </c>
      <c r="L30" s="4">
        <f>SUM(H2:H31)</f>
        <v>2206.4</v>
      </c>
      <c r="M30" s="3" t="s">
        <v>33</v>
      </c>
    </row>
    <row r="31" spans="2:13" ht="17.25" thickBot="1">
      <c r="B31" s="12">
        <v>30</v>
      </c>
      <c r="C31" s="13"/>
      <c r="D31" s="11"/>
      <c r="E31" s="94"/>
      <c r="F31" s="99">
        <f t="shared" si="0"/>
        <v>0</v>
      </c>
      <c r="G31" s="10"/>
      <c r="H31" s="14">
        <f t="shared" si="1"/>
        <v>0</v>
      </c>
      <c r="I31" s="15">
        <f t="shared" si="2"/>
        <v>0</v>
      </c>
      <c r="K31" s="13" t="s">
        <v>34</v>
      </c>
      <c r="L31" s="14">
        <f>SUM(I2:I31)</f>
        <v>44128</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B33C9-5211-490A-8C57-333DDEFBA60A}">
  <sheetPr>
    <pageSetUpPr fitToPage="1"/>
  </sheetPr>
  <dimension ref="B1:M31"/>
  <sheetViews>
    <sheetView workbookViewId="0">
      <selection activeCell="L15" sqref="L15"/>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4" t="s">
        <v>5</v>
      </c>
      <c r="L1" s="175"/>
      <c r="M1" s="176"/>
    </row>
    <row r="2" spans="2:13">
      <c r="B2" s="2">
        <v>1</v>
      </c>
      <c r="C2" t="s">
        <v>432</v>
      </c>
      <c r="D2" s="3"/>
      <c r="E2" s="87">
        <v>12</v>
      </c>
      <c r="F2" s="98">
        <f>E2*$L$15</f>
        <v>240</v>
      </c>
      <c r="G2">
        <f>VLOOKUP($C2,[1]약재관리!$A:$J,10,FALSE)</f>
        <v>41</v>
      </c>
      <c r="H2" s="4">
        <f>G2*E2</f>
        <v>492</v>
      </c>
      <c r="I2" s="89">
        <f>G2*F2</f>
        <v>9840</v>
      </c>
      <c r="K2" s="6" t="s">
        <v>6</v>
      </c>
      <c r="L2" s="186">
        <v>144</v>
      </c>
      <c r="M2" s="187"/>
    </row>
    <row r="3" spans="2:13">
      <c r="B3" s="2">
        <v>2</v>
      </c>
      <c r="C3" t="s">
        <v>425</v>
      </c>
      <c r="D3" s="3"/>
      <c r="E3" s="87">
        <v>6</v>
      </c>
      <c r="F3" s="98">
        <f t="shared" ref="F3:F31" si="0">E3*$L$15</f>
        <v>120</v>
      </c>
      <c r="G3">
        <f>VLOOKUP($C3,[1]약재관리!$A:$J,10,FALSE)</f>
        <v>8.5</v>
      </c>
      <c r="H3" s="4">
        <f t="shared" ref="H3:H31" si="1">G3*E3</f>
        <v>51</v>
      </c>
      <c r="I3" s="5">
        <f t="shared" ref="I3:I31" si="2">G3*F3</f>
        <v>1020</v>
      </c>
      <c r="K3" s="7" t="s">
        <v>7</v>
      </c>
      <c r="L3" s="188" t="s">
        <v>453</v>
      </c>
      <c r="M3" s="189"/>
    </row>
    <row r="4" spans="2:13">
      <c r="B4" s="2">
        <v>3</v>
      </c>
      <c r="C4" t="s">
        <v>454</v>
      </c>
      <c r="D4" s="3"/>
      <c r="E4" s="87">
        <v>6</v>
      </c>
      <c r="F4" s="98">
        <f t="shared" si="0"/>
        <v>120</v>
      </c>
      <c r="G4">
        <f>VLOOKUP($C4,[1]약재관리!$A:$J,10,FALSE)</f>
        <v>145.19999999999999</v>
      </c>
      <c r="H4" s="4">
        <f t="shared" si="1"/>
        <v>871.19999999999993</v>
      </c>
      <c r="I4" s="5">
        <f t="shared" si="2"/>
        <v>17424</v>
      </c>
      <c r="K4" s="7" t="s">
        <v>8</v>
      </c>
      <c r="L4" s="190">
        <v>45965</v>
      </c>
      <c r="M4" s="189"/>
    </row>
    <row r="5" spans="2:13">
      <c r="B5" s="2">
        <v>4</v>
      </c>
      <c r="C5" t="s">
        <v>455</v>
      </c>
      <c r="D5" s="3"/>
      <c r="E5" s="87">
        <v>6</v>
      </c>
      <c r="F5" s="98">
        <f t="shared" si="0"/>
        <v>120</v>
      </c>
      <c r="G5">
        <f>VLOOKUP($C5,[1]약재관리!$A:$J,10,FALSE)</f>
        <v>9.5</v>
      </c>
      <c r="H5" s="4">
        <f t="shared" si="1"/>
        <v>57</v>
      </c>
      <c r="I5" s="5">
        <f t="shared" si="2"/>
        <v>1140</v>
      </c>
      <c r="K5" s="7" t="s">
        <v>9</v>
      </c>
      <c r="L5" s="188" t="s">
        <v>418</v>
      </c>
      <c r="M5" s="189"/>
    </row>
    <row r="6" spans="2:13">
      <c r="B6" s="2">
        <v>5</v>
      </c>
      <c r="C6" t="s">
        <v>444</v>
      </c>
      <c r="D6" s="3"/>
      <c r="E6" s="87">
        <v>6</v>
      </c>
      <c r="F6" s="98">
        <f t="shared" si="0"/>
        <v>120</v>
      </c>
      <c r="G6">
        <f>VLOOKUP($C6,[1]약재관리!$A:$J,10,FALSE)</f>
        <v>23.5</v>
      </c>
      <c r="H6" s="4">
        <f t="shared" si="1"/>
        <v>141</v>
      </c>
      <c r="I6" s="5">
        <f t="shared" si="2"/>
        <v>2820</v>
      </c>
      <c r="K6" s="7" t="s">
        <v>10</v>
      </c>
      <c r="L6" s="188">
        <v>60</v>
      </c>
      <c r="M6" s="189"/>
    </row>
    <row r="7" spans="2:13" ht="17.25" thickBot="1">
      <c r="B7" s="2">
        <v>6</v>
      </c>
      <c r="C7" t="s">
        <v>420</v>
      </c>
      <c r="D7" s="3"/>
      <c r="E7" s="87">
        <v>6</v>
      </c>
      <c r="F7" s="98">
        <f t="shared" si="0"/>
        <v>120</v>
      </c>
      <c r="G7">
        <f>VLOOKUP($C7,[1]약재관리!$A:$J,10,FALSE)</f>
        <v>14.8</v>
      </c>
      <c r="H7" s="4">
        <f t="shared" si="1"/>
        <v>88.800000000000011</v>
      </c>
      <c r="I7" s="5">
        <f t="shared" si="2"/>
        <v>1776</v>
      </c>
      <c r="K7" s="7" t="s">
        <v>11</v>
      </c>
      <c r="L7" s="172" t="s">
        <v>419</v>
      </c>
      <c r="M7" s="173"/>
    </row>
    <row r="8" spans="2:13" ht="17.25" thickBot="1">
      <c r="B8" s="2">
        <v>7</v>
      </c>
      <c r="C8" t="s">
        <v>422</v>
      </c>
      <c r="D8" s="3"/>
      <c r="E8" s="87">
        <v>6</v>
      </c>
      <c r="F8" s="98">
        <f t="shared" si="0"/>
        <v>120</v>
      </c>
      <c r="G8">
        <f>VLOOKUP($C8,[1]약재관리!$A:$J,10,FALSE)</f>
        <v>19.600000000000001</v>
      </c>
      <c r="H8" s="4">
        <f t="shared" si="1"/>
        <v>117.60000000000001</v>
      </c>
      <c r="I8" s="5">
        <f t="shared" si="2"/>
        <v>2352</v>
      </c>
      <c r="K8" s="174" t="s">
        <v>12</v>
      </c>
      <c r="L8" s="175"/>
      <c r="M8" s="176"/>
    </row>
    <row r="9" spans="2:13">
      <c r="B9" s="2">
        <v>8</v>
      </c>
      <c r="C9" t="s">
        <v>424</v>
      </c>
      <c r="D9" s="3"/>
      <c r="E9" s="87">
        <v>6</v>
      </c>
      <c r="F9" s="98">
        <f t="shared" si="0"/>
        <v>120</v>
      </c>
      <c r="G9">
        <f>VLOOKUP($C9,[1]약재관리!$A:$J,10,FALSE)</f>
        <v>28.3</v>
      </c>
      <c r="H9" s="4">
        <f t="shared" si="1"/>
        <v>169.8</v>
      </c>
      <c r="I9" s="5">
        <f t="shared" si="2"/>
        <v>3396</v>
      </c>
      <c r="K9" s="177"/>
      <c r="L9" s="178"/>
      <c r="M9" s="179"/>
    </row>
    <row r="10" spans="2:13">
      <c r="B10" s="2">
        <v>9</v>
      </c>
      <c r="D10" s="3"/>
      <c r="F10" s="98">
        <f t="shared" si="0"/>
        <v>0</v>
      </c>
      <c r="H10" s="4">
        <f t="shared" si="1"/>
        <v>0</v>
      </c>
      <c r="I10" s="5">
        <f t="shared" si="2"/>
        <v>0</v>
      </c>
      <c r="K10" s="180"/>
      <c r="L10" s="181"/>
      <c r="M10" s="182"/>
    </row>
    <row r="11" spans="2:13">
      <c r="B11" s="2">
        <v>10</v>
      </c>
      <c r="D11" s="3"/>
      <c r="F11" s="98">
        <f t="shared" si="0"/>
        <v>0</v>
      </c>
      <c r="H11" s="4">
        <f t="shared" si="1"/>
        <v>0</v>
      </c>
      <c r="I11" s="5">
        <f t="shared" si="2"/>
        <v>0</v>
      </c>
      <c r="K11" s="180"/>
      <c r="L11" s="181"/>
      <c r="M11" s="182"/>
    </row>
    <row r="12" spans="2:13">
      <c r="B12" s="2">
        <v>11</v>
      </c>
      <c r="D12" s="3"/>
      <c r="F12" s="98">
        <f t="shared" si="0"/>
        <v>0</v>
      </c>
      <c r="H12" s="4">
        <f t="shared" si="1"/>
        <v>0</v>
      </c>
      <c r="I12" s="5">
        <f t="shared" si="2"/>
        <v>0</v>
      </c>
      <c r="K12" s="180"/>
      <c r="L12" s="181"/>
      <c r="M12" s="182"/>
    </row>
    <row r="13" spans="2:13" ht="17.25" thickBot="1">
      <c r="B13" s="2">
        <v>12</v>
      </c>
      <c r="D13" s="3"/>
      <c r="F13" s="98">
        <f t="shared" si="0"/>
        <v>0</v>
      </c>
      <c r="H13" s="4">
        <f t="shared" si="1"/>
        <v>0</v>
      </c>
      <c r="I13" s="5">
        <f t="shared" si="2"/>
        <v>0</v>
      </c>
      <c r="K13" s="183"/>
      <c r="L13" s="184"/>
      <c r="M13" s="185"/>
    </row>
    <row r="14" spans="2:13">
      <c r="B14" s="2">
        <v>13</v>
      </c>
      <c r="D14" s="3"/>
      <c r="F14" s="98">
        <f t="shared" si="0"/>
        <v>0</v>
      </c>
      <c r="H14" s="4">
        <f t="shared" si="1"/>
        <v>0</v>
      </c>
      <c r="I14" s="5">
        <f t="shared" si="2"/>
        <v>0</v>
      </c>
      <c r="K14" s="91" t="s">
        <v>13</v>
      </c>
      <c r="L14" s="8">
        <v>15</v>
      </c>
      <c r="M14" s="9" t="s">
        <v>14</v>
      </c>
    </row>
    <row r="15" spans="2:13">
      <c r="B15" s="2">
        <v>14</v>
      </c>
      <c r="D15" s="3"/>
      <c r="F15" s="98">
        <f t="shared" si="0"/>
        <v>0</v>
      </c>
      <c r="H15" s="4">
        <f t="shared" si="1"/>
        <v>0</v>
      </c>
      <c r="I15" s="5">
        <f t="shared" si="2"/>
        <v>0</v>
      </c>
      <c r="K15" s="90" t="s">
        <v>15</v>
      </c>
      <c r="L15">
        <v>20</v>
      </c>
      <c r="M15" s="3" t="s">
        <v>16</v>
      </c>
    </row>
    <row r="16" spans="2:13">
      <c r="B16" s="2">
        <v>15</v>
      </c>
      <c r="D16" s="3"/>
      <c r="F16" s="98">
        <f t="shared" si="0"/>
        <v>0</v>
      </c>
      <c r="H16" s="4">
        <f t="shared" si="1"/>
        <v>0</v>
      </c>
      <c r="I16" s="5">
        <f t="shared" si="2"/>
        <v>0</v>
      </c>
      <c r="K16" s="90" t="s">
        <v>17</v>
      </c>
      <c r="L16">
        <v>30</v>
      </c>
      <c r="M16" s="3" t="s">
        <v>18</v>
      </c>
    </row>
    <row r="17" spans="2:13" ht="17.25" thickBot="1">
      <c r="B17" s="2">
        <v>16</v>
      </c>
      <c r="D17" s="3"/>
      <c r="F17" s="98">
        <f t="shared" si="0"/>
        <v>0</v>
      </c>
      <c r="H17" s="4">
        <f t="shared" si="1"/>
        <v>0</v>
      </c>
      <c r="I17" s="5">
        <f t="shared" si="2"/>
        <v>0</v>
      </c>
      <c r="K17" s="13" t="s">
        <v>19</v>
      </c>
      <c r="L17" s="10">
        <v>110</v>
      </c>
      <c r="M17" s="11" t="s">
        <v>20</v>
      </c>
    </row>
    <row r="18" spans="2:13">
      <c r="B18" s="2">
        <v>17</v>
      </c>
      <c r="D18" s="3"/>
      <c r="F18" s="98">
        <f t="shared" si="0"/>
        <v>0</v>
      </c>
      <c r="H18" s="4">
        <f t="shared" si="1"/>
        <v>0</v>
      </c>
      <c r="I18" s="5">
        <f t="shared" si="2"/>
        <v>0</v>
      </c>
      <c r="K18" s="91" t="s">
        <v>21</v>
      </c>
      <c r="L18" s="8">
        <f>SUM(E2:E31)</f>
        <v>54</v>
      </c>
      <c r="M18" s="9" t="s">
        <v>22</v>
      </c>
    </row>
    <row r="19" spans="2:13">
      <c r="B19" s="2">
        <v>18</v>
      </c>
      <c r="D19" s="3"/>
      <c r="F19" s="98">
        <f t="shared" si="0"/>
        <v>0</v>
      </c>
      <c r="H19" s="4">
        <f t="shared" si="1"/>
        <v>0</v>
      </c>
      <c r="I19" s="5">
        <f t="shared" si="2"/>
        <v>0</v>
      </c>
      <c r="K19" s="90" t="s">
        <v>23</v>
      </c>
      <c r="L19">
        <f>L15*L18</f>
        <v>1080</v>
      </c>
      <c r="M19" s="3" t="s">
        <v>22</v>
      </c>
    </row>
    <row r="20" spans="2:13" ht="17.25" thickBot="1">
      <c r="B20" s="2">
        <v>19</v>
      </c>
      <c r="D20" s="3"/>
      <c r="F20" s="98">
        <f t="shared" si="0"/>
        <v>0</v>
      </c>
      <c r="H20" s="4">
        <f t="shared" si="1"/>
        <v>0</v>
      </c>
      <c r="I20" s="5">
        <f t="shared" si="2"/>
        <v>0</v>
      </c>
      <c r="K20" s="13" t="s">
        <v>24</v>
      </c>
      <c r="L20" s="10">
        <f>L16*L17+L19</f>
        <v>4380</v>
      </c>
      <c r="M20" s="11" t="s">
        <v>20</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74" t="s">
        <v>25</v>
      </c>
      <c r="L22" s="175"/>
      <c r="M22" s="176"/>
    </row>
    <row r="23" spans="2:13">
      <c r="B23" s="2">
        <v>22</v>
      </c>
      <c r="D23" s="3"/>
      <c r="F23" s="98">
        <f t="shared" si="0"/>
        <v>0</v>
      </c>
      <c r="H23" s="4">
        <f t="shared" si="1"/>
        <v>0</v>
      </c>
      <c r="I23" s="5">
        <f t="shared" si="2"/>
        <v>0</v>
      </c>
      <c r="K23" s="90" t="s">
        <v>26</v>
      </c>
      <c r="L23">
        <f>SUM(F2:F31)</f>
        <v>1080</v>
      </c>
      <c r="M23" s="3" t="s">
        <v>22</v>
      </c>
    </row>
    <row r="24" spans="2:13">
      <c r="B24" s="2">
        <v>23</v>
      </c>
      <c r="D24" s="3"/>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4" t="s">
        <v>32</v>
      </c>
      <c r="L29" s="175"/>
      <c r="M29" s="176"/>
    </row>
    <row r="30" spans="2:13">
      <c r="B30" s="2">
        <v>29</v>
      </c>
      <c r="D30" s="3"/>
      <c r="F30" s="98">
        <f t="shared" si="0"/>
        <v>0</v>
      </c>
      <c r="H30" s="4">
        <f t="shared" si="1"/>
        <v>0</v>
      </c>
      <c r="I30" s="5">
        <f t="shared" si="2"/>
        <v>0</v>
      </c>
      <c r="K30" s="90" t="s">
        <v>28</v>
      </c>
      <c r="L30" s="4">
        <f>SUM(H2:H31)</f>
        <v>1988.3999999999996</v>
      </c>
      <c r="M30" s="3" t="s">
        <v>33</v>
      </c>
    </row>
    <row r="31" spans="2:13" ht="17.25" thickBot="1">
      <c r="B31" s="12">
        <v>30</v>
      </c>
      <c r="C31" s="13"/>
      <c r="D31" s="11"/>
      <c r="E31" s="94"/>
      <c r="F31" s="99">
        <f t="shared" si="0"/>
        <v>0</v>
      </c>
      <c r="G31" s="10"/>
      <c r="H31" s="14">
        <f t="shared" si="1"/>
        <v>0</v>
      </c>
      <c r="I31" s="15">
        <f t="shared" si="2"/>
        <v>0</v>
      </c>
      <c r="K31" s="13" t="s">
        <v>34</v>
      </c>
      <c r="L31" s="14">
        <f>SUM(I2:I31)</f>
        <v>39768</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463A7-9E4E-4818-895F-99419DE2FDEF}">
  <sheetPr>
    <pageSetUpPr fitToPage="1"/>
  </sheetPr>
  <dimension ref="B1:M31"/>
  <sheetViews>
    <sheetView workbookViewId="0">
      <selection activeCell="R12" sqref="R12"/>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4" t="s">
        <v>5</v>
      </c>
      <c r="L1" s="175"/>
      <c r="M1" s="176"/>
    </row>
    <row r="2" spans="2:13">
      <c r="B2" s="2">
        <v>1</v>
      </c>
      <c r="C2" t="s">
        <v>440</v>
      </c>
      <c r="D2" s="3"/>
      <c r="E2" s="87">
        <v>6</v>
      </c>
      <c r="F2" s="98">
        <f>E2*$L$15</f>
        <v>120</v>
      </c>
      <c r="G2">
        <f>VLOOKUP($C2,[1]약재관리!$A:$J,10,FALSE)</f>
        <v>27.2</v>
      </c>
      <c r="H2" s="4">
        <f>G2*E2</f>
        <v>163.19999999999999</v>
      </c>
      <c r="I2" s="89">
        <f>G2*F2</f>
        <v>3264</v>
      </c>
      <c r="K2" s="6" t="s">
        <v>6</v>
      </c>
      <c r="L2" s="186">
        <v>144</v>
      </c>
      <c r="M2" s="187"/>
    </row>
    <row r="3" spans="2:13">
      <c r="B3" s="2">
        <v>2</v>
      </c>
      <c r="C3" t="s">
        <v>438</v>
      </c>
      <c r="D3" s="3"/>
      <c r="E3" s="87">
        <v>6</v>
      </c>
      <c r="F3" s="98">
        <f t="shared" ref="F3:F31" si="0">E3*$L$15</f>
        <v>120</v>
      </c>
      <c r="G3">
        <f>VLOOKUP($C3,[1]약재관리!$A:$J,10,FALSE)</f>
        <v>20</v>
      </c>
      <c r="H3" s="4">
        <f t="shared" ref="H3:H31" si="1">G3*E3</f>
        <v>120</v>
      </c>
      <c r="I3" s="5">
        <f t="shared" ref="I3:I31" si="2">G3*F3</f>
        <v>2400</v>
      </c>
      <c r="K3" s="7" t="s">
        <v>7</v>
      </c>
      <c r="L3" s="188" t="s">
        <v>445</v>
      </c>
      <c r="M3" s="189"/>
    </row>
    <row r="4" spans="2:13">
      <c r="B4" s="2">
        <v>3</v>
      </c>
      <c r="C4" t="s">
        <v>422</v>
      </c>
      <c r="D4" s="3"/>
      <c r="E4" s="87">
        <v>6</v>
      </c>
      <c r="F4" s="98">
        <f t="shared" si="0"/>
        <v>120</v>
      </c>
      <c r="G4">
        <f>VLOOKUP($C4,[1]약재관리!$A:$J,10,FALSE)</f>
        <v>19.600000000000001</v>
      </c>
      <c r="H4" s="4">
        <f t="shared" si="1"/>
        <v>117.60000000000001</v>
      </c>
      <c r="I4" s="5">
        <f t="shared" si="2"/>
        <v>2352</v>
      </c>
      <c r="K4" s="7" t="s">
        <v>8</v>
      </c>
      <c r="L4" s="190">
        <v>45951</v>
      </c>
      <c r="M4" s="189"/>
    </row>
    <row r="5" spans="2:13">
      <c r="B5" s="2">
        <v>4</v>
      </c>
      <c r="C5" t="s">
        <v>431</v>
      </c>
      <c r="D5" s="3"/>
      <c r="E5" s="87">
        <v>4</v>
      </c>
      <c r="F5" s="98">
        <f t="shared" si="0"/>
        <v>80</v>
      </c>
      <c r="G5">
        <f>VLOOKUP($C5,[1]약재관리!$A:$J,10,FALSE)</f>
        <v>44.3</v>
      </c>
      <c r="H5" s="4">
        <f t="shared" si="1"/>
        <v>177.2</v>
      </c>
      <c r="I5" s="5">
        <f t="shared" si="2"/>
        <v>3544</v>
      </c>
      <c r="K5" s="7" t="s">
        <v>9</v>
      </c>
      <c r="L5" s="188" t="s">
        <v>418</v>
      </c>
      <c r="M5" s="189"/>
    </row>
    <row r="6" spans="2:13">
      <c r="B6" s="2">
        <v>5</v>
      </c>
      <c r="C6" t="s">
        <v>451</v>
      </c>
      <c r="D6" s="3"/>
      <c r="E6" s="87">
        <v>4</v>
      </c>
      <c r="F6" s="98">
        <f t="shared" si="0"/>
        <v>80</v>
      </c>
      <c r="G6">
        <f>VLOOKUP($C6,[1]약재관리!$A:$J,10,FALSE)</f>
        <v>10.8</v>
      </c>
      <c r="H6" s="4">
        <f t="shared" si="1"/>
        <v>43.2</v>
      </c>
      <c r="I6" s="5">
        <f t="shared" si="2"/>
        <v>864</v>
      </c>
      <c r="K6" s="7" t="s">
        <v>10</v>
      </c>
      <c r="L6" s="188">
        <v>60</v>
      </c>
      <c r="M6" s="189"/>
    </row>
    <row r="7" spans="2:13" ht="17.25" thickBot="1">
      <c r="B7" s="2">
        <v>6</v>
      </c>
      <c r="C7" t="s">
        <v>433</v>
      </c>
      <c r="D7" s="3"/>
      <c r="E7" s="87">
        <v>4</v>
      </c>
      <c r="F7" s="98">
        <f t="shared" si="0"/>
        <v>80</v>
      </c>
      <c r="G7">
        <f>VLOOKUP($C7,[1]약재관리!$A:$J,10,FALSE)</f>
        <v>108.3</v>
      </c>
      <c r="H7" s="4">
        <f t="shared" si="1"/>
        <v>433.2</v>
      </c>
      <c r="I7" s="5">
        <f t="shared" si="2"/>
        <v>8664</v>
      </c>
      <c r="K7" s="7" t="s">
        <v>11</v>
      </c>
      <c r="L7" s="172" t="s">
        <v>419</v>
      </c>
      <c r="M7" s="173"/>
    </row>
    <row r="8" spans="2:13" ht="17.25" thickBot="1">
      <c r="B8" s="2">
        <v>7</v>
      </c>
      <c r="C8" t="s">
        <v>446</v>
      </c>
      <c r="D8" s="3"/>
      <c r="E8" s="87">
        <v>4</v>
      </c>
      <c r="F8" s="98">
        <f t="shared" si="0"/>
        <v>80</v>
      </c>
      <c r="G8">
        <f>VLOOKUP($C8,[1]약재관리!$A:$J,10,FALSE)</f>
        <v>9</v>
      </c>
      <c r="H8" s="4">
        <f t="shared" si="1"/>
        <v>36</v>
      </c>
      <c r="I8" s="5">
        <f t="shared" si="2"/>
        <v>720</v>
      </c>
      <c r="K8" s="174" t="s">
        <v>12</v>
      </c>
      <c r="L8" s="175"/>
      <c r="M8" s="176"/>
    </row>
    <row r="9" spans="2:13">
      <c r="B9" s="2">
        <v>8</v>
      </c>
      <c r="C9" t="s">
        <v>439</v>
      </c>
      <c r="D9" s="3"/>
      <c r="E9" s="87">
        <v>4</v>
      </c>
      <c r="F9" s="98">
        <f t="shared" si="0"/>
        <v>80</v>
      </c>
      <c r="G9">
        <f>VLOOKUP($C9,[1]약재관리!$A:$J,10,FALSE)</f>
        <v>30.3</v>
      </c>
      <c r="H9" s="4">
        <f t="shared" si="1"/>
        <v>121.2</v>
      </c>
      <c r="I9" s="5">
        <f t="shared" si="2"/>
        <v>2424</v>
      </c>
      <c r="K9" s="177" t="s">
        <v>452</v>
      </c>
      <c r="L9" s="178"/>
      <c r="M9" s="179"/>
    </row>
    <row r="10" spans="2:13">
      <c r="B10" s="2">
        <v>9</v>
      </c>
      <c r="C10" t="s">
        <v>441</v>
      </c>
      <c r="D10" s="3"/>
      <c r="E10" s="87">
        <v>4</v>
      </c>
      <c r="F10" s="98">
        <f t="shared" si="0"/>
        <v>80</v>
      </c>
      <c r="G10">
        <f>VLOOKUP($C10,[1]약재관리!$A:$J,10,FALSE)</f>
        <v>17.600000000000001</v>
      </c>
      <c r="H10" s="4">
        <f t="shared" si="1"/>
        <v>70.400000000000006</v>
      </c>
      <c r="I10" s="5">
        <f t="shared" si="2"/>
        <v>1408</v>
      </c>
      <c r="K10" s="180"/>
      <c r="L10" s="181"/>
      <c r="M10" s="182"/>
    </row>
    <row r="11" spans="2:13">
      <c r="B11" s="2">
        <v>10</v>
      </c>
      <c r="C11" t="s">
        <v>447</v>
      </c>
      <c r="D11" s="3"/>
      <c r="E11" s="87">
        <v>4</v>
      </c>
      <c r="F11" s="98">
        <f t="shared" si="0"/>
        <v>80</v>
      </c>
      <c r="G11">
        <f>VLOOKUP($C11,[1]약재관리!$A:$J,10,FALSE)</f>
        <v>21.8</v>
      </c>
      <c r="H11" s="4">
        <f t="shared" si="1"/>
        <v>87.2</v>
      </c>
      <c r="I11" s="5">
        <f t="shared" si="2"/>
        <v>1744</v>
      </c>
      <c r="K11" s="180"/>
      <c r="L11" s="181"/>
      <c r="M11" s="182"/>
    </row>
    <row r="12" spans="2:13">
      <c r="B12" s="2">
        <v>11</v>
      </c>
      <c r="C12" t="s">
        <v>448</v>
      </c>
      <c r="D12" s="3"/>
      <c r="E12" s="87">
        <v>4</v>
      </c>
      <c r="F12" s="98">
        <f t="shared" si="0"/>
        <v>80</v>
      </c>
      <c r="G12">
        <f>VLOOKUP($C12,[1]약재관리!$A:$J,10,FALSE)</f>
        <v>17</v>
      </c>
      <c r="H12" s="4">
        <f t="shared" si="1"/>
        <v>68</v>
      </c>
      <c r="I12" s="5">
        <f t="shared" si="2"/>
        <v>1360</v>
      </c>
      <c r="K12" s="180"/>
      <c r="L12" s="181"/>
      <c r="M12" s="182"/>
    </row>
    <row r="13" spans="2:13" ht="17.25" thickBot="1">
      <c r="B13" s="2">
        <v>12</v>
      </c>
      <c r="C13" t="s">
        <v>442</v>
      </c>
      <c r="D13" s="3"/>
      <c r="E13" s="87">
        <v>4</v>
      </c>
      <c r="F13" s="98">
        <f t="shared" si="0"/>
        <v>80</v>
      </c>
      <c r="G13">
        <f>VLOOKUP($C13,[1]약재관리!$A:$J,10,FALSE)</f>
        <v>32</v>
      </c>
      <c r="H13" s="4">
        <f t="shared" si="1"/>
        <v>128</v>
      </c>
      <c r="I13" s="5">
        <f t="shared" si="2"/>
        <v>2560</v>
      </c>
      <c r="K13" s="183"/>
      <c r="L13" s="184"/>
      <c r="M13" s="185"/>
    </row>
    <row r="14" spans="2:13">
      <c r="B14" s="2">
        <v>13</v>
      </c>
      <c r="C14" t="s">
        <v>449</v>
      </c>
      <c r="D14" s="3"/>
      <c r="E14" s="87">
        <v>4</v>
      </c>
      <c r="F14" s="98">
        <f t="shared" si="0"/>
        <v>80</v>
      </c>
      <c r="G14">
        <f>VLOOKUP($C14,[1]약재관리!$A:$J,10,FALSE)</f>
        <v>22</v>
      </c>
      <c r="H14" s="4">
        <f t="shared" si="1"/>
        <v>88</v>
      </c>
      <c r="I14" s="5">
        <f t="shared" si="2"/>
        <v>1760</v>
      </c>
      <c r="K14" s="91" t="s">
        <v>13</v>
      </c>
      <c r="L14" s="8">
        <v>15</v>
      </c>
      <c r="M14" s="9" t="s">
        <v>14</v>
      </c>
    </row>
    <row r="15" spans="2:13">
      <c r="B15" s="2">
        <v>14</v>
      </c>
      <c r="C15" t="s">
        <v>443</v>
      </c>
      <c r="D15" s="3"/>
      <c r="E15" s="87">
        <v>4</v>
      </c>
      <c r="F15" s="98">
        <f t="shared" si="0"/>
        <v>80</v>
      </c>
      <c r="G15">
        <f>VLOOKUP($C15,[1]약재관리!$A:$J,10,FALSE)</f>
        <v>35</v>
      </c>
      <c r="H15" s="4">
        <f t="shared" si="1"/>
        <v>140</v>
      </c>
      <c r="I15" s="5">
        <f t="shared" si="2"/>
        <v>2800</v>
      </c>
      <c r="K15" s="90" t="s">
        <v>15</v>
      </c>
      <c r="L15">
        <v>20</v>
      </c>
      <c r="M15" s="3" t="s">
        <v>16</v>
      </c>
    </row>
    <row r="16" spans="2:13">
      <c r="B16" s="2">
        <v>15</v>
      </c>
      <c r="C16" t="s">
        <v>426</v>
      </c>
      <c r="D16" s="3"/>
      <c r="E16" s="87">
        <v>4</v>
      </c>
      <c r="F16" s="98">
        <f t="shared" si="0"/>
        <v>80</v>
      </c>
      <c r="G16">
        <f>VLOOKUP($C16,[1]약재관리!$A:$J,10,FALSE)</f>
        <v>12</v>
      </c>
      <c r="H16" s="4">
        <f t="shared" si="1"/>
        <v>48</v>
      </c>
      <c r="I16" s="5">
        <f t="shared" si="2"/>
        <v>960</v>
      </c>
      <c r="K16" s="90" t="s">
        <v>17</v>
      </c>
      <c r="L16">
        <v>30</v>
      </c>
      <c r="M16" s="3" t="s">
        <v>18</v>
      </c>
    </row>
    <row r="17" spans="2:13" ht="17.25" thickBot="1">
      <c r="B17" s="2">
        <v>16</v>
      </c>
      <c r="C17" t="s">
        <v>444</v>
      </c>
      <c r="D17" s="3"/>
      <c r="E17" s="87">
        <v>2</v>
      </c>
      <c r="F17" s="98">
        <f t="shared" si="0"/>
        <v>40</v>
      </c>
      <c r="G17">
        <f>VLOOKUP($C17,[1]약재관리!$A:$J,10,FALSE)</f>
        <v>23.5</v>
      </c>
      <c r="H17" s="4">
        <f t="shared" si="1"/>
        <v>47</v>
      </c>
      <c r="I17" s="5">
        <f t="shared" si="2"/>
        <v>940</v>
      </c>
      <c r="K17" s="13" t="s">
        <v>19</v>
      </c>
      <c r="L17" s="10">
        <v>110</v>
      </c>
      <c r="M17" s="11" t="s">
        <v>20</v>
      </c>
    </row>
    <row r="18" spans="2:13">
      <c r="B18" s="2">
        <v>17</v>
      </c>
      <c r="C18" t="s">
        <v>450</v>
      </c>
      <c r="D18" s="3"/>
      <c r="E18" s="87">
        <v>4</v>
      </c>
      <c r="F18" s="98">
        <f t="shared" si="0"/>
        <v>80</v>
      </c>
      <c r="G18">
        <f>VLOOKUP($C18,[1]약재관리!$A:$J,10,FALSE)</f>
        <v>10.8</v>
      </c>
      <c r="H18" s="4">
        <f t="shared" si="1"/>
        <v>43.2</v>
      </c>
      <c r="I18" s="5">
        <f t="shared" si="2"/>
        <v>864</v>
      </c>
      <c r="K18" s="91" t="s">
        <v>21</v>
      </c>
      <c r="L18" s="8">
        <f>SUM(E2:E31)</f>
        <v>78</v>
      </c>
      <c r="M18" s="9" t="s">
        <v>22</v>
      </c>
    </row>
    <row r="19" spans="2:13">
      <c r="B19" s="2">
        <v>18</v>
      </c>
      <c r="C19" t="s">
        <v>432</v>
      </c>
      <c r="D19" s="3"/>
      <c r="E19" s="87">
        <v>4</v>
      </c>
      <c r="F19" s="98">
        <f t="shared" si="0"/>
        <v>80</v>
      </c>
      <c r="G19">
        <f>VLOOKUP($C19,[1]약재관리!$A:$J,10,FALSE)</f>
        <v>41</v>
      </c>
      <c r="H19" s="4">
        <f t="shared" si="1"/>
        <v>164</v>
      </c>
      <c r="I19" s="5">
        <f t="shared" si="2"/>
        <v>3280</v>
      </c>
      <c r="K19" s="90" t="s">
        <v>23</v>
      </c>
      <c r="L19">
        <f>L15*L18</f>
        <v>1560</v>
      </c>
      <c r="M19" s="3" t="s">
        <v>22</v>
      </c>
    </row>
    <row r="20" spans="2:13" ht="17.25" thickBot="1">
      <c r="B20" s="2">
        <v>19</v>
      </c>
      <c r="C20" t="s">
        <v>424</v>
      </c>
      <c r="D20" s="3"/>
      <c r="E20" s="87">
        <v>2</v>
      </c>
      <c r="F20" s="98">
        <f t="shared" si="0"/>
        <v>40</v>
      </c>
      <c r="G20">
        <f>VLOOKUP($C20,[1]약재관리!$A:$J,10,FALSE)</f>
        <v>28.3</v>
      </c>
      <c r="H20" s="4">
        <f t="shared" si="1"/>
        <v>56.6</v>
      </c>
      <c r="I20" s="5">
        <f t="shared" si="2"/>
        <v>1132</v>
      </c>
      <c r="K20" s="13" t="s">
        <v>24</v>
      </c>
      <c r="L20" s="10">
        <f>L16*L17+L19</f>
        <v>4860</v>
      </c>
      <c r="M20" s="11" t="s">
        <v>20</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74" t="s">
        <v>25</v>
      </c>
      <c r="L22" s="175"/>
      <c r="M22" s="176"/>
    </row>
    <row r="23" spans="2:13">
      <c r="B23" s="2">
        <v>22</v>
      </c>
      <c r="D23" s="3"/>
      <c r="F23" s="98">
        <f t="shared" si="0"/>
        <v>0</v>
      </c>
      <c r="H23" s="4">
        <f t="shared" si="1"/>
        <v>0</v>
      </c>
      <c r="I23" s="5">
        <f t="shared" si="2"/>
        <v>0</v>
      </c>
      <c r="K23" s="90" t="s">
        <v>26</v>
      </c>
      <c r="L23">
        <f>SUM(F2:F31)</f>
        <v>1560</v>
      </c>
      <c r="M23" s="3" t="s">
        <v>22</v>
      </c>
    </row>
    <row r="24" spans="2:13">
      <c r="B24" s="2">
        <v>23</v>
      </c>
      <c r="D24" s="3"/>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4" t="s">
        <v>32</v>
      </c>
      <c r="L29" s="175"/>
      <c r="M29" s="176"/>
    </row>
    <row r="30" spans="2:13">
      <c r="B30" s="2">
        <v>29</v>
      </c>
      <c r="D30" s="3"/>
      <c r="F30" s="98">
        <f t="shared" si="0"/>
        <v>0</v>
      </c>
      <c r="H30" s="4">
        <f t="shared" si="1"/>
        <v>0</v>
      </c>
      <c r="I30" s="5">
        <f t="shared" si="2"/>
        <v>0</v>
      </c>
      <c r="K30" s="90" t="s">
        <v>28</v>
      </c>
      <c r="L30" s="4">
        <f>SUM(H2:H31)</f>
        <v>2152.0000000000005</v>
      </c>
      <c r="M30" s="3" t="s">
        <v>33</v>
      </c>
    </row>
    <row r="31" spans="2:13" ht="17.25" thickBot="1">
      <c r="B31" s="12">
        <v>30</v>
      </c>
      <c r="C31" s="13"/>
      <c r="D31" s="11"/>
      <c r="E31" s="94"/>
      <c r="F31" s="99">
        <f t="shared" si="0"/>
        <v>0</v>
      </c>
      <c r="G31" s="10"/>
      <c r="H31" s="14">
        <f t="shared" si="1"/>
        <v>0</v>
      </c>
      <c r="I31" s="15">
        <f t="shared" si="2"/>
        <v>0</v>
      </c>
      <c r="K31" s="13" t="s">
        <v>34</v>
      </c>
      <c r="L31" s="14">
        <f>SUM(I2:I31)</f>
        <v>43040</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65AB8-B583-4D28-B78B-6C9B28D710CD}">
  <sheetPr>
    <pageSetUpPr fitToPage="1"/>
  </sheetPr>
  <dimension ref="B1:M31"/>
  <sheetViews>
    <sheetView workbookViewId="0">
      <selection activeCell="F11" sqref="F11"/>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4" t="s">
        <v>5</v>
      </c>
      <c r="L1" s="175"/>
      <c r="M1" s="176"/>
    </row>
    <row r="2" spans="2:13">
      <c r="B2" s="2">
        <v>1</v>
      </c>
      <c r="C2" t="s">
        <v>431</v>
      </c>
      <c r="D2" s="3"/>
      <c r="E2" s="87">
        <v>15</v>
      </c>
      <c r="F2" s="98">
        <f>E2*$L$15</f>
        <v>300</v>
      </c>
      <c r="G2">
        <f>VLOOKUP($C2,[1]약재관리!$A:$J,10,FALSE)</f>
        <v>44.3</v>
      </c>
      <c r="H2" s="4">
        <f>G2*E2</f>
        <v>664.5</v>
      </c>
      <c r="I2" s="89">
        <f>G2*F2</f>
        <v>13290</v>
      </c>
      <c r="K2" s="6" t="s">
        <v>6</v>
      </c>
      <c r="L2" s="186">
        <v>144</v>
      </c>
      <c r="M2" s="187"/>
    </row>
    <row r="3" spans="2:13">
      <c r="B3" s="2">
        <v>2</v>
      </c>
      <c r="C3" t="s">
        <v>432</v>
      </c>
      <c r="D3" s="3"/>
      <c r="E3" s="87">
        <v>8</v>
      </c>
      <c r="F3" s="98">
        <f t="shared" ref="F3:F31" si="0">E3*$L$15</f>
        <v>160</v>
      </c>
      <c r="G3">
        <f>VLOOKUP($C3,[1]약재관리!$A:$J,10,FALSE)</f>
        <v>41</v>
      </c>
      <c r="H3" s="4">
        <f t="shared" ref="H3:H31" si="1">G3*E3</f>
        <v>328</v>
      </c>
      <c r="I3" s="5">
        <f t="shared" ref="I3:I31" si="2">G3*F3</f>
        <v>6560</v>
      </c>
      <c r="K3" s="7" t="s">
        <v>7</v>
      </c>
      <c r="L3" s="188" t="s">
        <v>436</v>
      </c>
      <c r="M3" s="189"/>
    </row>
    <row r="4" spans="2:13">
      <c r="B4" s="2">
        <v>3</v>
      </c>
      <c r="C4" t="s">
        <v>421</v>
      </c>
      <c r="D4" s="3"/>
      <c r="E4" s="87">
        <v>6</v>
      </c>
      <c r="F4" s="98">
        <f t="shared" si="0"/>
        <v>120</v>
      </c>
      <c r="G4">
        <f>VLOOKUP($C4,[1]약재관리!$A:$J,10,FALSE)</f>
        <v>20.8</v>
      </c>
      <c r="H4" s="4">
        <f t="shared" si="1"/>
        <v>124.80000000000001</v>
      </c>
      <c r="I4" s="5">
        <f t="shared" si="2"/>
        <v>2496</v>
      </c>
      <c r="K4" s="7" t="s">
        <v>8</v>
      </c>
      <c r="L4" s="190">
        <v>45931</v>
      </c>
      <c r="M4" s="189"/>
    </row>
    <row r="5" spans="2:13">
      <c r="B5" s="2">
        <v>4</v>
      </c>
      <c r="C5" t="s">
        <v>433</v>
      </c>
      <c r="D5" s="3"/>
      <c r="E5" s="87">
        <v>4</v>
      </c>
      <c r="F5" s="98">
        <f t="shared" si="0"/>
        <v>80</v>
      </c>
      <c r="G5">
        <f>VLOOKUP($C5,[1]약재관리!$A:$J,10,FALSE)</f>
        <v>108.3</v>
      </c>
      <c r="H5" s="4">
        <f t="shared" si="1"/>
        <v>433.2</v>
      </c>
      <c r="I5" s="5">
        <f t="shared" si="2"/>
        <v>8664</v>
      </c>
      <c r="K5" s="7" t="s">
        <v>9</v>
      </c>
      <c r="L5" s="188" t="s">
        <v>418</v>
      </c>
      <c r="M5" s="189"/>
    </row>
    <row r="6" spans="2:13">
      <c r="B6" s="2">
        <v>5</v>
      </c>
      <c r="C6" t="s">
        <v>424</v>
      </c>
      <c r="D6" s="3"/>
      <c r="E6" s="87">
        <v>4</v>
      </c>
      <c r="F6" s="98">
        <f t="shared" si="0"/>
        <v>80</v>
      </c>
      <c r="G6">
        <f>VLOOKUP($C6,[1]약재관리!$A:$J,10,FALSE)</f>
        <v>28.3</v>
      </c>
      <c r="H6" s="4">
        <f t="shared" si="1"/>
        <v>113.2</v>
      </c>
      <c r="I6" s="5">
        <f t="shared" si="2"/>
        <v>2264</v>
      </c>
      <c r="K6" s="7" t="s">
        <v>10</v>
      </c>
      <c r="L6" s="188">
        <v>59</v>
      </c>
      <c r="M6" s="189"/>
    </row>
    <row r="7" spans="2:13" ht="17.25" thickBot="1">
      <c r="B7" s="2">
        <v>6</v>
      </c>
      <c r="C7" t="s">
        <v>434</v>
      </c>
      <c r="D7" s="3"/>
      <c r="E7" s="87">
        <v>8</v>
      </c>
      <c r="F7" s="98">
        <f t="shared" si="0"/>
        <v>160</v>
      </c>
      <c r="G7">
        <f>VLOOKUP($C7,[1]약재관리!$A:$J,10,FALSE)</f>
        <v>18.3</v>
      </c>
      <c r="H7" s="4">
        <f t="shared" si="1"/>
        <v>146.4</v>
      </c>
      <c r="I7" s="5">
        <f t="shared" si="2"/>
        <v>2928</v>
      </c>
      <c r="K7" s="7" t="s">
        <v>11</v>
      </c>
      <c r="L7" s="172" t="s">
        <v>419</v>
      </c>
      <c r="M7" s="173"/>
    </row>
    <row r="8" spans="2:13" ht="17.25" thickBot="1">
      <c r="B8" s="2">
        <v>7</v>
      </c>
      <c r="C8" t="s">
        <v>425</v>
      </c>
      <c r="D8" s="3"/>
      <c r="E8" s="87">
        <v>8</v>
      </c>
      <c r="F8" s="98">
        <f t="shared" si="0"/>
        <v>160</v>
      </c>
      <c r="G8">
        <f>VLOOKUP($C8,[1]약재관리!$A:$J,10,FALSE)</f>
        <v>8.5</v>
      </c>
      <c r="H8" s="4">
        <f t="shared" si="1"/>
        <v>68</v>
      </c>
      <c r="I8" s="5">
        <f t="shared" si="2"/>
        <v>1360</v>
      </c>
      <c r="K8" s="174" t="s">
        <v>12</v>
      </c>
      <c r="L8" s="175"/>
      <c r="M8" s="176"/>
    </row>
    <row r="9" spans="2:13">
      <c r="B9" s="2">
        <v>8</v>
      </c>
      <c r="C9" t="s">
        <v>426</v>
      </c>
      <c r="D9" s="3"/>
      <c r="E9" s="87">
        <v>4</v>
      </c>
      <c r="F9" s="98">
        <f t="shared" si="0"/>
        <v>80</v>
      </c>
      <c r="G9">
        <f>VLOOKUP($C9,[1]약재관리!$A:$J,10,FALSE)</f>
        <v>12</v>
      </c>
      <c r="H9" s="4">
        <f t="shared" si="1"/>
        <v>48</v>
      </c>
      <c r="I9" s="5">
        <f t="shared" si="2"/>
        <v>960</v>
      </c>
      <c r="K9" s="177" t="s">
        <v>437</v>
      </c>
      <c r="L9" s="178"/>
      <c r="M9" s="179"/>
    </row>
    <row r="10" spans="2:13">
      <c r="B10" s="2">
        <v>9</v>
      </c>
      <c r="C10" t="s">
        <v>435</v>
      </c>
      <c r="D10" s="3"/>
      <c r="E10" s="87">
        <v>16</v>
      </c>
      <c r="F10" s="98">
        <f t="shared" si="0"/>
        <v>320</v>
      </c>
      <c r="G10">
        <f>VLOOKUP($C10,[1]약재관리!$A:$J,10,FALSE)</f>
        <v>5.5</v>
      </c>
      <c r="H10" s="4">
        <f t="shared" si="1"/>
        <v>88</v>
      </c>
      <c r="I10" s="5">
        <f t="shared" si="2"/>
        <v>1760</v>
      </c>
      <c r="K10" s="180"/>
      <c r="L10" s="181"/>
      <c r="M10" s="182"/>
    </row>
    <row r="11" spans="2:13">
      <c r="B11" s="2">
        <v>10</v>
      </c>
      <c r="D11" s="3"/>
      <c r="F11" s="98">
        <f t="shared" si="0"/>
        <v>0</v>
      </c>
      <c r="H11" s="4">
        <f t="shared" si="1"/>
        <v>0</v>
      </c>
      <c r="I11" s="5">
        <f t="shared" si="2"/>
        <v>0</v>
      </c>
      <c r="K11" s="180"/>
      <c r="L11" s="181"/>
      <c r="M11" s="182"/>
    </row>
    <row r="12" spans="2:13">
      <c r="B12" s="2">
        <v>11</v>
      </c>
      <c r="D12" s="3"/>
      <c r="F12" s="98">
        <f t="shared" si="0"/>
        <v>0</v>
      </c>
      <c r="H12" s="4">
        <f t="shared" si="1"/>
        <v>0</v>
      </c>
      <c r="I12" s="5">
        <f t="shared" si="2"/>
        <v>0</v>
      </c>
      <c r="K12" s="180"/>
      <c r="L12" s="181"/>
      <c r="M12" s="182"/>
    </row>
    <row r="13" spans="2:13" ht="17.25" thickBot="1">
      <c r="B13" s="2">
        <v>12</v>
      </c>
      <c r="D13" s="3"/>
      <c r="F13" s="98">
        <f t="shared" si="0"/>
        <v>0</v>
      </c>
      <c r="H13" s="4">
        <f t="shared" si="1"/>
        <v>0</v>
      </c>
      <c r="I13" s="5">
        <f t="shared" si="2"/>
        <v>0</v>
      </c>
      <c r="K13" s="183"/>
      <c r="L13" s="184"/>
      <c r="M13" s="185"/>
    </row>
    <row r="14" spans="2:13">
      <c r="B14" s="2">
        <v>13</v>
      </c>
      <c r="D14" s="3"/>
      <c r="F14" s="98">
        <f t="shared" si="0"/>
        <v>0</v>
      </c>
      <c r="H14" s="4">
        <f t="shared" si="1"/>
        <v>0</v>
      </c>
      <c r="I14" s="5">
        <f t="shared" si="2"/>
        <v>0</v>
      </c>
      <c r="K14" s="91" t="s">
        <v>13</v>
      </c>
      <c r="L14" s="8">
        <v>15</v>
      </c>
      <c r="M14" s="9" t="s">
        <v>14</v>
      </c>
    </row>
    <row r="15" spans="2:13">
      <c r="B15" s="2">
        <v>14</v>
      </c>
      <c r="D15" s="3"/>
      <c r="F15" s="98">
        <f t="shared" si="0"/>
        <v>0</v>
      </c>
      <c r="H15" s="4">
        <f t="shared" si="1"/>
        <v>0</v>
      </c>
      <c r="I15" s="5">
        <f t="shared" si="2"/>
        <v>0</v>
      </c>
      <c r="K15" s="90" t="s">
        <v>15</v>
      </c>
      <c r="L15">
        <v>20</v>
      </c>
      <c r="M15" s="3" t="s">
        <v>16</v>
      </c>
    </row>
    <row r="16" spans="2:13">
      <c r="B16" s="2">
        <v>15</v>
      </c>
      <c r="D16" s="3"/>
      <c r="F16" s="98">
        <f t="shared" si="0"/>
        <v>0</v>
      </c>
      <c r="H16" s="4">
        <f t="shared" si="1"/>
        <v>0</v>
      </c>
      <c r="I16" s="5">
        <f t="shared" si="2"/>
        <v>0</v>
      </c>
      <c r="K16" s="90" t="s">
        <v>17</v>
      </c>
      <c r="L16">
        <v>30</v>
      </c>
      <c r="M16" s="3" t="s">
        <v>18</v>
      </c>
    </row>
    <row r="17" spans="2:13" ht="17.25" thickBot="1">
      <c r="B17" s="2">
        <v>16</v>
      </c>
      <c r="D17" s="3"/>
      <c r="F17" s="98">
        <f t="shared" si="0"/>
        <v>0</v>
      </c>
      <c r="H17" s="4">
        <f t="shared" si="1"/>
        <v>0</v>
      </c>
      <c r="I17" s="5">
        <f t="shared" si="2"/>
        <v>0</v>
      </c>
      <c r="K17" s="13" t="s">
        <v>19</v>
      </c>
      <c r="L17" s="10">
        <v>90</v>
      </c>
      <c r="M17" s="11" t="s">
        <v>20</v>
      </c>
    </row>
    <row r="18" spans="2:13">
      <c r="B18" s="2">
        <v>17</v>
      </c>
      <c r="D18" s="3"/>
      <c r="F18" s="98">
        <f t="shared" si="0"/>
        <v>0</v>
      </c>
      <c r="H18" s="4">
        <f t="shared" si="1"/>
        <v>0</v>
      </c>
      <c r="I18" s="5">
        <f t="shared" si="2"/>
        <v>0</v>
      </c>
      <c r="K18" s="91" t="s">
        <v>21</v>
      </c>
      <c r="L18" s="8">
        <f>SUM(E2:E31)</f>
        <v>73</v>
      </c>
      <c r="M18" s="9" t="s">
        <v>22</v>
      </c>
    </row>
    <row r="19" spans="2:13">
      <c r="B19" s="2">
        <v>18</v>
      </c>
      <c r="D19" s="3"/>
      <c r="F19" s="98">
        <f t="shared" si="0"/>
        <v>0</v>
      </c>
      <c r="H19" s="4">
        <f t="shared" si="1"/>
        <v>0</v>
      </c>
      <c r="I19" s="5">
        <f t="shared" si="2"/>
        <v>0</v>
      </c>
      <c r="K19" s="90" t="s">
        <v>23</v>
      </c>
      <c r="L19">
        <f>L15*L18</f>
        <v>1460</v>
      </c>
      <c r="M19" s="3" t="s">
        <v>22</v>
      </c>
    </row>
    <row r="20" spans="2:13" ht="17.25" thickBot="1">
      <c r="B20" s="2">
        <v>19</v>
      </c>
      <c r="D20" s="3"/>
      <c r="F20" s="98">
        <f t="shared" si="0"/>
        <v>0</v>
      </c>
      <c r="H20" s="4">
        <f t="shared" si="1"/>
        <v>0</v>
      </c>
      <c r="I20" s="5">
        <f t="shared" si="2"/>
        <v>0</v>
      </c>
      <c r="K20" s="13" t="s">
        <v>24</v>
      </c>
      <c r="L20" s="10">
        <f>L16*L17+L19</f>
        <v>4160</v>
      </c>
      <c r="M20" s="11" t="s">
        <v>20</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74" t="s">
        <v>25</v>
      </c>
      <c r="L22" s="175"/>
      <c r="M22" s="176"/>
    </row>
    <row r="23" spans="2:13">
      <c r="B23" s="2">
        <v>22</v>
      </c>
      <c r="D23" s="3"/>
      <c r="F23" s="98">
        <f t="shared" si="0"/>
        <v>0</v>
      </c>
      <c r="H23" s="4">
        <f t="shared" si="1"/>
        <v>0</v>
      </c>
      <c r="I23" s="5">
        <f t="shared" si="2"/>
        <v>0</v>
      </c>
      <c r="K23" s="90" t="s">
        <v>26</v>
      </c>
      <c r="L23">
        <f>SUM(F2:F31)</f>
        <v>1460</v>
      </c>
      <c r="M23" s="3" t="s">
        <v>22</v>
      </c>
    </row>
    <row r="24" spans="2:13">
      <c r="B24" s="2">
        <v>23</v>
      </c>
      <c r="D24" s="3"/>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4" t="s">
        <v>32</v>
      </c>
      <c r="L29" s="175"/>
      <c r="M29" s="176"/>
    </row>
    <row r="30" spans="2:13">
      <c r="B30" s="2">
        <v>29</v>
      </c>
      <c r="D30" s="3"/>
      <c r="F30" s="98">
        <f t="shared" si="0"/>
        <v>0</v>
      </c>
      <c r="H30" s="4">
        <f t="shared" si="1"/>
        <v>0</v>
      </c>
      <c r="I30" s="5">
        <f t="shared" si="2"/>
        <v>0</v>
      </c>
      <c r="K30" s="90" t="s">
        <v>28</v>
      </c>
      <c r="L30" s="4">
        <f>SUM(H2:H31)</f>
        <v>2014.1000000000001</v>
      </c>
      <c r="M30" s="3" t="s">
        <v>33</v>
      </c>
    </row>
    <row r="31" spans="2:13" ht="17.25" thickBot="1">
      <c r="B31" s="12">
        <v>30</v>
      </c>
      <c r="C31" s="13"/>
      <c r="D31" s="11"/>
      <c r="E31" s="94"/>
      <c r="F31" s="99">
        <f t="shared" si="0"/>
        <v>0</v>
      </c>
      <c r="G31" s="10"/>
      <c r="H31" s="14">
        <f t="shared" si="1"/>
        <v>0</v>
      </c>
      <c r="I31" s="15">
        <f t="shared" si="2"/>
        <v>0</v>
      </c>
      <c r="K31" s="13" t="s">
        <v>34</v>
      </c>
      <c r="L31" s="14">
        <f>SUM(I2:I31)</f>
        <v>40282</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I27" sqref="I27"/>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4" t="s">
        <v>5</v>
      </c>
      <c r="L1" s="175"/>
      <c r="M1" s="176"/>
    </row>
    <row r="2" spans="2:13">
      <c r="B2" s="2">
        <v>1</v>
      </c>
      <c r="C2" t="s">
        <v>420</v>
      </c>
      <c r="D2" s="3"/>
      <c r="E2" s="87">
        <v>3</v>
      </c>
      <c r="F2" s="98">
        <f>E2*$L$15</f>
        <v>90</v>
      </c>
      <c r="G2">
        <f>VLOOKUP($C2,[1]약재관리!$A:$J,10,FALSE)</f>
        <v>14.8</v>
      </c>
      <c r="H2" s="4">
        <f>G2*E2</f>
        <v>44.400000000000006</v>
      </c>
      <c r="I2" s="89">
        <f>G2*F2</f>
        <v>1332</v>
      </c>
      <c r="K2" s="6" t="s">
        <v>6</v>
      </c>
      <c r="L2" s="186">
        <v>144</v>
      </c>
      <c r="M2" s="187"/>
    </row>
    <row r="3" spans="2:13">
      <c r="B3" s="2">
        <v>2</v>
      </c>
      <c r="C3" t="s">
        <v>429</v>
      </c>
      <c r="D3" s="3"/>
      <c r="E3" s="87">
        <v>3</v>
      </c>
      <c r="F3" s="98">
        <f t="shared" ref="F3:F31" si="0">E3*$L$15</f>
        <v>90</v>
      </c>
      <c r="G3">
        <f>VLOOKUP($C3,[1]약재관리!$A:$J,10,FALSE)</f>
        <v>4.8</v>
      </c>
      <c r="H3" s="4">
        <f t="shared" ref="H3:H31" si="1">G3*E3</f>
        <v>14.399999999999999</v>
      </c>
      <c r="I3" s="5">
        <f t="shared" ref="I3:I31" si="2">G3*F3</f>
        <v>432</v>
      </c>
      <c r="K3" s="7" t="s">
        <v>7</v>
      </c>
      <c r="L3" s="188" t="s">
        <v>417</v>
      </c>
      <c r="M3" s="189"/>
    </row>
    <row r="4" spans="2:13">
      <c r="B4" s="2">
        <v>3</v>
      </c>
      <c r="C4" t="s">
        <v>421</v>
      </c>
      <c r="D4" s="3"/>
      <c r="E4" s="87">
        <v>4</v>
      </c>
      <c r="F4" s="98">
        <f t="shared" si="0"/>
        <v>120</v>
      </c>
      <c r="G4">
        <f>VLOOKUP($C4,[1]약재관리!$A:$J,10,FALSE)</f>
        <v>20.8</v>
      </c>
      <c r="H4" s="4">
        <f t="shared" si="1"/>
        <v>83.2</v>
      </c>
      <c r="I4" s="5">
        <f t="shared" si="2"/>
        <v>2496</v>
      </c>
      <c r="K4" s="7" t="s">
        <v>8</v>
      </c>
      <c r="L4" s="190">
        <v>45917</v>
      </c>
      <c r="M4" s="189"/>
    </row>
    <row r="5" spans="2:13">
      <c r="B5" s="2">
        <v>4</v>
      </c>
      <c r="C5" t="s">
        <v>422</v>
      </c>
      <c r="D5" s="3"/>
      <c r="E5" s="87">
        <v>3</v>
      </c>
      <c r="F5" s="98">
        <f t="shared" si="0"/>
        <v>90</v>
      </c>
      <c r="G5">
        <f>VLOOKUP($C5,[1]약재관리!$A:$J,10,FALSE)</f>
        <v>19.600000000000001</v>
      </c>
      <c r="H5" s="4">
        <f t="shared" si="1"/>
        <v>58.800000000000004</v>
      </c>
      <c r="I5" s="5">
        <f t="shared" si="2"/>
        <v>1764.0000000000002</v>
      </c>
      <c r="K5" s="7" t="s">
        <v>9</v>
      </c>
      <c r="L5" s="188" t="s">
        <v>418</v>
      </c>
      <c r="M5" s="189"/>
    </row>
    <row r="6" spans="2:13">
      <c r="B6" s="2">
        <v>5</v>
      </c>
      <c r="C6" t="s">
        <v>423</v>
      </c>
      <c r="D6" s="3"/>
      <c r="E6" s="87">
        <v>3</v>
      </c>
      <c r="F6" s="98">
        <f t="shared" si="0"/>
        <v>90</v>
      </c>
      <c r="G6">
        <f>VLOOKUP($C6,[1]약재관리!$A:$J,10,FALSE)</f>
        <v>15</v>
      </c>
      <c r="H6" s="4">
        <f t="shared" si="1"/>
        <v>45</v>
      </c>
      <c r="I6" s="5">
        <f t="shared" si="2"/>
        <v>1350</v>
      </c>
      <c r="K6" s="7" t="s">
        <v>10</v>
      </c>
      <c r="L6" s="188">
        <v>59</v>
      </c>
      <c r="M6" s="189"/>
    </row>
    <row r="7" spans="2:13" ht="17.25" thickBot="1">
      <c r="B7" s="2">
        <v>6</v>
      </c>
      <c r="C7" t="s">
        <v>424</v>
      </c>
      <c r="D7" s="3"/>
      <c r="E7" s="87">
        <v>3</v>
      </c>
      <c r="F7" s="98">
        <f t="shared" si="0"/>
        <v>90</v>
      </c>
      <c r="G7">
        <f>VLOOKUP($C7,[1]약재관리!$A:$J,10,FALSE)</f>
        <v>28.3</v>
      </c>
      <c r="H7" s="4">
        <f t="shared" si="1"/>
        <v>84.9</v>
      </c>
      <c r="I7" s="5">
        <f t="shared" si="2"/>
        <v>2547</v>
      </c>
      <c r="K7" s="7" t="s">
        <v>11</v>
      </c>
      <c r="L7" s="172" t="s">
        <v>419</v>
      </c>
      <c r="M7" s="173"/>
    </row>
    <row r="8" spans="2:13" ht="17.25" thickBot="1">
      <c r="B8" s="2">
        <v>7</v>
      </c>
      <c r="C8" t="s">
        <v>425</v>
      </c>
      <c r="D8" s="3"/>
      <c r="E8" s="87">
        <v>3</v>
      </c>
      <c r="F8" s="98">
        <f t="shared" si="0"/>
        <v>90</v>
      </c>
      <c r="G8">
        <f>VLOOKUP($C8,[1]약재관리!$A:$J,10,FALSE)</f>
        <v>8.5</v>
      </c>
      <c r="H8" s="4">
        <f t="shared" si="1"/>
        <v>25.5</v>
      </c>
      <c r="I8" s="5">
        <f t="shared" si="2"/>
        <v>765</v>
      </c>
      <c r="K8" s="174" t="s">
        <v>12</v>
      </c>
      <c r="L8" s="175"/>
      <c r="M8" s="176"/>
    </row>
    <row r="9" spans="2:13">
      <c r="B9" s="2">
        <v>8</v>
      </c>
      <c r="C9" t="s">
        <v>426</v>
      </c>
      <c r="D9" s="3"/>
      <c r="E9" s="87">
        <v>3</v>
      </c>
      <c r="F9" s="98">
        <f t="shared" si="0"/>
        <v>90</v>
      </c>
      <c r="G9">
        <f>VLOOKUP($C9,[1]약재관리!$A:$J,10,FALSE)</f>
        <v>12</v>
      </c>
      <c r="H9" s="4">
        <f t="shared" si="1"/>
        <v>36</v>
      </c>
      <c r="I9" s="5">
        <f t="shared" si="2"/>
        <v>1080</v>
      </c>
      <c r="K9" s="177" t="s">
        <v>430</v>
      </c>
      <c r="L9" s="178"/>
      <c r="M9" s="179"/>
    </row>
    <row r="10" spans="2:13">
      <c r="B10" s="2">
        <v>9</v>
      </c>
      <c r="C10" t="s">
        <v>427</v>
      </c>
      <c r="D10" s="3"/>
      <c r="E10" s="87">
        <v>3</v>
      </c>
      <c r="F10" s="98">
        <f t="shared" si="0"/>
        <v>90</v>
      </c>
      <c r="G10">
        <f>VLOOKUP($C10,[1]약재관리!$A:$J,10,FALSE)</f>
        <v>38</v>
      </c>
      <c r="H10" s="4">
        <f t="shared" si="1"/>
        <v>114</v>
      </c>
      <c r="I10" s="5">
        <f t="shared" si="2"/>
        <v>3420</v>
      </c>
      <c r="K10" s="180"/>
      <c r="L10" s="181"/>
      <c r="M10" s="182"/>
    </row>
    <row r="11" spans="2:13">
      <c r="B11" s="2">
        <v>10</v>
      </c>
      <c r="C11" t="s">
        <v>428</v>
      </c>
      <c r="D11" s="3"/>
      <c r="E11" s="87">
        <v>3</v>
      </c>
      <c r="F11" s="98">
        <f t="shared" si="0"/>
        <v>90</v>
      </c>
      <c r="G11">
        <f>VLOOKUP($C11,[1]약재관리!$A:$J,10,FALSE)</f>
        <v>121.7</v>
      </c>
      <c r="H11" s="4">
        <f t="shared" si="1"/>
        <v>365.1</v>
      </c>
      <c r="I11" s="5">
        <f t="shared" si="2"/>
        <v>10953</v>
      </c>
      <c r="K11" s="180"/>
      <c r="L11" s="181"/>
      <c r="M11" s="182"/>
    </row>
    <row r="12" spans="2:13">
      <c r="B12" s="2">
        <v>11</v>
      </c>
      <c r="D12" s="3"/>
      <c r="F12" s="98">
        <f t="shared" si="0"/>
        <v>0</v>
      </c>
      <c r="H12" s="4">
        <f t="shared" si="1"/>
        <v>0</v>
      </c>
      <c r="I12" s="5">
        <f t="shared" si="2"/>
        <v>0</v>
      </c>
      <c r="K12" s="180"/>
      <c r="L12" s="181"/>
      <c r="M12" s="182"/>
    </row>
    <row r="13" spans="2:13" ht="17.25" thickBot="1">
      <c r="B13" s="2">
        <v>12</v>
      </c>
      <c r="D13" s="3"/>
      <c r="F13" s="98">
        <f t="shared" si="0"/>
        <v>0</v>
      </c>
      <c r="H13" s="4">
        <f t="shared" si="1"/>
        <v>0</v>
      </c>
      <c r="I13" s="5">
        <f t="shared" si="2"/>
        <v>0</v>
      </c>
      <c r="K13" s="183"/>
      <c r="L13" s="184"/>
      <c r="M13" s="185"/>
    </row>
    <row r="14" spans="2:13">
      <c r="B14" s="2">
        <v>13</v>
      </c>
      <c r="D14" s="3"/>
      <c r="F14" s="98">
        <f t="shared" si="0"/>
        <v>0</v>
      </c>
      <c r="H14" s="4">
        <f t="shared" si="1"/>
        <v>0</v>
      </c>
      <c r="I14" s="5">
        <f t="shared" si="2"/>
        <v>0</v>
      </c>
      <c r="K14" s="91" t="s">
        <v>13</v>
      </c>
      <c r="L14" s="8">
        <v>15</v>
      </c>
      <c r="M14" s="9" t="s">
        <v>14</v>
      </c>
    </row>
    <row r="15" spans="2:13">
      <c r="B15" s="2">
        <v>14</v>
      </c>
      <c r="D15" s="3"/>
      <c r="F15" s="98">
        <f t="shared" si="0"/>
        <v>0</v>
      </c>
      <c r="H15" s="4">
        <f t="shared" si="1"/>
        <v>0</v>
      </c>
      <c r="I15" s="5">
        <f t="shared" si="2"/>
        <v>0</v>
      </c>
      <c r="K15" s="90" t="s">
        <v>15</v>
      </c>
      <c r="L15">
        <v>30</v>
      </c>
      <c r="M15" s="3" t="s">
        <v>16</v>
      </c>
    </row>
    <row r="16" spans="2:13">
      <c r="B16" s="2">
        <v>15</v>
      </c>
      <c r="D16" s="3"/>
      <c r="F16" s="98">
        <f t="shared" si="0"/>
        <v>0</v>
      </c>
      <c r="H16" s="4">
        <f t="shared" si="1"/>
        <v>0</v>
      </c>
      <c r="I16" s="5">
        <f t="shared" si="2"/>
        <v>0</v>
      </c>
      <c r="K16" s="90" t="s">
        <v>17</v>
      </c>
      <c r="L16">
        <v>45</v>
      </c>
      <c r="M16" s="3" t="s">
        <v>18</v>
      </c>
    </row>
    <row r="17" spans="2:13" ht="17.25" thickBot="1">
      <c r="B17" s="2">
        <v>16</v>
      </c>
      <c r="D17" s="3"/>
      <c r="F17" s="98">
        <f t="shared" si="0"/>
        <v>0</v>
      </c>
      <c r="H17" s="4">
        <f t="shared" si="1"/>
        <v>0</v>
      </c>
      <c r="I17" s="5">
        <f t="shared" si="2"/>
        <v>0</v>
      </c>
      <c r="K17" s="13" t="s">
        <v>19</v>
      </c>
      <c r="L17" s="10">
        <v>90</v>
      </c>
      <c r="M17" s="11" t="s">
        <v>20</v>
      </c>
    </row>
    <row r="18" spans="2:13">
      <c r="B18" s="2">
        <v>17</v>
      </c>
      <c r="D18" s="3"/>
      <c r="F18" s="98">
        <f t="shared" si="0"/>
        <v>0</v>
      </c>
      <c r="H18" s="4">
        <f t="shared" si="1"/>
        <v>0</v>
      </c>
      <c r="I18" s="5">
        <f t="shared" si="2"/>
        <v>0</v>
      </c>
      <c r="K18" s="91" t="s">
        <v>21</v>
      </c>
      <c r="L18" s="8">
        <f>SUM(E2:E31)</f>
        <v>31</v>
      </c>
      <c r="M18" s="9" t="s">
        <v>22</v>
      </c>
    </row>
    <row r="19" spans="2:13">
      <c r="B19" s="2">
        <v>18</v>
      </c>
      <c r="D19" s="3"/>
      <c r="F19" s="98">
        <f t="shared" si="0"/>
        <v>0</v>
      </c>
      <c r="H19" s="4">
        <f t="shared" si="1"/>
        <v>0</v>
      </c>
      <c r="I19" s="5">
        <f t="shared" si="2"/>
        <v>0</v>
      </c>
      <c r="K19" s="90" t="s">
        <v>23</v>
      </c>
      <c r="L19">
        <f>L15*L18</f>
        <v>930</v>
      </c>
      <c r="M19" s="3" t="s">
        <v>22</v>
      </c>
    </row>
    <row r="20" spans="2:13" ht="17.25" thickBot="1">
      <c r="B20" s="2">
        <v>19</v>
      </c>
      <c r="D20" s="3"/>
      <c r="F20" s="98">
        <f t="shared" si="0"/>
        <v>0</v>
      </c>
      <c r="H20" s="4">
        <f t="shared" si="1"/>
        <v>0</v>
      </c>
      <c r="I20" s="5">
        <f t="shared" si="2"/>
        <v>0</v>
      </c>
      <c r="K20" s="13" t="s">
        <v>24</v>
      </c>
      <c r="L20" s="10">
        <f>L16*L17+L19</f>
        <v>4980</v>
      </c>
      <c r="M20" s="11" t="s">
        <v>20</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74" t="s">
        <v>25</v>
      </c>
      <c r="L22" s="175"/>
      <c r="M22" s="176"/>
    </row>
    <row r="23" spans="2:13">
      <c r="B23" s="2">
        <v>22</v>
      </c>
      <c r="D23" s="3"/>
      <c r="F23" s="98">
        <f t="shared" si="0"/>
        <v>0</v>
      </c>
      <c r="H23" s="4">
        <f t="shared" si="1"/>
        <v>0</v>
      </c>
      <c r="I23" s="5">
        <f t="shared" si="2"/>
        <v>0</v>
      </c>
      <c r="K23" s="90" t="s">
        <v>26</v>
      </c>
      <c r="L23">
        <f>SUM(F2:F31)</f>
        <v>930</v>
      </c>
      <c r="M23" s="3" t="s">
        <v>22</v>
      </c>
    </row>
    <row r="24" spans="2:13">
      <c r="B24" s="2">
        <v>23</v>
      </c>
      <c r="D24" s="3"/>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4" t="s">
        <v>32</v>
      </c>
      <c r="L29" s="175"/>
      <c r="M29" s="176"/>
    </row>
    <row r="30" spans="2:13">
      <c r="B30" s="2">
        <v>29</v>
      </c>
      <c r="D30" s="3"/>
      <c r="F30" s="98">
        <f t="shared" si="0"/>
        <v>0</v>
      </c>
      <c r="H30" s="4">
        <f t="shared" si="1"/>
        <v>0</v>
      </c>
      <c r="I30" s="5">
        <f t="shared" si="2"/>
        <v>0</v>
      </c>
      <c r="K30" s="90" t="s">
        <v>28</v>
      </c>
      <c r="L30" s="4">
        <f>SUM(H2:H31)</f>
        <v>871.30000000000007</v>
      </c>
      <c r="M30" s="3" t="s">
        <v>33</v>
      </c>
    </row>
    <row r="31" spans="2:13" ht="17.25" thickBot="1">
      <c r="B31" s="12">
        <v>30</v>
      </c>
      <c r="C31" s="13"/>
      <c r="D31" s="11"/>
      <c r="E31" s="94"/>
      <c r="F31" s="99">
        <f t="shared" si="0"/>
        <v>0</v>
      </c>
      <c r="G31" s="10"/>
      <c r="H31" s="14">
        <f t="shared" si="1"/>
        <v>0</v>
      </c>
      <c r="I31" s="15">
        <f t="shared" si="2"/>
        <v>0</v>
      </c>
      <c r="K31" s="13" t="s">
        <v>34</v>
      </c>
      <c r="L31" s="14">
        <f>SUM(I2:I31)</f>
        <v>26139</v>
      </c>
      <c r="M31" s="11" t="s">
        <v>33</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66"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35</v>
      </c>
      <c r="B1" s="120" t="s">
        <v>36</v>
      </c>
      <c r="C1" s="16" t="s">
        <v>37</v>
      </c>
      <c r="D1" s="16" t="s">
        <v>38</v>
      </c>
      <c r="E1" s="17" t="s">
        <v>39</v>
      </c>
      <c r="F1" s="18" t="s">
        <v>36</v>
      </c>
      <c r="G1" s="19" t="s">
        <v>37</v>
      </c>
      <c r="H1" s="19" t="s">
        <v>38</v>
      </c>
      <c r="I1" s="20" t="s">
        <v>39</v>
      </c>
      <c r="J1" s="111" t="s">
        <v>40</v>
      </c>
      <c r="K1" s="21" t="s">
        <v>36</v>
      </c>
      <c r="L1" s="22" t="s">
        <v>37</v>
      </c>
      <c r="M1" s="22" t="s">
        <v>38</v>
      </c>
      <c r="N1" s="23" t="s">
        <v>39</v>
      </c>
    </row>
    <row r="2" spans="1:14" ht="15.75" customHeight="1" thickTop="1" thickBot="1">
      <c r="A2" s="114">
        <v>45902</v>
      </c>
      <c r="B2" s="121" t="s">
        <v>41</v>
      </c>
      <c r="C2" s="101" t="s">
        <v>42</v>
      </c>
      <c r="D2" s="101" t="s">
        <v>42</v>
      </c>
      <c r="E2" s="102" t="s">
        <v>42</v>
      </c>
      <c r="F2" s="103" t="s">
        <v>43</v>
      </c>
      <c r="G2" s="104" t="s">
        <v>43</v>
      </c>
      <c r="H2" s="104" t="s">
        <v>43</v>
      </c>
      <c r="I2" s="105" t="s">
        <v>43</v>
      </c>
      <c r="J2" s="106" t="s">
        <v>43</v>
      </c>
      <c r="K2" s="107" t="s">
        <v>44</v>
      </c>
      <c r="L2" s="108" t="s">
        <v>44</v>
      </c>
      <c r="M2" s="108" t="s">
        <v>45</v>
      </c>
      <c r="N2" s="109" t="s">
        <v>45</v>
      </c>
    </row>
    <row r="3" spans="1:14" ht="15.75" customHeight="1">
      <c r="A3" s="124" t="s">
        <v>408</v>
      </c>
      <c r="B3" s="125">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5" t="s">
        <v>49</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50</v>
      </c>
      <c r="B5" s="122"/>
      <c r="C5" s="35">
        <v>23400</v>
      </c>
      <c r="D5" s="35"/>
      <c r="E5" s="36">
        <v>27100</v>
      </c>
      <c r="F5" s="112">
        <f t="shared" si="0"/>
        <v>0</v>
      </c>
      <c r="G5" s="43">
        <f>C5/600</f>
        <v>39</v>
      </c>
      <c r="H5" s="37">
        <f t="shared" si="1"/>
        <v>0</v>
      </c>
      <c r="I5" s="38">
        <f t="shared" si="1"/>
        <v>45.166666666666664</v>
      </c>
      <c r="J5" s="39">
        <v>45.2</v>
      </c>
      <c r="K5" s="40"/>
      <c r="L5" s="41" t="s">
        <v>51</v>
      </c>
      <c r="M5" s="41"/>
      <c r="N5" s="42" t="s">
        <v>52</v>
      </c>
    </row>
    <row r="6" spans="1:14" ht="15.75" customHeight="1">
      <c r="A6" s="115" t="s">
        <v>53</v>
      </c>
      <c r="B6" s="122">
        <v>17500</v>
      </c>
      <c r="C6" s="35"/>
      <c r="D6" s="35">
        <v>17000</v>
      </c>
      <c r="E6" s="36">
        <v>25500</v>
      </c>
      <c r="F6" s="112">
        <f t="shared" si="0"/>
        <v>35</v>
      </c>
      <c r="G6" s="37">
        <f t="shared" si="0"/>
        <v>0</v>
      </c>
      <c r="H6" s="43">
        <f t="shared" si="1"/>
        <v>28.333333333333332</v>
      </c>
      <c r="I6" s="38">
        <f t="shared" si="1"/>
        <v>42.5</v>
      </c>
      <c r="J6" s="39">
        <v>28.3</v>
      </c>
      <c r="K6" s="40"/>
      <c r="L6" s="41"/>
      <c r="M6" s="110" t="s">
        <v>54</v>
      </c>
      <c r="N6" s="44" t="s">
        <v>55</v>
      </c>
    </row>
    <row r="7" spans="1:14" ht="15.75" customHeight="1">
      <c r="A7" s="115" t="s">
        <v>56</v>
      </c>
      <c r="B7" s="122">
        <v>27200</v>
      </c>
      <c r="C7" s="35">
        <v>24000</v>
      </c>
      <c r="D7" s="35">
        <v>24000</v>
      </c>
      <c r="E7" s="36"/>
      <c r="F7" s="112">
        <f t="shared" si="0"/>
        <v>54.4</v>
      </c>
      <c r="G7" s="37">
        <f t="shared" si="0"/>
        <v>48</v>
      </c>
      <c r="H7" s="37">
        <f t="shared" si="1"/>
        <v>40</v>
      </c>
      <c r="I7" s="45">
        <f t="shared" si="1"/>
        <v>0</v>
      </c>
      <c r="J7" s="39">
        <v>40</v>
      </c>
      <c r="K7" s="40"/>
      <c r="L7" s="41" t="s">
        <v>46</v>
      </c>
      <c r="M7" s="41" t="s">
        <v>57</v>
      </c>
      <c r="N7" s="44"/>
    </row>
    <row r="8" spans="1:14" ht="15.75" customHeight="1">
      <c r="A8" s="115" t="s">
        <v>58</v>
      </c>
      <c r="B8" s="122"/>
      <c r="C8" s="35">
        <v>23000</v>
      </c>
      <c r="D8" s="35">
        <v>21000</v>
      </c>
      <c r="E8" s="36">
        <v>27400</v>
      </c>
      <c r="F8" s="112">
        <f t="shared" si="0"/>
        <v>0</v>
      </c>
      <c r="G8" s="37">
        <f t="shared" si="0"/>
        <v>46</v>
      </c>
      <c r="H8" s="43">
        <f t="shared" si="1"/>
        <v>35</v>
      </c>
      <c r="I8" s="63">
        <f t="shared" si="1"/>
        <v>45.666666666666664</v>
      </c>
      <c r="J8" s="39">
        <v>45.7</v>
      </c>
      <c r="K8" s="40"/>
      <c r="L8" s="41" t="s">
        <v>59</v>
      </c>
      <c r="M8" s="41"/>
      <c r="N8" s="44" t="s">
        <v>46</v>
      </c>
    </row>
    <row r="9" spans="1:14" ht="15.75" customHeight="1">
      <c r="A9" s="115" t="s">
        <v>60</v>
      </c>
      <c r="B9" s="122"/>
      <c r="C9" s="35">
        <v>3300</v>
      </c>
      <c r="D9" s="35">
        <v>5000</v>
      </c>
      <c r="E9" s="36"/>
      <c r="F9" s="112">
        <f t="shared" si="0"/>
        <v>0</v>
      </c>
      <c r="G9" s="37">
        <f t="shared" si="0"/>
        <v>6.6</v>
      </c>
      <c r="H9" s="37">
        <f t="shared" si="1"/>
        <v>8.3333333333333339</v>
      </c>
      <c r="I9" s="38">
        <f t="shared" si="1"/>
        <v>0</v>
      </c>
      <c r="J9" s="39">
        <v>8.3000000000000007</v>
      </c>
      <c r="K9" s="40"/>
      <c r="L9" s="41"/>
      <c r="M9" s="46" t="s">
        <v>61</v>
      </c>
      <c r="N9" s="42"/>
    </row>
    <row r="10" spans="1:14" ht="15.75" customHeight="1">
      <c r="A10" s="115" t="s">
        <v>62</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5" t="s">
        <v>64</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5" t="s">
        <v>67</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5" t="s">
        <v>69</v>
      </c>
      <c r="B13" s="122"/>
      <c r="C13" s="35"/>
      <c r="D13" s="35"/>
      <c r="E13" s="36"/>
      <c r="F13" s="112">
        <f t="shared" si="0"/>
        <v>0</v>
      </c>
      <c r="G13" s="37">
        <f t="shared" si="0"/>
        <v>0</v>
      </c>
      <c r="H13" s="37">
        <f t="shared" si="1"/>
        <v>0</v>
      </c>
      <c r="I13" s="38">
        <f t="shared" si="1"/>
        <v>0</v>
      </c>
      <c r="K13" s="40"/>
      <c r="L13" s="41"/>
      <c r="M13" s="41"/>
      <c r="N13" s="42"/>
    </row>
    <row r="14" spans="1:14" ht="15.75" customHeight="1">
      <c r="A14" s="115" t="s">
        <v>410</v>
      </c>
      <c r="B14" s="122"/>
      <c r="C14" s="35"/>
      <c r="D14" s="35"/>
      <c r="E14" s="36"/>
      <c r="F14" s="112"/>
      <c r="G14" s="37"/>
      <c r="H14" s="37"/>
      <c r="I14" s="38"/>
      <c r="K14" s="40"/>
      <c r="L14" s="41"/>
      <c r="M14" s="41"/>
      <c r="N14" s="42"/>
    </row>
    <row r="15" spans="1:14" ht="15.75" customHeight="1">
      <c r="A15" s="115" t="s">
        <v>70</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5" t="s">
        <v>411</v>
      </c>
      <c r="B16" s="122"/>
      <c r="C16" s="35"/>
      <c r="D16" s="35"/>
      <c r="E16" s="36"/>
      <c r="F16" s="112"/>
      <c r="G16" s="37"/>
      <c r="H16" s="37"/>
      <c r="I16" s="47"/>
      <c r="K16" s="40"/>
      <c r="L16" s="41"/>
      <c r="M16" s="46"/>
      <c r="N16" s="42"/>
    </row>
    <row r="17" spans="1:14" ht="15.75" customHeight="1">
      <c r="A17" s="115" t="s">
        <v>74</v>
      </c>
      <c r="B17" s="122"/>
      <c r="C17" s="35">
        <v>10200</v>
      </c>
      <c r="D17" s="35"/>
      <c r="E17" s="36">
        <v>11100</v>
      </c>
      <c r="F17" s="112">
        <f t="shared" si="0"/>
        <v>0</v>
      </c>
      <c r="G17" s="37">
        <f>C17/600</f>
        <v>17</v>
      </c>
      <c r="H17" s="37">
        <f t="shared" si="1"/>
        <v>0</v>
      </c>
      <c r="I17" s="38">
        <f t="shared" si="1"/>
        <v>18.5</v>
      </c>
      <c r="J17" s="39">
        <v>17</v>
      </c>
      <c r="K17" s="40"/>
      <c r="L17" s="41" t="s">
        <v>75</v>
      </c>
      <c r="M17" s="41"/>
      <c r="N17" s="42" t="s">
        <v>52</v>
      </c>
    </row>
    <row r="18" spans="1:14" ht="15.75" customHeight="1">
      <c r="A18" s="115" t="s">
        <v>76</v>
      </c>
      <c r="B18" s="122"/>
      <c r="C18" s="35">
        <v>32000</v>
      </c>
      <c r="D18" s="35"/>
      <c r="E18" s="36">
        <v>41600</v>
      </c>
      <c r="F18" s="112">
        <f t="shared" si="0"/>
        <v>0</v>
      </c>
      <c r="G18" s="37">
        <f t="shared" si="0"/>
        <v>64</v>
      </c>
      <c r="H18" s="37">
        <f t="shared" si="1"/>
        <v>0</v>
      </c>
      <c r="I18" s="38">
        <f t="shared" si="1"/>
        <v>69.333333333333329</v>
      </c>
      <c r="J18" s="39">
        <v>64</v>
      </c>
      <c r="K18" s="40"/>
      <c r="L18" s="41" t="s">
        <v>77</v>
      </c>
      <c r="M18" s="41"/>
      <c r="N18" s="42" t="s">
        <v>48</v>
      </c>
    </row>
    <row r="19" spans="1:14" ht="15.75" customHeight="1">
      <c r="A19" s="115" t="s">
        <v>78</v>
      </c>
      <c r="B19" s="122"/>
      <c r="C19" s="35">
        <v>4500</v>
      </c>
      <c r="D19" s="35"/>
      <c r="E19" s="36"/>
      <c r="F19" s="112">
        <f t="shared" si="0"/>
        <v>0</v>
      </c>
      <c r="G19" s="37">
        <f t="shared" si="0"/>
        <v>9</v>
      </c>
      <c r="H19" s="37">
        <f t="shared" si="1"/>
        <v>0</v>
      </c>
      <c r="I19" s="38">
        <f t="shared" si="1"/>
        <v>0</v>
      </c>
      <c r="J19" s="39">
        <v>9</v>
      </c>
      <c r="K19" s="40"/>
      <c r="L19" s="41" t="s">
        <v>79</v>
      </c>
      <c r="M19" s="41"/>
      <c r="N19" s="42"/>
    </row>
    <row r="20" spans="1:14" ht="15.75" customHeight="1">
      <c r="A20" s="115" t="s">
        <v>80</v>
      </c>
      <c r="B20" s="122"/>
      <c r="C20" s="35"/>
      <c r="D20" s="35"/>
      <c r="E20" s="36"/>
      <c r="F20" s="112">
        <f t="shared" ref="F20:G52" si="2">B20/500</f>
        <v>0</v>
      </c>
      <c r="G20" s="37">
        <f t="shared" si="2"/>
        <v>0</v>
      </c>
      <c r="H20" s="37">
        <f t="shared" si="1"/>
        <v>0</v>
      </c>
      <c r="I20" s="38">
        <f t="shared" si="1"/>
        <v>0</v>
      </c>
      <c r="K20" s="40"/>
      <c r="L20" s="41"/>
      <c r="M20" s="41"/>
      <c r="N20" s="42"/>
    </row>
    <row r="21" spans="1:14" ht="15.75" customHeight="1">
      <c r="A21" s="115" t="s">
        <v>81</v>
      </c>
      <c r="B21" s="122"/>
      <c r="C21" s="35">
        <v>3500</v>
      </c>
      <c r="D21" s="35">
        <v>6500</v>
      </c>
      <c r="E21" s="36"/>
      <c r="F21" s="112">
        <f t="shared" si="2"/>
        <v>0</v>
      </c>
      <c r="G21" s="37">
        <f t="shared" si="2"/>
        <v>7</v>
      </c>
      <c r="H21" s="37">
        <f t="shared" si="1"/>
        <v>10.833333333333334</v>
      </c>
      <c r="I21" s="38">
        <f t="shared" si="1"/>
        <v>0</v>
      </c>
      <c r="J21" s="39">
        <v>10.8</v>
      </c>
      <c r="K21" s="40"/>
      <c r="L21" s="41"/>
      <c r="M21" s="46" t="s">
        <v>82</v>
      </c>
      <c r="N21" s="42"/>
    </row>
    <row r="22" spans="1:14" ht="15.75" customHeight="1">
      <c r="A22" s="115" t="s">
        <v>83</v>
      </c>
      <c r="B22" s="122">
        <v>6900</v>
      </c>
      <c r="C22" s="35">
        <v>5600</v>
      </c>
      <c r="D22" s="35"/>
      <c r="E22" s="36">
        <v>6900</v>
      </c>
      <c r="F22" s="148">
        <f t="shared" si="2"/>
        <v>13.8</v>
      </c>
      <c r="G22" s="37">
        <f t="shared" si="2"/>
        <v>11.2</v>
      </c>
      <c r="H22" s="37">
        <f t="shared" si="1"/>
        <v>0</v>
      </c>
      <c r="I22" s="38">
        <f t="shared" si="1"/>
        <v>11.5</v>
      </c>
      <c r="J22" s="39">
        <v>13.8</v>
      </c>
      <c r="K22" s="40"/>
      <c r="L22" s="41" t="s">
        <v>77</v>
      </c>
      <c r="M22" s="41"/>
      <c r="N22" s="42" t="s">
        <v>84</v>
      </c>
    </row>
    <row r="23" spans="1:14" ht="15.75" customHeight="1">
      <c r="A23" s="115" t="s">
        <v>85</v>
      </c>
      <c r="B23" s="122">
        <v>4600</v>
      </c>
      <c r="C23" s="35">
        <v>3500</v>
      </c>
      <c r="D23" s="35"/>
      <c r="E23" s="36">
        <v>4800</v>
      </c>
      <c r="F23" s="112">
        <f t="shared" si="2"/>
        <v>9.1999999999999993</v>
      </c>
      <c r="G23" s="37">
        <f t="shared" si="2"/>
        <v>7</v>
      </c>
      <c r="H23" s="37">
        <f t="shared" si="1"/>
        <v>0</v>
      </c>
      <c r="I23" s="38">
        <f t="shared" si="1"/>
        <v>8</v>
      </c>
      <c r="J23" s="39">
        <v>7</v>
      </c>
      <c r="K23" s="40" t="s">
        <v>86</v>
      </c>
      <c r="L23" s="41" t="s">
        <v>87</v>
      </c>
      <c r="M23" s="41"/>
      <c r="N23" s="42" t="s">
        <v>88</v>
      </c>
    </row>
    <row r="24" spans="1:14" ht="15.75" customHeight="1">
      <c r="A24" s="115" t="s">
        <v>89</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5" t="s">
        <v>92</v>
      </c>
      <c r="B25" s="122"/>
      <c r="C25" s="35"/>
      <c r="D25" s="35"/>
      <c r="E25" s="36"/>
      <c r="F25" s="112">
        <f t="shared" si="2"/>
        <v>0</v>
      </c>
      <c r="G25" s="37">
        <f>C25/500</f>
        <v>0</v>
      </c>
      <c r="H25" s="37">
        <f t="shared" si="1"/>
        <v>0</v>
      </c>
      <c r="I25" s="38">
        <f t="shared" si="1"/>
        <v>0</v>
      </c>
      <c r="K25" s="40"/>
      <c r="L25" s="41"/>
      <c r="M25" s="41"/>
      <c r="N25" s="42"/>
    </row>
    <row r="26" spans="1:14" ht="15.75" customHeight="1">
      <c r="A26" s="115" t="s">
        <v>93</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94</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95</v>
      </c>
    </row>
    <row r="28" spans="1:14" ht="15.75" customHeight="1">
      <c r="A28" s="115" t="s">
        <v>96</v>
      </c>
      <c r="B28" s="122"/>
      <c r="C28" s="35"/>
      <c r="D28" s="35"/>
      <c r="E28" s="36"/>
      <c r="F28" s="112">
        <f t="shared" si="2"/>
        <v>0</v>
      </c>
      <c r="G28" s="37">
        <f>C28/500</f>
        <v>0</v>
      </c>
      <c r="H28" s="37">
        <f t="shared" si="1"/>
        <v>0</v>
      </c>
      <c r="I28" s="38">
        <f t="shared" si="1"/>
        <v>0</v>
      </c>
      <c r="K28" s="40"/>
      <c r="L28" s="41"/>
      <c r="M28" s="41"/>
      <c r="N28" s="42"/>
    </row>
    <row r="29" spans="1:14" ht="15.75" customHeight="1">
      <c r="A29" s="115" t="s">
        <v>97</v>
      </c>
      <c r="B29" s="122"/>
      <c r="C29" s="35">
        <v>12000</v>
      </c>
      <c r="D29" s="35"/>
      <c r="E29" s="36">
        <v>14300</v>
      </c>
      <c r="F29" s="112">
        <f t="shared" si="2"/>
        <v>0</v>
      </c>
      <c r="G29" s="37">
        <f>C29/500</f>
        <v>24</v>
      </c>
      <c r="H29" s="37">
        <f t="shared" si="1"/>
        <v>0</v>
      </c>
      <c r="I29" s="38">
        <f t="shared" si="1"/>
        <v>23.833333333333332</v>
      </c>
      <c r="K29" s="40"/>
      <c r="L29" s="41"/>
      <c r="M29" s="41"/>
      <c r="N29" s="42"/>
    </row>
    <row r="30" spans="1:14" ht="15.75" customHeight="1">
      <c r="A30" s="115" t="s">
        <v>98</v>
      </c>
      <c r="B30" s="122"/>
      <c r="C30" s="35">
        <v>20500</v>
      </c>
      <c r="D30" s="35">
        <v>19000</v>
      </c>
      <c r="E30" s="36"/>
      <c r="F30" s="112">
        <f t="shared" si="2"/>
        <v>0</v>
      </c>
      <c r="G30" s="37">
        <f>C30/600</f>
        <v>34.166666666666664</v>
      </c>
      <c r="H30" s="37">
        <f t="shared" si="1"/>
        <v>31.666666666666668</v>
      </c>
      <c r="I30" s="38">
        <f t="shared" si="1"/>
        <v>0</v>
      </c>
      <c r="J30" s="39">
        <v>31.7</v>
      </c>
      <c r="K30" s="40"/>
      <c r="L30" s="41" t="s">
        <v>99</v>
      </c>
      <c r="M30" s="41"/>
      <c r="N30" s="42"/>
    </row>
    <row r="31" spans="1:14" ht="15.75" customHeight="1">
      <c r="A31" s="115" t="s">
        <v>100</v>
      </c>
      <c r="B31" s="122"/>
      <c r="C31" s="35">
        <v>21500</v>
      </c>
      <c r="D31" s="35"/>
      <c r="E31" s="36">
        <v>30800</v>
      </c>
      <c r="F31" s="112">
        <f t="shared" si="2"/>
        <v>0</v>
      </c>
      <c r="G31" s="37">
        <f>C31/500</f>
        <v>43</v>
      </c>
      <c r="H31" s="37">
        <f t="shared" si="1"/>
        <v>0</v>
      </c>
      <c r="I31" s="38">
        <f t="shared" si="1"/>
        <v>51.333333333333336</v>
      </c>
      <c r="J31" s="39">
        <v>43</v>
      </c>
      <c r="K31" s="40"/>
      <c r="L31" s="41" t="s">
        <v>101</v>
      </c>
      <c r="M31" s="41"/>
      <c r="N31" s="42" t="s">
        <v>91</v>
      </c>
    </row>
    <row r="32" spans="1:14" ht="15.75" customHeight="1" thickBot="1">
      <c r="A32" s="126" t="s">
        <v>102</v>
      </c>
      <c r="B32" s="123">
        <v>11500</v>
      </c>
      <c r="C32" s="48">
        <v>12900</v>
      </c>
      <c r="D32" s="48">
        <v>7500</v>
      </c>
      <c r="E32" s="49">
        <v>6900</v>
      </c>
      <c r="F32" s="72">
        <f t="shared" si="2"/>
        <v>23</v>
      </c>
      <c r="G32" s="50">
        <f>C32/500</f>
        <v>25.8</v>
      </c>
      <c r="H32" s="50">
        <f t="shared" si="1"/>
        <v>12.5</v>
      </c>
      <c r="I32" s="135">
        <f t="shared" si="1"/>
        <v>11.5</v>
      </c>
      <c r="J32" s="51">
        <v>11.5</v>
      </c>
      <c r="K32" s="134" t="s">
        <v>103</v>
      </c>
      <c r="L32" s="52" t="s">
        <v>46</v>
      </c>
      <c r="M32" s="53" t="s">
        <v>104</v>
      </c>
      <c r="N32" s="133" t="s">
        <v>105</v>
      </c>
    </row>
    <row r="33" spans="1:14" ht="15.75" customHeight="1">
      <c r="A33" s="127" t="s">
        <v>106</v>
      </c>
      <c r="B33" s="125"/>
      <c r="C33" s="25">
        <v>3000</v>
      </c>
      <c r="D33" s="25">
        <v>4000</v>
      </c>
      <c r="E33" s="26">
        <v>4000</v>
      </c>
      <c r="F33" s="27">
        <f t="shared" si="2"/>
        <v>0</v>
      </c>
      <c r="G33" s="28">
        <f>C33/500</f>
        <v>6</v>
      </c>
      <c r="H33" s="144">
        <f t="shared" si="1"/>
        <v>6.666666666666667</v>
      </c>
      <c r="I33" s="55">
        <f t="shared" si="1"/>
        <v>6.666666666666667</v>
      </c>
      <c r="J33" s="30">
        <v>6</v>
      </c>
      <c r="K33" s="31"/>
      <c r="L33" s="32" t="s">
        <v>107</v>
      </c>
      <c r="M33" s="137" t="s">
        <v>108</v>
      </c>
      <c r="N33" s="34"/>
    </row>
    <row r="34" spans="1:14" ht="15.75" customHeight="1">
      <c r="A34" s="116" t="s">
        <v>109</v>
      </c>
      <c r="B34" s="122"/>
      <c r="C34" s="35">
        <v>13000</v>
      </c>
      <c r="D34" s="35">
        <v>13000</v>
      </c>
      <c r="E34" s="36"/>
      <c r="F34" s="112">
        <f t="shared" si="2"/>
        <v>0</v>
      </c>
      <c r="G34" s="43">
        <f>C34/500</f>
        <v>26</v>
      </c>
      <c r="H34" s="43">
        <f>D34/500</f>
        <v>26</v>
      </c>
      <c r="I34" s="38">
        <f t="shared" ref="I34:I49" si="3">E34/600</f>
        <v>0</v>
      </c>
      <c r="J34" s="39">
        <v>26</v>
      </c>
      <c r="K34" s="40"/>
      <c r="L34" s="56" t="s">
        <v>110</v>
      </c>
      <c r="M34" s="57" t="s">
        <v>111</v>
      </c>
      <c r="N34" s="42"/>
    </row>
    <row r="35" spans="1:14" ht="15.75" customHeight="1">
      <c r="A35" s="149" t="s">
        <v>412</v>
      </c>
      <c r="B35" s="150"/>
      <c r="C35" s="151"/>
      <c r="D35" s="151"/>
      <c r="E35" s="152"/>
      <c r="F35" s="153"/>
      <c r="G35" s="154"/>
      <c r="H35" s="154"/>
      <c r="I35" s="155"/>
      <c r="J35" s="156"/>
      <c r="K35" s="157"/>
      <c r="L35" s="158"/>
      <c r="M35" s="159"/>
      <c r="N35" s="160"/>
    </row>
    <row r="36" spans="1:14" ht="15.75" customHeight="1" thickBot="1">
      <c r="A36" s="128" t="s">
        <v>112</v>
      </c>
      <c r="B36" s="123"/>
      <c r="C36" s="48">
        <v>278000</v>
      </c>
      <c r="D36" s="48"/>
      <c r="E36" s="49"/>
      <c r="F36" s="72">
        <f t="shared" si="2"/>
        <v>0</v>
      </c>
      <c r="G36" s="58">
        <f>C36/600</f>
        <v>463.33333333333331</v>
      </c>
      <c r="H36" s="50">
        <f>D36/600</f>
        <v>0</v>
      </c>
      <c r="I36" s="59">
        <f t="shared" si="3"/>
        <v>0</v>
      </c>
      <c r="J36" s="51">
        <v>463.3</v>
      </c>
      <c r="K36" s="60"/>
      <c r="L36" s="138" t="s">
        <v>113</v>
      </c>
      <c r="M36" s="52"/>
      <c r="N36" s="61"/>
    </row>
    <row r="37" spans="1:14" ht="15.75" customHeight="1">
      <c r="A37" s="124" t="s">
        <v>114</v>
      </c>
      <c r="B37" s="125"/>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5" t="s">
        <v>116</v>
      </c>
      <c r="B38" s="122"/>
      <c r="C38" s="35"/>
      <c r="D38" s="35">
        <v>8000</v>
      </c>
      <c r="E38" s="36"/>
      <c r="F38" s="112">
        <f t="shared" si="2"/>
        <v>0</v>
      </c>
      <c r="G38" s="37">
        <f>C38/500</f>
        <v>0</v>
      </c>
      <c r="H38" s="37">
        <f t="shared" si="4"/>
        <v>13.333333333333334</v>
      </c>
      <c r="I38" s="38">
        <f t="shared" si="3"/>
        <v>0</v>
      </c>
      <c r="J38" s="39">
        <v>13.3</v>
      </c>
      <c r="K38" s="40"/>
      <c r="L38" s="41"/>
      <c r="M38" s="46"/>
      <c r="N38" s="42"/>
    </row>
    <row r="39" spans="1:14" ht="15.75" customHeight="1">
      <c r="A39" s="115" t="s">
        <v>117</v>
      </c>
      <c r="B39" s="122">
        <v>14900</v>
      </c>
      <c r="C39" s="35">
        <v>12700</v>
      </c>
      <c r="D39" s="35">
        <v>15000</v>
      </c>
      <c r="E39" s="36">
        <v>16300</v>
      </c>
      <c r="F39" s="112">
        <f t="shared" si="2"/>
        <v>29.8</v>
      </c>
      <c r="G39" s="37">
        <f>C39/500</f>
        <v>25.4</v>
      </c>
      <c r="H39" s="37">
        <f t="shared" si="4"/>
        <v>25</v>
      </c>
      <c r="I39" s="47">
        <f t="shared" si="3"/>
        <v>27.166666666666668</v>
      </c>
      <c r="J39" s="39">
        <v>27.2</v>
      </c>
      <c r="K39" s="40"/>
      <c r="L39" s="41" t="s">
        <v>46</v>
      </c>
      <c r="M39" s="41"/>
      <c r="N39" s="62" t="s">
        <v>46</v>
      </c>
    </row>
    <row r="40" spans="1:14" ht="15.75" customHeight="1">
      <c r="A40" s="115" t="s">
        <v>118</v>
      </c>
      <c r="B40" s="122"/>
      <c r="C40" s="35">
        <v>12700</v>
      </c>
      <c r="D40" s="35"/>
      <c r="E40" s="36">
        <v>13800</v>
      </c>
      <c r="F40" s="112">
        <f t="shared" si="2"/>
        <v>0</v>
      </c>
      <c r="G40" s="37">
        <f>C40/500</f>
        <v>25.4</v>
      </c>
      <c r="H40" s="37">
        <f t="shared" si="4"/>
        <v>0</v>
      </c>
      <c r="I40" s="47">
        <f t="shared" si="3"/>
        <v>23</v>
      </c>
      <c r="J40" s="39">
        <v>23</v>
      </c>
      <c r="K40" s="40"/>
      <c r="L40" s="41" t="s">
        <v>46</v>
      </c>
      <c r="M40" s="41"/>
      <c r="N40" s="42" t="s">
        <v>46</v>
      </c>
    </row>
    <row r="41" spans="1:14" ht="15.75" customHeight="1">
      <c r="A41" s="115" t="s">
        <v>119</v>
      </c>
      <c r="B41" s="122"/>
      <c r="C41" s="35">
        <v>26000</v>
      </c>
      <c r="D41" s="35">
        <v>32000</v>
      </c>
      <c r="E41" s="36">
        <v>35500</v>
      </c>
      <c r="F41" s="112">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5" t="s">
        <v>122</v>
      </c>
      <c r="B42" s="122"/>
      <c r="C42" s="35">
        <v>13000</v>
      </c>
      <c r="D42" s="35"/>
      <c r="E42" s="36">
        <v>15800</v>
      </c>
      <c r="F42" s="112">
        <f t="shared" si="2"/>
        <v>0</v>
      </c>
      <c r="G42" s="43">
        <f t="shared" si="2"/>
        <v>26</v>
      </c>
      <c r="H42" s="37">
        <f t="shared" si="4"/>
        <v>0</v>
      </c>
      <c r="I42" s="38">
        <f t="shared" si="3"/>
        <v>26.333333333333332</v>
      </c>
      <c r="J42" s="39">
        <v>26</v>
      </c>
      <c r="K42" s="40"/>
      <c r="L42" s="41" t="s">
        <v>52</v>
      </c>
      <c r="M42" s="41"/>
      <c r="N42" s="42" t="s">
        <v>52</v>
      </c>
    </row>
    <row r="43" spans="1:14" ht="15.75" customHeight="1">
      <c r="A43" s="115" t="s">
        <v>123</v>
      </c>
      <c r="B43" s="122"/>
      <c r="C43" s="35"/>
      <c r="D43" s="35">
        <v>4000</v>
      </c>
      <c r="E43" s="36">
        <v>3200</v>
      </c>
      <c r="F43" s="112">
        <f t="shared" si="2"/>
        <v>0</v>
      </c>
      <c r="G43" s="37">
        <f t="shared" si="2"/>
        <v>0</v>
      </c>
      <c r="H43" s="37">
        <f t="shared" si="4"/>
        <v>6.666666666666667</v>
      </c>
      <c r="I43" s="38">
        <f t="shared" si="3"/>
        <v>5.333333333333333</v>
      </c>
      <c r="J43" s="39">
        <v>5.3</v>
      </c>
      <c r="K43" s="40"/>
      <c r="L43" s="41"/>
      <c r="M43" s="46"/>
      <c r="N43" s="42" t="s">
        <v>124</v>
      </c>
    </row>
    <row r="44" spans="1:14" ht="15.75" customHeight="1">
      <c r="A44" s="115" t="s">
        <v>125</v>
      </c>
      <c r="B44" s="122"/>
      <c r="C44" s="35">
        <v>10300</v>
      </c>
      <c r="D44" s="35">
        <v>10000</v>
      </c>
      <c r="E44" s="36">
        <v>12500</v>
      </c>
      <c r="F44" s="112">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5" t="s">
        <v>128</v>
      </c>
      <c r="B45" s="122"/>
      <c r="C45" s="35">
        <v>4500</v>
      </c>
      <c r="D45" s="35">
        <v>9500</v>
      </c>
      <c r="E45" s="36">
        <v>7800</v>
      </c>
      <c r="F45" s="112">
        <f t="shared" si="2"/>
        <v>0</v>
      </c>
      <c r="G45" s="37">
        <f t="shared" si="2"/>
        <v>9</v>
      </c>
      <c r="H45" s="37">
        <f t="shared" si="4"/>
        <v>15.833333333333334</v>
      </c>
      <c r="I45" s="47">
        <f t="shared" si="3"/>
        <v>13</v>
      </c>
      <c r="J45" s="39">
        <v>13</v>
      </c>
      <c r="K45" s="40"/>
      <c r="L45" s="41"/>
      <c r="M45" s="46" t="s">
        <v>129</v>
      </c>
      <c r="N45" s="42" t="s">
        <v>130</v>
      </c>
    </row>
    <row r="46" spans="1:14" ht="15.75" customHeight="1">
      <c r="A46" s="115" t="s">
        <v>131</v>
      </c>
      <c r="B46" s="122"/>
      <c r="C46" s="35">
        <v>6200</v>
      </c>
      <c r="D46" s="35">
        <v>8000</v>
      </c>
      <c r="E46" s="36"/>
      <c r="F46" s="112">
        <f t="shared" si="2"/>
        <v>0</v>
      </c>
      <c r="G46" s="37">
        <f t="shared" si="2"/>
        <v>12.4</v>
      </c>
      <c r="H46" s="37">
        <f t="shared" si="4"/>
        <v>13.333333333333334</v>
      </c>
      <c r="I46" s="38">
        <f t="shared" si="3"/>
        <v>0</v>
      </c>
      <c r="J46" s="39">
        <v>13.3</v>
      </c>
      <c r="K46" s="40"/>
      <c r="L46" s="41"/>
      <c r="M46" s="46" t="s">
        <v>104</v>
      </c>
      <c r="N46" s="42"/>
    </row>
    <row r="47" spans="1:14" ht="15.75" customHeight="1">
      <c r="A47" s="115" t="s">
        <v>132</v>
      </c>
      <c r="B47" s="122"/>
      <c r="C47" s="35">
        <v>15600</v>
      </c>
      <c r="D47" s="35">
        <v>19000</v>
      </c>
      <c r="E47" s="36">
        <v>18000</v>
      </c>
      <c r="F47" s="112">
        <f t="shared" si="2"/>
        <v>0</v>
      </c>
      <c r="G47" s="43">
        <f t="shared" si="2"/>
        <v>31.2</v>
      </c>
      <c r="H47" s="37">
        <f t="shared" si="4"/>
        <v>31.666666666666668</v>
      </c>
      <c r="I47" s="38">
        <f t="shared" si="3"/>
        <v>30</v>
      </c>
      <c r="J47" s="39">
        <v>31.2</v>
      </c>
      <c r="K47" s="40"/>
      <c r="L47" s="41" t="s">
        <v>46</v>
      </c>
      <c r="M47" s="41" t="s">
        <v>65</v>
      </c>
      <c r="N47" s="42"/>
    </row>
    <row r="48" spans="1:14" ht="15.75" customHeight="1">
      <c r="A48" s="115" t="s">
        <v>133</v>
      </c>
      <c r="B48" s="122"/>
      <c r="C48" s="35"/>
      <c r="D48" s="35">
        <v>7000</v>
      </c>
      <c r="E48" s="36"/>
      <c r="F48" s="112">
        <f t="shared" si="2"/>
        <v>0</v>
      </c>
      <c r="G48" s="37">
        <f t="shared" si="2"/>
        <v>0</v>
      </c>
      <c r="H48" s="37">
        <f t="shared" si="4"/>
        <v>11.666666666666666</v>
      </c>
      <c r="I48" s="38">
        <f t="shared" si="3"/>
        <v>0</v>
      </c>
      <c r="J48" s="39">
        <v>11.7</v>
      </c>
      <c r="K48" s="40"/>
      <c r="L48" s="41"/>
      <c r="M48" s="46"/>
      <c r="N48" s="42"/>
    </row>
    <row r="49" spans="1:14" ht="15.75" customHeight="1">
      <c r="A49" s="115" t="s">
        <v>134</v>
      </c>
      <c r="B49" s="122">
        <v>10700</v>
      </c>
      <c r="C49" s="35">
        <v>5700</v>
      </c>
      <c r="D49" s="35">
        <v>9500</v>
      </c>
      <c r="E49" s="36">
        <v>6800</v>
      </c>
      <c r="F49" s="112">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6" t="s">
        <v>138</v>
      </c>
      <c r="B50" s="123"/>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7" t="s">
        <v>142</v>
      </c>
      <c r="B51" s="125"/>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6" t="s">
        <v>143</v>
      </c>
      <c r="B52" s="122"/>
      <c r="C52" s="35">
        <v>4200</v>
      </c>
      <c r="D52" s="35">
        <v>7500</v>
      </c>
      <c r="E52" s="36">
        <v>5000</v>
      </c>
      <c r="F52" s="112">
        <f t="shared" si="2"/>
        <v>0</v>
      </c>
      <c r="G52" s="37">
        <f>C52/500</f>
        <v>8.4</v>
      </c>
      <c r="H52" s="37">
        <f t="shared" si="5"/>
        <v>12.5</v>
      </c>
      <c r="I52" s="47">
        <f t="shared" si="5"/>
        <v>8.3333333333333339</v>
      </c>
      <c r="J52" s="39">
        <v>8.5</v>
      </c>
      <c r="K52" s="40"/>
      <c r="L52" s="41" t="s">
        <v>52</v>
      </c>
      <c r="M52" s="46"/>
      <c r="N52" s="42" t="s">
        <v>144</v>
      </c>
    </row>
    <row r="53" spans="1:14" ht="15.75" customHeight="1">
      <c r="A53" s="116" t="s">
        <v>145</v>
      </c>
      <c r="B53" s="122"/>
      <c r="C53" s="35">
        <v>13200</v>
      </c>
      <c r="D53" s="35"/>
      <c r="E53" s="36">
        <v>15800</v>
      </c>
      <c r="F53" s="112">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6" t="s">
        <v>148</v>
      </c>
      <c r="B54" s="122"/>
      <c r="C54" s="35">
        <v>3000</v>
      </c>
      <c r="D54" s="35">
        <v>4000</v>
      </c>
      <c r="E54" s="36"/>
      <c r="F54" s="112">
        <f t="shared" si="6"/>
        <v>0</v>
      </c>
      <c r="G54" s="37">
        <f>C54/600</f>
        <v>5</v>
      </c>
      <c r="H54" s="37">
        <f t="shared" si="5"/>
        <v>6.666666666666667</v>
      </c>
      <c r="I54" s="38">
        <f t="shared" si="5"/>
        <v>0</v>
      </c>
      <c r="J54" s="39">
        <v>5</v>
      </c>
      <c r="K54" s="40"/>
      <c r="L54" s="41" t="s">
        <v>149</v>
      </c>
      <c r="M54" s="41"/>
      <c r="N54" s="42"/>
    </row>
    <row r="55" spans="1:14" ht="15.75" customHeight="1">
      <c r="A55" s="116" t="s">
        <v>150</v>
      </c>
      <c r="B55" s="122"/>
      <c r="C55" s="35">
        <v>19600</v>
      </c>
      <c r="D55" s="35">
        <v>39000</v>
      </c>
      <c r="E55" s="36">
        <v>23500</v>
      </c>
      <c r="F55" s="112">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6" t="s">
        <v>153</v>
      </c>
      <c r="B56" s="122"/>
      <c r="C56" s="35">
        <v>8000</v>
      </c>
      <c r="D56" s="35">
        <v>7500</v>
      </c>
      <c r="F56" s="112">
        <f t="shared" si="6"/>
        <v>0</v>
      </c>
      <c r="G56" s="37">
        <f>C56/1000</f>
        <v>8</v>
      </c>
      <c r="H56" s="43">
        <f>D56/1000</f>
        <v>7.5</v>
      </c>
      <c r="I56" s="38">
        <f>E55/1000</f>
        <v>23.5</v>
      </c>
      <c r="J56" s="39">
        <v>7.5</v>
      </c>
      <c r="K56" s="40"/>
      <c r="L56" s="41" t="s">
        <v>154</v>
      </c>
      <c r="M56" s="46" t="s">
        <v>154</v>
      </c>
      <c r="N56" s="44" t="s">
        <v>155</v>
      </c>
    </row>
    <row r="57" spans="1:14" ht="15.75" customHeight="1">
      <c r="A57" s="116" t="s">
        <v>156</v>
      </c>
      <c r="B57" s="122"/>
      <c r="C57" s="35">
        <v>4700</v>
      </c>
      <c r="D57" s="35">
        <v>7000</v>
      </c>
      <c r="E57" s="36">
        <v>5900</v>
      </c>
      <c r="F57" s="112">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6" t="s">
        <v>157</v>
      </c>
      <c r="B58" s="122"/>
      <c r="C58" s="35">
        <v>8000</v>
      </c>
      <c r="D58" s="35">
        <v>8000</v>
      </c>
      <c r="E58" s="36"/>
      <c r="F58" s="112">
        <f t="shared" si="6"/>
        <v>0</v>
      </c>
      <c r="G58" s="37">
        <f>C58/1000</f>
        <v>8</v>
      </c>
      <c r="H58" s="37">
        <f>D58/1000</f>
        <v>8</v>
      </c>
      <c r="I58" s="38">
        <f t="shared" si="7"/>
        <v>0</v>
      </c>
      <c r="J58" s="39">
        <v>8</v>
      </c>
      <c r="K58" s="40"/>
      <c r="L58" s="41" t="s">
        <v>155</v>
      </c>
      <c r="M58" s="41"/>
      <c r="N58" s="42"/>
    </row>
    <row r="59" spans="1:14" ht="15.75" customHeight="1">
      <c r="A59" s="116" t="s">
        <v>158</v>
      </c>
      <c r="B59" s="122">
        <v>18500</v>
      </c>
      <c r="C59" s="35">
        <v>14000</v>
      </c>
      <c r="D59" s="35">
        <v>19000</v>
      </c>
      <c r="E59" s="36">
        <v>20200</v>
      </c>
      <c r="F59" s="112">
        <f t="shared" si="6"/>
        <v>37</v>
      </c>
      <c r="G59" s="37">
        <f>C59/500</f>
        <v>28</v>
      </c>
      <c r="H59" s="37">
        <f t="shared" si="7"/>
        <v>31.666666666666668</v>
      </c>
      <c r="I59" s="47">
        <f t="shared" si="7"/>
        <v>33.666666666666664</v>
      </c>
      <c r="J59" s="39">
        <v>28</v>
      </c>
      <c r="K59" s="40"/>
      <c r="L59" s="41" t="s">
        <v>79</v>
      </c>
      <c r="M59" s="46"/>
      <c r="N59" s="42" t="s">
        <v>91</v>
      </c>
    </row>
    <row r="60" spans="1:14" ht="15.75" customHeight="1">
      <c r="A60" s="116" t="s">
        <v>159</v>
      </c>
      <c r="B60" s="122"/>
      <c r="C60" s="35">
        <v>5400</v>
      </c>
      <c r="D60" s="35">
        <v>7000</v>
      </c>
      <c r="E60" s="36">
        <v>6400</v>
      </c>
      <c r="F60" s="112">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6" t="s">
        <v>162</v>
      </c>
      <c r="B61" s="122"/>
      <c r="C61" s="35">
        <v>6000</v>
      </c>
      <c r="D61" s="35">
        <v>8500</v>
      </c>
      <c r="E61" s="36">
        <v>7300</v>
      </c>
      <c r="F61" s="112">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8" t="s">
        <v>163</v>
      </c>
      <c r="B62" s="123"/>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4" t="s">
        <v>164</v>
      </c>
      <c r="B63" s="125"/>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5" t="s">
        <v>166</v>
      </c>
      <c r="B64" s="122"/>
      <c r="C64" s="35">
        <v>20500</v>
      </c>
      <c r="D64" s="35">
        <v>26500</v>
      </c>
      <c r="E64" s="36">
        <v>20500</v>
      </c>
      <c r="F64" s="112">
        <f t="shared" si="6"/>
        <v>0</v>
      </c>
      <c r="G64" s="71">
        <f t="shared" si="6"/>
        <v>41</v>
      </c>
      <c r="H64" s="71">
        <f>D64/500</f>
        <v>53</v>
      </c>
      <c r="I64" s="38">
        <f>E64/500</f>
        <v>41</v>
      </c>
      <c r="J64" s="39">
        <v>41</v>
      </c>
      <c r="K64" s="40"/>
      <c r="L64" s="110" t="s">
        <v>167</v>
      </c>
      <c r="M64" s="110" t="s">
        <v>168</v>
      </c>
      <c r="N64" s="42" t="s">
        <v>169</v>
      </c>
    </row>
    <row r="65" spans="1:14" ht="15.75" customHeight="1">
      <c r="A65" s="115" t="s">
        <v>170</v>
      </c>
      <c r="B65" s="122"/>
      <c r="C65" s="35"/>
      <c r="D65" s="35"/>
      <c r="E65" s="36">
        <v>42100</v>
      </c>
      <c r="F65" s="112">
        <f t="shared" si="6"/>
        <v>0</v>
      </c>
      <c r="G65" s="37">
        <f t="shared" si="6"/>
        <v>0</v>
      </c>
      <c r="H65" s="37">
        <f t="shared" ref="H65:I104" si="8">D65/600</f>
        <v>0</v>
      </c>
      <c r="I65" s="47">
        <f t="shared" si="8"/>
        <v>70.166666666666671</v>
      </c>
      <c r="J65" s="39">
        <v>70.2</v>
      </c>
      <c r="K65" s="40"/>
      <c r="L65" s="41"/>
      <c r="M65" s="41"/>
      <c r="N65" s="42" t="s">
        <v>171</v>
      </c>
    </row>
    <row r="66" spans="1:14" ht="15.75" customHeight="1">
      <c r="A66" s="115" t="s">
        <v>172</v>
      </c>
      <c r="B66" s="122"/>
      <c r="C66" s="35">
        <v>3000</v>
      </c>
      <c r="D66" s="35"/>
      <c r="E66" s="36">
        <v>3500</v>
      </c>
      <c r="F66" s="112">
        <f t="shared" si="6"/>
        <v>0</v>
      </c>
      <c r="G66" s="37">
        <f t="shared" si="6"/>
        <v>6</v>
      </c>
      <c r="H66" s="37">
        <f t="shared" si="8"/>
        <v>0</v>
      </c>
      <c r="I66" s="47">
        <f t="shared" si="8"/>
        <v>5.833333333333333</v>
      </c>
      <c r="J66" s="39">
        <v>5.8</v>
      </c>
      <c r="K66" s="40"/>
      <c r="L66" s="56" t="s">
        <v>52</v>
      </c>
      <c r="M66" s="41"/>
      <c r="N66" s="42" t="s">
        <v>52</v>
      </c>
    </row>
    <row r="67" spans="1:14" ht="15.75" customHeight="1">
      <c r="A67" s="115" t="s">
        <v>173</v>
      </c>
      <c r="B67" s="122"/>
      <c r="C67" s="35"/>
      <c r="D67" s="35"/>
      <c r="E67" s="36"/>
      <c r="F67" s="112">
        <f t="shared" si="6"/>
        <v>0</v>
      </c>
      <c r="G67" s="37">
        <f t="shared" si="6"/>
        <v>0</v>
      </c>
      <c r="H67" s="37">
        <f t="shared" si="8"/>
        <v>0</v>
      </c>
      <c r="I67" s="63">
        <f t="shared" si="8"/>
        <v>0</v>
      </c>
      <c r="K67" s="40"/>
      <c r="L67" s="41"/>
      <c r="M67" s="41"/>
      <c r="N67" s="42"/>
    </row>
    <row r="68" spans="1:14" ht="15.75" customHeight="1">
      <c r="A68" s="115" t="s">
        <v>174</v>
      </c>
      <c r="B68" s="122"/>
      <c r="C68" s="35">
        <v>5900</v>
      </c>
      <c r="D68" s="35"/>
      <c r="E68" s="36">
        <v>7000</v>
      </c>
      <c r="F68" s="112">
        <f t="shared" si="6"/>
        <v>0</v>
      </c>
      <c r="G68" s="37">
        <f t="shared" si="6"/>
        <v>11.8</v>
      </c>
      <c r="H68" s="37">
        <f t="shared" si="8"/>
        <v>0</v>
      </c>
      <c r="I68" s="47">
        <f t="shared" si="8"/>
        <v>11.666666666666666</v>
      </c>
      <c r="J68" s="39">
        <v>13.2</v>
      </c>
      <c r="K68" s="40"/>
      <c r="L68" s="41"/>
      <c r="M68" s="41"/>
      <c r="N68" s="42" t="s">
        <v>91</v>
      </c>
    </row>
    <row r="69" spans="1:14" ht="15.75" customHeight="1">
      <c r="A69" s="115" t="s">
        <v>175</v>
      </c>
      <c r="B69" s="122"/>
      <c r="C69" s="35">
        <v>11300</v>
      </c>
      <c r="D69" s="35">
        <v>14000</v>
      </c>
      <c r="E69" s="36"/>
      <c r="F69" s="112">
        <f t="shared" si="6"/>
        <v>0</v>
      </c>
      <c r="G69" s="37">
        <f t="shared" si="6"/>
        <v>22.6</v>
      </c>
      <c r="H69" s="37">
        <f t="shared" si="8"/>
        <v>23.333333333333332</v>
      </c>
      <c r="I69" s="38">
        <f t="shared" si="8"/>
        <v>0</v>
      </c>
      <c r="J69" s="39">
        <v>22.6</v>
      </c>
      <c r="K69" s="40"/>
      <c r="L69" s="41" t="s">
        <v>46</v>
      </c>
      <c r="M69" s="46"/>
      <c r="N69" s="42"/>
    </row>
    <row r="70" spans="1:14" ht="15.75" customHeight="1">
      <c r="A70" s="115" t="s">
        <v>176</v>
      </c>
      <c r="B70" s="122"/>
      <c r="C70" s="35">
        <v>14000</v>
      </c>
      <c r="D70" s="35"/>
      <c r="E70" s="36"/>
      <c r="F70" s="112">
        <f t="shared" si="6"/>
        <v>0</v>
      </c>
      <c r="G70" s="37">
        <f t="shared" si="6"/>
        <v>28</v>
      </c>
      <c r="H70" s="37">
        <f t="shared" si="8"/>
        <v>0</v>
      </c>
      <c r="I70" s="38">
        <f t="shared" si="8"/>
        <v>0</v>
      </c>
      <c r="J70" s="39">
        <v>28</v>
      </c>
      <c r="K70" s="40"/>
      <c r="L70" s="41" t="s">
        <v>68</v>
      </c>
      <c r="M70" s="41"/>
      <c r="N70" s="42"/>
    </row>
    <row r="71" spans="1:14" ht="15.75" customHeight="1">
      <c r="A71" s="115" t="s">
        <v>177</v>
      </c>
      <c r="B71" s="122"/>
      <c r="C71" s="35">
        <v>3600</v>
      </c>
      <c r="D71" s="35"/>
      <c r="E71" s="36">
        <v>3800</v>
      </c>
      <c r="F71" s="112">
        <f t="shared" si="6"/>
        <v>0</v>
      </c>
      <c r="G71" s="37">
        <f t="shared" si="6"/>
        <v>7.2</v>
      </c>
      <c r="H71" s="37">
        <f t="shared" si="8"/>
        <v>0</v>
      </c>
      <c r="I71" s="38">
        <f t="shared" si="8"/>
        <v>6.333333333333333</v>
      </c>
      <c r="J71" s="39">
        <v>6.3</v>
      </c>
      <c r="K71" s="40"/>
      <c r="L71" s="41" t="s">
        <v>178</v>
      </c>
      <c r="M71" s="41"/>
      <c r="N71" s="42"/>
    </row>
    <row r="72" spans="1:14" ht="15.75" customHeight="1">
      <c r="A72" s="115" t="s">
        <v>179</v>
      </c>
      <c r="B72" s="122"/>
      <c r="C72" s="35">
        <v>10500</v>
      </c>
      <c r="D72" s="35"/>
      <c r="E72" s="36">
        <v>12600</v>
      </c>
      <c r="F72" s="112">
        <f t="shared" si="6"/>
        <v>0</v>
      </c>
      <c r="G72" s="37">
        <f t="shared" si="6"/>
        <v>21</v>
      </c>
      <c r="H72" s="37">
        <f t="shared" si="8"/>
        <v>0</v>
      </c>
      <c r="I72" s="38">
        <f t="shared" si="8"/>
        <v>21</v>
      </c>
      <c r="J72" s="39">
        <v>21</v>
      </c>
      <c r="K72" s="40"/>
      <c r="L72" s="41" t="s">
        <v>180</v>
      </c>
      <c r="M72" s="41"/>
      <c r="N72" s="42" t="s">
        <v>181</v>
      </c>
    </row>
    <row r="73" spans="1:14" ht="15.75" customHeight="1">
      <c r="A73" s="115" t="s">
        <v>413</v>
      </c>
      <c r="B73" s="122"/>
      <c r="C73" s="35"/>
      <c r="D73" s="35"/>
      <c r="E73" s="36"/>
      <c r="F73" s="112"/>
      <c r="G73" s="37"/>
      <c r="H73" s="37"/>
      <c r="I73" s="38"/>
      <c r="K73" s="40"/>
      <c r="L73" s="41"/>
      <c r="M73" s="41"/>
      <c r="N73" s="42"/>
    </row>
    <row r="74" spans="1:14" ht="15.75" customHeight="1">
      <c r="A74" s="115" t="s">
        <v>182</v>
      </c>
      <c r="B74" s="122"/>
      <c r="C74" s="35">
        <v>10700</v>
      </c>
      <c r="D74" s="35">
        <v>15000</v>
      </c>
      <c r="E74" s="36"/>
      <c r="F74" s="112">
        <f t="shared" si="6"/>
        <v>0</v>
      </c>
      <c r="G74" s="37">
        <f t="shared" si="6"/>
        <v>21.4</v>
      </c>
      <c r="H74" s="37">
        <f t="shared" si="8"/>
        <v>25</v>
      </c>
      <c r="I74" s="38">
        <f t="shared" si="8"/>
        <v>0</v>
      </c>
      <c r="J74" s="39">
        <v>23.3</v>
      </c>
      <c r="K74" s="40"/>
      <c r="L74" s="41"/>
      <c r="M74" s="41"/>
      <c r="N74" s="42"/>
    </row>
    <row r="75" spans="1:14" ht="15.75" customHeight="1">
      <c r="A75" s="115" t="s">
        <v>183</v>
      </c>
      <c r="B75" s="122"/>
      <c r="C75" s="35"/>
      <c r="D75" s="35"/>
      <c r="E75" s="36"/>
      <c r="F75" s="112">
        <f t="shared" si="6"/>
        <v>0</v>
      </c>
      <c r="G75" s="37">
        <f t="shared" si="6"/>
        <v>0</v>
      </c>
      <c r="H75" s="37">
        <f t="shared" si="8"/>
        <v>0</v>
      </c>
      <c r="I75" s="38">
        <f t="shared" si="8"/>
        <v>0</v>
      </c>
      <c r="K75" s="40"/>
      <c r="L75" s="41"/>
      <c r="M75" s="41"/>
      <c r="N75" s="42"/>
    </row>
    <row r="76" spans="1:14" ht="15.75" customHeight="1">
      <c r="A76" s="115" t="s">
        <v>409</v>
      </c>
      <c r="B76" s="122"/>
      <c r="C76" s="35"/>
      <c r="D76" s="35"/>
      <c r="E76" s="36"/>
      <c r="F76" s="112"/>
      <c r="G76" s="37"/>
      <c r="H76" s="37"/>
      <c r="I76" s="38"/>
      <c r="K76" s="40"/>
      <c r="L76" s="41"/>
      <c r="M76" s="41"/>
      <c r="N76" s="42"/>
    </row>
    <row r="77" spans="1:14" ht="15.75" customHeight="1">
      <c r="A77" s="115" t="s">
        <v>184</v>
      </c>
      <c r="B77" s="122"/>
      <c r="C77" s="35">
        <v>21500</v>
      </c>
      <c r="D77" s="35">
        <v>32000</v>
      </c>
      <c r="E77" s="36">
        <v>27500</v>
      </c>
      <c r="F77" s="112">
        <f t="shared" si="6"/>
        <v>0</v>
      </c>
      <c r="G77" s="43">
        <f t="shared" si="6"/>
        <v>43</v>
      </c>
      <c r="H77" s="37">
        <f t="shared" si="8"/>
        <v>53.333333333333336</v>
      </c>
      <c r="I77" s="38">
        <f t="shared" si="8"/>
        <v>45.833333333333336</v>
      </c>
      <c r="J77" s="39">
        <v>43</v>
      </c>
      <c r="K77" s="40"/>
      <c r="L77" s="41" t="s">
        <v>185</v>
      </c>
      <c r="M77" s="46"/>
      <c r="N77" s="42"/>
    </row>
    <row r="78" spans="1:14" ht="15.75" customHeight="1">
      <c r="A78" s="115" t="s">
        <v>186</v>
      </c>
      <c r="B78" s="122">
        <v>9800</v>
      </c>
      <c r="C78" s="35">
        <v>9000</v>
      </c>
      <c r="D78" s="35">
        <v>15000</v>
      </c>
      <c r="E78" s="36">
        <v>9200</v>
      </c>
      <c r="F78" s="112">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5" t="s">
        <v>189</v>
      </c>
      <c r="B79" s="122">
        <v>16900</v>
      </c>
      <c r="C79" s="35">
        <v>13200</v>
      </c>
      <c r="D79" s="35">
        <v>16500</v>
      </c>
      <c r="E79" s="36">
        <v>16300</v>
      </c>
      <c r="F79" s="112">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5" t="s">
        <v>190</v>
      </c>
      <c r="B80" s="122"/>
      <c r="C80" s="35"/>
      <c r="D80" s="35"/>
      <c r="E80" s="36">
        <v>9600</v>
      </c>
      <c r="F80" s="112">
        <f t="shared" si="6"/>
        <v>0</v>
      </c>
      <c r="G80" s="37">
        <f t="shared" si="6"/>
        <v>0</v>
      </c>
      <c r="H80" s="37">
        <f t="shared" si="8"/>
        <v>0</v>
      </c>
      <c r="I80" s="38">
        <f t="shared" si="8"/>
        <v>16</v>
      </c>
      <c r="J80" s="39">
        <v>16</v>
      </c>
      <c r="K80" s="40"/>
      <c r="L80" s="41"/>
      <c r="M80" s="41"/>
      <c r="N80" s="42"/>
    </row>
    <row r="81" spans="1:14" ht="15.75" customHeight="1">
      <c r="A81" s="115" t="s">
        <v>191</v>
      </c>
      <c r="B81" s="122"/>
      <c r="C81" s="35">
        <v>14000</v>
      </c>
      <c r="D81" s="35">
        <v>16000</v>
      </c>
      <c r="E81" s="36">
        <v>16700</v>
      </c>
      <c r="F81" s="112">
        <f t="shared" si="6"/>
        <v>0</v>
      </c>
      <c r="G81" s="37">
        <f t="shared" si="6"/>
        <v>28</v>
      </c>
      <c r="H81" s="37">
        <f t="shared" si="8"/>
        <v>26.666666666666668</v>
      </c>
      <c r="I81" s="38">
        <f t="shared" si="8"/>
        <v>27.833333333333332</v>
      </c>
      <c r="J81" s="39">
        <v>30.3</v>
      </c>
      <c r="K81" s="40"/>
      <c r="L81" s="41"/>
      <c r="M81" s="41"/>
      <c r="N81" s="42" t="s">
        <v>91</v>
      </c>
    </row>
    <row r="82" spans="1:14" ht="15.75" customHeight="1">
      <c r="A82" s="115" t="s">
        <v>192</v>
      </c>
      <c r="B82" s="122"/>
      <c r="C82" s="35">
        <v>6300</v>
      </c>
      <c r="D82" s="35"/>
      <c r="E82" s="36"/>
      <c r="F82" s="112">
        <f t="shared" si="6"/>
        <v>0</v>
      </c>
      <c r="G82" s="37">
        <f>C82/600</f>
        <v>10.5</v>
      </c>
      <c r="H82" s="37">
        <f t="shared" si="8"/>
        <v>0</v>
      </c>
      <c r="I82" s="38">
        <f t="shared" si="8"/>
        <v>0</v>
      </c>
      <c r="J82" s="39">
        <v>10.5</v>
      </c>
      <c r="K82" s="40"/>
      <c r="L82" s="41" t="s">
        <v>193</v>
      </c>
      <c r="M82" s="41"/>
      <c r="N82" s="42"/>
    </row>
    <row r="83" spans="1:14" ht="15.75" customHeight="1">
      <c r="A83" s="115" t="s">
        <v>194</v>
      </c>
      <c r="B83" s="122"/>
      <c r="C83" s="35">
        <v>23000</v>
      </c>
      <c r="D83" s="35"/>
      <c r="E83" s="36">
        <v>29900</v>
      </c>
      <c r="F83" s="112">
        <f t="shared" si="6"/>
        <v>0</v>
      </c>
      <c r="G83" s="43">
        <f>C83/500</f>
        <v>46</v>
      </c>
      <c r="H83" s="37">
        <f t="shared" si="8"/>
        <v>0</v>
      </c>
      <c r="I83" s="38">
        <f t="shared" si="8"/>
        <v>49.833333333333336</v>
      </c>
      <c r="J83" s="39">
        <v>49.8</v>
      </c>
      <c r="K83" s="40"/>
      <c r="L83" s="41" t="s">
        <v>46</v>
      </c>
      <c r="M83" s="41"/>
      <c r="N83" s="42" t="s">
        <v>195</v>
      </c>
    </row>
    <row r="84" spans="1:14" ht="15.75" customHeight="1">
      <c r="A84" s="115" t="s">
        <v>406</v>
      </c>
      <c r="B84" s="122"/>
      <c r="C84" s="35">
        <v>10000</v>
      </c>
      <c r="D84" s="35"/>
      <c r="E84" s="36"/>
      <c r="F84" s="112">
        <f t="shared" si="6"/>
        <v>0</v>
      </c>
      <c r="G84" s="43">
        <f>C84/600</f>
        <v>16.666666666666668</v>
      </c>
      <c r="H84" s="37">
        <f t="shared" si="8"/>
        <v>0</v>
      </c>
      <c r="I84" s="38">
        <f t="shared" si="8"/>
        <v>0</v>
      </c>
      <c r="J84" s="39">
        <v>16.7</v>
      </c>
      <c r="K84" s="40"/>
      <c r="L84" s="41" t="s">
        <v>261</v>
      </c>
      <c r="M84" s="41"/>
      <c r="N84" s="42"/>
    </row>
    <row r="85" spans="1:14" ht="15.75" customHeight="1">
      <c r="A85" s="115" t="s">
        <v>196</v>
      </c>
      <c r="B85" s="122"/>
      <c r="C85" s="35">
        <v>20500</v>
      </c>
      <c r="D85" s="35"/>
      <c r="E85" s="36">
        <v>16600</v>
      </c>
      <c r="F85" s="112">
        <f t="shared" si="6"/>
        <v>0</v>
      </c>
      <c r="G85" s="37">
        <f>C85/600</f>
        <v>34.166666666666664</v>
      </c>
      <c r="H85" s="37">
        <f t="shared" si="8"/>
        <v>0</v>
      </c>
      <c r="I85" s="38">
        <f t="shared" si="8"/>
        <v>27.666666666666668</v>
      </c>
      <c r="K85" s="40"/>
      <c r="L85" s="41" t="s">
        <v>197</v>
      </c>
      <c r="M85" s="41"/>
      <c r="N85" s="42" t="s">
        <v>61</v>
      </c>
    </row>
    <row r="86" spans="1:14" ht="15.75" customHeight="1">
      <c r="A86" s="115" t="s">
        <v>198</v>
      </c>
      <c r="B86" s="122">
        <v>9900</v>
      </c>
      <c r="C86" s="35">
        <v>4400</v>
      </c>
      <c r="D86" s="35">
        <v>7000</v>
      </c>
      <c r="E86" s="36">
        <v>5400</v>
      </c>
      <c r="F86" s="112">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5" t="s">
        <v>200</v>
      </c>
      <c r="B87" s="122"/>
      <c r="C87" s="35">
        <v>5200</v>
      </c>
      <c r="D87" s="35"/>
      <c r="E87" s="36"/>
      <c r="F87" s="112">
        <f t="shared" si="6"/>
        <v>0</v>
      </c>
      <c r="G87" s="37">
        <f t="shared" si="6"/>
        <v>10.4</v>
      </c>
      <c r="H87" s="37">
        <f t="shared" si="8"/>
        <v>0</v>
      </c>
      <c r="I87" s="38">
        <f t="shared" si="8"/>
        <v>0</v>
      </c>
      <c r="J87" s="39">
        <v>10.4</v>
      </c>
      <c r="K87" s="40"/>
      <c r="L87" s="41" t="s">
        <v>201</v>
      </c>
      <c r="M87" s="41"/>
      <c r="N87" s="42"/>
    </row>
    <row r="88" spans="1:14" ht="15.75" customHeight="1">
      <c r="A88" s="115" t="s">
        <v>202</v>
      </c>
      <c r="B88" s="122"/>
      <c r="C88" s="35"/>
      <c r="D88" s="35">
        <v>16000</v>
      </c>
      <c r="E88" s="36"/>
      <c r="F88" s="112">
        <f t="shared" ref="F88:G120" si="9">B88/500</f>
        <v>0</v>
      </c>
      <c r="G88" s="37">
        <f t="shared" si="9"/>
        <v>0</v>
      </c>
      <c r="H88" s="37">
        <f t="shared" si="8"/>
        <v>26.666666666666668</v>
      </c>
      <c r="I88" s="38">
        <f t="shared" si="8"/>
        <v>0</v>
      </c>
      <c r="K88" s="40"/>
      <c r="L88" s="41"/>
      <c r="M88" s="46"/>
      <c r="N88" s="42"/>
    </row>
    <row r="89" spans="1:14" ht="15.75" customHeight="1">
      <c r="A89" s="115" t="s">
        <v>203</v>
      </c>
      <c r="B89" s="122"/>
      <c r="C89" s="35">
        <v>4500</v>
      </c>
      <c r="D89" s="35">
        <v>6500</v>
      </c>
      <c r="E89" s="36">
        <v>5900</v>
      </c>
      <c r="F89" s="112">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5" t="s">
        <v>204</v>
      </c>
      <c r="B90" s="122"/>
      <c r="C90" s="35"/>
      <c r="D90" s="35"/>
      <c r="E90" s="36">
        <v>6200</v>
      </c>
      <c r="F90" s="112"/>
      <c r="G90" s="37"/>
      <c r="H90" s="37"/>
      <c r="I90" s="38">
        <f t="shared" si="8"/>
        <v>10.333333333333334</v>
      </c>
      <c r="J90" s="39">
        <v>10.3</v>
      </c>
      <c r="K90" s="40"/>
      <c r="L90" s="41"/>
      <c r="M90" s="41"/>
      <c r="N90" s="42"/>
    </row>
    <row r="91" spans="1:14" ht="15.75" customHeight="1">
      <c r="A91" s="115" t="s">
        <v>205</v>
      </c>
      <c r="B91" s="122"/>
      <c r="C91" s="35"/>
      <c r="D91" s="35">
        <v>11000</v>
      </c>
      <c r="E91" s="36">
        <v>11900</v>
      </c>
      <c r="F91" s="112">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6" t="s">
        <v>208</v>
      </c>
      <c r="B92" s="123"/>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7" t="s">
        <v>209</v>
      </c>
      <c r="B93" s="125"/>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6" t="s">
        <v>210</v>
      </c>
      <c r="B94" s="122"/>
      <c r="C94" s="35">
        <v>13200</v>
      </c>
      <c r="D94" s="35">
        <v>15000</v>
      </c>
      <c r="E94" s="36">
        <v>13100</v>
      </c>
      <c r="F94" s="112">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6" t="s">
        <v>213</v>
      </c>
      <c r="B95" s="122"/>
      <c r="C95" s="35">
        <v>3500</v>
      </c>
      <c r="D95" s="35">
        <v>4500</v>
      </c>
      <c r="E95" s="36">
        <v>5000</v>
      </c>
      <c r="F95" s="112">
        <f t="shared" si="9"/>
        <v>0</v>
      </c>
      <c r="G95" s="43">
        <f t="shared" si="9"/>
        <v>7</v>
      </c>
      <c r="H95" s="37">
        <f t="shared" si="8"/>
        <v>7.5</v>
      </c>
      <c r="I95" s="38">
        <f t="shared" si="8"/>
        <v>8.3333333333333339</v>
      </c>
      <c r="J95" s="39">
        <v>7</v>
      </c>
      <c r="K95" s="40"/>
      <c r="L95" s="41" t="s">
        <v>178</v>
      </c>
      <c r="M95" s="46"/>
      <c r="N95" s="44" t="s">
        <v>91</v>
      </c>
    </row>
    <row r="96" spans="1:14" ht="15.75" customHeight="1">
      <c r="A96" s="116" t="s">
        <v>214</v>
      </c>
      <c r="B96" s="122"/>
      <c r="C96" s="35">
        <v>12500</v>
      </c>
      <c r="D96" s="35">
        <v>24000</v>
      </c>
      <c r="E96" s="36">
        <v>15600</v>
      </c>
      <c r="F96" s="112">
        <f t="shared" si="9"/>
        <v>0</v>
      </c>
      <c r="G96" s="43">
        <f t="shared" si="9"/>
        <v>25</v>
      </c>
      <c r="H96" s="37">
        <f t="shared" si="8"/>
        <v>40</v>
      </c>
      <c r="I96" s="38">
        <f t="shared" si="8"/>
        <v>26</v>
      </c>
      <c r="J96" s="39">
        <v>27.7</v>
      </c>
      <c r="K96" s="40"/>
      <c r="L96" s="41" t="s">
        <v>215</v>
      </c>
      <c r="M96" s="46" t="s">
        <v>216</v>
      </c>
      <c r="N96" s="42" t="s">
        <v>217</v>
      </c>
    </row>
    <row r="97" spans="1:14" ht="15.75" customHeight="1">
      <c r="A97" s="116" t="s">
        <v>218</v>
      </c>
      <c r="B97" s="122"/>
      <c r="C97" s="35">
        <v>10400</v>
      </c>
      <c r="D97" s="35">
        <v>11000</v>
      </c>
      <c r="E97" s="36">
        <v>24600</v>
      </c>
      <c r="F97" s="112">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6" t="s">
        <v>222</v>
      </c>
      <c r="B98" s="122"/>
      <c r="C98" s="35">
        <v>125800</v>
      </c>
      <c r="D98" s="35"/>
      <c r="E98" s="36">
        <v>169000</v>
      </c>
      <c r="F98" s="112">
        <f t="shared" si="9"/>
        <v>0</v>
      </c>
      <c r="G98" s="37">
        <f t="shared" si="9"/>
        <v>251.6</v>
      </c>
      <c r="H98" s="37">
        <f t="shared" si="8"/>
        <v>0</v>
      </c>
      <c r="I98" s="38">
        <f t="shared" si="8"/>
        <v>281.66666666666669</v>
      </c>
      <c r="K98" s="40"/>
      <c r="L98" s="110" t="s">
        <v>223</v>
      </c>
      <c r="M98" s="41"/>
      <c r="N98" s="42" t="s">
        <v>224</v>
      </c>
    </row>
    <row r="99" spans="1:14" ht="15.75" customHeight="1">
      <c r="A99" s="116" t="s">
        <v>225</v>
      </c>
      <c r="B99" s="122"/>
      <c r="C99" s="35">
        <v>3800</v>
      </c>
      <c r="D99" s="35">
        <v>5500</v>
      </c>
      <c r="E99" s="36">
        <v>4900</v>
      </c>
      <c r="F99" s="112">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6" t="s">
        <v>226</v>
      </c>
      <c r="B100" s="122"/>
      <c r="C100" s="35"/>
      <c r="D100" s="35"/>
      <c r="E100" s="36"/>
      <c r="F100" s="112">
        <f t="shared" si="9"/>
        <v>0</v>
      </c>
      <c r="G100" s="37">
        <f t="shared" si="9"/>
        <v>0</v>
      </c>
      <c r="H100" s="37">
        <f t="shared" si="8"/>
        <v>0</v>
      </c>
      <c r="I100" s="38">
        <f t="shared" si="8"/>
        <v>0</v>
      </c>
      <c r="K100" s="40"/>
      <c r="L100" s="41"/>
      <c r="M100" s="41"/>
      <c r="N100" s="42"/>
    </row>
    <row r="101" spans="1:14" ht="15.75" customHeight="1">
      <c r="A101" s="116" t="s">
        <v>227</v>
      </c>
      <c r="B101" s="122"/>
      <c r="C101" s="35">
        <v>17500</v>
      </c>
      <c r="D101" s="35"/>
      <c r="E101" s="36">
        <v>20100</v>
      </c>
      <c r="F101" s="112">
        <f t="shared" si="9"/>
        <v>0</v>
      </c>
      <c r="G101" s="37">
        <f t="shared" si="9"/>
        <v>35</v>
      </c>
      <c r="H101" s="37">
        <f t="shared" si="8"/>
        <v>0</v>
      </c>
      <c r="I101" s="38">
        <f t="shared" si="8"/>
        <v>33.5</v>
      </c>
      <c r="J101" s="39">
        <v>35</v>
      </c>
      <c r="K101" s="40"/>
      <c r="L101" s="41" t="s">
        <v>46</v>
      </c>
      <c r="M101" s="41"/>
      <c r="N101" s="42" t="s">
        <v>46</v>
      </c>
    </row>
    <row r="102" spans="1:14" ht="15.75" customHeight="1">
      <c r="A102" s="116" t="s">
        <v>228</v>
      </c>
      <c r="B102" s="122"/>
      <c r="C102" s="35"/>
      <c r="D102" s="35"/>
      <c r="E102" s="36"/>
      <c r="F102" s="112">
        <f t="shared" si="9"/>
        <v>0</v>
      </c>
      <c r="G102" s="37">
        <f t="shared" si="9"/>
        <v>0</v>
      </c>
      <c r="H102" s="37">
        <f t="shared" si="8"/>
        <v>0</v>
      </c>
      <c r="I102" s="38">
        <f t="shared" si="8"/>
        <v>0</v>
      </c>
      <c r="K102" s="40"/>
      <c r="L102" s="41"/>
      <c r="M102" s="41"/>
      <c r="N102" s="42"/>
    </row>
    <row r="103" spans="1:14" ht="15.75" customHeight="1">
      <c r="A103" s="116" t="s">
        <v>229</v>
      </c>
      <c r="B103" s="122">
        <v>7500</v>
      </c>
      <c r="C103" s="35">
        <v>7000</v>
      </c>
      <c r="D103" s="35">
        <v>9000</v>
      </c>
      <c r="E103" s="36"/>
      <c r="F103" s="112">
        <f t="shared" si="9"/>
        <v>15</v>
      </c>
      <c r="G103" s="43">
        <f t="shared" si="9"/>
        <v>14</v>
      </c>
      <c r="H103" s="37">
        <f t="shared" si="8"/>
        <v>15</v>
      </c>
      <c r="I103" s="38">
        <f t="shared" si="8"/>
        <v>0</v>
      </c>
      <c r="J103" s="39">
        <v>15</v>
      </c>
      <c r="K103" s="66"/>
      <c r="L103" s="67" t="s">
        <v>165</v>
      </c>
      <c r="M103" s="46" t="s">
        <v>230</v>
      </c>
      <c r="N103" s="42"/>
    </row>
    <row r="104" spans="1:14" ht="15.75" customHeight="1">
      <c r="A104" s="116" t="s">
        <v>231</v>
      </c>
      <c r="B104" s="122">
        <v>10300</v>
      </c>
      <c r="C104" s="35">
        <v>7500</v>
      </c>
      <c r="D104" s="35">
        <v>9000</v>
      </c>
      <c r="E104" s="36"/>
      <c r="F104" s="112">
        <f t="shared" si="9"/>
        <v>20.6</v>
      </c>
      <c r="G104" s="43">
        <f t="shared" si="9"/>
        <v>15</v>
      </c>
      <c r="H104" s="37">
        <f t="shared" si="8"/>
        <v>15</v>
      </c>
      <c r="I104" s="38">
        <f t="shared" si="8"/>
        <v>0</v>
      </c>
      <c r="J104" s="39">
        <v>17.399999999999999</v>
      </c>
      <c r="K104" s="66"/>
      <c r="L104" s="56" t="s">
        <v>165</v>
      </c>
      <c r="M104" s="46"/>
      <c r="N104" s="42"/>
    </row>
    <row r="105" spans="1:14" ht="15.75" customHeight="1">
      <c r="A105" s="116" t="s">
        <v>232</v>
      </c>
      <c r="B105" s="122"/>
      <c r="C105" s="35">
        <v>5500</v>
      </c>
      <c r="D105" s="35">
        <v>5500</v>
      </c>
      <c r="E105" s="36">
        <v>4600</v>
      </c>
      <c r="F105" s="112">
        <f t="shared" si="9"/>
        <v>0</v>
      </c>
      <c r="G105" s="43">
        <f>C105/1000</f>
        <v>5.5</v>
      </c>
      <c r="H105" s="43">
        <f>D105/1000</f>
        <v>5.5</v>
      </c>
      <c r="I105" s="38">
        <f>E105/1000</f>
        <v>4.5999999999999996</v>
      </c>
      <c r="J105" s="39">
        <v>5.5</v>
      </c>
      <c r="K105" s="40"/>
      <c r="L105" s="41" t="s">
        <v>233</v>
      </c>
      <c r="M105" s="41"/>
      <c r="N105" s="42" t="s">
        <v>378</v>
      </c>
    </row>
    <row r="106" spans="1:14" ht="15.75" customHeight="1">
      <c r="A106" s="116" t="s">
        <v>234</v>
      </c>
      <c r="B106" s="122"/>
      <c r="C106" s="35"/>
      <c r="D106" s="35"/>
      <c r="E106" s="36"/>
      <c r="F106" s="112">
        <f t="shared" si="9"/>
        <v>0</v>
      </c>
      <c r="G106" s="37">
        <f t="shared" si="9"/>
        <v>0</v>
      </c>
      <c r="H106" s="37">
        <f t="shared" ref="H106:I113" si="10">D106/600</f>
        <v>0</v>
      </c>
      <c r="I106" s="38">
        <f t="shared" si="10"/>
        <v>0</v>
      </c>
      <c r="K106" s="40"/>
      <c r="L106" s="41"/>
      <c r="M106" s="41"/>
      <c r="N106" s="42"/>
    </row>
    <row r="107" spans="1:14" ht="15.75" customHeight="1">
      <c r="A107" s="116" t="s">
        <v>235</v>
      </c>
      <c r="B107" s="122">
        <v>22400</v>
      </c>
      <c r="C107" s="35">
        <v>15000</v>
      </c>
      <c r="D107" s="35"/>
      <c r="E107" s="36">
        <v>19000</v>
      </c>
      <c r="F107" s="112">
        <f t="shared" si="9"/>
        <v>44.8</v>
      </c>
      <c r="G107" s="37">
        <f t="shared" si="9"/>
        <v>30</v>
      </c>
      <c r="H107" s="37">
        <f t="shared" si="10"/>
        <v>0</v>
      </c>
      <c r="I107" s="38">
        <f t="shared" si="10"/>
        <v>31.666666666666668</v>
      </c>
      <c r="J107" s="39">
        <v>31.5</v>
      </c>
      <c r="K107" s="40"/>
      <c r="L107" s="41" t="s">
        <v>178</v>
      </c>
      <c r="M107" s="46"/>
      <c r="N107" s="42" t="s">
        <v>91</v>
      </c>
    </row>
    <row r="108" spans="1:14" ht="15" customHeight="1">
      <c r="A108" s="116" t="s">
        <v>236</v>
      </c>
      <c r="B108" s="122"/>
      <c r="C108" s="35">
        <v>15000</v>
      </c>
      <c r="D108" s="35">
        <v>20000</v>
      </c>
      <c r="E108" s="36"/>
      <c r="F108" s="112">
        <f t="shared" si="9"/>
        <v>0</v>
      </c>
      <c r="G108" s="37">
        <f t="shared" si="9"/>
        <v>30</v>
      </c>
      <c r="H108" s="37">
        <f t="shared" si="10"/>
        <v>33.333333333333336</v>
      </c>
      <c r="I108" s="38">
        <f t="shared" si="10"/>
        <v>0</v>
      </c>
      <c r="J108" s="39">
        <v>33.299999999999997</v>
      </c>
      <c r="K108" s="40"/>
      <c r="L108" s="41"/>
      <c r="M108" s="41"/>
      <c r="N108" s="42"/>
    </row>
    <row r="109" spans="1:14" ht="15" customHeight="1">
      <c r="A109" s="116" t="s">
        <v>237</v>
      </c>
      <c r="B109" s="122"/>
      <c r="C109" s="35">
        <v>66000</v>
      </c>
      <c r="D109" s="35"/>
      <c r="E109" s="36">
        <v>84500</v>
      </c>
      <c r="F109" s="112">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6" t="s">
        <v>238</v>
      </c>
      <c r="B110" s="122"/>
      <c r="C110" s="35">
        <v>3100</v>
      </c>
      <c r="D110" s="35">
        <v>5000</v>
      </c>
      <c r="E110" s="36">
        <v>3700</v>
      </c>
      <c r="F110" s="112">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6" t="s">
        <v>239</v>
      </c>
      <c r="B111" s="122"/>
      <c r="C111" s="35">
        <v>5700</v>
      </c>
      <c r="D111" s="35">
        <v>7800</v>
      </c>
      <c r="E111" s="36">
        <v>4500</v>
      </c>
      <c r="F111" s="112">
        <f t="shared" si="9"/>
        <v>0</v>
      </c>
      <c r="G111" s="37">
        <f t="shared" si="9"/>
        <v>11.4</v>
      </c>
      <c r="H111" s="37">
        <f t="shared" si="10"/>
        <v>13</v>
      </c>
      <c r="I111" s="38">
        <f t="shared" si="10"/>
        <v>7.5</v>
      </c>
      <c r="J111" s="39">
        <v>7.5</v>
      </c>
      <c r="K111" s="40"/>
      <c r="L111" s="41"/>
      <c r="M111" s="46"/>
      <c r="N111" s="42"/>
    </row>
    <row r="112" spans="1:14" ht="15" customHeight="1">
      <c r="A112" s="116" t="s">
        <v>240</v>
      </c>
      <c r="B112" s="122"/>
      <c r="C112" s="35">
        <v>5800</v>
      </c>
      <c r="D112" s="35">
        <v>6000</v>
      </c>
      <c r="E112" s="36"/>
      <c r="F112" s="112">
        <f t="shared" si="9"/>
        <v>0</v>
      </c>
      <c r="G112" s="37">
        <f t="shared" si="9"/>
        <v>11.6</v>
      </c>
      <c r="H112" s="37">
        <f t="shared" si="10"/>
        <v>10</v>
      </c>
      <c r="I112" s="38">
        <f t="shared" si="10"/>
        <v>0</v>
      </c>
      <c r="J112" s="39">
        <v>10</v>
      </c>
      <c r="K112" s="40"/>
      <c r="L112" s="41"/>
      <c r="M112" s="41"/>
      <c r="N112" s="42"/>
    </row>
    <row r="113" spans="1:14" ht="15" customHeight="1">
      <c r="A113" s="116" t="s">
        <v>241</v>
      </c>
      <c r="B113" s="122"/>
      <c r="C113" s="35">
        <v>5700</v>
      </c>
      <c r="D113" s="35"/>
      <c r="E113" s="36">
        <v>7000</v>
      </c>
      <c r="F113" s="112">
        <f t="shared" si="9"/>
        <v>0</v>
      </c>
      <c r="G113" s="37">
        <f t="shared" si="9"/>
        <v>11.4</v>
      </c>
      <c r="H113" s="37">
        <f t="shared" si="10"/>
        <v>0</v>
      </c>
      <c r="I113" s="38">
        <f t="shared" si="10"/>
        <v>11.666666666666666</v>
      </c>
      <c r="J113" s="39">
        <v>11.7</v>
      </c>
      <c r="K113" s="40"/>
      <c r="L113" s="41" t="s">
        <v>101</v>
      </c>
      <c r="M113" s="46"/>
      <c r="N113" s="42" t="s">
        <v>52</v>
      </c>
    </row>
    <row r="114" spans="1:14" ht="15" customHeight="1">
      <c r="A114" s="116" t="s">
        <v>242</v>
      </c>
      <c r="B114" s="122"/>
      <c r="C114" s="35">
        <v>20000</v>
      </c>
      <c r="D114" s="35">
        <v>20000</v>
      </c>
      <c r="E114" s="36">
        <v>20000</v>
      </c>
      <c r="F114" s="112">
        <f t="shared" si="9"/>
        <v>0</v>
      </c>
      <c r="G114" s="43">
        <f>C114/1000</f>
        <v>20</v>
      </c>
      <c r="H114" s="43">
        <f>D114/1000</f>
        <v>20</v>
      </c>
      <c r="I114" s="47">
        <f>E114/1000</f>
        <v>20</v>
      </c>
      <c r="J114" s="39">
        <v>20</v>
      </c>
      <c r="K114" s="68"/>
      <c r="L114" s="57" t="s">
        <v>243</v>
      </c>
      <c r="M114" s="57" t="s">
        <v>243</v>
      </c>
      <c r="N114" s="69" t="s">
        <v>243</v>
      </c>
    </row>
    <row r="115" spans="1:14" ht="15" customHeight="1">
      <c r="A115" s="116" t="s">
        <v>244</v>
      </c>
      <c r="B115" s="122"/>
      <c r="C115" s="35">
        <v>15500</v>
      </c>
      <c r="D115" s="35"/>
      <c r="E115" s="36">
        <v>19200</v>
      </c>
      <c r="F115" s="112">
        <f t="shared" si="9"/>
        <v>0</v>
      </c>
      <c r="G115" s="37">
        <f>C115/500</f>
        <v>31</v>
      </c>
      <c r="H115" s="37">
        <f t="shared" ref="H115:I117" si="11">D115/600</f>
        <v>0</v>
      </c>
      <c r="I115" s="38">
        <f t="shared" si="11"/>
        <v>32</v>
      </c>
      <c r="J115" s="39">
        <v>31</v>
      </c>
      <c r="K115" s="68"/>
      <c r="L115" s="67" t="s">
        <v>68</v>
      </c>
      <c r="M115" s="67"/>
      <c r="N115" s="69" t="s">
        <v>91</v>
      </c>
    </row>
    <row r="116" spans="1:14" ht="15" customHeight="1">
      <c r="A116" s="116" t="s">
        <v>245</v>
      </c>
      <c r="B116" s="122"/>
      <c r="C116" s="35"/>
      <c r="D116" s="35"/>
      <c r="E116" s="36">
        <v>43600</v>
      </c>
      <c r="F116" s="112">
        <f t="shared" si="9"/>
        <v>0</v>
      </c>
      <c r="G116" s="37">
        <f>C116/500</f>
        <v>0</v>
      </c>
      <c r="H116" s="37">
        <f t="shared" si="11"/>
        <v>0</v>
      </c>
      <c r="I116" s="47">
        <f t="shared" si="11"/>
        <v>72.666666666666671</v>
      </c>
      <c r="J116" s="39">
        <v>72.7</v>
      </c>
      <c r="K116" s="68"/>
      <c r="L116" s="67"/>
      <c r="M116" s="67"/>
      <c r="N116" s="65" t="s">
        <v>246</v>
      </c>
    </row>
    <row r="117" spans="1:14" ht="15" customHeight="1">
      <c r="A117" s="116" t="s">
        <v>247</v>
      </c>
      <c r="B117" s="122">
        <v>29900</v>
      </c>
      <c r="C117" s="35">
        <v>7800</v>
      </c>
      <c r="D117" s="35">
        <v>10000</v>
      </c>
      <c r="E117" s="36">
        <v>8700</v>
      </c>
      <c r="F117" s="112">
        <f t="shared" si="9"/>
        <v>59.8</v>
      </c>
      <c r="G117" s="37">
        <f>C117/500</f>
        <v>15.6</v>
      </c>
      <c r="H117" s="37">
        <f t="shared" si="11"/>
        <v>16.666666666666668</v>
      </c>
      <c r="I117" s="38">
        <f t="shared" si="11"/>
        <v>14.5</v>
      </c>
      <c r="J117" s="39">
        <v>15.3</v>
      </c>
      <c r="K117" s="66"/>
      <c r="L117" s="67"/>
      <c r="M117" s="70" t="s">
        <v>160</v>
      </c>
      <c r="N117" s="65" t="s">
        <v>248</v>
      </c>
    </row>
    <row r="118" spans="1:14" ht="15" customHeight="1">
      <c r="A118" s="116" t="s">
        <v>249</v>
      </c>
      <c r="B118" s="122"/>
      <c r="C118" s="35">
        <v>8500</v>
      </c>
      <c r="D118" s="35">
        <v>8000</v>
      </c>
      <c r="E118" s="36">
        <v>8500</v>
      </c>
      <c r="F118" s="112">
        <f t="shared" si="9"/>
        <v>0</v>
      </c>
      <c r="G118" s="37">
        <f>C118/1000</f>
        <v>8.5</v>
      </c>
      <c r="H118" s="43">
        <f>D118/1000</f>
        <v>8</v>
      </c>
      <c r="I118" s="38">
        <f>E118/1000</f>
        <v>8.5</v>
      </c>
      <c r="J118" s="39">
        <v>8</v>
      </c>
      <c r="K118" s="40"/>
      <c r="L118" s="41" t="s">
        <v>250</v>
      </c>
      <c r="M118" s="46" t="s">
        <v>250</v>
      </c>
      <c r="N118" s="42" t="s">
        <v>251</v>
      </c>
    </row>
    <row r="119" spans="1:14" ht="15" customHeight="1" thickBot="1">
      <c r="A119" s="128" t="s">
        <v>252</v>
      </c>
      <c r="B119" s="123"/>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4" t="s">
        <v>253</v>
      </c>
      <c r="B120" s="125"/>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1" t="s">
        <v>414</v>
      </c>
      <c r="B121" s="162"/>
      <c r="C121" s="163"/>
      <c r="D121" s="163"/>
      <c r="E121" s="164"/>
      <c r="F121" s="165"/>
      <c r="G121" s="166"/>
      <c r="H121" s="167"/>
      <c r="I121" s="168"/>
      <c r="J121" s="84"/>
      <c r="K121" s="169"/>
      <c r="L121" s="170"/>
      <c r="M121" s="170"/>
      <c r="N121" s="171"/>
    </row>
    <row r="122" spans="1:14" ht="15" customHeight="1">
      <c r="A122" s="115" t="s">
        <v>256</v>
      </c>
      <c r="B122" s="122"/>
      <c r="C122" s="35">
        <v>2600</v>
      </c>
      <c r="D122" s="35">
        <v>4000</v>
      </c>
      <c r="E122" s="36"/>
      <c r="F122" s="112">
        <f t="shared" ref="F122:G155" si="13">B122/500</f>
        <v>0</v>
      </c>
      <c r="G122" s="37">
        <f t="shared" si="13"/>
        <v>5.2</v>
      </c>
      <c r="H122" s="37">
        <f t="shared" si="12"/>
        <v>6.666666666666667</v>
      </c>
      <c r="I122" s="38">
        <f t="shared" si="12"/>
        <v>0</v>
      </c>
      <c r="J122" s="39">
        <v>6.7</v>
      </c>
      <c r="K122" s="40"/>
      <c r="L122" s="41"/>
      <c r="M122" s="46"/>
      <c r="N122" s="42"/>
    </row>
    <row r="123" spans="1:14" ht="15" customHeight="1">
      <c r="A123" s="115" t="s">
        <v>257</v>
      </c>
      <c r="B123" s="122"/>
      <c r="C123" s="35">
        <v>13500</v>
      </c>
      <c r="D123" s="35">
        <v>38000</v>
      </c>
      <c r="E123" s="36">
        <v>23500</v>
      </c>
      <c r="F123" s="112">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5" t="s">
        <v>259</v>
      </c>
      <c r="B124" s="122"/>
      <c r="C124" s="35">
        <v>3700</v>
      </c>
      <c r="D124" s="35">
        <v>5500</v>
      </c>
      <c r="E124" s="36"/>
      <c r="F124" s="112">
        <f t="shared" si="13"/>
        <v>0</v>
      </c>
      <c r="G124" s="37">
        <f t="shared" si="13"/>
        <v>7.4</v>
      </c>
      <c r="H124" s="37">
        <f t="shared" si="12"/>
        <v>9.1666666666666661</v>
      </c>
      <c r="I124" s="38">
        <f t="shared" si="12"/>
        <v>0</v>
      </c>
      <c r="J124" s="39">
        <v>9.1999999999999993</v>
      </c>
      <c r="K124" s="40"/>
      <c r="L124" s="41"/>
      <c r="M124" s="46"/>
      <c r="N124" s="42"/>
    </row>
    <row r="125" spans="1:14" ht="15" customHeight="1">
      <c r="A125" s="115" t="s">
        <v>260</v>
      </c>
      <c r="B125" s="122"/>
      <c r="C125" s="35">
        <v>8200</v>
      </c>
      <c r="D125" s="35">
        <v>12000</v>
      </c>
      <c r="E125" s="36">
        <v>9900</v>
      </c>
      <c r="F125" s="112">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5" t="s">
        <v>262</v>
      </c>
      <c r="B126" s="122"/>
      <c r="C126" s="35"/>
      <c r="D126" s="35"/>
      <c r="E126" s="36"/>
      <c r="F126" s="112">
        <f t="shared" si="13"/>
        <v>0</v>
      </c>
      <c r="G126" s="37">
        <f t="shared" si="13"/>
        <v>0</v>
      </c>
      <c r="H126" s="37">
        <f t="shared" si="12"/>
        <v>0</v>
      </c>
      <c r="I126" s="38">
        <f t="shared" si="12"/>
        <v>0</v>
      </c>
      <c r="K126" s="40"/>
      <c r="L126" s="41"/>
      <c r="M126" s="41"/>
      <c r="N126" s="42"/>
    </row>
    <row r="127" spans="1:14" ht="15" customHeight="1">
      <c r="A127" s="115" t="s">
        <v>263</v>
      </c>
      <c r="B127" s="122"/>
      <c r="C127" s="35">
        <v>7200</v>
      </c>
      <c r="D127" s="35">
        <v>7000</v>
      </c>
      <c r="E127" s="36">
        <v>6400</v>
      </c>
      <c r="F127" s="112">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5" t="s">
        <v>265</v>
      </c>
      <c r="B128" s="122">
        <v>17900</v>
      </c>
      <c r="C128" s="35">
        <v>11000</v>
      </c>
      <c r="D128" s="35">
        <v>16000</v>
      </c>
      <c r="E128" s="36">
        <v>14100</v>
      </c>
      <c r="F128" s="112">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5" t="s">
        <v>267</v>
      </c>
      <c r="B129" s="122"/>
      <c r="C129" s="35"/>
      <c r="D129" s="35"/>
      <c r="E129" s="36"/>
      <c r="F129" s="112">
        <f t="shared" si="13"/>
        <v>0</v>
      </c>
      <c r="G129" s="37">
        <f t="shared" si="13"/>
        <v>0</v>
      </c>
      <c r="H129" s="37">
        <f t="shared" si="12"/>
        <v>0</v>
      </c>
      <c r="I129" s="38">
        <f t="shared" si="12"/>
        <v>0</v>
      </c>
      <c r="K129" s="40"/>
      <c r="L129" s="41"/>
      <c r="M129" s="41"/>
      <c r="N129" s="42"/>
    </row>
    <row r="130" spans="1:14" ht="15" customHeight="1">
      <c r="A130" s="115" t="s">
        <v>268</v>
      </c>
      <c r="B130" s="122"/>
      <c r="C130" s="35">
        <v>8400</v>
      </c>
      <c r="D130" s="35"/>
      <c r="E130" s="36"/>
      <c r="F130" s="112">
        <f t="shared" si="13"/>
        <v>0</v>
      </c>
      <c r="G130" s="37">
        <f t="shared" si="13"/>
        <v>16.8</v>
      </c>
      <c r="H130" s="37">
        <f t="shared" si="12"/>
        <v>0</v>
      </c>
      <c r="I130" s="38">
        <f t="shared" si="12"/>
        <v>0</v>
      </c>
      <c r="J130" s="39">
        <v>16.8</v>
      </c>
      <c r="K130" s="40"/>
      <c r="L130" s="41" t="s">
        <v>52</v>
      </c>
      <c r="M130" s="41"/>
      <c r="N130" s="42"/>
    </row>
    <row r="131" spans="1:14" ht="15" customHeight="1">
      <c r="A131" s="115" t="s">
        <v>269</v>
      </c>
      <c r="B131" s="122"/>
      <c r="C131" s="35">
        <v>4600</v>
      </c>
      <c r="D131" s="35">
        <v>7000</v>
      </c>
      <c r="E131" s="36">
        <v>5500</v>
      </c>
      <c r="F131" s="112">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5" t="s">
        <v>270</v>
      </c>
      <c r="B132" s="122"/>
      <c r="C132" s="35">
        <v>14000</v>
      </c>
      <c r="D132" s="35">
        <v>15000</v>
      </c>
      <c r="E132" s="36">
        <v>14000</v>
      </c>
      <c r="F132" s="112">
        <f t="shared" si="13"/>
        <v>0</v>
      </c>
      <c r="G132" s="37">
        <f>C132/1000</f>
        <v>14</v>
      </c>
      <c r="H132" s="37">
        <f>D132/1000</f>
        <v>15</v>
      </c>
      <c r="I132" s="38">
        <f>E132/1000</f>
        <v>14</v>
      </c>
      <c r="J132" s="39">
        <v>14</v>
      </c>
      <c r="K132" s="40"/>
      <c r="L132" s="41" t="s">
        <v>233</v>
      </c>
      <c r="M132" s="46" t="s">
        <v>233</v>
      </c>
      <c r="N132" s="42" t="s">
        <v>271</v>
      </c>
    </row>
    <row r="133" spans="1:14" ht="15" customHeight="1">
      <c r="A133" s="115" t="s">
        <v>272</v>
      </c>
      <c r="B133" s="122"/>
      <c r="C133" s="35">
        <v>27500</v>
      </c>
      <c r="D133" s="35">
        <v>26000</v>
      </c>
      <c r="E133" s="36"/>
      <c r="F133" s="112">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5" t="s">
        <v>274</v>
      </c>
      <c r="B134" s="122"/>
      <c r="C134" s="35">
        <v>7300</v>
      </c>
      <c r="D134" s="35">
        <v>8500</v>
      </c>
      <c r="E134" s="36">
        <v>6100</v>
      </c>
      <c r="F134" s="112">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5" t="s">
        <v>275</v>
      </c>
      <c r="B135" s="122"/>
      <c r="C135" s="35">
        <v>5700</v>
      </c>
      <c r="D135" s="35">
        <v>9500</v>
      </c>
      <c r="E135" s="36">
        <v>6900</v>
      </c>
      <c r="F135" s="112">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5" t="s">
        <v>277</v>
      </c>
      <c r="B136" s="122"/>
      <c r="C136" s="35">
        <v>12800</v>
      </c>
      <c r="D136" s="35">
        <v>13500</v>
      </c>
      <c r="E136" s="36">
        <v>12300</v>
      </c>
      <c r="F136" s="112">
        <f t="shared" si="13"/>
        <v>0</v>
      </c>
      <c r="G136" s="37">
        <f>C136/600</f>
        <v>21.333333333333332</v>
      </c>
      <c r="H136" s="37">
        <f t="shared" si="14"/>
        <v>22.5</v>
      </c>
      <c r="I136" s="38">
        <f t="shared" si="12"/>
        <v>20.5</v>
      </c>
      <c r="J136" s="39">
        <v>20.5</v>
      </c>
      <c r="K136" s="40"/>
      <c r="L136" s="56" t="s">
        <v>278</v>
      </c>
      <c r="M136" s="57"/>
      <c r="N136" s="42" t="s">
        <v>279</v>
      </c>
    </row>
    <row r="137" spans="1:14" ht="15" customHeight="1">
      <c r="A137" s="115" t="s">
        <v>280</v>
      </c>
      <c r="B137" s="122"/>
      <c r="C137" s="35">
        <v>46800</v>
      </c>
      <c r="D137" s="35"/>
      <c r="E137" s="36">
        <v>55900</v>
      </c>
      <c r="F137" s="112">
        <f t="shared" si="13"/>
        <v>0</v>
      </c>
      <c r="G137" s="37">
        <f>C137/500</f>
        <v>93.6</v>
      </c>
      <c r="H137" s="37">
        <f t="shared" si="14"/>
        <v>0</v>
      </c>
      <c r="I137" s="38">
        <f t="shared" si="14"/>
        <v>93.166666666666671</v>
      </c>
      <c r="J137" s="39">
        <v>68</v>
      </c>
      <c r="K137" s="40"/>
      <c r="L137" s="41" t="s">
        <v>52</v>
      </c>
      <c r="M137" s="41"/>
      <c r="N137" s="42" t="s">
        <v>91</v>
      </c>
    </row>
    <row r="138" spans="1:14" ht="15" customHeight="1">
      <c r="A138" s="115" t="s">
        <v>281</v>
      </c>
      <c r="B138" s="122"/>
      <c r="C138" s="35">
        <v>14500</v>
      </c>
      <c r="D138" s="35">
        <v>19000</v>
      </c>
      <c r="E138" s="36">
        <v>17700</v>
      </c>
      <c r="F138" s="112">
        <f t="shared" si="13"/>
        <v>0</v>
      </c>
      <c r="G138" s="37">
        <f>C138/500</f>
        <v>29</v>
      </c>
      <c r="H138" s="37">
        <f t="shared" si="14"/>
        <v>31.666666666666668</v>
      </c>
      <c r="I138" s="38">
        <f t="shared" si="14"/>
        <v>29.5</v>
      </c>
      <c r="J138" s="39">
        <v>29</v>
      </c>
      <c r="K138" s="40"/>
      <c r="L138" s="41"/>
      <c r="M138" s="41"/>
      <c r="N138" s="42"/>
    </row>
    <row r="139" spans="1:14" ht="15" customHeight="1">
      <c r="A139" s="115" t="s">
        <v>415</v>
      </c>
      <c r="B139" s="122"/>
      <c r="C139" s="35"/>
      <c r="D139" s="35"/>
      <c r="E139" s="36"/>
      <c r="F139" s="112"/>
      <c r="G139" s="37"/>
      <c r="H139" s="37"/>
      <c r="I139" s="38"/>
      <c r="K139" s="40"/>
      <c r="L139" s="41"/>
      <c r="M139" s="41"/>
      <c r="N139" s="42"/>
    </row>
    <row r="140" spans="1:14" ht="15" customHeight="1">
      <c r="A140" s="115" t="s">
        <v>282</v>
      </c>
      <c r="B140" s="122"/>
      <c r="C140" s="35"/>
      <c r="D140" s="35"/>
      <c r="E140" s="36">
        <v>8800</v>
      </c>
      <c r="F140" s="112">
        <f t="shared" si="13"/>
        <v>0</v>
      </c>
      <c r="G140" s="37">
        <f>C140/500</f>
        <v>0</v>
      </c>
      <c r="H140" s="37">
        <f t="shared" si="14"/>
        <v>0</v>
      </c>
      <c r="I140" s="38">
        <f t="shared" si="14"/>
        <v>14.666666666666666</v>
      </c>
      <c r="J140" s="39">
        <v>14.7</v>
      </c>
      <c r="K140" s="40"/>
      <c r="L140" s="41"/>
      <c r="M140" s="41"/>
      <c r="N140" s="42" t="s">
        <v>124</v>
      </c>
    </row>
    <row r="141" spans="1:14" ht="15" customHeight="1">
      <c r="A141" s="115" t="s">
        <v>283</v>
      </c>
      <c r="B141" s="122">
        <v>14800</v>
      </c>
      <c r="C141" s="35"/>
      <c r="D141" s="35"/>
      <c r="E141" s="36">
        <v>8600</v>
      </c>
      <c r="F141" s="112">
        <f t="shared" si="13"/>
        <v>29.6</v>
      </c>
      <c r="G141" s="37">
        <f>C141/500</f>
        <v>0</v>
      </c>
      <c r="H141" s="37">
        <f t="shared" si="14"/>
        <v>0</v>
      </c>
      <c r="I141" s="47">
        <f t="shared" si="14"/>
        <v>14.333333333333334</v>
      </c>
      <c r="J141" s="39">
        <v>14.8</v>
      </c>
      <c r="K141" s="66"/>
      <c r="L141" s="67"/>
      <c r="M141" s="70"/>
      <c r="N141" s="65" t="s">
        <v>284</v>
      </c>
    </row>
    <row r="142" spans="1:14" ht="15" customHeight="1">
      <c r="A142" s="115" t="s">
        <v>285</v>
      </c>
      <c r="B142" s="122"/>
      <c r="C142" s="35">
        <v>13800</v>
      </c>
      <c r="D142" s="35">
        <v>17500</v>
      </c>
      <c r="E142" s="36"/>
      <c r="F142" s="112">
        <f t="shared" si="13"/>
        <v>0</v>
      </c>
      <c r="G142" s="37">
        <f>C142/500</f>
        <v>27.6</v>
      </c>
      <c r="H142" s="37">
        <f t="shared" si="14"/>
        <v>29.166666666666668</v>
      </c>
      <c r="I142" s="38">
        <f t="shared" si="14"/>
        <v>0</v>
      </c>
      <c r="J142" s="39">
        <v>29.2</v>
      </c>
      <c r="K142" s="68"/>
      <c r="L142" s="67"/>
      <c r="M142" s="67"/>
      <c r="N142" s="69"/>
    </row>
    <row r="143" spans="1:14" ht="15" customHeight="1">
      <c r="A143" s="115" t="s">
        <v>286</v>
      </c>
      <c r="B143" s="122"/>
      <c r="C143" s="35">
        <v>13200</v>
      </c>
      <c r="D143" s="35">
        <v>14000</v>
      </c>
      <c r="E143" s="36">
        <v>13000</v>
      </c>
      <c r="F143" s="112">
        <f t="shared" si="13"/>
        <v>0</v>
      </c>
      <c r="G143" s="37">
        <f>C143/600</f>
        <v>22</v>
      </c>
      <c r="H143" s="37">
        <f t="shared" si="14"/>
        <v>23.333333333333332</v>
      </c>
      <c r="I143" s="38">
        <f>E143/500</f>
        <v>26</v>
      </c>
      <c r="J143" s="39">
        <v>22</v>
      </c>
      <c r="K143" s="68"/>
      <c r="L143" s="67" t="s">
        <v>113</v>
      </c>
      <c r="M143" s="67"/>
      <c r="N143" s="69" t="s">
        <v>405</v>
      </c>
    </row>
    <row r="144" spans="1:14" ht="15" customHeight="1">
      <c r="A144" s="115" t="s">
        <v>287</v>
      </c>
      <c r="B144" s="122"/>
      <c r="C144" s="35">
        <v>11900</v>
      </c>
      <c r="D144" s="35"/>
      <c r="E144" s="36"/>
      <c r="F144" s="112">
        <f t="shared" si="13"/>
        <v>0</v>
      </c>
      <c r="G144" s="37">
        <f>C144/500</f>
        <v>23.8</v>
      </c>
      <c r="H144" s="37">
        <f t="shared" si="14"/>
        <v>0</v>
      </c>
      <c r="I144" s="38">
        <f t="shared" si="14"/>
        <v>0</v>
      </c>
      <c r="J144" s="39">
        <v>23.8</v>
      </c>
      <c r="K144" s="68"/>
      <c r="L144" s="67" t="s">
        <v>178</v>
      </c>
      <c r="M144" s="67"/>
      <c r="N144" s="69"/>
    </row>
    <row r="145" spans="1:14" ht="15" customHeight="1">
      <c r="A145" s="115" t="s">
        <v>288</v>
      </c>
      <c r="B145" s="122"/>
      <c r="C145" s="35">
        <v>7900</v>
      </c>
      <c r="D145" s="35">
        <v>10000</v>
      </c>
      <c r="E145" s="36">
        <v>7900</v>
      </c>
      <c r="F145" s="112">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5" t="s">
        <v>290</v>
      </c>
      <c r="B146" s="122"/>
      <c r="C146" s="35">
        <v>5800</v>
      </c>
      <c r="D146" s="35">
        <v>7500</v>
      </c>
      <c r="E146" s="36"/>
      <c r="F146" s="112">
        <f t="shared" si="13"/>
        <v>0</v>
      </c>
      <c r="G146" s="37">
        <f>C146/500</f>
        <v>11.6</v>
      </c>
      <c r="H146" s="37">
        <f t="shared" si="14"/>
        <v>12.5</v>
      </c>
      <c r="I146" s="38">
        <f t="shared" si="14"/>
        <v>0</v>
      </c>
      <c r="K146" s="68"/>
      <c r="L146" s="67"/>
      <c r="M146" s="67" t="s">
        <v>165</v>
      </c>
      <c r="N146" s="69"/>
    </row>
    <row r="147" spans="1:14" ht="15" customHeight="1">
      <c r="A147" s="115" t="s">
        <v>291</v>
      </c>
      <c r="B147" s="122"/>
      <c r="C147" s="35">
        <v>11600</v>
      </c>
      <c r="D147" s="35">
        <v>10500</v>
      </c>
      <c r="E147" s="36">
        <v>13700</v>
      </c>
      <c r="F147" s="112">
        <f t="shared" si="13"/>
        <v>0</v>
      </c>
      <c r="G147" s="37">
        <f>C147/500</f>
        <v>23.2</v>
      </c>
      <c r="H147" s="37">
        <f t="shared" si="14"/>
        <v>17.5</v>
      </c>
      <c r="I147" s="38">
        <f t="shared" si="14"/>
        <v>22.833333333333332</v>
      </c>
      <c r="J147" s="39">
        <v>22.8</v>
      </c>
      <c r="K147" s="68"/>
      <c r="L147" s="67" t="s">
        <v>292</v>
      </c>
      <c r="M147" s="67"/>
      <c r="N147" s="69" t="s">
        <v>121</v>
      </c>
    </row>
    <row r="148" spans="1:14" ht="15" customHeight="1">
      <c r="A148" s="115" t="s">
        <v>293</v>
      </c>
      <c r="B148" s="122"/>
      <c r="C148" s="35">
        <v>60000</v>
      </c>
      <c r="D148" s="35">
        <v>30000</v>
      </c>
      <c r="E148" s="36">
        <v>67500</v>
      </c>
      <c r="F148" s="112">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6" t="s">
        <v>297</v>
      </c>
      <c r="B149" s="123"/>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7" t="s">
        <v>298</v>
      </c>
      <c r="B150" s="125"/>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6" t="s">
        <v>299</v>
      </c>
      <c r="B151" s="122"/>
      <c r="C151" s="35">
        <v>29000</v>
      </c>
      <c r="D151" s="35">
        <v>23000</v>
      </c>
      <c r="E151" s="36">
        <v>20700</v>
      </c>
      <c r="F151" s="112">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6" t="s">
        <v>300</v>
      </c>
      <c r="B152" s="122"/>
      <c r="C152" s="35"/>
      <c r="D152" s="35"/>
      <c r="E152" s="36">
        <v>31200</v>
      </c>
      <c r="F152" s="112">
        <f t="shared" si="13"/>
        <v>0</v>
      </c>
      <c r="G152" s="37">
        <f>C152/600</f>
        <v>0</v>
      </c>
      <c r="H152" s="37">
        <f t="shared" si="15"/>
        <v>0</v>
      </c>
      <c r="I152" s="47">
        <f t="shared" si="15"/>
        <v>52</v>
      </c>
      <c r="J152" s="39">
        <v>52</v>
      </c>
      <c r="K152" s="40"/>
      <c r="L152" s="41"/>
      <c r="M152" s="41"/>
      <c r="N152" s="42"/>
    </row>
    <row r="153" spans="1:14" ht="15" customHeight="1">
      <c r="A153" s="116" t="s">
        <v>301</v>
      </c>
      <c r="B153" s="122"/>
      <c r="C153" s="35">
        <v>22500</v>
      </c>
      <c r="D153" s="35">
        <v>28000</v>
      </c>
      <c r="E153" s="36">
        <v>26900</v>
      </c>
      <c r="F153" s="112">
        <f t="shared" si="13"/>
        <v>0</v>
      </c>
      <c r="G153" s="37">
        <f>C153/500</f>
        <v>45</v>
      </c>
      <c r="H153" s="37">
        <f t="shared" si="15"/>
        <v>46.666666666666664</v>
      </c>
      <c r="I153" s="38">
        <f t="shared" si="15"/>
        <v>44.833333333333336</v>
      </c>
      <c r="J153" s="39">
        <v>46.7</v>
      </c>
      <c r="K153" s="40"/>
      <c r="L153" s="41"/>
      <c r="M153" s="41"/>
      <c r="N153" s="42"/>
    </row>
    <row r="154" spans="1:14" ht="15" customHeight="1">
      <c r="A154" s="116" t="s">
        <v>302</v>
      </c>
      <c r="B154" s="122"/>
      <c r="C154" s="35"/>
      <c r="D154" s="35">
        <v>9000</v>
      </c>
      <c r="E154" s="36"/>
      <c r="F154" s="112">
        <f t="shared" si="13"/>
        <v>0</v>
      </c>
      <c r="G154" s="37">
        <f>C154/500</f>
        <v>0</v>
      </c>
      <c r="H154" s="37">
        <f t="shared" si="15"/>
        <v>15</v>
      </c>
      <c r="I154" s="38">
        <f t="shared" si="15"/>
        <v>0</v>
      </c>
      <c r="J154" s="39">
        <v>15</v>
      </c>
      <c r="K154" s="40"/>
      <c r="L154" s="41"/>
      <c r="M154" s="46"/>
      <c r="N154" s="42"/>
    </row>
    <row r="155" spans="1:14" ht="15" customHeight="1">
      <c r="A155" s="116" t="s">
        <v>303</v>
      </c>
      <c r="B155" s="122"/>
      <c r="C155" s="35">
        <v>20000</v>
      </c>
      <c r="D155" s="35">
        <v>20000</v>
      </c>
      <c r="E155" s="36"/>
      <c r="F155" s="112">
        <f t="shared" si="13"/>
        <v>0</v>
      </c>
      <c r="G155" s="37">
        <f>C155/1000</f>
        <v>20</v>
      </c>
      <c r="H155" s="37">
        <f>D155/1000</f>
        <v>20</v>
      </c>
      <c r="I155" s="38">
        <f t="shared" si="15"/>
        <v>0</v>
      </c>
      <c r="J155" s="39">
        <v>20</v>
      </c>
      <c r="K155" s="40"/>
      <c r="L155" s="41" t="s">
        <v>304</v>
      </c>
      <c r="M155" s="46" t="s">
        <v>304</v>
      </c>
      <c r="N155" s="42"/>
    </row>
    <row r="156" spans="1:14" ht="15" customHeight="1">
      <c r="A156" s="116" t="s">
        <v>305</v>
      </c>
      <c r="B156" s="122"/>
      <c r="C156" s="35">
        <v>11500</v>
      </c>
      <c r="D156" s="35">
        <v>16000</v>
      </c>
      <c r="E156" s="36">
        <v>16500</v>
      </c>
      <c r="F156" s="112">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7" t="s">
        <v>307</v>
      </c>
      <c r="B157" s="122"/>
      <c r="C157" s="35"/>
      <c r="D157" s="35"/>
      <c r="E157" s="36"/>
      <c r="F157" s="112">
        <f t="shared" si="16"/>
        <v>0</v>
      </c>
      <c r="G157" s="37">
        <f>C157/500</f>
        <v>0</v>
      </c>
      <c r="H157" s="37">
        <f t="shared" si="17"/>
        <v>0</v>
      </c>
      <c r="I157" s="38">
        <f t="shared" si="15"/>
        <v>0</v>
      </c>
      <c r="K157" s="40"/>
      <c r="L157" s="41"/>
      <c r="M157" s="41"/>
      <c r="N157" s="42"/>
    </row>
    <row r="158" spans="1:14" ht="15" customHeight="1">
      <c r="A158" s="117" t="s">
        <v>308</v>
      </c>
      <c r="B158" s="122"/>
      <c r="C158" s="35"/>
      <c r="D158" s="35"/>
      <c r="E158" s="36">
        <v>7800</v>
      </c>
      <c r="F158" s="112">
        <f t="shared" si="16"/>
        <v>0</v>
      </c>
      <c r="G158" s="37">
        <f>C158/500</f>
        <v>0</v>
      </c>
      <c r="H158" s="37">
        <f t="shared" si="17"/>
        <v>0</v>
      </c>
      <c r="I158" s="47">
        <f t="shared" si="15"/>
        <v>13</v>
      </c>
      <c r="J158" s="39">
        <v>13</v>
      </c>
      <c r="K158" s="40"/>
      <c r="L158" s="41"/>
      <c r="M158" s="41"/>
      <c r="N158" s="42"/>
    </row>
    <row r="159" spans="1:14" ht="15" customHeight="1">
      <c r="A159" s="117" t="s">
        <v>309</v>
      </c>
      <c r="B159" s="122"/>
      <c r="C159" s="35">
        <v>8600</v>
      </c>
      <c r="D159" s="35">
        <v>11000</v>
      </c>
      <c r="E159" s="36"/>
      <c r="F159" s="112">
        <f t="shared" si="16"/>
        <v>0</v>
      </c>
      <c r="G159" s="37">
        <f>C159/500</f>
        <v>17.2</v>
      </c>
      <c r="H159" s="37">
        <f t="shared" si="17"/>
        <v>18.333333333333332</v>
      </c>
      <c r="I159" s="38">
        <f t="shared" si="15"/>
        <v>0</v>
      </c>
      <c r="J159" s="39">
        <v>18.3</v>
      </c>
      <c r="K159" s="40"/>
      <c r="L159" s="41"/>
      <c r="M159" s="41"/>
      <c r="N159" s="42"/>
    </row>
    <row r="160" spans="1:14" ht="15" customHeight="1">
      <c r="A160" s="117" t="s">
        <v>310</v>
      </c>
      <c r="B160" s="122"/>
      <c r="C160" s="35">
        <v>8000</v>
      </c>
      <c r="D160" s="35"/>
      <c r="E160" s="36">
        <v>10200</v>
      </c>
      <c r="F160" s="112">
        <f t="shared" si="16"/>
        <v>0</v>
      </c>
      <c r="G160" s="43">
        <f>C160/500</f>
        <v>16</v>
      </c>
      <c r="H160" s="37">
        <f t="shared" si="17"/>
        <v>0</v>
      </c>
      <c r="I160" s="38">
        <f t="shared" si="15"/>
        <v>17</v>
      </c>
      <c r="J160" s="39">
        <v>15.4</v>
      </c>
      <c r="K160" s="40"/>
      <c r="L160" s="41" t="s">
        <v>59</v>
      </c>
      <c r="M160" s="41"/>
      <c r="N160" s="42"/>
    </row>
    <row r="161" spans="1:14" ht="15" customHeight="1">
      <c r="A161" s="116" t="s">
        <v>311</v>
      </c>
      <c r="B161" s="122"/>
      <c r="C161" s="35">
        <v>3500</v>
      </c>
      <c r="D161" s="35">
        <v>4500</v>
      </c>
      <c r="E161" s="36"/>
      <c r="F161" s="112">
        <f t="shared" si="16"/>
        <v>0</v>
      </c>
      <c r="G161" s="37">
        <f>C161/600</f>
        <v>5.833333333333333</v>
      </c>
      <c r="H161" s="37">
        <f t="shared" si="17"/>
        <v>7.5</v>
      </c>
      <c r="I161" s="38">
        <f t="shared" si="15"/>
        <v>0</v>
      </c>
      <c r="K161" s="40"/>
      <c r="L161" s="41" t="s">
        <v>51</v>
      </c>
      <c r="M161" s="41"/>
      <c r="N161" s="42"/>
    </row>
    <row r="162" spans="1:14" ht="15" customHeight="1">
      <c r="A162" s="117" t="s">
        <v>312</v>
      </c>
      <c r="B162" s="122"/>
      <c r="C162" s="35">
        <v>4500</v>
      </c>
      <c r="D162" s="35"/>
      <c r="E162" s="36"/>
      <c r="F162" s="112">
        <f t="shared" si="16"/>
        <v>0</v>
      </c>
      <c r="G162" s="37">
        <f>C162/600</f>
        <v>7.5</v>
      </c>
      <c r="H162" s="37">
        <f t="shared" si="17"/>
        <v>0</v>
      </c>
      <c r="I162" s="38">
        <f t="shared" si="15"/>
        <v>0</v>
      </c>
      <c r="J162" s="39">
        <v>7.5</v>
      </c>
      <c r="K162" s="40"/>
      <c r="L162" s="41" t="s">
        <v>313</v>
      </c>
      <c r="M162" s="41"/>
      <c r="N162" s="42"/>
    </row>
    <row r="163" spans="1:14" ht="15" customHeight="1">
      <c r="A163" s="117" t="s">
        <v>314</v>
      </c>
      <c r="B163" s="122"/>
      <c r="C163" s="35">
        <v>4800</v>
      </c>
      <c r="D163" s="35">
        <v>7000</v>
      </c>
      <c r="E163" s="36">
        <v>6000</v>
      </c>
      <c r="F163" s="112">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7" t="s">
        <v>315</v>
      </c>
      <c r="B164" s="122"/>
      <c r="C164" s="35">
        <v>10600</v>
      </c>
      <c r="D164" s="35">
        <v>14000</v>
      </c>
      <c r="E164" s="36">
        <v>14200</v>
      </c>
      <c r="F164" s="112">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7" t="s">
        <v>316</v>
      </c>
      <c r="B165" s="122"/>
      <c r="C165" s="35">
        <v>7800</v>
      </c>
      <c r="D165" s="35">
        <v>11000</v>
      </c>
      <c r="E165" s="36">
        <v>9600</v>
      </c>
      <c r="F165" s="112">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7" t="s">
        <v>318</v>
      </c>
      <c r="B166" s="122"/>
      <c r="C166" s="35"/>
      <c r="D166" s="35"/>
      <c r="E166" s="36">
        <v>5600</v>
      </c>
      <c r="F166" s="112">
        <f t="shared" si="16"/>
        <v>0</v>
      </c>
      <c r="G166" s="37">
        <f t="shared" si="16"/>
        <v>0</v>
      </c>
      <c r="H166" s="37">
        <f t="shared" si="17"/>
        <v>0</v>
      </c>
      <c r="I166" s="38">
        <f t="shared" si="17"/>
        <v>9.3333333333333339</v>
      </c>
      <c r="J166" s="39">
        <v>9.3000000000000007</v>
      </c>
      <c r="K166" s="40"/>
      <c r="L166" s="41"/>
      <c r="M166" s="41"/>
      <c r="N166" s="42"/>
    </row>
    <row r="167" spans="1:14" ht="15" customHeight="1">
      <c r="A167" s="117" t="s">
        <v>319</v>
      </c>
      <c r="B167" s="122"/>
      <c r="C167" s="35">
        <v>10000</v>
      </c>
      <c r="D167" s="35"/>
      <c r="E167" s="36">
        <v>10000</v>
      </c>
      <c r="F167" s="112">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7" t="s">
        <v>321</v>
      </c>
      <c r="B168" s="122"/>
      <c r="C168" s="35"/>
      <c r="D168" s="35"/>
      <c r="E168" s="36"/>
      <c r="F168" s="112">
        <f t="shared" si="16"/>
        <v>0</v>
      </c>
      <c r="G168" s="37">
        <f t="shared" si="16"/>
        <v>0</v>
      </c>
      <c r="H168" s="37">
        <f t="shared" si="17"/>
        <v>0</v>
      </c>
      <c r="I168" s="38">
        <f t="shared" si="17"/>
        <v>0</v>
      </c>
      <c r="K168" s="40"/>
      <c r="L168" s="41"/>
      <c r="M168" s="41"/>
      <c r="N168" s="42"/>
    </row>
    <row r="169" spans="1:14" ht="15" customHeight="1">
      <c r="A169" s="117" t="s">
        <v>322</v>
      </c>
      <c r="B169" s="122"/>
      <c r="C169" s="35">
        <v>9500</v>
      </c>
      <c r="D169" s="35">
        <v>14000</v>
      </c>
      <c r="E169" s="36"/>
      <c r="F169" s="112">
        <f t="shared" si="16"/>
        <v>0</v>
      </c>
      <c r="G169" s="37">
        <f t="shared" si="16"/>
        <v>19</v>
      </c>
      <c r="H169" s="37">
        <f t="shared" si="17"/>
        <v>23.333333333333332</v>
      </c>
      <c r="I169" s="38">
        <f t="shared" si="17"/>
        <v>0</v>
      </c>
      <c r="J169" s="39">
        <v>23.3</v>
      </c>
      <c r="K169" s="40"/>
      <c r="L169" s="41"/>
      <c r="M169" s="41"/>
      <c r="N169" s="42"/>
    </row>
    <row r="170" spans="1:14" ht="15" customHeight="1">
      <c r="A170" s="117" t="s">
        <v>323</v>
      </c>
      <c r="B170" s="122">
        <v>8800</v>
      </c>
      <c r="C170" s="35">
        <v>5100</v>
      </c>
      <c r="D170" s="35">
        <v>5800</v>
      </c>
      <c r="E170" s="36">
        <v>7000</v>
      </c>
      <c r="F170" s="112">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7" t="s">
        <v>327</v>
      </c>
      <c r="B171" s="122">
        <v>22500</v>
      </c>
      <c r="C171" s="35"/>
      <c r="D171" s="35"/>
      <c r="E171" s="36"/>
      <c r="F171" s="112">
        <f t="shared" si="16"/>
        <v>45</v>
      </c>
      <c r="G171" s="37">
        <f t="shared" si="16"/>
        <v>0</v>
      </c>
      <c r="H171" s="37">
        <f t="shared" si="17"/>
        <v>0</v>
      </c>
      <c r="I171" s="38">
        <f t="shared" si="17"/>
        <v>0</v>
      </c>
      <c r="J171" s="39">
        <v>45</v>
      </c>
      <c r="K171" s="40"/>
      <c r="L171" s="41"/>
      <c r="M171" s="41"/>
      <c r="N171" s="42"/>
    </row>
    <row r="172" spans="1:14" ht="15" customHeight="1" thickBot="1">
      <c r="A172" s="119" t="s">
        <v>328</v>
      </c>
      <c r="B172" s="123"/>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9" t="s">
        <v>329</v>
      </c>
      <c r="B173" s="125"/>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8" t="s">
        <v>330</v>
      </c>
      <c r="B174" s="122"/>
      <c r="C174" s="35"/>
      <c r="D174" s="35"/>
      <c r="E174" s="36"/>
      <c r="F174" s="112">
        <f t="shared" si="16"/>
        <v>0</v>
      </c>
      <c r="G174" s="37">
        <f t="shared" si="16"/>
        <v>0</v>
      </c>
      <c r="H174" s="37">
        <f t="shared" si="17"/>
        <v>0</v>
      </c>
      <c r="I174" s="38">
        <f t="shared" si="17"/>
        <v>0</v>
      </c>
      <c r="K174" s="40"/>
      <c r="L174" s="41"/>
      <c r="M174" s="41"/>
      <c r="N174" s="42"/>
    </row>
    <row r="175" spans="1:14" ht="15" customHeight="1">
      <c r="A175" s="118" t="s">
        <v>331</v>
      </c>
      <c r="B175" s="122"/>
      <c r="C175" s="35">
        <v>11000</v>
      </c>
      <c r="D175" s="35"/>
      <c r="E175" s="36">
        <v>15000</v>
      </c>
      <c r="F175" s="112">
        <f t="shared" si="16"/>
        <v>0</v>
      </c>
      <c r="G175" s="71">
        <f t="shared" si="16"/>
        <v>22</v>
      </c>
      <c r="H175" s="37">
        <f t="shared" si="17"/>
        <v>0</v>
      </c>
      <c r="I175" s="143">
        <f t="shared" si="17"/>
        <v>25</v>
      </c>
      <c r="J175" s="39">
        <v>25</v>
      </c>
      <c r="K175" s="40"/>
      <c r="L175" s="56" t="s">
        <v>52</v>
      </c>
      <c r="M175" s="41"/>
      <c r="N175" s="42" t="s">
        <v>91</v>
      </c>
    </row>
    <row r="176" spans="1:14" ht="15" customHeight="1">
      <c r="A176" s="118" t="s">
        <v>332</v>
      </c>
      <c r="B176" s="122">
        <v>31900</v>
      </c>
      <c r="C176" s="35"/>
      <c r="D176" s="35">
        <v>17000</v>
      </c>
      <c r="E176" s="36">
        <v>25800</v>
      </c>
      <c r="F176" s="112">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8" t="s">
        <v>336</v>
      </c>
      <c r="B177" s="122"/>
      <c r="C177" s="35">
        <v>5200</v>
      </c>
      <c r="D177" s="35">
        <v>14000</v>
      </c>
      <c r="E177" s="36">
        <v>6500</v>
      </c>
      <c r="F177" s="112">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5" t="s">
        <v>338</v>
      </c>
      <c r="B178" s="122"/>
      <c r="C178" s="35"/>
      <c r="D178" s="35"/>
      <c r="E178" s="36">
        <v>12500</v>
      </c>
      <c r="F178" s="112">
        <f t="shared" si="16"/>
        <v>0</v>
      </c>
      <c r="G178" s="37">
        <f t="shared" si="16"/>
        <v>0</v>
      </c>
      <c r="H178" s="37">
        <f t="shared" si="17"/>
        <v>0</v>
      </c>
      <c r="I178" s="38">
        <f t="shared" si="17"/>
        <v>20.833333333333332</v>
      </c>
      <c r="J178" s="39">
        <v>20.8</v>
      </c>
      <c r="K178" s="40"/>
      <c r="L178" s="41"/>
      <c r="M178" s="41"/>
      <c r="N178" s="42" t="s">
        <v>46</v>
      </c>
    </row>
    <row r="179" spans="1:14" ht="15" customHeight="1">
      <c r="A179" s="118" t="s">
        <v>339</v>
      </c>
      <c r="B179" s="122"/>
      <c r="C179" s="35">
        <v>5800</v>
      </c>
      <c r="D179" s="35"/>
      <c r="E179" s="36"/>
      <c r="F179" s="112">
        <f t="shared" si="16"/>
        <v>0</v>
      </c>
      <c r="G179" s="37">
        <f t="shared" si="16"/>
        <v>11.6</v>
      </c>
      <c r="H179" s="37">
        <f t="shared" si="17"/>
        <v>0</v>
      </c>
      <c r="I179" s="38">
        <f t="shared" si="17"/>
        <v>0</v>
      </c>
      <c r="J179" s="39">
        <v>11.6</v>
      </c>
      <c r="K179" s="40"/>
      <c r="L179" s="41" t="s">
        <v>340</v>
      </c>
      <c r="M179" s="41"/>
      <c r="N179" s="42"/>
    </row>
    <row r="180" spans="1:14" ht="15" customHeight="1">
      <c r="A180" s="118" t="s">
        <v>341</v>
      </c>
      <c r="B180" s="122"/>
      <c r="C180" s="35">
        <v>21900</v>
      </c>
      <c r="D180" s="35">
        <v>24000</v>
      </c>
      <c r="E180" s="36">
        <v>24300</v>
      </c>
      <c r="F180" s="112">
        <f t="shared" si="16"/>
        <v>0</v>
      </c>
      <c r="G180" s="37">
        <f t="shared" si="16"/>
        <v>43.8</v>
      </c>
      <c r="H180" s="37">
        <f t="shared" si="17"/>
        <v>40</v>
      </c>
      <c r="I180" s="38">
        <f t="shared" si="17"/>
        <v>40.5</v>
      </c>
      <c r="J180" s="39">
        <v>40</v>
      </c>
      <c r="K180" s="40"/>
      <c r="L180" s="41" t="s">
        <v>68</v>
      </c>
      <c r="M180" s="46"/>
      <c r="N180" s="42" t="s">
        <v>91</v>
      </c>
    </row>
    <row r="181" spans="1:14" ht="15" customHeight="1">
      <c r="A181" s="118" t="s">
        <v>342</v>
      </c>
      <c r="B181" s="122"/>
      <c r="C181" s="35">
        <v>13800</v>
      </c>
      <c r="D181" s="35"/>
      <c r="E181" s="36">
        <v>17900</v>
      </c>
      <c r="F181" s="112">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8" t="s">
        <v>344</v>
      </c>
      <c r="B182" s="122"/>
      <c r="C182" s="35">
        <v>11000</v>
      </c>
      <c r="D182" s="35"/>
      <c r="E182" s="36">
        <v>11000</v>
      </c>
      <c r="F182" s="112">
        <f t="shared" si="16"/>
        <v>0</v>
      </c>
      <c r="G182" s="37">
        <f t="shared" si="16"/>
        <v>22</v>
      </c>
      <c r="H182" s="37">
        <f t="shared" si="17"/>
        <v>0</v>
      </c>
      <c r="I182" s="38">
        <f>E182/500</f>
        <v>22</v>
      </c>
      <c r="J182" s="39">
        <v>22</v>
      </c>
      <c r="K182" s="40"/>
      <c r="L182" s="41" t="s">
        <v>345</v>
      </c>
      <c r="M182" s="41"/>
      <c r="N182" s="42" t="s">
        <v>346</v>
      </c>
    </row>
    <row r="183" spans="1:14" ht="15" customHeight="1">
      <c r="A183" s="118" t="s">
        <v>416</v>
      </c>
      <c r="B183" s="122"/>
      <c r="C183" s="35"/>
      <c r="D183" s="35"/>
      <c r="E183" s="36"/>
      <c r="F183" s="112"/>
      <c r="G183" s="37"/>
      <c r="H183" s="37"/>
      <c r="I183" s="38"/>
      <c r="K183" s="40"/>
      <c r="L183" s="41"/>
      <c r="M183" s="41"/>
      <c r="N183" s="42"/>
    </row>
    <row r="184" spans="1:14" ht="15" customHeight="1">
      <c r="A184" s="118" t="s">
        <v>347</v>
      </c>
      <c r="B184" s="122"/>
      <c r="C184" s="35">
        <v>11300</v>
      </c>
      <c r="D184" s="35"/>
      <c r="E184" s="36">
        <v>14200</v>
      </c>
      <c r="F184" s="112">
        <f t="shared" si="16"/>
        <v>0</v>
      </c>
      <c r="G184" s="37">
        <f t="shared" si="16"/>
        <v>22.6</v>
      </c>
      <c r="H184" s="37">
        <f t="shared" si="17"/>
        <v>0</v>
      </c>
      <c r="I184" s="38">
        <f t="shared" si="17"/>
        <v>23.666666666666668</v>
      </c>
      <c r="J184" s="39">
        <v>22.6</v>
      </c>
      <c r="K184" s="40"/>
      <c r="L184" s="41" t="s">
        <v>46</v>
      </c>
      <c r="M184" s="41"/>
      <c r="N184" s="42" t="s">
        <v>46</v>
      </c>
    </row>
    <row r="185" spans="1:14" ht="15" customHeight="1">
      <c r="A185" s="118" t="s">
        <v>348</v>
      </c>
      <c r="B185" s="122"/>
      <c r="C185" s="35"/>
      <c r="D185" s="35">
        <v>8500</v>
      </c>
      <c r="E185" s="36"/>
      <c r="F185" s="112">
        <f t="shared" si="16"/>
        <v>0</v>
      </c>
      <c r="G185" s="37">
        <f t="shared" si="16"/>
        <v>0</v>
      </c>
      <c r="H185" s="37">
        <f t="shared" si="17"/>
        <v>14.166666666666666</v>
      </c>
      <c r="I185" s="38">
        <f t="shared" si="17"/>
        <v>0</v>
      </c>
      <c r="J185" s="39">
        <v>14.2</v>
      </c>
      <c r="K185" s="40"/>
      <c r="L185" s="41"/>
      <c r="M185" s="41"/>
      <c r="N185" s="42"/>
    </row>
    <row r="186" spans="1:14" ht="15" customHeight="1">
      <c r="A186" s="118" t="s">
        <v>349</v>
      </c>
      <c r="B186" s="122"/>
      <c r="C186" s="35">
        <v>3300</v>
      </c>
      <c r="D186" s="35">
        <v>5800</v>
      </c>
      <c r="E186" s="36">
        <v>4400</v>
      </c>
      <c r="F186" s="112">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8" t="s">
        <v>351</v>
      </c>
      <c r="B187" s="122"/>
      <c r="C187" s="35"/>
      <c r="D187" s="35"/>
      <c r="E187" s="36"/>
      <c r="F187" s="112">
        <f t="shared" si="16"/>
        <v>0</v>
      </c>
      <c r="G187" s="37">
        <f t="shared" si="16"/>
        <v>0</v>
      </c>
      <c r="H187" s="37">
        <f t="shared" si="17"/>
        <v>0</v>
      </c>
      <c r="I187" s="38">
        <f t="shared" si="17"/>
        <v>0</v>
      </c>
      <c r="K187" s="40"/>
      <c r="L187" s="41"/>
      <c r="M187" s="41"/>
      <c r="N187" s="42"/>
    </row>
    <row r="188" spans="1:14" ht="15" customHeight="1">
      <c r="A188" s="118" t="s">
        <v>352</v>
      </c>
      <c r="B188" s="122"/>
      <c r="C188" s="35"/>
      <c r="D188" s="35"/>
      <c r="E188" s="36"/>
      <c r="F188" s="112">
        <f t="shared" si="16"/>
        <v>0</v>
      </c>
      <c r="G188" s="37">
        <f t="shared" si="16"/>
        <v>0</v>
      </c>
      <c r="H188" s="37">
        <f t="shared" si="17"/>
        <v>0</v>
      </c>
      <c r="I188" s="38">
        <f t="shared" si="17"/>
        <v>0</v>
      </c>
      <c r="K188" s="40"/>
      <c r="L188" s="41"/>
      <c r="M188" s="41"/>
      <c r="N188" s="42"/>
    </row>
    <row r="189" spans="1:14" ht="15" customHeight="1">
      <c r="A189" s="118" t="s">
        <v>353</v>
      </c>
      <c r="B189" s="122"/>
      <c r="C189" s="35">
        <v>5800</v>
      </c>
      <c r="D189" s="35">
        <v>7000</v>
      </c>
      <c r="E189" s="36"/>
      <c r="F189" s="112">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8" t="s">
        <v>354</v>
      </c>
      <c r="B190" s="122"/>
      <c r="C190" s="35"/>
      <c r="D190" s="35"/>
      <c r="E190" s="36"/>
      <c r="F190" s="112">
        <f t="shared" si="18"/>
        <v>0</v>
      </c>
      <c r="G190" s="37">
        <f t="shared" si="18"/>
        <v>0</v>
      </c>
      <c r="H190" s="37">
        <f t="shared" si="17"/>
        <v>0</v>
      </c>
      <c r="I190" s="38">
        <f t="shared" si="17"/>
        <v>0</v>
      </c>
      <c r="K190" s="40"/>
      <c r="L190" s="41"/>
      <c r="M190" s="41"/>
      <c r="N190" s="42"/>
    </row>
    <row r="191" spans="1:14" ht="15" customHeight="1" thickBot="1">
      <c r="A191" s="130" t="s">
        <v>355</v>
      </c>
      <c r="B191" s="123">
        <v>10800</v>
      </c>
      <c r="C191" s="48">
        <v>9500</v>
      </c>
      <c r="D191" s="48">
        <v>7500</v>
      </c>
      <c r="E191" s="49">
        <v>12700</v>
      </c>
      <c r="F191" s="72">
        <f t="shared" si="18"/>
        <v>21.6</v>
      </c>
      <c r="G191" s="50">
        <f t="shared" si="18"/>
        <v>19</v>
      </c>
      <c r="H191" s="50">
        <f t="shared" si="17"/>
        <v>12.5</v>
      </c>
      <c r="I191" s="59">
        <f t="shared" si="17"/>
        <v>21.166666666666668</v>
      </c>
      <c r="J191" s="51">
        <v>26</v>
      </c>
      <c r="K191" s="139"/>
      <c r="L191" s="52" t="s">
        <v>46</v>
      </c>
      <c r="M191" s="53"/>
      <c r="N191" s="61" t="s">
        <v>207</v>
      </c>
    </row>
    <row r="192" spans="1:14" ht="15" customHeight="1">
      <c r="A192" s="131" t="s">
        <v>356</v>
      </c>
      <c r="B192" s="125"/>
      <c r="C192" s="25">
        <v>13200</v>
      </c>
      <c r="D192" s="25">
        <v>15000</v>
      </c>
      <c r="E192" s="26">
        <v>16300</v>
      </c>
      <c r="F192" s="27">
        <f t="shared" si="18"/>
        <v>0</v>
      </c>
      <c r="G192" s="28">
        <f t="shared" si="18"/>
        <v>26.4</v>
      </c>
      <c r="H192" s="28">
        <f t="shared" si="17"/>
        <v>25</v>
      </c>
      <c r="I192" s="55">
        <f t="shared" si="17"/>
        <v>27.166666666666668</v>
      </c>
      <c r="J192" s="30">
        <v>23.7</v>
      </c>
      <c r="K192" s="31"/>
      <c r="L192" s="140" t="s">
        <v>46</v>
      </c>
      <c r="M192" s="33" t="s">
        <v>65</v>
      </c>
      <c r="N192" s="34" t="s">
        <v>48</v>
      </c>
    </row>
    <row r="193" spans="1:14" ht="15" customHeight="1">
      <c r="A193" s="141" t="s">
        <v>357</v>
      </c>
      <c r="B193" s="122"/>
      <c r="C193" s="35">
        <v>5500</v>
      </c>
      <c r="D193" s="35"/>
      <c r="E193" s="36"/>
      <c r="F193" s="112"/>
      <c r="G193" s="37">
        <f t="shared" si="18"/>
        <v>11</v>
      </c>
      <c r="H193" s="37"/>
      <c r="I193" s="38"/>
      <c r="J193" s="39">
        <v>11</v>
      </c>
      <c r="K193" s="136"/>
      <c r="L193" s="41" t="s">
        <v>358</v>
      </c>
      <c r="M193" s="132"/>
      <c r="N193" s="142"/>
    </row>
    <row r="194" spans="1:14" ht="15" customHeight="1" thickBot="1">
      <c r="A194" s="119" t="s">
        <v>359</v>
      </c>
      <c r="B194" s="123"/>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9" t="s">
        <v>362</v>
      </c>
      <c r="B195" s="125"/>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8" t="s">
        <v>366</v>
      </c>
      <c r="B196" s="122"/>
      <c r="C196" s="35">
        <v>21000</v>
      </c>
      <c r="D196" s="35">
        <v>25500</v>
      </c>
      <c r="E196" s="36">
        <v>25400</v>
      </c>
      <c r="F196" s="112">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8" t="s">
        <v>368</v>
      </c>
      <c r="B197" s="122"/>
      <c r="C197" s="35">
        <v>19000</v>
      </c>
      <c r="D197" s="35">
        <v>19200</v>
      </c>
      <c r="E197" s="36">
        <v>19200</v>
      </c>
      <c r="F197" s="112">
        <f t="shared" si="19"/>
        <v>0</v>
      </c>
      <c r="G197" s="37">
        <f>C197/500</f>
        <v>38</v>
      </c>
      <c r="H197" s="37">
        <f t="shared" si="20"/>
        <v>32</v>
      </c>
      <c r="I197" s="38">
        <f t="shared" si="20"/>
        <v>32</v>
      </c>
      <c r="J197" s="39">
        <v>32</v>
      </c>
      <c r="K197" s="40"/>
      <c r="L197" s="41"/>
      <c r="M197" s="41"/>
      <c r="N197" s="42"/>
    </row>
    <row r="198" spans="1:14" ht="15" customHeight="1">
      <c r="A198" s="118" t="s">
        <v>369</v>
      </c>
      <c r="B198" s="122"/>
      <c r="C198" s="35"/>
      <c r="D198" s="35"/>
      <c r="E198" s="36"/>
      <c r="F198" s="112">
        <f t="shared" si="19"/>
        <v>0</v>
      </c>
      <c r="G198" s="37">
        <f>C198/500</f>
        <v>0</v>
      </c>
      <c r="H198" s="37">
        <f t="shared" si="20"/>
        <v>0</v>
      </c>
      <c r="I198" s="38">
        <f t="shared" si="20"/>
        <v>0</v>
      </c>
      <c r="K198" s="40"/>
      <c r="L198" s="41"/>
      <c r="M198" s="41"/>
      <c r="N198" s="42"/>
    </row>
    <row r="199" spans="1:14" ht="15" customHeight="1" thickBot="1">
      <c r="A199" s="130" t="s">
        <v>370</v>
      </c>
      <c r="B199" s="123"/>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1" t="s">
        <v>371</v>
      </c>
      <c r="B200" s="125"/>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7" t="s">
        <v>372</v>
      </c>
      <c r="B201" s="122"/>
      <c r="C201" s="35">
        <v>5900</v>
      </c>
      <c r="D201" s="35">
        <v>6500</v>
      </c>
      <c r="E201" s="36">
        <v>6900</v>
      </c>
      <c r="F201" s="112">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7" t="s">
        <v>375</v>
      </c>
      <c r="B202" s="122"/>
      <c r="C202" s="35">
        <v>7200</v>
      </c>
      <c r="D202" s="35">
        <v>9500</v>
      </c>
      <c r="E202" s="36">
        <v>8600</v>
      </c>
      <c r="F202" s="112">
        <f t="shared" si="19"/>
        <v>0</v>
      </c>
      <c r="G202" s="37">
        <f t="shared" si="19"/>
        <v>14.4</v>
      </c>
      <c r="H202" s="37">
        <f t="shared" si="20"/>
        <v>15.833333333333334</v>
      </c>
      <c r="I202" s="95">
        <f t="shared" si="20"/>
        <v>14.333333333333334</v>
      </c>
      <c r="J202" s="39">
        <v>14.7</v>
      </c>
      <c r="K202" s="40"/>
      <c r="L202" s="110" t="s">
        <v>46</v>
      </c>
      <c r="M202" s="46" t="s">
        <v>376</v>
      </c>
      <c r="N202" s="42" t="s">
        <v>46</v>
      </c>
    </row>
    <row r="203" spans="1:14" ht="15" customHeight="1">
      <c r="A203" s="117" t="s">
        <v>377</v>
      </c>
      <c r="B203" s="122"/>
      <c r="C203" s="35"/>
      <c r="D203" s="35"/>
      <c r="E203" s="36">
        <v>39000</v>
      </c>
      <c r="F203" s="112">
        <f t="shared" si="19"/>
        <v>0</v>
      </c>
      <c r="G203" s="37">
        <f t="shared" si="19"/>
        <v>0</v>
      </c>
      <c r="H203" s="37">
        <f>D203/600</f>
        <v>0</v>
      </c>
      <c r="I203" s="38">
        <f>E203/1000</f>
        <v>39</v>
      </c>
      <c r="J203" s="39">
        <v>39</v>
      </c>
      <c r="K203" s="40"/>
      <c r="L203" s="41"/>
      <c r="M203" s="41"/>
      <c r="N203" s="42" t="s">
        <v>378</v>
      </c>
    </row>
    <row r="204" spans="1:14" ht="15" customHeight="1">
      <c r="A204" s="117" t="s">
        <v>379</v>
      </c>
      <c r="B204" s="122"/>
      <c r="C204" s="35">
        <v>12000</v>
      </c>
      <c r="D204" s="35">
        <v>6000</v>
      </c>
      <c r="E204" s="36">
        <v>15300</v>
      </c>
      <c r="F204" s="112">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7" t="s">
        <v>381</v>
      </c>
      <c r="B205" s="122"/>
      <c r="C205" s="35">
        <v>14500</v>
      </c>
      <c r="D205" s="35">
        <v>37000</v>
      </c>
      <c r="E205" s="36">
        <v>35800</v>
      </c>
      <c r="F205" s="112">
        <f t="shared" si="19"/>
        <v>0</v>
      </c>
      <c r="G205" s="37">
        <f>C205/600</f>
        <v>24.166666666666668</v>
      </c>
      <c r="H205" s="37">
        <f>D205/600</f>
        <v>61.666666666666664</v>
      </c>
      <c r="I205" s="38">
        <f t="shared" si="21"/>
        <v>59.666666666666664</v>
      </c>
      <c r="J205" s="39">
        <v>59.7</v>
      </c>
      <c r="K205" s="40"/>
      <c r="L205" s="41"/>
      <c r="M205" s="46"/>
      <c r="N205" s="42"/>
    </row>
    <row r="206" spans="1:14" ht="15" customHeight="1">
      <c r="A206" s="117" t="s">
        <v>382</v>
      </c>
      <c r="B206" s="122"/>
      <c r="C206" s="35">
        <v>8800</v>
      </c>
      <c r="D206" s="35"/>
      <c r="E206" s="36">
        <v>10500</v>
      </c>
      <c r="F206" s="112">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7" t="s">
        <v>383</v>
      </c>
      <c r="B207" s="122"/>
      <c r="C207" s="35">
        <v>19500</v>
      </c>
      <c r="D207" s="35">
        <v>30000</v>
      </c>
      <c r="E207" s="36">
        <v>26000</v>
      </c>
      <c r="F207" s="112">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7" t="s">
        <v>386</v>
      </c>
      <c r="B208" s="122"/>
      <c r="C208" s="35"/>
      <c r="D208" s="35">
        <v>8500</v>
      </c>
      <c r="E208" s="36"/>
      <c r="F208" s="112">
        <f t="shared" si="19"/>
        <v>0</v>
      </c>
      <c r="G208" s="37">
        <f t="shared" si="19"/>
        <v>0</v>
      </c>
      <c r="H208" s="37">
        <f>D208/1000</f>
        <v>8.5</v>
      </c>
      <c r="I208" s="38">
        <f t="shared" si="21"/>
        <v>0</v>
      </c>
      <c r="J208" s="39">
        <v>8.5</v>
      </c>
      <c r="K208" s="40"/>
      <c r="L208" s="41"/>
      <c r="M208" s="46" t="s">
        <v>387</v>
      </c>
      <c r="N208" s="42"/>
    </row>
    <row r="209" spans="1:14" ht="15" customHeight="1">
      <c r="A209" s="117" t="s">
        <v>388</v>
      </c>
      <c r="B209" s="122"/>
      <c r="C209" s="35">
        <v>9000</v>
      </c>
      <c r="D209" s="35">
        <v>9000</v>
      </c>
      <c r="E209" s="36">
        <v>13500</v>
      </c>
      <c r="F209" s="112">
        <f t="shared" si="19"/>
        <v>0</v>
      </c>
      <c r="G209" s="37">
        <f t="shared" si="19"/>
        <v>18</v>
      </c>
      <c r="H209" s="37">
        <f t="shared" ref="H209:H214" si="22">D209/600</f>
        <v>15</v>
      </c>
      <c r="I209" s="47">
        <f t="shared" si="21"/>
        <v>22.5</v>
      </c>
      <c r="J209" s="39">
        <v>22.5</v>
      </c>
      <c r="K209" s="40"/>
      <c r="L209" s="41"/>
      <c r="M209" s="46"/>
      <c r="N209" s="42" t="s">
        <v>389</v>
      </c>
    </row>
    <row r="210" spans="1:14" ht="15" customHeight="1">
      <c r="A210" s="117" t="s">
        <v>390</v>
      </c>
      <c r="B210" s="122"/>
      <c r="C210" s="35">
        <v>11000</v>
      </c>
      <c r="D210" s="35">
        <v>24000</v>
      </c>
      <c r="E210" s="36">
        <v>13400</v>
      </c>
      <c r="F210" s="112">
        <f t="shared" si="19"/>
        <v>0</v>
      </c>
      <c r="G210" s="43">
        <f t="shared" si="19"/>
        <v>22</v>
      </c>
      <c r="H210" s="37">
        <f t="shared" si="22"/>
        <v>40</v>
      </c>
      <c r="I210" s="47">
        <f t="shared" si="21"/>
        <v>22.333333333333332</v>
      </c>
      <c r="J210" s="39">
        <v>22</v>
      </c>
      <c r="K210" s="40"/>
      <c r="L210" s="110" t="s">
        <v>391</v>
      </c>
      <c r="M210" s="46" t="s">
        <v>392</v>
      </c>
      <c r="N210" s="42" t="s">
        <v>393</v>
      </c>
    </row>
    <row r="211" spans="1:14" ht="15" customHeight="1">
      <c r="A211" s="117" t="s">
        <v>394</v>
      </c>
      <c r="B211" s="122"/>
      <c r="C211" s="35">
        <v>68400</v>
      </c>
      <c r="D211" s="35">
        <v>85000</v>
      </c>
      <c r="E211" s="36">
        <v>84800</v>
      </c>
      <c r="F211" s="112">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7" t="s">
        <v>397</v>
      </c>
      <c r="B212" s="122"/>
      <c r="C212" s="35">
        <v>12800</v>
      </c>
      <c r="D212" s="35">
        <v>9500</v>
      </c>
      <c r="E212" s="36">
        <v>16600</v>
      </c>
      <c r="F212" s="112">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7" t="s">
        <v>400</v>
      </c>
      <c r="B213" s="122"/>
      <c r="C213" s="35"/>
      <c r="D213" s="35">
        <v>9500</v>
      </c>
      <c r="E213" s="36"/>
      <c r="F213" s="112">
        <f t="shared" si="19"/>
        <v>0</v>
      </c>
      <c r="G213" s="37">
        <f t="shared" si="19"/>
        <v>0</v>
      </c>
      <c r="H213" s="37">
        <f t="shared" si="22"/>
        <v>15.833333333333334</v>
      </c>
      <c r="I213" s="38">
        <f t="shared" si="21"/>
        <v>0</v>
      </c>
      <c r="K213" s="40"/>
      <c r="L213" s="41"/>
      <c r="M213" s="41"/>
      <c r="N213" s="42"/>
    </row>
    <row r="214" spans="1:14" ht="15" customHeight="1" thickBot="1">
      <c r="A214" s="119" t="s">
        <v>401</v>
      </c>
      <c r="B214" s="123"/>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8</vt:i4>
      </vt:variant>
    </vt:vector>
  </HeadingPairs>
  <TitlesOfParts>
    <vt:vector size="8" baseType="lpstr">
      <vt:lpstr>처방전양식 (7)</vt:lpstr>
      <vt:lpstr>처방전양식 (6)</vt:lpstr>
      <vt:lpstr>처방전양식 (5)</vt:lpstr>
      <vt:lpstr>처방전양식 (4)</vt:lpstr>
      <vt:lpstr>처방전양식 (3)</vt: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2025-12-02T01:00:32Z</cp:lastPrinted>
  <dcterms:created xsi:type="dcterms:W3CDTF">2024-09-12T16:35:01Z</dcterms:created>
  <dcterms:modified xsi:type="dcterms:W3CDTF">2025-12-17T03:10:06Z</dcterms:modified>
  <cp:category/>
  <cp:contentStatus/>
</cp:coreProperties>
</file>