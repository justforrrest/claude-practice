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44" documentId="8_{6EB8DC0A-AB56-415F-A9F3-EA1534264548}" xr6:coauthVersionLast="47" xr6:coauthVersionMax="47" xr10:uidLastSave="{843C4435-7192-44B4-914E-3B79E2A24936}"/>
  <bookViews>
    <workbookView xWindow="-120" yWindow="-120" windowWidth="29040" windowHeight="1572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5" l="1"/>
  <c r="I86" i="5"/>
  <c r="I53" i="5"/>
  <c r="I54" i="5"/>
  <c r="I127" i="5"/>
  <c r="G142" i="5"/>
  <c r="I145" i="5"/>
  <c r="H145" i="5"/>
  <c r="G145" i="5"/>
  <c r="F145" i="5"/>
  <c r="G171" i="5"/>
  <c r="G3" i="4"/>
  <c r="G4" i="4"/>
  <c r="G5"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<sst xmlns="http://schemas.openxmlformats.org/spreadsheetml/2006/main" count="584" uniqueCount="420">
  <si>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</si>
  <si>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</si>
  <si>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</si>
  <si>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</si>
  <si>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</si>
  <si>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</si>
  <si>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</si>
  <si>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</si>
  <si>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</si>
  <si>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</si>
  <si>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</si>
  <si>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</si>
  <si>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</si>
  <si>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</si>
  <si>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</si>
  <si>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</si>
  <si>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</si>
  <si>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</si>
  <si>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</si>
  <si>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</si>
  <si>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</si>
  <si>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</si>
  <si>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</si>
  <si>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</si>
  <si>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</si>
  <si>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</si>
  <si>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</si>
  <si>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</si>
  <si>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</si>
  <si>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</si>
  <si>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</si>
  <si>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</si>
  <si>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</si>
  <si>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</si>
  <si>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</si>
  <si>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</si>
  <si>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</si>
  <si>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</si>
  <si>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</si>
  <si>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</si>
  <si>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</si>
  <si>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</si>
  <si>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</si>
  <si>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</si>
  <si>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</si>
  <si>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</si>
  <si>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</si>
  <si>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</si>
  <si>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</si>
  <si>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</si>
  <si>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</si>
  <si>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</si>
  <si>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</si>
  <si>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</si>
  <si>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</si>
  <si>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</si>
  <si>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</si>
  <si>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</si>
  <si>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</si>
  <si>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</si>
  <si>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</si>
  <si>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</si>
  <si>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</si>
  <si>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</si>
  <si>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</si>
  <si>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</si>
  <si>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</si>
  <si>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</si>
  <si>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</si>
  <si>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</si>
  <si>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</si>
  <si>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</si>
  <si>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</si>
  <si>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</si>
  <si>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</si>
  <si>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</si>
  <si>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</si>
  <si>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</si>
  <si>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</si>
  <si>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</si>
  <si>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</si>
  <si>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</si>
  <si>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</si>
  <si>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</si>
  <si>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</si>
  <si>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</si>
  <si>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</si>
  <si>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</si>
  <si>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</si>
  <si>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</si>
  <si>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</si>
  <si>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</si>
  <si>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</si>
  <si>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</si>
  <si>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</si>
  <si>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</si>
  <si>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</si>
  <si>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</si>
  <si>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</si>
  <si>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</si>
  <si>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</si>
  <si>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</si>
  <si>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</si>
  <si>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</si>
  <si>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</si>
  <si>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</si>
  <si>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</si>
  <si>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</si>
  <si>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</si>
  <si>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</si>
  <si>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</si>
  <si>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</si>
  <si>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</si>
  <si>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</si>
  <si>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</si>
  <si>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</si>
  <si>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</si>
  <si>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</si>
  <si>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</si>
  <si>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</si>
  <si>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</si>
  <si>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</si>
  <si>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</si>
  <si>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</si>
  <si>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</si>
  <si>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</si>
  <si>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</si>
  <si>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</si>
  <si>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</si>
  <si>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</si>
  <si>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</si>
  <si>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</si>
  <si>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</si>
  <si>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</si>
  <si>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</si>
  <si>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</si>
  <si>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</si>
  <si>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</si>
  <si>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</si>
  <si>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</si>
  <si>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</si>
  <si>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</si>
  <si>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</si>
  <si>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</si>
  <si>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</si>
  <si>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</si>
  <si>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</si>
  <si>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</si>
  <si>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</si>
  <si>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</si>
  <si>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</si>
  <si>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</si>
  <si>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</si>
  <si>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</si>
  <si>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</si>
  <si>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</si>
  <si>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</si>
  <si>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</si>
  <si>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</si>
  <si>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</si>
  <si>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</si>
  <si>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</si>
  <si>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</si>
  <si>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</si>
  <si>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</si>
  <si>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</si>
  <si>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</si>
  <si>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</si>
  <si>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</si>
  <si>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</si>
  <si>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</si>
  <si>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</si>
  <si>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</si>
  <si>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</si>
  <si>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</si>
  <si>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</si>
  <si>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</si>
  <si>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</si>
  <si>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</si>
  <si>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</si>
  <si>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</si>
  <si>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</si>
  <si>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</si>
  <si>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</si>
  <si>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</si>
  <si>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</si>
  <si>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</si>
  <si>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</si>
  <si>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</si>
  <si>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</si>
  <si>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</si>
  <si>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</si>
  <si>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</si>
  <si>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</si>
  <si>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</si>
  <si>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</si>
  <si>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</si>
  <si>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</si>
  <si>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</si>
  <si>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</si>
  <si>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</si>
  <si>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</si>
  <si>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</si>
  <si>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</si>
  <si>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</si>
  <si>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</si>
  <si>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</si>
  <si>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</si>
  <si>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</si>
  <si>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</si>
  <si>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</si>
  <si>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</si>
  <si>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</si>
  <si>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</si>
  <si>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</si>
  <si>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</si>
  <si>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</si>
  <si>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</si>
  <si>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</si>
  <si>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</si>
  <si>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</si>
  <si>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</si>
  <si>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</si>
  <si>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</si>
  <si>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</si>
  <si>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</si>
  <si>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</si>
  <si>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</si>
  <si>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</si>
  <si>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</si>
  <si>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</si>
  <si>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</si>
  <si>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</si>
  <si>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</si>
  <si>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</si>
  <si>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</si>
  <si>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</si>
  <si>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</si>
  <si>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</si>
  <si>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</si>
  <si>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</si>
  <si>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</si>
  <si>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</si>
  <si>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</si>
  <si>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</si>
  <si>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</si>
  <si>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</si>
  <si>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</si>
  <si>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</si>
  <si>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</si>
  <si>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</si>
  <si>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</si>
  <si>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</si>
  <si>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</si>
  <si>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</si>
  <si>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</si>
  <si>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</si>
  <si>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</si>
  <si>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</si>
  <si>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</si>
  <si>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</si>
  <si>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</si>
  <si>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</si>
  <si>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</si>
  <si>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</si>
  <si>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</si>
  <si>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</si>
  <si>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</si>
  <si>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</si>
  <si>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</si>
  <si>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</si>
  <si>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</si>
  <si>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</si>
  <si>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</si>
  <si>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</si>
  <si>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</si>
  <si>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</si>
  <si>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</si>
  <si>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</si>
  <si>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</si>
  <si>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</si>
  <si>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</si>
  <si>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</si>
  <si>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</si>
  <si>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</si>
  <si>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</si>
  <si>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</si>
  <si>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</si>
  <si>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</si>
  <si>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</si>
  <si>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</si>
  <si>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</si>
  <si>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</si>
  <si>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</si>
  <si>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</si>
  <si>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</si>
  <si>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</si>
  <si>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</si>
  <si>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</si>
  <si>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</si>
  <si>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</si>
  <si>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</si>
  <si>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</si>
  <si>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</si>
  <si>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</si>
  <si>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</si>
  <si>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</si>
  <si>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</si>
  <si>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</si>
  <si>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</si>
  <si>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</si>
  <si>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</si>
  <si>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</si>
  <si>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</si>
  <si>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</si>
  <si>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</si>
  <si>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</si>
  <si>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</si>
  <si>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</si>
  <si>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</si>
  <si>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</si>
  <si>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</si>
  <si>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</si>
  <si>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</si>
  <si>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</si>
  <si>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</si>
  <si>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</si>
  <si>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</si>
  <si>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</si>
  <si>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</si>
  <si>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</si>
  <si>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</si>
  <si>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</si>
  <si>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</si>
  <si>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</si>
  <si>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</si>
  <si>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</si>
  <si>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</si>
  <si>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</si>
  <si>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</si>
  <si>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</si>
  <si>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</si>
  <si>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</si>
  <si>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</si>
  <si>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</si>
  <si>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</si>
  <si>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</si>
  <si>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</si>
  <si>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</si>
  <si>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</si>
  <si>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</si>
  <si>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</si>
  <si>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</si>
  <si>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</si>
  <si>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</si>
  <si>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</si>
  <si>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</si>
  <si>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</si>
  <si>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</si>
  <si>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</si>
  <si>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</si>
  <si>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</si>
  <si>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</si>
  <si>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</si>
  <si>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</si>
  <si>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</si>
  <si>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</si>
  <si>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</si>
  <si>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</si>
  <si>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</si>
  <si>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</si>
  <si>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</si>
  <si>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</si>
  <si>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</si>
  <si>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</si>
  <si>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</si>
  <si>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</si>
  <si>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</si>
  <si>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</si>
  <si>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</si>
  <si>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</si>
  <si>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</si>
  <si>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</si>
  <si>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</si>
  <si>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</si>
  <si>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</si>
  <si>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</si>
  <si>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</si>
  <si>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</si>
  <si>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</si>
  <si>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</si>
  <si>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</si>
  <si>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</si>
  <si>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</si>
  <si>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</si>
  <si>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</si>
  <si>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</si>
  <si>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</si>
  <si>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</si>
  <si>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</si>
  <si>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</si>
  <si>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</si>
  <si>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</si>
  <si>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</si>
  <si>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</si>
  <si>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</si>
  <si>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</si>
  <si>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</si>
  <si>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</si>
  <si>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</si>
  <si>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</si>
  <si>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</si>
  <si>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</si>
  <si>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백작약</t>
    <phoneticPr fontId="5" type="noConversion"/>
  </si>
  <si>
    <t>대추</t>
    <phoneticPr fontId="5" type="noConversion"/>
  </si>
  <si>
    <t>감초</t>
    <phoneticPr fontId="5" type="noConversion"/>
  </si>
  <si>
    <t>감맥대조탕</t>
    <phoneticPr fontId="5" type="noConversion"/>
  </si>
  <si>
    <t>김건호</t>
    <phoneticPr fontId="5" type="noConversion"/>
  </si>
  <si>
    <t>M</t>
    <phoneticPr fontId="5" type="noConversion"/>
  </si>
  <si>
    <t>야제</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</si>
</sst>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L18" sqref="L18"/>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415</v>
      </c>
      <c r="D2" s="3"/>
      <c r="E2" s="87">
        <v>6</v>
      </c>
      <c r="F2" s="98">
        <f>E2*$L$15</f>
        <v>60</v>
      </c>
      <c r="G2">
        <f>VLOOKUP($C2,약재관리!A:J,10,FALSE)</f>
        <v>28.3</v>
      </c>
      <c r="H2" s="4">
        <f>G2*E2</f>
        <v>169.8</v>
      </c>
      <c r="I2" s="89">
        <f>G2*F2</f>
        <v>1698</v>
      </c>
      <c r="K2" s="6" t="s">
        <v>9</v>
      </c>
      <c r="L2" s="153">
        <v>109</v>
      </c>
      <c r="M2" s="154"/>
    </row>
    <row r="3" spans="2:13">
      <c r="B3" s="2">
        <v>2</v>
      </c>
      <c r="C3" t="s">
        <v>211</v>
      </c>
      <c r="D3" s="3"/>
      <c r="E3" s="87">
        <v>32</v>
      </c>
      <c r="F3" s="98">
        <f t="shared" ref="F3:F31" si="0">E3*$L$15</f>
        <v>320</v>
      </c>
      <c r="G3">
        <f>VLOOKUP($C3,약재관리!A:J,10,FALSE)</f>
        <v>10.3</v>
      </c>
      <c r="H3" s="4">
        <f t="shared" ref="H3:H31" si="1">G3*E3</f>
        <v>329.6</v>
      </c>
      <c r="I3" s="5">
        <f t="shared" ref="I3:I31" si="2">G3*F3</f>
        <v>3296</v>
      </c>
      <c r="K3" s="7" t="s">
        <v>10</v>
      </c>
      <c r="L3" s="148" t="s">
        <v>416</v>
      </c>
      <c r="M3" s="149"/>
    </row>
    <row r="4" spans="2:13">
      <c r="B4" s="2">
        <v>3</v>
      </c>
      <c r="C4" t="s">
        <v>414</v>
      </c>
      <c r="D4" s="3"/>
      <c r="E4" s="87">
        <v>8</v>
      </c>
      <c r="F4" s="98">
        <f t="shared" si="0"/>
        <v>80</v>
      </c>
      <c r="G4">
        <f>VLOOKUP($C4,약재관리!A:J,10,FALSE)</f>
        <v>20.8</v>
      </c>
      <c r="H4" s="4">
        <f t="shared" si="1"/>
        <v>166.4</v>
      </c>
      <c r="I4" s="5">
        <f t="shared" si="2"/>
        <v>1664</v>
      </c>
      <c r="K4" s="7" t="s">
        <v>11</v>
      </c>
      <c r="L4" s="155">
        <v>45793</v>
      </c>
      <c r="M4" s="149"/>
    </row>
    <row r="5" spans="2:13">
      <c r="B5" s="2">
        <v>4</v>
      </c>
      <c r="C5" t="s">
        <v>413</v>
      </c>
      <c r="D5" s="3"/>
      <c r="E5" s="87">
        <v>4</v>
      </c>
      <c r="F5" s="98">
        <f t="shared" si="0"/>
        <v>40</v>
      </c>
      <c r="G5">
        <f>VLOOKUP($C5,약재관리!A:J,10,FALSE)</f>
        <v>19.600000000000001</v>
      </c>
      <c r="H5" s="4">
        <f t="shared" si="1"/>
        <v>78.400000000000006</v>
      </c>
      <c r="I5" s="5">
        <f t="shared" si="2"/>
        <v>784</v>
      </c>
      <c r="K5" s="7" t="s">
        <v>12</v>
      </c>
      <c r="L5" s="148" t="s">
        <v>417</v>
      </c>
      <c r="M5" s="149"/>
    </row>
    <row r="6" spans="2:13">
      <c r="B6" s="2">
        <v>5</v>
      </c>
      <c r="D6" s="3"/>
      <c r="F6" s="98">
        <f t="shared" si="0"/>
        <v>0</v>
      </c>
      <c r="H6" s="4">
        <f t="shared" si="1"/>
        <v>0</v>
      </c>
      <c r="I6" s="5">
        <f t="shared" si="2"/>
        <v>0</v>
      </c>
      <c r="K6" s="7" t="s">
        <v>13</v>
      </c>
      <c r="L6" s="148">
        <v>4</v>
      </c>
      <c r="M6" s="149"/>
    </row>
    <row r="7" spans="2:13" ht="17.25" thickBot="1">
      <c r="B7" s="2">
        <v>6</v>
      </c>
      <c r="D7" s="3"/>
      <c r="F7" s="98">
        <f t="shared" si="0"/>
        <v>0</v>
      </c>
      <c r="H7" s="4">
        <f t="shared" si="1"/>
        <v>0</v>
      </c>
      <c r="I7" s="5">
        <f t="shared" si="2"/>
        <v>0</v>
      </c>
      <c r="K7" s="7" t="s">
        <v>14</v>
      </c>
      <c r="L7" s="156" t="s">
        <v>418</v>
      </c>
      <c r="M7" s="157"/>
    </row>
    <row r="8" spans="2:13" ht="17.25" thickBot="1">
      <c r="B8" s="2">
        <v>7</v>
      </c>
      <c r="D8" s="3"/>
      <c r="F8" s="98">
        <f t="shared" si="0"/>
        <v>0</v>
      </c>
      <c r="H8" s="4">
        <f t="shared" si="1"/>
        <v>0</v>
      </c>
      <c r="I8" s="5">
        <f t="shared" si="2"/>
        <v>0</v>
      </c>
      <c r="K8" s="150" t="s">
        <v>15</v>
      </c>
      <c r="L8" s="151"/>
      <c r="M8" s="152"/>
    </row>
    <row r="9" spans="2:13">
      <c r="B9" s="2">
        <v>8</v>
      </c>
      <c r="D9" s="3"/>
      <c r="F9" s="98">
        <f t="shared" si="0"/>
        <v>0</v>
      </c>
      <c r="H9" s="4">
        <f t="shared" si="1"/>
        <v>0</v>
      </c>
      <c r="I9" s="5">
        <f t="shared" si="2"/>
        <v>0</v>
      </c>
      <c r="K9" s="158" t="s">
        <v>419</v>
      </c>
      <c r="L9" s="159"/>
      <c r="M9" s="160"/>
    </row>
    <row r="10" spans="2:13">
      <c r="B10" s="2">
        <v>9</v>
      </c>
      <c r="D10" s="3"/>
      <c r="F10" s="98">
        <f t="shared" si="0"/>
        <v>0</v>
      </c>
      <c r="H10" s="4">
        <f t="shared" si="1"/>
        <v>0</v>
      </c>
      <c r="I10" s="5">
        <f t="shared" si="2"/>
        <v>0</v>
      </c>
      <c r="K10" s="161"/>
      <c r="L10" s="162"/>
      <c r="M10" s="163"/>
    </row>
    <row r="11" spans="2:13">
      <c r="B11" s="2">
        <v>10</v>
      </c>
      <c r="D11" s="3"/>
      <c r="F11" s="98">
        <f t="shared" si="0"/>
        <v>0</v>
      </c>
      <c r="H11" s="4">
        <f t="shared" si="1"/>
        <v>0</v>
      </c>
      <c r="I11" s="5">
        <f t="shared" si="2"/>
        <v>0</v>
      </c>
      <c r="K11" s="161"/>
      <c r="L11" s="162"/>
      <c r="M11" s="163"/>
    </row>
    <row r="12" spans="2:13">
      <c r="B12" s="2">
        <v>11</v>
      </c>
      <c r="D12" s="3"/>
      <c r="F12" s="98">
        <f t="shared" si="0"/>
        <v>0</v>
      </c>
      <c r="H12" s="4">
        <f t="shared" si="1"/>
        <v>0</v>
      </c>
      <c r="I12" s="5">
        <f t="shared" si="2"/>
        <v>0</v>
      </c>
      <c r="K12" s="161"/>
      <c r="L12" s="162"/>
      <c r="M12" s="163"/>
    </row>
    <row r="13" spans="2:13" ht="17.25" thickBot="1">
      <c r="B13" s="2">
        <v>12</v>
      </c>
      <c r="D13" s="3"/>
      <c r="F13" s="98">
        <f t="shared" si="0"/>
        <v>0</v>
      </c>
      <c r="H13" s="4">
        <f t="shared" si="1"/>
        <v>0</v>
      </c>
      <c r="I13" s="5">
        <f t="shared" si="2"/>
        <v>0</v>
      </c>
      <c r="K13" s="164"/>
      <c r="L13" s="165"/>
      <c r="M13" s="166"/>
    </row>
    <row r="14" spans="2:13">
      <c r="B14" s="2">
        <v>13</v>
      </c>
      <c r="D14" s="3"/>
      <c r="F14" s="98">
        <f t="shared" si="0"/>
        <v>0</v>
      </c>
      <c r="H14" s="4">
        <f t="shared" si="1"/>
        <v>0</v>
      </c>
      <c r="I14" s="5">
        <f t="shared" si="2"/>
        <v>0</v>
      </c>
      <c r="K14" s="91" t="s">
        <v>16</v>
      </c>
      <c r="L14" s="8">
        <v>21</v>
      </c>
      <c r="M14" s="9" t="s">
        <v>17</v>
      </c>
    </row>
    <row r="15" spans="2:13">
      <c r="B15" s="2">
        <v>14</v>
      </c>
      <c r="D15" s="3"/>
      <c r="F15" s="98">
        <f t="shared" si="0"/>
        <v>0</v>
      </c>
      <c r="H15" s="4">
        <f t="shared" si="1"/>
        <v>0</v>
      </c>
      <c r="I15" s="5">
        <f t="shared" si="2"/>
        <v>0</v>
      </c>
      <c r="K15" s="90" t="s">
        <v>18</v>
      </c>
      <c r="L15">
        <v>10</v>
      </c>
      <c r="M15" s="3" t="s">
        <v>19</v>
      </c>
    </row>
    <row r="16" spans="2:13">
      <c r="B16" s="2">
        <v>15</v>
      </c>
      <c r="D16" s="3"/>
      <c r="F16" s="98">
        <f t="shared" si="0"/>
        <v>0</v>
      </c>
      <c r="H16" s="4">
        <f t="shared" si="1"/>
        <v>0</v>
      </c>
      <c r="I16" s="5">
        <f t="shared" si="2"/>
        <v>0</v>
      </c>
      <c r="K16" s="90" t="s">
        <v>20</v>
      </c>
      <c r="L16">
        <v>42</v>
      </c>
      <c r="M16" s="3" t="s">
        <v>21</v>
      </c>
    </row>
    <row r="17" spans="2:13" ht="17.25" thickBot="1">
      <c r="B17" s="2">
        <v>16</v>
      </c>
      <c r="D17" s="3"/>
      <c r="F17" s="98">
        <f t="shared" si="0"/>
        <v>0</v>
      </c>
      <c r="H17" s="4">
        <f t="shared" si="1"/>
        <v>0</v>
      </c>
      <c r="I17" s="5">
        <f t="shared" si="2"/>
        <v>0</v>
      </c>
      <c r="K17" s="13" t="s">
        <v>22</v>
      </c>
      <c r="L17" s="10">
        <v>60</v>
      </c>
      <c r="M17" s="11" t="s">
        <v>23</v>
      </c>
    </row>
    <row r="18" spans="2:13">
      <c r="B18" s="2">
        <v>17</v>
      </c>
      <c r="D18" s="3"/>
      <c r="F18" s="98">
        <f t="shared" si="0"/>
        <v>0</v>
      </c>
      <c r="H18" s="4">
        <f t="shared" si="1"/>
        <v>0</v>
      </c>
      <c r="I18" s="5">
        <f t="shared" si="2"/>
        <v>0</v>
      </c>
      <c r="K18" s="91" t="s">
        <v>24</v>
      </c>
      <c r="L18" s="8">
        <f>SUM(E2:E31)</f>
        <v>50</v>
      </c>
      <c r="M18" s="9" t="s">
        <v>25</v>
      </c>
    </row>
    <row r="19" spans="2:13">
      <c r="B19" s="2">
        <v>18</v>
      </c>
      <c r="D19" s="3"/>
      <c r="F19" s="98">
        <f t="shared" si="0"/>
        <v>0</v>
      </c>
      <c r="H19" s="4">
        <f t="shared" si="1"/>
        <v>0</v>
      </c>
      <c r="I19" s="5">
        <f t="shared" si="2"/>
        <v>0</v>
      </c>
      <c r="K19" s="90" t="s">
        <v>26</v>
      </c>
      <c r="L19">
        <f>L15*L18</f>
        <v>500</v>
      </c>
      <c r="M19" s="3" t="s">
        <v>25</v>
      </c>
    </row>
    <row r="20" spans="2:13" ht="17.25" thickBot="1">
      <c r="B20" s="2">
        <v>19</v>
      </c>
      <c r="D20" s="3"/>
      <c r="F20" s="98">
        <f t="shared" si="0"/>
        <v>0</v>
      </c>
      <c r="H20" s="4">
        <f t="shared" si="1"/>
        <v>0</v>
      </c>
      <c r="I20" s="5">
        <f t="shared" si="2"/>
        <v>0</v>
      </c>
      <c r="K20" s="13" t="s">
        <v>27</v>
      </c>
      <c r="L20" s="10">
        <f>L16*L17+L19</f>
        <v>3020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500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744.2</v>
      </c>
      <c r="M30" s="3" t="s">
        <v>36</v>
      </c>
    </row>
    <row r="31" spans="2:13" ht="17.25" thickBot="1">
      <c r="B31" s="12">
        <v>30</v>
      </c>
      <c r="C31" s="13"/>
      <c r="D31" s="11"/>
      <c r="E31" s="94"/>
      <c r="F31" s="99">
        <f t="shared" si="0"/>
        <v>0</v>
      </c>
      <c r="G31" s="10"/>
      <c r="H31" s="14">
        <f t="shared" si="1"/>
        <v>0</v>
      </c>
      <c r="I31" s="15">
        <f t="shared" si="2"/>
        <v>0</v>
      </c>
      <c r="K31" s="13" t="s">
        <v>37</v>
      </c>
      <c r="L31" s="14">
        <f>SUM(I2:I31)</f>
        <v>7442</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12" zoomScaleNormal="100" workbookViewId="0">
      <selection activeCell="J142" sqref="J142"/>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15000</v>
      </c>
      <c r="E58" s="36">
        <v>20200</v>
      </c>
      <c r="F58" s="112">
        <f t="shared" si="6"/>
        <v>37</v>
      </c>
      <c r="G58" s="37">
        <f>C58/500</f>
        <v>28</v>
      </c>
      <c r="H58" s="37">
        <f t="shared" si="7"/>
        <v>25</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23500</v>
      </c>
      <c r="F63" s="112">
        <f t="shared" si="6"/>
        <v>0</v>
      </c>
      <c r="G63" s="71">
        <f t="shared" si="6"/>
        <v>41</v>
      </c>
      <c r="H63" s="71">
        <f>D63/500</f>
        <v>53</v>
      </c>
      <c r="I63" s="38">
        <f>E63/500</f>
        <v>47</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5900</v>
      </c>
      <c r="F82" s="112">
        <f t="shared" si="6"/>
        <v>19.8</v>
      </c>
      <c r="G82" s="37">
        <f t="shared" si="6"/>
        <v>8.8000000000000007</v>
      </c>
      <c r="H82" s="37">
        <f t="shared" si="8"/>
        <v>11.666666666666666</v>
      </c>
      <c r="I82" s="47">
        <f t="shared" si="8"/>
        <v>9.8333333333333339</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11800</v>
      </c>
      <c r="D185" s="25">
        <v>15000</v>
      </c>
      <c r="E185" s="26">
        <v>14200</v>
      </c>
      <c r="F185" s="27">
        <f t="shared" si="21"/>
        <v>0</v>
      </c>
      <c r="G185" s="28">
        <f t="shared" si="21"/>
        <v>23.6</v>
      </c>
      <c r="H185" s="28">
        <f t="shared" si="20"/>
        <v>25</v>
      </c>
      <c r="I185" s="55">
        <f t="shared" si="20"/>
        <v>23.666666666666668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28000</v>
      </c>
      <c r="D198" s="35">
        <v>37000</v>
      </c>
      <c r="E198" s="36">
        <v>34800</v>
      </c>
      <c r="F198" s="112">
        <f t="shared" si="22"/>
        <v>0</v>
      </c>
      <c r="G198" s="37">
        <f>C198/600</f>
        <v>46.666666666666664</v>
      </c>
      <c r="H198" s="37">
        <f>D198/600</f>
        <v>61.666666666666664</v>
      </c>
      <c r="I198" s="38">
        <f t="shared" si="24"/>
        <v>58</v>
      </c>
      <c r="J198" s="39">
        <v>61.7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2025-05-16T06:05:29Z</cp:lastPrinted>
  <dcterms:created xsi:type="dcterms:W3CDTF">2024-09-12T16:35:01Z</dcterms:created>
  <dcterms:modified xsi:type="dcterms:W3CDTF">2025-05-16T06:05:33Z</dcterms:modified>
  <cp:category/>
  <cp:contentStatus/>
</cp:coreProperties>
</file>