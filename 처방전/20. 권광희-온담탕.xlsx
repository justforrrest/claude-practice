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36" documentId="8_{6EB8DC0A-AB56-415F-A9F3-EA1534264548}" xr6:coauthVersionLast="47" xr6:coauthVersionMax="47" xr10:uidLastSave="{D914FADE-CE8A-41D1-A08B-4278CBB27FBE}"/>
  <bookViews>
    <workbookView xWindow="14490" yWindow="120" windowWidth="12735" windowHeight="15450" xr2:uid="{8B9F1886-173A-4475-B0CF-D9F36CE30773}"/>
  </bookViews>
  <sheets>
    <sheet name="청심온담탕2차-2" sheetId="7" r:id="rId1"/>
    <sheet name="청심온담탕2차" sheetId="5" r:id="rId2"/>
    <sheet name="청심온담탕1차" sheetId="4" r:id="rId3"/>
    <sheet name="약재관리"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7" l="1"/>
  <c r="H13" i="7"/>
  <c r="H14" i="7"/>
  <c r="H15" i="7"/>
  <c r="H16" i="7"/>
  <c r="H17" i="7"/>
  <c r="G16" i="7"/>
  <c r="G17" i="7"/>
  <c r="F17" i="7"/>
  <c r="F16" i="7"/>
  <c r="I16" i="7" s="1"/>
  <c r="G13" i="7"/>
  <c r="G14" i="7"/>
  <c r="G15" i="7"/>
  <c r="F15" i="7"/>
  <c r="I15" i="7" s="1"/>
  <c r="F14" i="7"/>
  <c r="I14" i="7" s="1"/>
  <c r="F13" i="7"/>
  <c r="I13" i="7" s="1"/>
  <c r="H31" i="7"/>
  <c r="F31" i="7"/>
  <c r="I31" i="7" s="1"/>
  <c r="I30" i="7"/>
  <c r="H30" i="7"/>
  <c r="F30" i="7"/>
  <c r="H29" i="7"/>
  <c r="F29" i="7"/>
  <c r="I29" i="7" s="1"/>
  <c r="I28" i="7"/>
  <c r="H28" i="7"/>
  <c r="F28" i="7"/>
  <c r="H27" i="7"/>
  <c r="F27" i="7"/>
  <c r="I27" i="7" s="1"/>
  <c r="H26" i="7"/>
  <c r="F26" i="7"/>
  <c r="I26" i="7" s="1"/>
  <c r="H25" i="7"/>
  <c r="F25" i="7"/>
  <c r="I25" i="7" s="1"/>
  <c r="H24" i="7"/>
  <c r="F24" i="7"/>
  <c r="I24" i="7" s="1"/>
  <c r="H23" i="7"/>
  <c r="F23" i="7"/>
  <c r="I23" i="7" s="1"/>
  <c r="H22" i="7"/>
  <c r="F22" i="7"/>
  <c r="I22" i="7" s="1"/>
  <c r="L18" i="7"/>
  <c r="L19" i="7" s="1"/>
  <c r="L20" i="7" s="1"/>
  <c r="G12" i="7"/>
  <c r="I12" i="7" s="1"/>
  <c r="F12" i="7"/>
  <c r="G11" i="7"/>
  <c r="F11" i="7"/>
  <c r="G10" i="7"/>
  <c r="F10" i="7"/>
  <c r="G9" i="7"/>
  <c r="F9" i="7"/>
  <c r="G8" i="7"/>
  <c r="F8" i="7"/>
  <c r="G7" i="7"/>
  <c r="F7" i="7"/>
  <c r="G6" i="7"/>
  <c r="I6" i="7" s="1"/>
  <c r="F6" i="7"/>
  <c r="G5" i="7"/>
  <c r="H5" i="7" s="1"/>
  <c r="F5" i="7"/>
  <c r="G4" i="7"/>
  <c r="F4" i="7"/>
  <c r="G3" i="7"/>
  <c r="F3" i="7"/>
  <c r="G2" i="7"/>
  <c r="F2" i="7"/>
  <c r="L23" i="7" s="1"/>
  <c r="I21" i="5"/>
  <c r="I22" i="5"/>
  <c r="I23" i="5"/>
  <c r="H20" i="5"/>
  <c r="H21" i="5"/>
  <c r="H22" i="5"/>
  <c r="H23" i="5"/>
  <c r="G20" i="5"/>
  <c r="G21" i="5"/>
  <c r="G22" i="5"/>
  <c r="G23" i="5"/>
  <c r="F20" i="5"/>
  <c r="I20" i="5" s="1"/>
  <c r="I31" i="5"/>
  <c r="H31" i="5"/>
  <c r="F31" i="5"/>
  <c r="H30" i="5"/>
  <c r="F30" i="5"/>
  <c r="I30" i="5" s="1"/>
  <c r="H29" i="5"/>
  <c r="F29" i="5"/>
  <c r="I29" i="5" s="1"/>
  <c r="H28" i="5"/>
  <c r="F28" i="5"/>
  <c r="I28" i="5" s="1"/>
  <c r="H27" i="5"/>
  <c r="F27" i="5"/>
  <c r="I27" i="5" s="1"/>
  <c r="H26" i="5"/>
  <c r="F26" i="5"/>
  <c r="I26" i="5" s="1"/>
  <c r="H25" i="5"/>
  <c r="F25" i="5"/>
  <c r="I25" i="5" s="1"/>
  <c r="H24" i="5"/>
  <c r="F24" i="5"/>
  <c r="I24" i="5" s="1"/>
  <c r="F23" i="5"/>
  <c r="F22" i="5"/>
  <c r="F21" i="5"/>
  <c r="G19" i="5"/>
  <c r="I19" i="5" s="1"/>
  <c r="F19" i="5"/>
  <c r="L18" i="5"/>
  <c r="L19" i="5" s="1"/>
  <c r="L20" i="5" s="1"/>
  <c r="G18" i="5"/>
  <c r="I18" i="5" s="1"/>
  <c r="F18" i="5"/>
  <c r="G17" i="5"/>
  <c r="I17" i="5" s="1"/>
  <c r="F17" i="5"/>
  <c r="G16" i="5"/>
  <c r="I16" i="5" s="1"/>
  <c r="F16" i="5"/>
  <c r="G15" i="5"/>
  <c r="F15" i="5"/>
  <c r="G14" i="5"/>
  <c r="F14" i="5"/>
  <c r="G13" i="5"/>
  <c r="I13" i="5" s="1"/>
  <c r="F13" i="5"/>
  <c r="G12" i="5"/>
  <c r="I12" i="5" s="1"/>
  <c r="F12" i="5"/>
  <c r="G11" i="5"/>
  <c r="I11" i="5" s="1"/>
  <c r="F11" i="5"/>
  <c r="G10" i="5"/>
  <c r="I10" i="5" s="1"/>
  <c r="F10" i="5"/>
  <c r="G9" i="5"/>
  <c r="I9" i="5" s="1"/>
  <c r="F9" i="5"/>
  <c r="G8" i="5"/>
  <c r="I8" i="5" s="1"/>
  <c r="F8" i="5"/>
  <c r="G7" i="5"/>
  <c r="I7" i="5" s="1"/>
  <c r="F7" i="5"/>
  <c r="G6" i="5"/>
  <c r="I6" i="5" s="1"/>
  <c r="F6" i="5"/>
  <c r="G5" i="5"/>
  <c r="I5" i="5" s="1"/>
  <c r="F5" i="5"/>
  <c r="G4" i="5"/>
  <c r="I4" i="5" s="1"/>
  <c r="F4" i="5"/>
  <c r="G3" i="5"/>
  <c r="I3" i="5" s="1"/>
  <c r="F3" i="5"/>
  <c r="G2" i="5"/>
  <c r="I2" i="5" s="1"/>
  <c r="F2" i="5"/>
  <c r="F2" i="4"/>
  <c r="I51" i="3"/>
  <c r="H51" i="3"/>
  <c r="G51" i="3"/>
  <c r="F51" i="3"/>
  <c r="I8" i="7" l="1"/>
  <c r="I3" i="7"/>
  <c r="I9" i="7"/>
  <c r="I10" i="7"/>
  <c r="I2" i="7"/>
  <c r="I4" i="7"/>
  <c r="I11" i="7"/>
  <c r="I7" i="7"/>
  <c r="H2" i="7"/>
  <c r="H8" i="7"/>
  <c r="H11" i="7"/>
  <c r="I5" i="7"/>
  <c r="L31" i="7" s="1"/>
  <c r="H4" i="7"/>
  <c r="H7" i="7"/>
  <c r="H10" i="7"/>
  <c r="H3" i="7"/>
  <c r="H6" i="7"/>
  <c r="H9" i="7"/>
  <c r="H12" i="7"/>
  <c r="I14" i="5"/>
  <c r="I15" i="5"/>
  <c r="L23" i="5"/>
  <c r="L31" i="5"/>
  <c r="H4" i="5"/>
  <c r="H7" i="5"/>
  <c r="H10" i="5"/>
  <c r="H13" i="5"/>
  <c r="H16" i="5"/>
  <c r="H19" i="5"/>
  <c r="H2" i="5"/>
  <c r="H5" i="5"/>
  <c r="H8" i="5"/>
  <c r="H11" i="5"/>
  <c r="H14" i="5"/>
  <c r="H17" i="5"/>
  <c r="H3" i="5"/>
  <c r="H6" i="5"/>
  <c r="H9" i="5"/>
  <c r="H12" i="5"/>
  <c r="H15" i="5"/>
  <c r="H18" i="5"/>
  <c r="G3" i="4"/>
  <c r="G4" i="4"/>
  <c r="H4" i="4" s="1"/>
  <c r="G5" i="4"/>
  <c r="H5" i="4" s="1"/>
  <c r="G6" i="4"/>
  <c r="H6" i="4" s="1"/>
  <c r="G7" i="4"/>
  <c r="H7" i="4" s="1"/>
  <c r="G8" i="4"/>
  <c r="H8" i="4" s="1"/>
  <c r="G9" i="4"/>
  <c r="G10" i="4"/>
  <c r="G11" i="4"/>
  <c r="G12" i="4"/>
  <c r="H12" i="4" s="1"/>
  <c r="G13" i="4"/>
  <c r="H13" i="4" s="1"/>
  <c r="G14" i="4"/>
  <c r="H14" i="4" s="1"/>
  <c r="G15" i="4"/>
  <c r="H15" i="4" s="1"/>
  <c r="G16" i="4"/>
  <c r="H16" i="4" s="1"/>
  <c r="G17" i="4"/>
  <c r="G18" i="4"/>
  <c r="G19" i="4"/>
  <c r="G20" i="4"/>
  <c r="H20" i="4" s="1"/>
  <c r="G21" i="4"/>
  <c r="H21" i="4" s="1"/>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0" i="7" l="1"/>
  <c r="L30" i="5"/>
  <c r="I18" i="4"/>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<sst xmlns="http://schemas.openxmlformats.org/spreadsheetml/2006/main" count="729" uniqueCount="434">
  <si>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</si>
  <si>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</si>
  <si>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</si>
  <si>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</si>
  <si>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</si>
  <si>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</si>
  <si>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</si>
  <si>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</si>
  <si>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</si>
  <si>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</si>
  <si>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</si>
  <si>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</si>
  <si>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</si>
  <si>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</si>
  <si>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</si>
  <si>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</si>
  <si>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</si>
  <si>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</si>
  <si>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</si>
  <si>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</si>
  <si>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</si>
  <si>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</si>
  <si>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</si>
  <si>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</si>
  <si>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</si>
  <si>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</si>
  <si>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</si>
  <si>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</si>
  <si>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</si>
  <si>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</si>
  <si>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</si>
  <si>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</si>
  <si>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</si>
  <si>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</si>
  <si>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</si>
  <si>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</si>
  <si>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</si>
  <si>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</si>
  <si>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</si>
  <si>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</si>
  <si>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</si>
  <si>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</si>
  <si>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</si>
  <si>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</si>
  <si>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</si>
  <si>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</si>
  <si>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</si>
  <si>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</si>
  <si>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</si>
  <si>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</si>
  <si>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</si>
  <si>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</si>
  <si>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</si>
  <si>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</si>
  <si>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</si>
  <si>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</si>
  <si>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</si>
  <si>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</si>
  <si>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</si>
  <si>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</si>
  <si>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</si>
  <si>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</si>
  <si>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</si>
  <si>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</si>
  <si>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</si>
  <si>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</si>
  <si>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</si>
  <si>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</si>
  <si>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</si>
  <si>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</si>
  <si>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</si>
  <si>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</si>
  <si>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</si>
  <si>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</si>
  <si>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</si>
  <si>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</si>
  <si>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</si>
  <si>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</si>
  <si>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</si>
  <si>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</si>
  <si>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</si>
  <si>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</si>
  <si>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</si>
  <si>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</si>
  <si>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</si>
  <si>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</si>
  <si>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</si>
  <si>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</si>
  <si>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</si>
  <si>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</si>
  <si>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</si>
  <si>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</si>
  <si>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</si>
  <si>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</si>
  <si>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</si>
  <si>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</si>
  <si>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</si>
  <si>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</si>
  <si>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</si>
  <si>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</si>
  <si>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</si>
  <si>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</si>
  <si>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</si>
  <si>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</si>
  <si>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</si>
  <si>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</si>
  <si>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</si>
  <si>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</si>
  <si>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</si>
  <si>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</si>
  <si>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</si>
  <si>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</si>
  <si>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</si>
  <si>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</si>
  <si>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</si>
  <si>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</si>
  <si>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</si>
  <si>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</si>
  <si>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</si>
  <si>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</si>
  <si>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</si>
  <si>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</si>
  <si>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</si>
  <si>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</si>
  <si>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</si>
  <si>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</si>
  <si>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</si>
  <si>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</si>
  <si>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</si>
  <si>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</si>
  <si>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</si>
  <si>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</si>
  <si>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</si>
  <si>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</si>
  <si>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</si>
  <si>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</si>
  <si>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</si>
  <si>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</si>
  <si>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</si>
  <si>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</si>
  <si>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</si>
  <si>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</si>
  <si>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</si>
  <si>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</si>
  <si>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</si>
  <si>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</si>
  <si>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</si>
  <si>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</si>
  <si>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</si>
  <si>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</si>
  <si>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</si>
  <si>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</si>
  <si>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</si>
  <si>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</si>
  <si>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</si>
  <si>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</si>
  <si>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</si>
  <si>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</si>
  <si>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</si>
  <si>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</si>
  <si>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</si>
  <si>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</si>
  <si>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</si>
  <si>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</si>
  <si>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</si>
  <si>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</si>
  <si>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</si>
  <si>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</si>
  <si>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</si>
  <si>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</si>
  <si>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</si>
  <si>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</si>
  <si>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</si>
  <si>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</si>
  <si>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</si>
  <si>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</si>
  <si>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</si>
  <si>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</si>
  <si>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</si>
  <si>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</si>
  <si>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</si>
  <si>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</si>
  <si>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</si>
  <si>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</si>
  <si>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</si>
  <si>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</si>
  <si>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</si>
  <si>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</si>
  <si>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</si>
  <si>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</si>
  <si>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</si>
  <si>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</si>
  <si>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</si>
  <si>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</si>
  <si>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</si>
  <si>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</si>
  <si>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</si>
  <si>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</si>
  <si>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</si>
  <si>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</si>
  <si>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</si>
  <si>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</si>
  <si>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</si>
  <si>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</si>
  <si>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</si>
  <si>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</si>
  <si>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</si>
  <si>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</si>
  <si>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</si>
  <si>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</si>
  <si>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</si>
  <si>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</si>
  <si>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</si>
  <si>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</si>
  <si>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</si>
  <si>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</si>
  <si>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</si>
  <si>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</si>
  <si>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</si>
  <si>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</si>
  <si>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</si>
  <si>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</si>
  <si>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</si>
  <si>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</si>
  <si>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</si>
  <si>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</si>
  <si>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</si>
  <si>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</si>
  <si>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</si>
  <si>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</si>
  <si>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</si>
  <si>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</si>
  <si>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</si>
  <si>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</si>
  <si>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</si>
  <si>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</si>
  <si>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</si>
  <si>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</si>
  <si>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</si>
  <si>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</si>
  <si>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</si>
  <si>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</si>
  <si>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</si>
  <si>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</si>
  <si>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</si>
  <si>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</si>
  <si>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</si>
  <si>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</si>
  <si>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</si>
  <si>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</si>
  <si>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</si>
  <si>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</si>
  <si>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</si>
  <si>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</si>
  <si>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</si>
  <si>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</si>
  <si>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</si>
  <si>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</si>
  <si>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</si>
  <si>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</si>
  <si>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</si>
  <si>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</si>
  <si>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</si>
  <si>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</si>
  <si>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</si>
  <si>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</si>
  <si>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</si>
  <si>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</si>
  <si>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</si>
  <si>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</si>
  <si>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</si>
  <si>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</si>
  <si>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</si>
  <si>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</si>
  <si>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</si>
  <si>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</si>
  <si>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</si>
  <si>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</si>
  <si>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</si>
  <si>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</si>
  <si>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</si>
  <si>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</si>
  <si>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</si>
  <si>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</si>
  <si>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</si>
  <si>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</si>
  <si>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</si>
  <si>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</si>
  <si>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</si>
  <si>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</si>
  <si>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</si>
  <si>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</si>
  <si>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</si>
  <si>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</si>
  <si>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</si>
  <si>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</si>
  <si>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</si>
  <si>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</si>
  <si>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</si>
  <si>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</si>
  <si>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</si>
  <si>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</si>
  <si>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</si>
  <si>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</si>
  <si>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</si>
  <si>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</si>
  <si>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</si>
  <si>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</si>
  <si>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</si>
  <si>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</si>
  <si>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</si>
  <si>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</si>
  <si>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</si>
  <si>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</si>
  <si>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</si>
  <si>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</si>
  <si>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</si>
  <si>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</si>
  <si>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</si>
  <si>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</si>
  <si>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</si>
  <si>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</si>
  <si>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</si>
  <si>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</si>
  <si>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</si>
  <si>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</si>
  <si>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</si>
  <si>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</si>
  <si>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</si>
  <si>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</si>
  <si>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</si>
  <si>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</si>
  <si>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</si>
  <si>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</si>
  <si>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</si>
  <si>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</si>
  <si>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</si>
  <si>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</si>
  <si>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</si>
  <si>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</si>
  <si>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</si>
  <si>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</si>
  <si>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</si>
  <si>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</si>
  <si>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</si>
  <si>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</si>
  <si>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</si>
  <si>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</si>
  <si>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</si>
  <si>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</si>
  <si>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</si>
  <si>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</si>
  <si>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</si>
  <si>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</si>
  <si>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</si>
  <si>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</si>
  <si>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</si>
  <si>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</si>
  <si>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</si>
  <si>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</si>
  <si>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</si>
  <si>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</si>
  <si>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</si>
  <si>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</si>
  <si>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</si>
  <si>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</si>
  <si>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</si>
  <si>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</si>
  <si>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</si>
  <si>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</si>
  <si>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</si>
  <si>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</si>
  <si>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</si>
  <si>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</si>
  <si>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</si>
  <si>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</si>
  <si>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</si>
  <si>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</si>
  <si>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</si>
  <si>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</si>
  <si>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</si>
  <si>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</si>
  <si>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</si>
  <si>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</si>
  <si>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</si>
  <si>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</si>
  <si>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</si>
  <si>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</si>
  <si>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</si>
  <si>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</si>
  <si>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</si>
  <si>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</si>
  <si>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</si>
  <si>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</si>
  <si>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</si>
  <si>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</si>
  <si>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</si>
  <si>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</si>
  <si>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</si>
  <si>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</si>
  <si>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</si>
  <si>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향부자</t>
    <phoneticPr fontId="5" type="noConversion"/>
  </si>
  <si>
    <t>반하</t>
    <phoneticPr fontId="5" type="noConversion"/>
  </si>
  <si>
    <t>복령</t>
    <phoneticPr fontId="5" type="noConversion"/>
  </si>
  <si>
    <t>진피1</t>
    <phoneticPr fontId="5" type="noConversion"/>
  </si>
  <si>
    <t>지각</t>
    <phoneticPr fontId="5" type="noConversion"/>
  </si>
  <si>
    <t>황금</t>
    <phoneticPr fontId="5" type="noConversion"/>
  </si>
  <si>
    <t>주초</t>
    <phoneticPr fontId="5" type="noConversion"/>
  </si>
  <si>
    <t>감초</t>
    <phoneticPr fontId="5" type="noConversion"/>
  </si>
  <si>
    <t>생강</t>
    <phoneticPr fontId="5" type="noConversion"/>
  </si>
  <si>
    <t>대추</t>
    <phoneticPr fontId="5" type="noConversion"/>
  </si>
  <si>
    <t>백작약</t>
    <phoneticPr fontId="5" type="noConversion"/>
  </si>
  <si>
    <t>신곡</t>
    <phoneticPr fontId="5" type="noConversion"/>
  </si>
  <si>
    <t>초</t>
    <phoneticPr fontId="5" type="noConversion"/>
  </si>
  <si>
    <t>길경</t>
    <phoneticPr fontId="5" type="noConversion"/>
  </si>
  <si>
    <t>현삼</t>
    <phoneticPr fontId="5" type="noConversion"/>
  </si>
  <si>
    <t>창출2</t>
    <phoneticPr fontId="5" type="noConversion"/>
  </si>
  <si>
    <t>죽여1</t>
    <phoneticPr fontId="5" type="noConversion"/>
  </si>
  <si>
    <t>당귀1</t>
    <phoneticPr fontId="5" type="noConversion"/>
  </si>
  <si>
    <t>천궁1</t>
    <phoneticPr fontId="5" type="noConversion"/>
  </si>
  <si>
    <t>원육</t>
    <phoneticPr fontId="5" type="noConversion"/>
  </si>
  <si>
    <t>황기</t>
    <phoneticPr fontId="5" type="noConversion"/>
  </si>
  <si>
    <t>목향</t>
    <phoneticPr fontId="5" type="noConversion"/>
  </si>
  <si>
    <t>청심온담탕</t>
    <phoneticPr fontId="5" type="noConversion"/>
  </si>
  <si>
    <t>권광희</t>
    <phoneticPr fontId="5" type="noConversion"/>
  </si>
  <si>
    <t>F</t>
    <phoneticPr fontId="5" type="noConversion"/>
  </si>
  <si>
    <t>청심온담탕 
+ 사물탕(숙지황 대 원육) 
+ 신곡 목향 + 길경 현삼 
+ 황기</t>
    <phoneticPr fontId="5" type="noConversion"/>
  </si>
  <si>
    <t>황련</t>
    <phoneticPr fontId="5" type="noConversion"/>
  </si>
  <si>
    <t>오미자</t>
    <phoneticPr fontId="5" type="noConversion"/>
  </si>
  <si>
    <t>맥문동</t>
    <phoneticPr fontId="5" type="noConversion"/>
  </si>
  <si>
    <t>사인</t>
    <phoneticPr fontId="5" type="noConversion"/>
  </si>
  <si>
    <t xml:space="preserve">청심온담탕 
+ 사물탕(숙지황 대 원육) 
+ 신곡 목향 사인+ 길경 현삼
+ 황련 오미자 맥문동 </t>
    <phoneticPr fontId="5" type="noConversion"/>
  </si>
  <si>
    <t>연교</t>
    <phoneticPr fontId="5" type="noConversion"/>
  </si>
  <si>
    <t>청심온담탕 
+ 신곡 황련 연교
+ 원육 당귀</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</si>
</sst>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42B03-65FE-4D85-8814-061E29C018BB}">
  <sheetPr>
    <pageSetUpPr fitToPage="1"/>
  </sheetPr>
  <dimension ref="B1:M31"/>
  <sheetViews>
    <sheetView tabSelected="1" workbookViewId="0">
      <selection activeCell="L5" sqref="L5:M5"/>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401</v>
      </c>
      <c r="D2" s="4"/>
      <c r="E2" s="151">
        <v>10</v>
      </c>
      <c r="F2" s="166">
        <f>E2*$L$15</f>
        <v>140</v>
      </c>
      <c r="G2">
        <f>VLOOKUP($C2,약재관리!A:J,10,FALSE)</f>
        <v>14.4</v>
      </c>
      <c r="H2" s="5">
        <f>G2*E2</f>
        <v>144</v>
      </c>
      <c r="I2" s="154">
        <f>G2*F2</f>
        <v>2016</v>
      </c>
      <c r="K2" s="7" t="s">
        <v>9</v>
      </c>
      <c r="L2" s="183">
        <v>20</v>
      </c>
      <c r="M2" s="184"/>
    </row>
    <row r="3" spans="2:13">
      <c r="B3" s="3">
        <v>2</v>
      </c>
      <c r="C3" t="s">
        <v>404</v>
      </c>
      <c r="D3" s="4"/>
      <c r="E3" s="151">
        <v>6</v>
      </c>
      <c r="F3" s="166">
        <f t="shared" ref="F3:F31" si="0">E3*$L$15</f>
        <v>84</v>
      </c>
      <c r="G3">
        <f>VLOOKUP($C3,약재관리!A:J,10,FALSE)</f>
        <v>17.600000000000001</v>
      </c>
      <c r="H3" s="5">
        <f t="shared" ref="H3:H31" si="1">G3*E3</f>
        <v>105.60000000000001</v>
      </c>
      <c r="I3" s="6">
        <f t="shared" ref="I3:I31" si="2">G3*F3</f>
        <v>1478.4</v>
      </c>
      <c r="K3" s="8" t="s">
        <v>10</v>
      </c>
      <c r="L3" s="185" t="s">
        <v>423</v>
      </c>
      <c r="M3" s="186"/>
    </row>
    <row r="4" spans="2:13">
      <c r="B4" s="3">
        <v>3</v>
      </c>
      <c r="C4" t="s">
        <v>402</v>
      </c>
      <c r="D4" s="4"/>
      <c r="E4" s="151">
        <v>4</v>
      </c>
      <c r="F4" s="166">
        <f t="shared" si="0"/>
        <v>56</v>
      </c>
      <c r="G4">
        <f>VLOOKUP($C4,약재관리!A:J,10,FALSE)</f>
        <v>53</v>
      </c>
      <c r="H4" s="5">
        <f t="shared" si="1"/>
        <v>212</v>
      </c>
      <c r="I4" s="6">
        <f t="shared" si="2"/>
        <v>2968</v>
      </c>
      <c r="K4" s="8" t="s">
        <v>11</v>
      </c>
      <c r="L4" s="187">
        <v>45617</v>
      </c>
      <c r="M4" s="186"/>
    </row>
    <row r="5" spans="2:13">
      <c r="B5" s="3">
        <v>4</v>
      </c>
      <c r="C5" t="s">
        <v>403</v>
      </c>
      <c r="D5" s="4"/>
      <c r="E5" s="151">
        <v>6</v>
      </c>
      <c r="F5" s="166">
        <f t="shared" si="0"/>
        <v>84</v>
      </c>
      <c r="G5">
        <f>VLOOKUP($C5,약재관리!A:J,10,FALSE)</f>
        <v>11</v>
      </c>
      <c r="H5" s="5">
        <f t="shared" si="1"/>
        <v>66</v>
      </c>
      <c r="I5" s="6">
        <f t="shared" si="2"/>
        <v>924</v>
      </c>
      <c r="K5" s="8" t="s">
        <v>12</v>
      </c>
      <c r="L5" s="185" t="s">
        <v>424</v>
      </c>
      <c r="M5" s="186"/>
    </row>
    <row r="6" spans="2:13">
      <c r="B6" s="3">
        <v>5</v>
      </c>
      <c r="C6" t="s">
        <v>416</v>
      </c>
      <c r="D6" s="4"/>
      <c r="E6" s="151">
        <v>4</v>
      </c>
      <c r="F6" s="166">
        <f t="shared" si="0"/>
        <v>56</v>
      </c>
      <c r="G6">
        <f>VLOOKUP($C6,약재관리!A:J,10,FALSE)</f>
        <v>24</v>
      </c>
      <c r="H6" s="5">
        <f t="shared" si="1"/>
        <v>96</v>
      </c>
      <c r="I6" s="6">
        <f t="shared" si="2"/>
        <v>1344</v>
      </c>
      <c r="K6" s="8" t="s">
        <v>13</v>
      </c>
      <c r="L6" s="185">
        <v>79</v>
      </c>
      <c r="M6" s="186"/>
    </row>
    <row r="7" spans="2:13" ht="17.25" thickBot="1">
      <c r="B7" s="3">
        <v>6</v>
      </c>
      <c r="C7" t="s">
        <v>405</v>
      </c>
      <c r="D7" s="4"/>
      <c r="E7" s="151">
        <v>4</v>
      </c>
      <c r="F7" s="166">
        <f t="shared" si="0"/>
        <v>56</v>
      </c>
      <c r="G7">
        <f>VLOOKUP($C7,약재관리!A:J,10,FALSE)</f>
        <v>10</v>
      </c>
      <c r="H7" s="5">
        <f t="shared" si="1"/>
        <v>40</v>
      </c>
      <c r="I7" s="6">
        <f t="shared" si="2"/>
        <v>560</v>
      </c>
      <c r="K7" s="8" t="s">
        <v>14</v>
      </c>
      <c r="L7" s="169" t="s">
        <v>425</v>
      </c>
      <c r="M7" s="170"/>
    </row>
    <row r="8" spans="2:13" ht="17.25" thickBot="1">
      <c r="B8" s="3">
        <v>7</v>
      </c>
      <c r="C8" t="s">
        <v>417</v>
      </c>
      <c r="D8" s="4"/>
      <c r="E8" s="151">
        <v>4</v>
      </c>
      <c r="F8" s="166">
        <f t="shared" si="0"/>
        <v>56</v>
      </c>
      <c r="G8">
        <f>VLOOKUP($C8,약재관리!A:J,10,FALSE)</f>
        <v>15.4</v>
      </c>
      <c r="H8" s="5">
        <f t="shared" si="1"/>
        <v>61.6</v>
      </c>
      <c r="I8" s="6">
        <f t="shared" si="2"/>
        <v>862.4</v>
      </c>
      <c r="K8" s="171" t="s">
        <v>15</v>
      </c>
      <c r="L8" s="172"/>
      <c r="M8" s="173"/>
    </row>
    <row r="9" spans="2:13">
      <c r="B9" s="3">
        <v>8</v>
      </c>
      <c r="C9" t="s">
        <v>406</v>
      </c>
      <c r="D9" s="4" t="s">
        <v>407</v>
      </c>
      <c r="E9" s="151">
        <v>2</v>
      </c>
      <c r="F9" s="166">
        <f t="shared" si="0"/>
        <v>28</v>
      </c>
      <c r="G9">
        <f>VLOOKUP($C9,약재관리!A:J,10,FALSE)</f>
        <v>22.5</v>
      </c>
      <c r="H9" s="5">
        <f t="shared" si="1"/>
        <v>45</v>
      </c>
      <c r="I9" s="6">
        <f t="shared" si="2"/>
        <v>630</v>
      </c>
      <c r="K9" s="174" t="s">
        <v>433</v>
      </c>
      <c r="L9" s="175"/>
      <c r="M9" s="176"/>
    </row>
    <row r="10" spans="2:13">
      <c r="B10" s="3">
        <v>9</v>
      </c>
      <c r="C10" t="s">
        <v>408</v>
      </c>
      <c r="D10" s="4"/>
      <c r="E10" s="151">
        <v>2</v>
      </c>
      <c r="F10" s="166">
        <f t="shared" si="0"/>
        <v>28</v>
      </c>
      <c r="G10">
        <f>VLOOKUP($C10,약재관리!A:J,10,FALSE)</f>
        <v>28.3</v>
      </c>
      <c r="H10" s="5">
        <f t="shared" si="1"/>
        <v>56.6</v>
      </c>
      <c r="I10" s="6">
        <f t="shared" si="2"/>
        <v>792.4</v>
      </c>
      <c r="K10" s="177"/>
      <c r="L10" s="178"/>
      <c r="M10" s="179"/>
    </row>
    <row r="11" spans="2:13">
      <c r="B11" s="3">
        <v>10</v>
      </c>
      <c r="C11" t="s">
        <v>409</v>
      </c>
      <c r="D11" s="4"/>
      <c r="E11" s="151">
        <v>4</v>
      </c>
      <c r="F11" s="166">
        <f t="shared" si="0"/>
        <v>56</v>
      </c>
      <c r="G11">
        <f>VLOOKUP($C11,약재관리!A:J,10,FALSE)</f>
        <v>18</v>
      </c>
      <c r="H11" s="5">
        <f t="shared" si="1"/>
        <v>72</v>
      </c>
      <c r="I11" s="6">
        <f t="shared" si="2"/>
        <v>1008</v>
      </c>
      <c r="K11" s="177"/>
      <c r="L11" s="178"/>
      <c r="M11" s="179"/>
    </row>
    <row r="12" spans="2:13">
      <c r="B12" s="3">
        <v>11</v>
      </c>
      <c r="C12" t="s">
        <v>410</v>
      </c>
      <c r="D12" s="4"/>
      <c r="E12" s="151">
        <v>4</v>
      </c>
      <c r="F12" s="166">
        <f t="shared" si="0"/>
        <v>56</v>
      </c>
      <c r="G12">
        <f>VLOOKUP($C12,약재관리!A:J,10,FALSE)</f>
        <v>20.8</v>
      </c>
      <c r="H12" s="5">
        <f t="shared" si="1"/>
        <v>83.2</v>
      </c>
      <c r="I12" s="6">
        <f t="shared" si="2"/>
        <v>1164.8</v>
      </c>
      <c r="K12" s="177"/>
      <c r="L12" s="178"/>
      <c r="M12" s="179"/>
    </row>
    <row r="13" spans="2:13" ht="17.25" thickBot="1">
      <c r="B13" s="3">
        <v>12</v>
      </c>
      <c r="C13" t="s">
        <v>427</v>
      </c>
      <c r="D13" s="4" t="s">
        <v>407</v>
      </c>
      <c r="E13" s="151">
        <v>2</v>
      </c>
      <c r="F13" s="166">
        <f t="shared" si="0"/>
        <v>28</v>
      </c>
      <c r="G13">
        <f>VLOOKUP($C13,약재관리!A:J,10,FALSE)</f>
        <v>134.30000000000001</v>
      </c>
      <c r="H13" s="5">
        <f t="shared" si="1"/>
        <v>268.60000000000002</v>
      </c>
      <c r="I13" s="6">
        <f t="shared" si="2"/>
        <v>3760.4000000000005</v>
      </c>
      <c r="K13" s="180"/>
      <c r="L13" s="181"/>
      <c r="M13" s="182"/>
    </row>
    <row r="14" spans="2:13">
      <c r="B14" s="3">
        <v>13</v>
      </c>
      <c r="C14" t="s">
        <v>418</v>
      </c>
      <c r="D14" s="4"/>
      <c r="E14" s="151">
        <v>4</v>
      </c>
      <c r="F14" s="166">
        <f t="shared" si="0"/>
        <v>56</v>
      </c>
      <c r="G14">
        <f>VLOOKUP($C14,약재관리!A:J,10,FALSE)</f>
        <v>25</v>
      </c>
      <c r="H14" s="5">
        <f t="shared" si="1"/>
        <v>100</v>
      </c>
      <c r="I14" s="6">
        <f t="shared" si="2"/>
        <v>1400</v>
      </c>
      <c r="K14" s="156" t="s">
        <v>16</v>
      </c>
      <c r="L14" s="9">
        <v>10</v>
      </c>
      <c r="M14" s="10" t="s">
        <v>17</v>
      </c>
    </row>
    <row r="15" spans="2:13">
      <c r="B15" s="3">
        <v>14</v>
      </c>
      <c r="C15" t="s">
        <v>420</v>
      </c>
      <c r="D15" s="4"/>
      <c r="E15" s="151">
        <v>6</v>
      </c>
      <c r="F15" s="166">
        <f t="shared" si="0"/>
        <v>84</v>
      </c>
      <c r="G15">
        <f>VLOOKUP($C15,약재관리!A:J,10,FALSE)</f>
        <v>19.2</v>
      </c>
      <c r="H15" s="5">
        <f t="shared" si="1"/>
        <v>115.19999999999999</v>
      </c>
      <c r="I15" s="6">
        <f t="shared" si="2"/>
        <v>1612.8</v>
      </c>
      <c r="K15" s="155" t="s">
        <v>18</v>
      </c>
      <c r="L15">
        <v>14</v>
      </c>
      <c r="M15" s="4" t="s">
        <v>19</v>
      </c>
    </row>
    <row r="16" spans="2:13">
      <c r="B16" s="3">
        <v>15</v>
      </c>
      <c r="C16" t="s">
        <v>412</v>
      </c>
      <c r="D16" s="4" t="s">
        <v>413</v>
      </c>
      <c r="E16" s="151">
        <v>4</v>
      </c>
      <c r="F16" s="166">
        <f t="shared" si="0"/>
        <v>56</v>
      </c>
      <c r="G16">
        <f>VLOOKUP($C16,약재관리!A:J,10,FALSE)</f>
        <v>8</v>
      </c>
      <c r="H16" s="5">
        <f t="shared" si="1"/>
        <v>32</v>
      </c>
      <c r="I16" s="6">
        <f t="shared" si="2"/>
        <v>448</v>
      </c>
      <c r="K16" s="155" t="s">
        <v>20</v>
      </c>
      <c r="L16">
        <v>30</v>
      </c>
      <c r="M16" s="4" t="s">
        <v>21</v>
      </c>
    </row>
    <row r="17" spans="2:13" ht="17.25" thickBot="1">
      <c r="B17" s="3">
        <v>16</v>
      </c>
      <c r="C17" t="s">
        <v>432</v>
      </c>
      <c r="D17" s="4"/>
      <c r="E17" s="151">
        <v>4</v>
      </c>
      <c r="F17" s="166">
        <f t="shared" si="0"/>
        <v>56</v>
      </c>
      <c r="G17">
        <f>VLOOKUP($C17,약재관리!A:J,10,FALSE)</f>
        <v>28</v>
      </c>
      <c r="H17" s="5">
        <f t="shared" si="1"/>
        <v>112</v>
      </c>
      <c r="I17" s="6">
        <f t="shared" si="2"/>
        <v>1568</v>
      </c>
      <c r="K17" s="14" t="s">
        <v>22</v>
      </c>
      <c r="L17" s="11">
        <v>100</v>
      </c>
      <c r="M17" s="12" t="s">
        <v>23</v>
      </c>
    </row>
    <row r="18" spans="2:13">
      <c r="B18" s="3">
        <v>17</v>
      </c>
      <c r="D18" s="4"/>
      <c r="F18" s="166"/>
      <c r="H18" s="5"/>
      <c r="I18" s="6"/>
      <c r="K18" s="156" t="s">
        <v>24</v>
      </c>
      <c r="L18" s="9">
        <f>SUM(E2:E31)</f>
        <v>70</v>
      </c>
      <c r="M18" s="10" t="s">
        <v>25</v>
      </c>
    </row>
    <row r="19" spans="2:13">
      <c r="B19" s="3">
        <v>18</v>
      </c>
      <c r="D19" s="4"/>
      <c r="F19" s="166"/>
      <c r="H19" s="5"/>
      <c r="I19" s="6"/>
      <c r="K19" s="155" t="s">
        <v>26</v>
      </c>
      <c r="L19">
        <f>L15*L18</f>
        <v>980</v>
      </c>
      <c r="M19" s="4" t="s">
        <v>25</v>
      </c>
    </row>
    <row r="20" spans="2:13" ht="17.25" thickBot="1">
      <c r="B20" s="3">
        <v>19</v>
      </c>
      <c r="D20" s="4"/>
      <c r="F20" s="166"/>
      <c r="H20" s="5"/>
      <c r="I20" s="6"/>
      <c r="K20" s="14" t="s">
        <v>27</v>
      </c>
      <c r="L20" s="11">
        <f>L16*L17+L19</f>
        <v>3980</v>
      </c>
      <c r="M20" s="12" t="s">
        <v>23</v>
      </c>
    </row>
    <row r="21" spans="2:13" ht="17.25" thickBot="1">
      <c r="B21" s="3">
        <v>20</v>
      </c>
      <c r="D21" s="4"/>
      <c r="F21" s="166"/>
      <c r="H21" s="5"/>
      <c r="I21" s="6"/>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980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1609.8000000000002</v>
      </c>
      <c r="M30" s="4" t="s">
        <v>388</v>
      </c>
    </row>
    <row r="31" spans="2:13" ht="17.25" thickBot="1">
      <c r="B31" s="13">
        <v>30</v>
      </c>
      <c r="C31" s="14"/>
      <c r="D31" s="12"/>
      <c r="E31" s="159"/>
      <c r="F31" s="167">
        <f t="shared" si="0"/>
        <v>0</v>
      </c>
      <c r="G31" s="14"/>
      <c r="H31" s="15">
        <f t="shared" si="1"/>
        <v>0</v>
      </c>
      <c r="I31" s="16">
        <f t="shared" si="2"/>
        <v>0</v>
      </c>
      <c r="K31" s="14" t="s">
        <v>387</v>
      </c>
      <c r="L31" s="15">
        <f>SUM(I2:I31)</f>
        <v>22537.199999999997</v>
      </c>
      <c r="M31" s="12" t="s">
        <v>388</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3F973-36CE-41A7-92FA-BF55CDC95ACF}">
  <sheetPr>
    <pageSetUpPr fitToPage="1"/>
  </sheetPr>
  <dimension ref="B1:M31"/>
  <sheetViews>
    <sheetView workbookViewId="0">
      <selection activeCell="F21" sqref="F21"/>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401</v>
      </c>
      <c r="D2" s="4"/>
      <c r="E2" s="151">
        <v>10</v>
      </c>
      <c r="F2" s="166">
        <f>E2*$L$15</f>
        <v>200</v>
      </c>
      <c r="G2">
        <f>VLOOKUP($C2,약재관리!A:J,10,FALSE)</f>
        <v>14.4</v>
      </c>
      <c r="H2" s="5">
        <f>G2*E2</f>
        <v>144</v>
      </c>
      <c r="I2" s="154">
        <f>G2*F2</f>
        <v>2880</v>
      </c>
      <c r="K2" s="7" t="s">
        <v>9</v>
      </c>
      <c r="L2" s="183">
        <v>20</v>
      </c>
      <c r="M2" s="184"/>
    </row>
    <row r="3" spans="2:13">
      <c r="B3" s="3">
        <v>2</v>
      </c>
      <c r="C3" t="s">
        <v>404</v>
      </c>
      <c r="D3" s="4"/>
      <c r="E3" s="151">
        <v>6</v>
      </c>
      <c r="F3" s="166">
        <f t="shared" ref="F3:F31" si="0">E3*$L$15</f>
        <v>120</v>
      </c>
      <c r="G3">
        <f>VLOOKUP($C3,약재관리!A:J,10,FALSE)</f>
        <v>17.600000000000001</v>
      </c>
      <c r="H3" s="5">
        <f t="shared" ref="H3:H31" si="1">G3*E3</f>
        <v>105.60000000000001</v>
      </c>
      <c r="I3" s="6">
        <f t="shared" ref="I3:I31" si="2">G3*F3</f>
        <v>2112</v>
      </c>
      <c r="K3" s="8" t="s">
        <v>10</v>
      </c>
      <c r="L3" s="185" t="s">
        <v>423</v>
      </c>
      <c r="M3" s="186"/>
    </row>
    <row r="4" spans="2:13">
      <c r="B4" s="3">
        <v>3</v>
      </c>
      <c r="C4" t="s">
        <v>402</v>
      </c>
      <c r="D4" s="4"/>
      <c r="E4" s="151">
        <v>4</v>
      </c>
      <c r="F4" s="166">
        <f t="shared" si="0"/>
        <v>80</v>
      </c>
      <c r="G4">
        <f>VLOOKUP($C4,약재관리!A:J,10,FALSE)</f>
        <v>53</v>
      </c>
      <c r="H4" s="5">
        <f t="shared" si="1"/>
        <v>212</v>
      </c>
      <c r="I4" s="6">
        <f t="shared" si="2"/>
        <v>4240</v>
      </c>
      <c r="K4" s="8" t="s">
        <v>11</v>
      </c>
      <c r="L4" s="187">
        <v>45594</v>
      </c>
      <c r="M4" s="186"/>
    </row>
    <row r="5" spans="2:13">
      <c r="B5" s="3">
        <v>4</v>
      </c>
      <c r="C5" t="s">
        <v>403</v>
      </c>
      <c r="D5" s="4"/>
      <c r="E5" s="151">
        <v>6</v>
      </c>
      <c r="F5" s="166">
        <f t="shared" si="0"/>
        <v>120</v>
      </c>
      <c r="G5">
        <f>VLOOKUP($C5,약재관리!A:J,10,FALSE)</f>
        <v>11</v>
      </c>
      <c r="H5" s="5">
        <f t="shared" si="1"/>
        <v>66</v>
      </c>
      <c r="I5" s="6">
        <f t="shared" si="2"/>
        <v>1320</v>
      </c>
      <c r="K5" s="8" t="s">
        <v>12</v>
      </c>
      <c r="L5" s="185" t="s">
        <v>424</v>
      </c>
      <c r="M5" s="186"/>
    </row>
    <row r="6" spans="2:13">
      <c r="B6" s="3">
        <v>5</v>
      </c>
      <c r="C6" t="s">
        <v>416</v>
      </c>
      <c r="D6" s="4"/>
      <c r="E6" s="151">
        <v>4</v>
      </c>
      <c r="F6" s="166">
        <f t="shared" si="0"/>
        <v>80</v>
      </c>
      <c r="G6">
        <f>VLOOKUP($C6,약재관리!A:J,10,FALSE)</f>
        <v>24</v>
      </c>
      <c r="H6" s="5">
        <f t="shared" si="1"/>
        <v>96</v>
      </c>
      <c r="I6" s="6">
        <f t="shared" si="2"/>
        <v>1920</v>
      </c>
      <c r="K6" s="8" t="s">
        <v>13</v>
      </c>
      <c r="L6" s="185">
        <v>79</v>
      </c>
      <c r="M6" s="186"/>
    </row>
    <row r="7" spans="2:13" ht="17.25" thickBot="1">
      <c r="B7" s="3">
        <v>6</v>
      </c>
      <c r="C7" t="s">
        <v>405</v>
      </c>
      <c r="D7" s="4"/>
      <c r="E7" s="151">
        <v>4</v>
      </c>
      <c r="F7" s="166">
        <f t="shared" si="0"/>
        <v>80</v>
      </c>
      <c r="G7">
        <f>VLOOKUP($C7,약재관리!A:J,10,FALSE)</f>
        <v>10</v>
      </c>
      <c r="H7" s="5">
        <f t="shared" si="1"/>
        <v>40</v>
      </c>
      <c r="I7" s="6">
        <f t="shared" si="2"/>
        <v>800</v>
      </c>
      <c r="K7" s="8" t="s">
        <v>14</v>
      </c>
      <c r="L7" s="169" t="s">
        <v>425</v>
      </c>
      <c r="M7" s="170"/>
    </row>
    <row r="8" spans="2:13" ht="17.25" thickBot="1">
      <c r="B8" s="3">
        <v>7</v>
      </c>
      <c r="C8" t="s">
        <v>417</v>
      </c>
      <c r="D8" s="4"/>
      <c r="E8" s="151">
        <v>4</v>
      </c>
      <c r="F8" s="166">
        <f t="shared" si="0"/>
        <v>80</v>
      </c>
      <c r="G8">
        <f>VLOOKUP($C8,약재관리!A:J,10,FALSE)</f>
        <v>15.4</v>
      </c>
      <c r="H8" s="5">
        <f t="shared" si="1"/>
        <v>61.6</v>
      </c>
      <c r="I8" s="6">
        <f t="shared" si="2"/>
        <v>1232</v>
      </c>
      <c r="K8" s="171" t="s">
        <v>15</v>
      </c>
      <c r="L8" s="172"/>
      <c r="M8" s="173"/>
    </row>
    <row r="9" spans="2:13">
      <c r="B9" s="3">
        <v>8</v>
      </c>
      <c r="C9" t="s">
        <v>406</v>
      </c>
      <c r="D9" s="4" t="s">
        <v>407</v>
      </c>
      <c r="E9" s="151">
        <v>2</v>
      </c>
      <c r="F9" s="166">
        <f t="shared" si="0"/>
        <v>40</v>
      </c>
      <c r="G9">
        <f>VLOOKUP($C9,약재관리!A:J,10,FALSE)</f>
        <v>22.5</v>
      </c>
      <c r="H9" s="5">
        <f t="shared" si="1"/>
        <v>45</v>
      </c>
      <c r="I9" s="6">
        <f t="shared" si="2"/>
        <v>900</v>
      </c>
      <c r="K9" s="174" t="s">
        <v>431</v>
      </c>
      <c r="L9" s="175"/>
      <c r="M9" s="176"/>
    </row>
    <row r="10" spans="2:13">
      <c r="B10" s="3">
        <v>9</v>
      </c>
      <c r="C10" t="s">
        <v>408</v>
      </c>
      <c r="D10" s="4"/>
      <c r="E10" s="151">
        <v>2</v>
      </c>
      <c r="F10" s="166">
        <f t="shared" si="0"/>
        <v>40</v>
      </c>
      <c r="G10">
        <f>VLOOKUP($C10,약재관리!A:J,10,FALSE)</f>
        <v>28.3</v>
      </c>
      <c r="H10" s="5">
        <f t="shared" si="1"/>
        <v>56.6</v>
      </c>
      <c r="I10" s="6">
        <f t="shared" si="2"/>
        <v>1132</v>
      </c>
      <c r="K10" s="177"/>
      <c r="L10" s="178"/>
      <c r="M10" s="179"/>
    </row>
    <row r="11" spans="2:13">
      <c r="B11" s="3">
        <v>10</v>
      </c>
      <c r="C11" t="s">
        <v>409</v>
      </c>
      <c r="D11" s="4"/>
      <c r="E11" s="151">
        <v>4</v>
      </c>
      <c r="F11" s="166">
        <f t="shared" si="0"/>
        <v>80</v>
      </c>
      <c r="G11">
        <f>VLOOKUP($C11,약재관리!A:J,10,FALSE)</f>
        <v>18</v>
      </c>
      <c r="H11" s="5">
        <f t="shared" si="1"/>
        <v>72</v>
      </c>
      <c r="I11" s="6">
        <f t="shared" si="2"/>
        <v>1440</v>
      </c>
      <c r="K11" s="177"/>
      <c r="L11" s="178"/>
      <c r="M11" s="179"/>
    </row>
    <row r="12" spans="2:13">
      <c r="B12" s="3">
        <v>11</v>
      </c>
      <c r="C12" t="s">
        <v>410</v>
      </c>
      <c r="D12" s="4"/>
      <c r="E12" s="151">
        <v>4</v>
      </c>
      <c r="F12" s="166">
        <f t="shared" si="0"/>
        <v>80</v>
      </c>
      <c r="G12">
        <f>VLOOKUP($C12,약재관리!A:J,10,FALSE)</f>
        <v>20.8</v>
      </c>
      <c r="H12" s="5">
        <f t="shared" si="1"/>
        <v>83.2</v>
      </c>
      <c r="I12" s="6">
        <f t="shared" si="2"/>
        <v>1664</v>
      </c>
      <c r="K12" s="177"/>
      <c r="L12" s="178"/>
      <c r="M12" s="179"/>
    </row>
    <row r="13" spans="2:13" ht="17.25" thickBot="1">
      <c r="B13" s="3">
        <v>12</v>
      </c>
      <c r="C13" t="s">
        <v>418</v>
      </c>
      <c r="D13" s="4"/>
      <c r="E13" s="151">
        <v>4</v>
      </c>
      <c r="F13" s="166">
        <f t="shared" si="0"/>
        <v>80</v>
      </c>
      <c r="G13">
        <f>VLOOKUP($C13,약재관리!A:J,10,FALSE)</f>
        <v>25</v>
      </c>
      <c r="H13" s="5">
        <f t="shared" si="1"/>
        <v>100</v>
      </c>
      <c r="I13" s="6">
        <f t="shared" si="2"/>
        <v>2000</v>
      </c>
      <c r="K13" s="180"/>
      <c r="L13" s="181"/>
      <c r="M13" s="182"/>
    </row>
    <row r="14" spans="2:13">
      <c r="B14" s="3">
        <v>13</v>
      </c>
      <c r="C14" t="s">
        <v>430</v>
      </c>
      <c r="D14" s="4"/>
      <c r="E14" s="151">
        <v>2</v>
      </c>
      <c r="F14" s="166">
        <f t="shared" si="0"/>
        <v>40</v>
      </c>
      <c r="G14">
        <f>VLOOKUP($C14,약재관리!A:J,10,FALSE)</f>
        <v>21.8</v>
      </c>
      <c r="H14" s="5">
        <f t="shared" si="1"/>
        <v>43.6</v>
      </c>
      <c r="I14" s="6">
        <f t="shared" si="2"/>
        <v>872</v>
      </c>
      <c r="K14" s="156" t="s">
        <v>16</v>
      </c>
      <c r="L14" s="9">
        <v>15</v>
      </c>
      <c r="M14" s="10" t="s">
        <v>17</v>
      </c>
    </row>
    <row r="15" spans="2:13">
      <c r="B15" s="3">
        <v>14</v>
      </c>
      <c r="C15" t="s">
        <v>420</v>
      </c>
      <c r="D15" s="4"/>
      <c r="E15" s="151">
        <v>6</v>
      </c>
      <c r="F15" s="166">
        <f t="shared" si="0"/>
        <v>120</v>
      </c>
      <c r="G15">
        <f>VLOOKUP($C15,약재관리!A:J,10,FALSE)</f>
        <v>19.2</v>
      </c>
      <c r="H15" s="5">
        <f t="shared" si="1"/>
        <v>115.19999999999999</v>
      </c>
      <c r="I15" s="6">
        <f t="shared" si="2"/>
        <v>2304</v>
      </c>
      <c r="K15" s="155" t="s">
        <v>18</v>
      </c>
      <c r="L15">
        <v>20</v>
      </c>
      <c r="M15" s="4" t="s">
        <v>19</v>
      </c>
    </row>
    <row r="16" spans="2:13">
      <c r="B16" s="3">
        <v>15</v>
      </c>
      <c r="C16" t="s">
        <v>411</v>
      </c>
      <c r="D16" s="4"/>
      <c r="E16" s="151">
        <v>4</v>
      </c>
      <c r="F16" s="166">
        <f t="shared" si="0"/>
        <v>80</v>
      </c>
      <c r="G16">
        <f>VLOOKUP($C16,약재관리!A:J,10,FALSE)</f>
        <v>19.600000000000001</v>
      </c>
      <c r="H16" s="5">
        <f t="shared" si="1"/>
        <v>78.400000000000006</v>
      </c>
      <c r="I16" s="6">
        <f t="shared" si="2"/>
        <v>1568</v>
      </c>
      <c r="K16" s="155" t="s">
        <v>20</v>
      </c>
      <c r="L16">
        <v>45</v>
      </c>
      <c r="M16" s="4" t="s">
        <v>21</v>
      </c>
    </row>
    <row r="17" spans="2:13" ht="17.25" thickBot="1">
      <c r="B17" s="3">
        <v>16</v>
      </c>
      <c r="C17" t="s">
        <v>412</v>
      </c>
      <c r="D17" s="4" t="s">
        <v>413</v>
      </c>
      <c r="E17" s="151">
        <v>4</v>
      </c>
      <c r="F17" s="166">
        <f t="shared" si="0"/>
        <v>80</v>
      </c>
      <c r="G17">
        <f>VLOOKUP($C17,약재관리!A:J,10,FALSE)</f>
        <v>8</v>
      </c>
      <c r="H17" s="5">
        <f t="shared" si="1"/>
        <v>32</v>
      </c>
      <c r="I17" s="6">
        <f t="shared" si="2"/>
        <v>640</v>
      </c>
      <c r="K17" s="14" t="s">
        <v>22</v>
      </c>
      <c r="L17" s="11">
        <v>100</v>
      </c>
      <c r="M17" s="12" t="s">
        <v>23</v>
      </c>
    </row>
    <row r="18" spans="2:13">
      <c r="B18" s="3">
        <v>17</v>
      </c>
      <c r="C18" t="s">
        <v>414</v>
      </c>
      <c r="D18" s="4"/>
      <c r="E18" s="151">
        <v>4</v>
      </c>
      <c r="F18" s="166">
        <f t="shared" si="0"/>
        <v>80</v>
      </c>
      <c r="G18">
        <f>VLOOKUP($C18,약재관리!A:J,10,FALSE)</f>
        <v>11.2</v>
      </c>
      <c r="H18" s="5">
        <f t="shared" si="1"/>
        <v>44.8</v>
      </c>
      <c r="I18" s="6">
        <f t="shared" si="2"/>
        <v>896</v>
      </c>
      <c r="K18" s="156" t="s">
        <v>24</v>
      </c>
      <c r="L18" s="9">
        <f>SUM(E2:E31)</f>
        <v>88</v>
      </c>
      <c r="M18" s="10" t="s">
        <v>25</v>
      </c>
    </row>
    <row r="19" spans="2:13">
      <c r="B19" s="3">
        <v>18</v>
      </c>
      <c r="C19" t="s">
        <v>415</v>
      </c>
      <c r="D19" s="4"/>
      <c r="E19" s="151">
        <v>4</v>
      </c>
      <c r="F19" s="166">
        <f t="shared" si="0"/>
        <v>80</v>
      </c>
      <c r="G19">
        <f>VLOOKUP($C19,약재관리!A:J,10,FALSE)</f>
        <v>24</v>
      </c>
      <c r="H19" s="5">
        <f t="shared" si="1"/>
        <v>96</v>
      </c>
      <c r="I19" s="6">
        <f t="shared" si="2"/>
        <v>1920</v>
      </c>
      <c r="K19" s="155" t="s">
        <v>26</v>
      </c>
      <c r="L19">
        <f>L15*L18</f>
        <v>1760</v>
      </c>
      <c r="M19" s="4" t="s">
        <v>25</v>
      </c>
    </row>
    <row r="20" spans="2:13" ht="17.25" thickBot="1">
      <c r="B20" s="3">
        <v>19</v>
      </c>
      <c r="C20" t="s">
        <v>427</v>
      </c>
      <c r="D20" s="4" t="s">
        <v>407</v>
      </c>
      <c r="E20" s="151">
        <v>2</v>
      </c>
      <c r="F20" s="166">
        <f t="shared" si="0"/>
        <v>40</v>
      </c>
      <c r="G20">
        <f>VLOOKUP($C20,약재관리!A:J,10,FALSE)</f>
        <v>134.30000000000001</v>
      </c>
      <c r="H20" s="5">
        <f t="shared" si="1"/>
        <v>268.60000000000002</v>
      </c>
      <c r="I20" s="6">
        <f t="shared" si="2"/>
        <v>5372</v>
      </c>
      <c r="K20" s="14" t="s">
        <v>27</v>
      </c>
      <c r="L20" s="11">
        <f>L16*L17+L19</f>
        <v>6260</v>
      </c>
      <c r="M20" s="12" t="s">
        <v>23</v>
      </c>
    </row>
    <row r="21" spans="2:13" ht="17.25" thickBot="1">
      <c r="B21" s="3">
        <v>20</v>
      </c>
      <c r="C21" t="s">
        <v>422</v>
      </c>
      <c r="D21" s="4"/>
      <c r="E21" s="151">
        <v>2</v>
      </c>
      <c r="F21" s="166">
        <f t="shared" si="0"/>
        <v>40</v>
      </c>
      <c r="G21">
        <f>VLOOKUP($C21,약재관리!A:J,10,FALSE)</f>
        <v>9.8000000000000007</v>
      </c>
      <c r="H21" s="5">
        <f t="shared" si="1"/>
        <v>19.600000000000001</v>
      </c>
      <c r="I21" s="6">
        <f t="shared" si="2"/>
        <v>392</v>
      </c>
      <c r="J21" s="155"/>
      <c r="M21" s="158"/>
    </row>
    <row r="22" spans="2:13" ht="17.25" thickBot="1">
      <c r="B22" s="3">
        <v>21</v>
      </c>
      <c r="C22" t="s">
        <v>428</v>
      </c>
      <c r="D22" s="4"/>
      <c r="E22" s="151">
        <v>2</v>
      </c>
      <c r="F22" s="166">
        <f t="shared" si="0"/>
        <v>40</v>
      </c>
      <c r="G22">
        <f>VLOOKUP($C22,약재관리!A:J,10,FALSE)</f>
        <v>25.2</v>
      </c>
      <c r="H22" s="5">
        <f t="shared" si="1"/>
        <v>50.4</v>
      </c>
      <c r="I22" s="6">
        <f t="shared" si="2"/>
        <v>1008</v>
      </c>
      <c r="K22" s="171" t="s">
        <v>390</v>
      </c>
      <c r="L22" s="172"/>
      <c r="M22" s="173"/>
    </row>
    <row r="23" spans="2:13">
      <c r="B23" s="3">
        <v>22</v>
      </c>
      <c r="C23" t="s">
        <v>429</v>
      </c>
      <c r="D23" s="4"/>
      <c r="E23" s="151">
        <v>4</v>
      </c>
      <c r="F23" s="166">
        <f t="shared" si="0"/>
        <v>80</v>
      </c>
      <c r="G23">
        <f>VLOOKUP($C23,약재관리!A:J,10,FALSE)</f>
        <v>44.3</v>
      </c>
      <c r="H23" s="5">
        <f t="shared" si="1"/>
        <v>177.2</v>
      </c>
      <c r="I23" s="6">
        <f t="shared" si="2"/>
        <v>3544</v>
      </c>
      <c r="K23" s="155" t="s">
        <v>384</v>
      </c>
      <c r="L23">
        <f>SUM(F2:F31)</f>
        <v>1760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2007.8</v>
      </c>
      <c r="M30" s="4" t="s">
        <v>388</v>
      </c>
    </row>
    <row r="31" spans="2:13" ht="17.25" thickBot="1">
      <c r="B31" s="13">
        <v>30</v>
      </c>
      <c r="C31" s="14"/>
      <c r="D31" s="12"/>
      <c r="E31" s="159"/>
      <c r="F31" s="167">
        <f t="shared" si="0"/>
        <v>0</v>
      </c>
      <c r="G31" s="14"/>
      <c r="H31" s="15">
        <f t="shared" si="1"/>
        <v>0</v>
      </c>
      <c r="I31" s="16">
        <f t="shared" si="2"/>
        <v>0</v>
      </c>
      <c r="K31" s="14" t="s">
        <v>387</v>
      </c>
      <c r="L31" s="15">
        <f>SUM(I2:I31)</f>
        <v>40156</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21" sqref="C21"/>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401</v>
      </c>
      <c r="D2" s="4"/>
      <c r="E2" s="151">
        <v>10</v>
      </c>
      <c r="F2" s="166">
        <f>E2*$L$15</f>
        <v>200</v>
      </c>
      <c r="G2">
        <f>VLOOKUP($C2,약재관리!A:J,10,FALSE)</f>
        <v>14.4</v>
      </c>
      <c r="H2" s="5">
        <f>G2*E2</f>
        <v>144</v>
      </c>
      <c r="I2" s="154">
        <f>G2*F2</f>
        <v>2880</v>
      </c>
      <c r="K2" s="7" t="s">
        <v>9</v>
      </c>
      <c r="L2" s="183">
        <v>20</v>
      </c>
      <c r="M2" s="184"/>
    </row>
    <row r="3" spans="2:13">
      <c r="B3" s="3">
        <v>2</v>
      </c>
      <c r="C3" t="s">
        <v>404</v>
      </c>
      <c r="D3" s="4"/>
      <c r="E3" s="151">
        <v>6</v>
      </c>
      <c r="F3" s="166">
        <f t="shared" ref="F3:F31" si="0">E3*$L$15</f>
        <v>120</v>
      </c>
      <c r="G3">
        <f>VLOOKUP($C3,약재관리!A:J,10,FALSE)</f>
        <v>17.600000000000001</v>
      </c>
      <c r="H3" s="5">
        <f t="shared" ref="H3:H31" si="1">G3*E3</f>
        <v>105.60000000000001</v>
      </c>
      <c r="I3" s="6">
        <f t="shared" ref="I3:I31" si="2">G3*F3</f>
        <v>2112</v>
      </c>
      <c r="K3" s="8" t="s">
        <v>10</v>
      </c>
      <c r="L3" s="185" t="s">
        <v>423</v>
      </c>
      <c r="M3" s="186"/>
    </row>
    <row r="4" spans="2:13">
      <c r="B4" s="3">
        <v>3</v>
      </c>
      <c r="C4" t="s">
        <v>402</v>
      </c>
      <c r="D4" s="4"/>
      <c r="E4" s="151">
        <v>4</v>
      </c>
      <c r="F4" s="166">
        <f t="shared" si="0"/>
        <v>80</v>
      </c>
      <c r="G4">
        <f>VLOOKUP($C4,약재관리!A:J,10,FALSE)</f>
        <v>53</v>
      </c>
      <c r="H4" s="5">
        <f t="shared" si="1"/>
        <v>212</v>
      </c>
      <c r="I4" s="6">
        <f t="shared" si="2"/>
        <v>4240</v>
      </c>
      <c r="K4" s="8" t="s">
        <v>11</v>
      </c>
      <c r="L4" s="187">
        <v>45575</v>
      </c>
      <c r="M4" s="186"/>
    </row>
    <row r="5" spans="2:13">
      <c r="B5" s="3">
        <v>4</v>
      </c>
      <c r="C5" t="s">
        <v>403</v>
      </c>
      <c r="D5" s="4"/>
      <c r="E5" s="151">
        <v>6</v>
      </c>
      <c r="F5" s="166">
        <f t="shared" si="0"/>
        <v>120</v>
      </c>
      <c r="G5">
        <f>VLOOKUP($C5,약재관리!A:J,10,FALSE)</f>
        <v>11</v>
      </c>
      <c r="H5" s="5">
        <f t="shared" si="1"/>
        <v>66</v>
      </c>
      <c r="I5" s="6">
        <f t="shared" si="2"/>
        <v>1320</v>
      </c>
      <c r="K5" s="8" t="s">
        <v>12</v>
      </c>
      <c r="L5" s="185" t="s">
        <v>424</v>
      </c>
      <c r="M5" s="186"/>
    </row>
    <row r="6" spans="2:13">
      <c r="B6" s="3">
        <v>5</v>
      </c>
      <c r="C6" t="s">
        <v>416</v>
      </c>
      <c r="D6" s="4"/>
      <c r="E6" s="151">
        <v>4</v>
      </c>
      <c r="F6" s="166">
        <f t="shared" si="0"/>
        <v>80</v>
      </c>
      <c r="G6">
        <f>VLOOKUP($C6,약재관리!A:J,10,FALSE)</f>
        <v>24</v>
      </c>
      <c r="H6" s="5">
        <f t="shared" si="1"/>
        <v>96</v>
      </c>
      <c r="I6" s="6">
        <f t="shared" si="2"/>
        <v>1920</v>
      </c>
      <c r="K6" s="8" t="s">
        <v>13</v>
      </c>
      <c r="L6" s="185">
        <v>79</v>
      </c>
      <c r="M6" s="186"/>
    </row>
    <row r="7" spans="2:13" ht="17.25" thickBot="1">
      <c r="B7" s="3">
        <v>6</v>
      </c>
      <c r="C7" t="s">
        <v>405</v>
      </c>
      <c r="D7" s="4"/>
      <c r="E7" s="151">
        <v>4</v>
      </c>
      <c r="F7" s="166">
        <f t="shared" si="0"/>
        <v>80</v>
      </c>
      <c r="G7">
        <f>VLOOKUP($C7,약재관리!A:J,10,FALSE)</f>
        <v>10</v>
      </c>
      <c r="H7" s="5">
        <f t="shared" si="1"/>
        <v>40</v>
      </c>
      <c r="I7" s="6">
        <f t="shared" si="2"/>
        <v>800</v>
      </c>
      <c r="K7" s="8" t="s">
        <v>14</v>
      </c>
      <c r="L7" s="169" t="s">
        <v>425</v>
      </c>
      <c r="M7" s="170"/>
    </row>
    <row r="8" spans="2:13" ht="17.25" thickBot="1">
      <c r="B8" s="3">
        <v>7</v>
      </c>
      <c r="C8" t="s">
        <v>417</v>
      </c>
      <c r="D8" s="4"/>
      <c r="E8" s="151">
        <v>4</v>
      </c>
      <c r="F8" s="166">
        <f t="shared" si="0"/>
        <v>80</v>
      </c>
      <c r="G8">
        <f>VLOOKUP($C8,약재관리!A:J,10,FALSE)</f>
        <v>15.4</v>
      </c>
      <c r="H8" s="5">
        <f t="shared" si="1"/>
        <v>61.6</v>
      </c>
      <c r="I8" s="6">
        <f t="shared" si="2"/>
        <v>1232</v>
      </c>
      <c r="K8" s="171" t="s">
        <v>15</v>
      </c>
      <c r="L8" s="172"/>
      <c r="M8" s="173"/>
    </row>
    <row r="9" spans="2:13">
      <c r="B9" s="3">
        <v>8</v>
      </c>
      <c r="C9" t="s">
        <v>406</v>
      </c>
      <c r="D9" s="4" t="s">
        <v>407</v>
      </c>
      <c r="E9" s="151">
        <v>2</v>
      </c>
      <c r="F9" s="166">
        <f t="shared" si="0"/>
        <v>40</v>
      </c>
      <c r="G9">
        <f>VLOOKUP($C9,약재관리!A:J,10,FALSE)</f>
        <v>22.5</v>
      </c>
      <c r="H9" s="5">
        <f t="shared" si="1"/>
        <v>45</v>
      </c>
      <c r="I9" s="6">
        <f t="shared" si="2"/>
        <v>900</v>
      </c>
      <c r="K9" s="174" t="s">
        <v>426</v>
      </c>
      <c r="L9" s="175"/>
      <c r="M9" s="176"/>
    </row>
    <row r="10" spans="2:13">
      <c r="B10" s="3">
        <v>9</v>
      </c>
      <c r="C10" t="s">
        <v>408</v>
      </c>
      <c r="D10" s="4"/>
      <c r="E10" s="151">
        <v>2</v>
      </c>
      <c r="F10" s="166">
        <f t="shared" si="0"/>
        <v>40</v>
      </c>
      <c r="G10">
        <f>VLOOKUP($C10,약재관리!A:J,10,FALSE)</f>
        <v>28.3</v>
      </c>
      <c r="H10" s="5">
        <f t="shared" si="1"/>
        <v>56.6</v>
      </c>
      <c r="I10" s="6">
        <f t="shared" si="2"/>
        <v>1132</v>
      </c>
      <c r="K10" s="177"/>
      <c r="L10" s="178"/>
      <c r="M10" s="179"/>
    </row>
    <row r="11" spans="2:13">
      <c r="B11" s="3">
        <v>10</v>
      </c>
      <c r="C11" t="s">
        <v>409</v>
      </c>
      <c r="D11" s="4"/>
      <c r="E11" s="151">
        <v>4</v>
      </c>
      <c r="F11" s="166">
        <f t="shared" si="0"/>
        <v>80</v>
      </c>
      <c r="G11">
        <f>VLOOKUP($C11,약재관리!A:J,10,FALSE)</f>
        <v>18</v>
      </c>
      <c r="H11" s="5">
        <f t="shared" si="1"/>
        <v>72</v>
      </c>
      <c r="I11" s="6">
        <f t="shared" si="2"/>
        <v>1440</v>
      </c>
      <c r="K11" s="177"/>
      <c r="L11" s="178"/>
      <c r="M11" s="179"/>
    </row>
    <row r="12" spans="2:13">
      <c r="B12" s="3">
        <v>11</v>
      </c>
      <c r="C12" t="s">
        <v>410</v>
      </c>
      <c r="D12" s="4"/>
      <c r="E12" s="151">
        <v>4</v>
      </c>
      <c r="F12" s="166">
        <f t="shared" si="0"/>
        <v>80</v>
      </c>
      <c r="G12">
        <f>VLOOKUP($C12,약재관리!A:J,10,FALSE)</f>
        <v>20.8</v>
      </c>
      <c r="H12" s="5">
        <f t="shared" si="1"/>
        <v>83.2</v>
      </c>
      <c r="I12" s="6">
        <f t="shared" si="2"/>
        <v>1664</v>
      </c>
      <c r="K12" s="177"/>
      <c r="L12" s="178"/>
      <c r="M12" s="179"/>
    </row>
    <row r="13" spans="2:13" ht="17.25" thickBot="1">
      <c r="B13" s="3">
        <v>12</v>
      </c>
      <c r="C13" t="s">
        <v>418</v>
      </c>
      <c r="D13" s="4"/>
      <c r="E13" s="151">
        <v>4</v>
      </c>
      <c r="F13" s="166">
        <f t="shared" si="0"/>
        <v>80</v>
      </c>
      <c r="G13">
        <f>VLOOKUP($C13,약재관리!A:J,10,FALSE)</f>
        <v>25</v>
      </c>
      <c r="H13" s="5">
        <f t="shared" si="1"/>
        <v>100</v>
      </c>
      <c r="I13" s="6">
        <f t="shared" si="2"/>
        <v>2000</v>
      </c>
      <c r="K13" s="180"/>
      <c r="L13" s="181"/>
      <c r="M13" s="182"/>
    </row>
    <row r="14" spans="2:13">
      <c r="B14" s="3">
        <v>13</v>
      </c>
      <c r="C14" t="s">
        <v>419</v>
      </c>
      <c r="D14" s="4"/>
      <c r="E14" s="151">
        <v>4</v>
      </c>
      <c r="F14" s="166">
        <f t="shared" si="0"/>
        <v>80</v>
      </c>
      <c r="G14">
        <f>VLOOKUP($C14,약재관리!A:J,10,FALSE)</f>
        <v>10.8</v>
      </c>
      <c r="H14" s="5">
        <f t="shared" si="1"/>
        <v>43.2</v>
      </c>
      <c r="I14" s="6">
        <f t="shared" si="2"/>
        <v>864</v>
      </c>
      <c r="K14" s="156" t="s">
        <v>16</v>
      </c>
      <c r="L14" s="9">
        <v>15</v>
      </c>
      <c r="M14" s="10" t="s">
        <v>17</v>
      </c>
    </row>
    <row r="15" spans="2:13">
      <c r="B15" s="3">
        <v>14</v>
      </c>
      <c r="C15" t="s">
        <v>420</v>
      </c>
      <c r="D15" s="4"/>
      <c r="E15" s="151">
        <v>4</v>
      </c>
      <c r="F15" s="166">
        <f t="shared" si="0"/>
        <v>80</v>
      </c>
      <c r="G15">
        <f>VLOOKUP($C15,약재관리!A:J,10,FALSE)</f>
        <v>19.2</v>
      </c>
      <c r="H15" s="5">
        <f t="shared" si="1"/>
        <v>76.8</v>
      </c>
      <c r="I15" s="6">
        <f t="shared" si="2"/>
        <v>1536</v>
      </c>
      <c r="K15" s="155" t="s">
        <v>18</v>
      </c>
      <c r="L15">
        <v>20</v>
      </c>
      <c r="M15" s="4" t="s">
        <v>19</v>
      </c>
    </row>
    <row r="16" spans="2:13">
      <c r="B16" s="3">
        <v>15</v>
      </c>
      <c r="C16" t="s">
        <v>411</v>
      </c>
      <c r="D16" s="4"/>
      <c r="E16" s="151">
        <v>4</v>
      </c>
      <c r="F16" s="166">
        <f t="shared" si="0"/>
        <v>80</v>
      </c>
      <c r="G16">
        <f>VLOOKUP($C16,약재관리!A:J,10,FALSE)</f>
        <v>19.600000000000001</v>
      </c>
      <c r="H16" s="5">
        <f t="shared" si="1"/>
        <v>78.400000000000006</v>
      </c>
      <c r="I16" s="6">
        <f t="shared" si="2"/>
        <v>1568</v>
      </c>
      <c r="K16" s="155" t="s">
        <v>20</v>
      </c>
      <c r="L16">
        <v>45</v>
      </c>
      <c r="M16" s="4" t="s">
        <v>21</v>
      </c>
    </row>
    <row r="17" spans="2:13" ht="17.25" thickBot="1">
      <c r="B17" s="3">
        <v>16</v>
      </c>
      <c r="C17" t="s">
        <v>412</v>
      </c>
      <c r="D17" s="4" t="s">
        <v>413</v>
      </c>
      <c r="E17" s="151">
        <v>4</v>
      </c>
      <c r="F17" s="166">
        <f t="shared" si="0"/>
        <v>80</v>
      </c>
      <c r="G17">
        <f>VLOOKUP($C17,약재관리!A:J,10,FALSE)</f>
        <v>8</v>
      </c>
      <c r="H17" s="5">
        <f t="shared" si="1"/>
        <v>32</v>
      </c>
      <c r="I17" s="6">
        <f t="shared" si="2"/>
        <v>640</v>
      </c>
      <c r="K17" s="14" t="s">
        <v>22</v>
      </c>
      <c r="L17" s="11">
        <v>100</v>
      </c>
      <c r="M17" s="12" t="s">
        <v>23</v>
      </c>
    </row>
    <row r="18" spans="2:13">
      <c r="B18" s="3">
        <v>17</v>
      </c>
      <c r="C18" t="s">
        <v>414</v>
      </c>
      <c r="D18" s="4"/>
      <c r="E18" s="151">
        <v>4</v>
      </c>
      <c r="F18" s="166">
        <f t="shared" si="0"/>
        <v>80</v>
      </c>
      <c r="G18">
        <f>VLOOKUP($C18,약재관리!A:J,10,FALSE)</f>
        <v>11.2</v>
      </c>
      <c r="H18" s="5">
        <f t="shared" si="1"/>
        <v>44.8</v>
      </c>
      <c r="I18" s="6">
        <f t="shared" si="2"/>
        <v>896</v>
      </c>
      <c r="K18" s="156" t="s">
        <v>24</v>
      </c>
      <c r="L18" s="9">
        <f>SUM(E2:E31)</f>
        <v>86</v>
      </c>
      <c r="M18" s="10" t="s">
        <v>25</v>
      </c>
    </row>
    <row r="19" spans="2:13">
      <c r="B19" s="3">
        <v>18</v>
      </c>
      <c r="C19" t="s">
        <v>415</v>
      </c>
      <c r="D19" s="4"/>
      <c r="E19" s="151">
        <v>4</v>
      </c>
      <c r="F19" s="166">
        <f t="shared" si="0"/>
        <v>80</v>
      </c>
      <c r="G19">
        <f>VLOOKUP($C19,약재관리!A:J,10,FALSE)</f>
        <v>24</v>
      </c>
      <c r="H19" s="5">
        <f t="shared" si="1"/>
        <v>96</v>
      </c>
      <c r="I19" s="6">
        <f t="shared" si="2"/>
        <v>1920</v>
      </c>
      <c r="K19" s="155" t="s">
        <v>26</v>
      </c>
      <c r="L19">
        <f>L15*L18</f>
        <v>1720</v>
      </c>
      <c r="M19" s="4" t="s">
        <v>25</v>
      </c>
    </row>
    <row r="20" spans="2:13" ht="17.25" thickBot="1">
      <c r="B20" s="3">
        <v>19</v>
      </c>
      <c r="C20" t="s">
        <v>421</v>
      </c>
      <c r="D20" s="4"/>
      <c r="E20" s="151">
        <v>6</v>
      </c>
      <c r="F20" s="166">
        <f t="shared" si="0"/>
        <v>120</v>
      </c>
      <c r="G20">
        <f>VLOOKUP($C20,약재관리!A:J,10,FALSE)</f>
        <v>22</v>
      </c>
      <c r="H20" s="5">
        <f t="shared" si="1"/>
        <v>132</v>
      </c>
      <c r="I20" s="6">
        <f t="shared" si="2"/>
        <v>2640</v>
      </c>
      <c r="K20" s="14" t="s">
        <v>27</v>
      </c>
      <c r="L20" s="11">
        <f>L16*L17+L19</f>
        <v>6220</v>
      </c>
      <c r="M20" s="12" t="s">
        <v>23</v>
      </c>
    </row>
    <row r="21" spans="2:13" ht="17.25" thickBot="1">
      <c r="B21" s="3">
        <v>20</v>
      </c>
      <c r="C21" t="s">
        <v>422</v>
      </c>
      <c r="D21" s="4"/>
      <c r="E21" s="151">
        <v>2</v>
      </c>
      <c r="F21" s="166">
        <f t="shared" si="0"/>
        <v>40</v>
      </c>
      <c r="G21">
        <f>VLOOKUP($C21,약재관리!A:J,10,FALSE)</f>
        <v>9.8000000000000007</v>
      </c>
      <c r="H21" s="5">
        <f t="shared" si="1"/>
        <v>19.600000000000001</v>
      </c>
      <c r="I21" s="6">
        <f t="shared" si="2"/>
        <v>392</v>
      </c>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1720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1604.8</v>
      </c>
      <c r="M30" s="4" t="s">
        <v>388</v>
      </c>
    </row>
    <row r="31" spans="2:13" ht="17.25" thickBot="1">
      <c r="B31" s="13">
        <v>30</v>
      </c>
      <c r="C31" s="14"/>
      <c r="D31" s="12"/>
      <c r="E31" s="159"/>
      <c r="F31" s="167">
        <f t="shared" si="0"/>
        <v>0</v>
      </c>
      <c r="G31" s="14"/>
      <c r="H31" s="15">
        <f t="shared" si="1"/>
        <v>0</v>
      </c>
      <c r="I31" s="16">
        <f t="shared" si="2"/>
        <v>0</v>
      </c>
      <c r="K31" s="14" t="s">
        <v>387</v>
      </c>
      <c r="L31" s="15">
        <f>SUM(I2:I31)</f>
        <v>32096</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175" sqref="A175"/>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3">
        <v>45566</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8900</v>
      </c>
      <c r="F35" s="41">
        <f t="shared" si="3"/>
        <v>0</v>
      </c>
      <c r="G35" s="42">
        <f t="shared" ref="G35:G47" si="7">C35/500</f>
        <v>13.2</v>
      </c>
      <c r="H35" s="42">
        <f t="shared" ref="H35:H47" si="8">D35/600</f>
        <v>0</v>
      </c>
      <c r="I35" s="43">
        <f t="shared" si="6"/>
        <v>14.833333333333334</v>
      </c>
      <c r="J35" s="44">
        <v>14.8</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2"/>
      <c r="L71" s="58"/>
      <c r="M71" s="58"/>
      <c r="N71" s="152"/>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3"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v>20700</v>
      </c>
      <c r="F143" s="53">
        <f t="shared" si="25"/>
        <v>0</v>
      </c>
      <c r="G143" s="54">
        <f>C143/500</f>
        <v>41</v>
      </c>
      <c r="H143" s="54">
        <f>D143/600</f>
        <v>38.333333333333336</v>
      </c>
      <c r="I143" s="68">
        <f t="shared" si="23"/>
        <v>34.5</v>
      </c>
      <c r="J143" s="56">
        <v>38</v>
      </c>
      <c r="K143" s="57"/>
      <c r="L143" s="58" t="s">
        <v>105</v>
      </c>
      <c r="M143" s="58"/>
      <c r="N143" s="59" t="s">
        <v>400</v>
      </c>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2">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청심온담탕2차-2</vt:lpstr>
      <vt:lpstr>청심온담탕2차</vt:lpstr>
      <vt:lpstr>청심온담탕1차</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2024-10-28T07:20:01Z</cp:lastPrinted>
  <dcterms:created xsi:type="dcterms:W3CDTF">2024-09-12T16:35:01Z</dcterms:created>
  <dcterms:modified xsi:type="dcterms:W3CDTF">2024-11-20T09:02:59Z</dcterms:modified>
</cp:coreProperties>
</file>