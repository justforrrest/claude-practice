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1645" documentId="8_{6EB8DC0A-AB56-415F-A9F3-EA1534264548}" xr6:coauthVersionLast="47" xr6:coauthVersionMax="47" xr10:uidLastSave="{042FF38A-9782-4568-B8AF-7424BDE89A46}"/>
  <bookViews>
    <workbookView xWindow="-120" yWindow="-120" windowWidth="29040" windowHeight="15720" xr2:uid="{8B9F1886-173A-4475-B0CF-D9F36CE30773}"/>
  </bookViews>
  <sheets>
    <sheet name="처방전양식 (2)" sheetId="7" r:id="rId1"/>
    <sheet name="처방전양식" sheetId="4" r:id="rId2"/>
    <sheet name="약재관리" sheetId="6"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7" l="1"/>
  <c r="H16" i="7" s="1"/>
  <c r="G17" i="7"/>
  <c r="H17" i="7" s="1"/>
  <c r="G18" i="7"/>
  <c r="G19" i="7"/>
  <c r="I31" i="7"/>
  <c r="H31" i="7"/>
  <c r="F31" i="7"/>
  <c r="H30" i="7"/>
  <c r="F30" i="7"/>
  <c r="I30" i="7" s="1"/>
  <c r="H29" i="7"/>
  <c r="F29" i="7"/>
  <c r="I29" i="7" s="1"/>
  <c r="I28" i="7"/>
  <c r="H28" i="7"/>
  <c r="F28" i="7"/>
  <c r="H27" i="7"/>
  <c r="F27" i="7"/>
  <c r="I27" i="7" s="1"/>
  <c r="H26" i="7"/>
  <c r="F26" i="7"/>
  <c r="I26" i="7" s="1"/>
  <c r="H25" i="7"/>
  <c r="F25" i="7"/>
  <c r="I25" i="7" s="1"/>
  <c r="H24" i="7"/>
  <c r="F24" i="7"/>
  <c r="F23" i="7"/>
  <c r="I22" i="7"/>
  <c r="F22" i="7"/>
  <c r="I21" i="7"/>
  <c r="F21" i="7"/>
  <c r="I20" i="7"/>
  <c r="F20" i="7"/>
  <c r="F19" i="7"/>
  <c r="L18" i="7"/>
  <c r="L19" i="7" s="1"/>
  <c r="L20" i="7" s="1"/>
  <c r="F18" i="7"/>
  <c r="F17" i="7"/>
  <c r="F16" i="7"/>
  <c r="G15" i="7"/>
  <c r="F15" i="7"/>
  <c r="G14" i="7"/>
  <c r="F14" i="7"/>
  <c r="G13" i="7"/>
  <c r="H13" i="7" s="1"/>
  <c r="F13" i="7"/>
  <c r="G12" i="7"/>
  <c r="F12" i="7"/>
  <c r="G11" i="7"/>
  <c r="I11" i="7" s="1"/>
  <c r="F11" i="7"/>
  <c r="G10" i="7"/>
  <c r="H10" i="7" s="1"/>
  <c r="F10" i="7"/>
  <c r="G9" i="7"/>
  <c r="F9" i="7"/>
  <c r="G8" i="7"/>
  <c r="F8" i="7"/>
  <c r="G7" i="7"/>
  <c r="H7" i="7" s="1"/>
  <c r="F7" i="7"/>
  <c r="G6" i="7"/>
  <c r="F6" i="7"/>
  <c r="G5" i="7"/>
  <c r="I5" i="7" s="1"/>
  <c r="F5" i="7"/>
  <c r="G4" i="7"/>
  <c r="H4" i="7" s="1"/>
  <c r="F4" i="7"/>
  <c r="G3" i="7"/>
  <c r="F3" i="7"/>
  <c r="G2" i="7"/>
  <c r="F2" i="7"/>
  <c r="G12" i="4"/>
  <c r="G13" i="4"/>
  <c r="G14" i="4"/>
  <c r="G15" i="4"/>
  <c r="G16" i="4"/>
  <c r="G17" i="4"/>
  <c r="G18" i="4"/>
  <c r="G19" i="4"/>
  <c r="G20" i="4"/>
  <c r="G21" i="4"/>
  <c r="G22" i="4"/>
  <c r="G23" i="4"/>
  <c r="G24" i="4"/>
  <c r="G11" i="4"/>
  <c r="G10" i="4"/>
  <c r="G9" i="4"/>
  <c r="G8" i="4"/>
  <c r="G2" i="4"/>
  <c r="G3" i="4"/>
  <c r="G4" i="4"/>
  <c r="G5" i="4"/>
  <c r="G6" i="4"/>
  <c r="G7" i="4"/>
  <c r="I214" i="6"/>
  <c r="H214" i="6"/>
  <c r="G214" i="6"/>
  <c r="F214" i="6"/>
  <c r="I213" i="6"/>
  <c r="H213" i="6"/>
  <c r="G213" i="6"/>
  <c r="F213" i="6"/>
  <c r="I212" i="6"/>
  <c r="H212" i="6"/>
  <c r="G212" i="6"/>
  <c r="F212" i="6"/>
  <c r="I211" i="6"/>
  <c r="H211" i="6"/>
  <c r="G211" i="6"/>
  <c r="F211" i="6"/>
  <c r="I210" i="6"/>
  <c r="H210" i="6"/>
  <c r="G210" i="6"/>
  <c r="F210" i="6"/>
  <c r="I209" i="6"/>
  <c r="H209" i="6"/>
  <c r="G209" i="6"/>
  <c r="F209" i="6"/>
  <c r="I208" i="6"/>
  <c r="H208" i="6"/>
  <c r="G208" i="6"/>
  <c r="F208" i="6"/>
  <c r="I207" i="6"/>
  <c r="H207" i="6"/>
  <c r="G207" i="6"/>
  <c r="F207" i="6"/>
  <c r="I206" i="6"/>
  <c r="H206" i="6"/>
  <c r="G206" i="6"/>
  <c r="F206" i="6"/>
  <c r="I205" i="6"/>
  <c r="H205" i="6"/>
  <c r="G205" i="6"/>
  <c r="F205" i="6"/>
  <c r="I204" i="6"/>
  <c r="H204" i="6"/>
  <c r="G204" i="6"/>
  <c r="F204" i="6"/>
  <c r="I203" i="6"/>
  <c r="H203" i="6"/>
  <c r="G203" i="6"/>
  <c r="F203" i="6"/>
  <c r="I202" i="6"/>
  <c r="H202" i="6"/>
  <c r="G202" i="6"/>
  <c r="F202" i="6"/>
  <c r="I201" i="6"/>
  <c r="H201" i="6"/>
  <c r="G201" i="6"/>
  <c r="F201" i="6"/>
  <c r="I200" i="6"/>
  <c r="H200" i="6"/>
  <c r="G200" i="6"/>
  <c r="F200" i="6"/>
  <c r="I199" i="6"/>
  <c r="H199" i="6"/>
  <c r="G199" i="6"/>
  <c r="F199" i="6"/>
  <c r="I198" i="6"/>
  <c r="H198" i="6"/>
  <c r="G198" i="6"/>
  <c r="F198" i="6"/>
  <c r="I197" i="6"/>
  <c r="H197" i="6"/>
  <c r="G197" i="6"/>
  <c r="F197" i="6"/>
  <c r="I196" i="6"/>
  <c r="H196" i="6"/>
  <c r="G196" i="6"/>
  <c r="F196" i="6"/>
  <c r="I195" i="6"/>
  <c r="H195" i="6"/>
  <c r="G195" i="6"/>
  <c r="F195" i="6"/>
  <c r="I194" i="6"/>
  <c r="H194" i="6"/>
  <c r="G194" i="6"/>
  <c r="F194" i="6"/>
  <c r="G193" i="6"/>
  <c r="I192" i="6"/>
  <c r="H192" i="6"/>
  <c r="G192" i="6"/>
  <c r="F192" i="6"/>
  <c r="I191" i="6"/>
  <c r="H191" i="6"/>
  <c r="G191" i="6"/>
  <c r="F191" i="6"/>
  <c r="I190" i="6"/>
  <c r="H190" i="6"/>
  <c r="G190" i="6"/>
  <c r="F190" i="6"/>
  <c r="I189" i="6"/>
  <c r="H189" i="6"/>
  <c r="G189" i="6"/>
  <c r="F189" i="6"/>
  <c r="I188" i="6"/>
  <c r="H188" i="6"/>
  <c r="G188" i="6"/>
  <c r="F188" i="6"/>
  <c r="I187" i="6"/>
  <c r="H187" i="6"/>
  <c r="G187" i="6"/>
  <c r="F187" i="6"/>
  <c r="I186" i="6"/>
  <c r="H186" i="6"/>
  <c r="G186" i="6"/>
  <c r="F186" i="6"/>
  <c r="I185" i="6"/>
  <c r="H185" i="6"/>
  <c r="G185" i="6"/>
  <c r="F185" i="6"/>
  <c r="I184" i="6"/>
  <c r="H184" i="6"/>
  <c r="G184" i="6"/>
  <c r="F184" i="6"/>
  <c r="I182" i="6"/>
  <c r="H182" i="6"/>
  <c r="G182" i="6"/>
  <c r="F182" i="6"/>
  <c r="I181" i="6"/>
  <c r="H181" i="6"/>
  <c r="G181" i="6"/>
  <c r="F181" i="6"/>
  <c r="I180" i="6"/>
  <c r="H180" i="6"/>
  <c r="G180" i="6"/>
  <c r="F180" i="6"/>
  <c r="I179" i="6"/>
  <c r="H179" i="6"/>
  <c r="G179" i="6"/>
  <c r="F179" i="6"/>
  <c r="I178" i="6"/>
  <c r="H178" i="6"/>
  <c r="G178" i="6"/>
  <c r="F178" i="6"/>
  <c r="I177" i="6"/>
  <c r="H177" i="6"/>
  <c r="G177" i="6"/>
  <c r="F177" i="6"/>
  <c r="I176" i="6"/>
  <c r="H176" i="6"/>
  <c r="G176" i="6"/>
  <c r="F176" i="6"/>
  <c r="I175" i="6"/>
  <c r="H175" i="6"/>
  <c r="G175" i="6"/>
  <c r="F175" i="6"/>
  <c r="I174" i="6"/>
  <c r="H174" i="6"/>
  <c r="G174" i="6"/>
  <c r="F174" i="6"/>
  <c r="I173" i="6"/>
  <c r="H173" i="6"/>
  <c r="G173" i="6"/>
  <c r="F173" i="6"/>
  <c r="I172" i="6"/>
  <c r="H172" i="6"/>
  <c r="G172" i="6"/>
  <c r="F172" i="6"/>
  <c r="I171" i="6"/>
  <c r="H171" i="6"/>
  <c r="G171" i="6"/>
  <c r="F171" i="6"/>
  <c r="I170" i="6"/>
  <c r="H170" i="6"/>
  <c r="G170" i="6"/>
  <c r="F170" i="6"/>
  <c r="I169" i="6"/>
  <c r="H169" i="6"/>
  <c r="G169" i="6"/>
  <c r="F169" i="6"/>
  <c r="I168" i="6"/>
  <c r="H168" i="6"/>
  <c r="G168" i="6"/>
  <c r="F168" i="6"/>
  <c r="I167" i="6"/>
  <c r="H167" i="6"/>
  <c r="G167" i="6"/>
  <c r="F167" i="6"/>
  <c r="I166" i="6"/>
  <c r="H166" i="6"/>
  <c r="G166" i="6"/>
  <c r="F166" i="6"/>
  <c r="I165" i="6"/>
  <c r="H165" i="6"/>
  <c r="G165" i="6"/>
  <c r="F165" i="6"/>
  <c r="I164" i="6"/>
  <c r="H164" i="6"/>
  <c r="G164" i="6"/>
  <c r="F164" i="6"/>
  <c r="I163" i="6"/>
  <c r="H163" i="6"/>
  <c r="G163" i="6"/>
  <c r="F163" i="6"/>
  <c r="I162" i="6"/>
  <c r="H162" i="6"/>
  <c r="G162" i="6"/>
  <c r="F162" i="6"/>
  <c r="I161" i="6"/>
  <c r="H161" i="6"/>
  <c r="G161" i="6"/>
  <c r="F161" i="6"/>
  <c r="I160" i="6"/>
  <c r="H160" i="6"/>
  <c r="G160" i="6"/>
  <c r="F160" i="6"/>
  <c r="I159" i="6"/>
  <c r="H159" i="6"/>
  <c r="G159" i="6"/>
  <c r="F159" i="6"/>
  <c r="I158" i="6"/>
  <c r="H158" i="6"/>
  <c r="G158" i="6"/>
  <c r="F158" i="6"/>
  <c r="I157" i="6"/>
  <c r="H157" i="6"/>
  <c r="G157" i="6"/>
  <c r="F157" i="6"/>
  <c r="I156" i="6"/>
  <c r="H156" i="6"/>
  <c r="G156" i="6"/>
  <c r="F156" i="6"/>
  <c r="I155" i="6"/>
  <c r="H155" i="6"/>
  <c r="G155" i="6"/>
  <c r="F155" i="6"/>
  <c r="I154" i="6"/>
  <c r="H154" i="6"/>
  <c r="G154" i="6"/>
  <c r="F154" i="6"/>
  <c r="I153" i="6"/>
  <c r="H153" i="6"/>
  <c r="G153" i="6"/>
  <c r="F153" i="6"/>
  <c r="I152" i="6"/>
  <c r="H152" i="6"/>
  <c r="G152" i="6"/>
  <c r="F152" i="6"/>
  <c r="I151" i="6"/>
  <c r="H151" i="6"/>
  <c r="G151" i="6"/>
  <c r="F151" i="6"/>
  <c r="I150" i="6"/>
  <c r="H150" i="6"/>
  <c r="G150" i="6"/>
  <c r="F150" i="6"/>
  <c r="I149" i="6"/>
  <c r="H149" i="6"/>
  <c r="G149" i="6"/>
  <c r="F149" i="6"/>
  <c r="I148" i="6"/>
  <c r="H148" i="6"/>
  <c r="G148" i="6"/>
  <c r="F148" i="6"/>
  <c r="I147" i="6"/>
  <c r="H147" i="6"/>
  <c r="G147" i="6"/>
  <c r="F147" i="6"/>
  <c r="I146" i="6"/>
  <c r="H146" i="6"/>
  <c r="G146" i="6"/>
  <c r="F146" i="6"/>
  <c r="I145" i="6"/>
  <c r="H145" i="6"/>
  <c r="G145" i="6"/>
  <c r="F145" i="6"/>
  <c r="I144" i="6"/>
  <c r="H144" i="6"/>
  <c r="G144" i="6"/>
  <c r="F144" i="6"/>
  <c r="I143" i="6"/>
  <c r="H143" i="6"/>
  <c r="G143" i="6"/>
  <c r="F143" i="6"/>
  <c r="I142" i="6"/>
  <c r="H142" i="6"/>
  <c r="G142" i="6"/>
  <c r="F142" i="6"/>
  <c r="I141" i="6"/>
  <c r="H141" i="6"/>
  <c r="G141" i="6"/>
  <c r="F141" i="6"/>
  <c r="I140" i="6"/>
  <c r="H140" i="6"/>
  <c r="G140" i="6"/>
  <c r="F140" i="6"/>
  <c r="I138" i="6"/>
  <c r="H138" i="6"/>
  <c r="G138" i="6"/>
  <c r="F138" i="6"/>
  <c r="I137" i="6"/>
  <c r="H137" i="6"/>
  <c r="G137" i="6"/>
  <c r="F137" i="6"/>
  <c r="I136" i="6"/>
  <c r="H136" i="6"/>
  <c r="G136" i="6"/>
  <c r="F136" i="6"/>
  <c r="I135" i="6"/>
  <c r="H135" i="6"/>
  <c r="G135" i="6"/>
  <c r="F135" i="6"/>
  <c r="I134" i="6"/>
  <c r="H134" i="6"/>
  <c r="G134" i="6"/>
  <c r="F134" i="6"/>
  <c r="I133" i="6"/>
  <c r="H133" i="6"/>
  <c r="G133" i="6"/>
  <c r="F133" i="6"/>
  <c r="I132" i="6"/>
  <c r="H132" i="6"/>
  <c r="G132" i="6"/>
  <c r="F132" i="6"/>
  <c r="I131" i="6"/>
  <c r="H131" i="6"/>
  <c r="G131" i="6"/>
  <c r="F131" i="6"/>
  <c r="I130" i="6"/>
  <c r="H130" i="6"/>
  <c r="G130" i="6"/>
  <c r="F130" i="6"/>
  <c r="I129" i="6"/>
  <c r="H129" i="6"/>
  <c r="G129" i="6"/>
  <c r="F129" i="6"/>
  <c r="I128" i="6"/>
  <c r="H128" i="6"/>
  <c r="G128" i="6"/>
  <c r="F128" i="6"/>
  <c r="I127" i="6"/>
  <c r="H127" i="6"/>
  <c r="G127" i="6"/>
  <c r="F127" i="6"/>
  <c r="I126" i="6"/>
  <c r="H126" i="6"/>
  <c r="G126" i="6"/>
  <c r="F126" i="6"/>
  <c r="I125" i="6"/>
  <c r="H125" i="6"/>
  <c r="G125" i="6"/>
  <c r="F125" i="6"/>
  <c r="I124" i="6"/>
  <c r="H124" i="6"/>
  <c r="G124" i="6"/>
  <c r="F124" i="6"/>
  <c r="I123" i="6"/>
  <c r="H123" i="6"/>
  <c r="G123" i="6"/>
  <c r="F123" i="6"/>
  <c r="I122" i="6"/>
  <c r="H122" i="6"/>
  <c r="G122" i="6"/>
  <c r="F122" i="6"/>
  <c r="I120" i="6"/>
  <c r="H120" i="6"/>
  <c r="G120" i="6"/>
  <c r="F120" i="6"/>
  <c r="I119" i="6"/>
  <c r="H119" i="6"/>
  <c r="G119" i="6"/>
  <c r="F119" i="6"/>
  <c r="I118" i="6"/>
  <c r="H118" i="6"/>
  <c r="G118" i="6"/>
  <c r="F118" i="6"/>
  <c r="I117" i="6"/>
  <c r="H117" i="6"/>
  <c r="G117" i="6"/>
  <c r="F117" i="6"/>
  <c r="I116" i="6"/>
  <c r="H116" i="6"/>
  <c r="G116" i="6"/>
  <c r="F116" i="6"/>
  <c r="I115" i="6"/>
  <c r="H115" i="6"/>
  <c r="G115" i="6"/>
  <c r="F115" i="6"/>
  <c r="I114" i="6"/>
  <c r="H114" i="6"/>
  <c r="G114" i="6"/>
  <c r="F114" i="6"/>
  <c r="I113" i="6"/>
  <c r="H113" i="6"/>
  <c r="G113" i="6"/>
  <c r="F113" i="6"/>
  <c r="I112" i="6"/>
  <c r="H112" i="6"/>
  <c r="G112" i="6"/>
  <c r="F112" i="6"/>
  <c r="I111" i="6"/>
  <c r="H111" i="6"/>
  <c r="G111" i="6"/>
  <c r="F111" i="6"/>
  <c r="I110" i="6"/>
  <c r="H110" i="6"/>
  <c r="G110" i="6"/>
  <c r="F110" i="6"/>
  <c r="I109" i="6"/>
  <c r="H109" i="6"/>
  <c r="G109" i="6"/>
  <c r="F109" i="6"/>
  <c r="I108" i="6"/>
  <c r="H108" i="6"/>
  <c r="G108" i="6"/>
  <c r="F108" i="6"/>
  <c r="I107" i="6"/>
  <c r="H107" i="6"/>
  <c r="G107" i="6"/>
  <c r="F107" i="6"/>
  <c r="I106" i="6"/>
  <c r="H106" i="6"/>
  <c r="G106" i="6"/>
  <c r="F106" i="6"/>
  <c r="I105" i="6"/>
  <c r="H105" i="6"/>
  <c r="G105" i="6"/>
  <c r="F105" i="6"/>
  <c r="I104" i="6"/>
  <c r="H104" i="6"/>
  <c r="G104" i="6"/>
  <c r="F104" i="6"/>
  <c r="I103" i="6"/>
  <c r="H103" i="6"/>
  <c r="G103" i="6"/>
  <c r="F103" i="6"/>
  <c r="I102" i="6"/>
  <c r="H102" i="6"/>
  <c r="G102" i="6"/>
  <c r="F102" i="6"/>
  <c r="I101" i="6"/>
  <c r="H101" i="6"/>
  <c r="G101" i="6"/>
  <c r="F101" i="6"/>
  <c r="I100" i="6"/>
  <c r="H100" i="6"/>
  <c r="G100" i="6"/>
  <c r="F100" i="6"/>
  <c r="I99" i="6"/>
  <c r="H99" i="6"/>
  <c r="G99" i="6"/>
  <c r="F99" i="6"/>
  <c r="I98" i="6"/>
  <c r="H98" i="6"/>
  <c r="G98" i="6"/>
  <c r="F98" i="6"/>
  <c r="I97" i="6"/>
  <c r="H97" i="6"/>
  <c r="G97" i="6"/>
  <c r="F97" i="6"/>
  <c r="I96" i="6"/>
  <c r="H96" i="6"/>
  <c r="G96" i="6"/>
  <c r="F96" i="6"/>
  <c r="I95" i="6"/>
  <c r="H95" i="6"/>
  <c r="G95" i="6"/>
  <c r="F95" i="6"/>
  <c r="I94" i="6"/>
  <c r="H94" i="6"/>
  <c r="G94" i="6"/>
  <c r="F94" i="6"/>
  <c r="I93" i="6"/>
  <c r="H93" i="6"/>
  <c r="G93" i="6"/>
  <c r="F93" i="6"/>
  <c r="I92" i="6"/>
  <c r="H92" i="6"/>
  <c r="G92" i="6"/>
  <c r="F92" i="6"/>
  <c r="I91" i="6"/>
  <c r="H91" i="6"/>
  <c r="G91" i="6"/>
  <c r="F91" i="6"/>
  <c r="I90" i="6"/>
  <c r="I89" i="6"/>
  <c r="H89" i="6"/>
  <c r="G89" i="6"/>
  <c r="F89" i="6"/>
  <c r="I88" i="6"/>
  <c r="H88" i="6"/>
  <c r="G88" i="6"/>
  <c r="F88" i="6"/>
  <c r="I87" i="6"/>
  <c r="H87" i="6"/>
  <c r="G87" i="6"/>
  <c r="F87" i="6"/>
  <c r="I86" i="6"/>
  <c r="H86" i="6"/>
  <c r="G86" i="6"/>
  <c r="F86" i="6"/>
  <c r="I85" i="6"/>
  <c r="H85" i="6"/>
  <c r="G85" i="6"/>
  <c r="F85" i="6"/>
  <c r="I84" i="6"/>
  <c r="H84" i="6"/>
  <c r="G84" i="6"/>
  <c r="F84" i="6"/>
  <c r="I83" i="6"/>
  <c r="H83" i="6"/>
  <c r="G83" i="6"/>
  <c r="F83" i="6"/>
  <c r="I82" i="6"/>
  <c r="H82" i="6"/>
  <c r="G82" i="6"/>
  <c r="F82" i="6"/>
  <c r="I81" i="6"/>
  <c r="H81" i="6"/>
  <c r="G81" i="6"/>
  <c r="F81" i="6"/>
  <c r="I80" i="6"/>
  <c r="H80" i="6"/>
  <c r="G80" i="6"/>
  <c r="F80" i="6"/>
  <c r="I79" i="6"/>
  <c r="H79" i="6"/>
  <c r="G79" i="6"/>
  <c r="F79" i="6"/>
  <c r="I78" i="6"/>
  <c r="H78" i="6"/>
  <c r="G78" i="6"/>
  <c r="F78" i="6"/>
  <c r="I77" i="6"/>
  <c r="H77" i="6"/>
  <c r="G77" i="6"/>
  <c r="F77" i="6"/>
  <c r="I75" i="6"/>
  <c r="H75" i="6"/>
  <c r="G75" i="6"/>
  <c r="F75" i="6"/>
  <c r="I74" i="6"/>
  <c r="H74" i="6"/>
  <c r="G74" i="6"/>
  <c r="F74" i="6"/>
  <c r="I72" i="6"/>
  <c r="H72" i="6"/>
  <c r="G72" i="6"/>
  <c r="F72" i="6"/>
  <c r="I71" i="6"/>
  <c r="H71" i="6"/>
  <c r="G71" i="6"/>
  <c r="F71" i="6"/>
  <c r="I70" i="6"/>
  <c r="H70" i="6"/>
  <c r="G70" i="6"/>
  <c r="F70" i="6"/>
  <c r="I69" i="6"/>
  <c r="H69" i="6"/>
  <c r="G69" i="6"/>
  <c r="F69" i="6"/>
  <c r="I68" i="6"/>
  <c r="H68" i="6"/>
  <c r="G68" i="6"/>
  <c r="F68" i="6"/>
  <c r="I67" i="6"/>
  <c r="H67" i="6"/>
  <c r="G67" i="6"/>
  <c r="F67" i="6"/>
  <c r="I66" i="6"/>
  <c r="H66" i="6"/>
  <c r="G66" i="6"/>
  <c r="F66" i="6"/>
  <c r="I65" i="6"/>
  <c r="H65" i="6"/>
  <c r="G65" i="6"/>
  <c r="F65" i="6"/>
  <c r="I64" i="6"/>
  <c r="H64" i="6"/>
  <c r="G64" i="6"/>
  <c r="F64" i="6"/>
  <c r="I63" i="6"/>
  <c r="H63" i="6"/>
  <c r="G63" i="6"/>
  <c r="F63" i="6"/>
  <c r="I62" i="6"/>
  <c r="H62" i="6"/>
  <c r="G62" i="6"/>
  <c r="F62" i="6"/>
  <c r="I61" i="6"/>
  <c r="H61" i="6"/>
  <c r="G61" i="6"/>
  <c r="F61" i="6"/>
  <c r="I60" i="6"/>
  <c r="H60" i="6"/>
  <c r="G60" i="6"/>
  <c r="F60" i="6"/>
  <c r="I59" i="6"/>
  <c r="H59" i="6"/>
  <c r="G59" i="6"/>
  <c r="F59" i="6"/>
  <c r="I58" i="6"/>
  <c r="H58" i="6"/>
  <c r="G58" i="6"/>
  <c r="F58" i="6"/>
  <c r="I57" i="6"/>
  <c r="H57" i="6"/>
  <c r="G57" i="6"/>
  <c r="F57" i="6"/>
  <c r="I56" i="6"/>
  <c r="H56" i="6"/>
  <c r="G56" i="6"/>
  <c r="F56" i="6"/>
  <c r="I55" i="6"/>
  <c r="H55" i="6"/>
  <c r="G55" i="6"/>
  <c r="F55" i="6"/>
  <c r="I54" i="6"/>
  <c r="H54" i="6"/>
  <c r="G54" i="6"/>
  <c r="F54" i="6"/>
  <c r="I53" i="6"/>
  <c r="H53" i="6"/>
  <c r="G53" i="6"/>
  <c r="F53" i="6"/>
  <c r="I52" i="6"/>
  <c r="H52" i="6"/>
  <c r="G52" i="6"/>
  <c r="F52" i="6"/>
  <c r="I51" i="6"/>
  <c r="H51" i="6"/>
  <c r="G51" i="6"/>
  <c r="F51" i="6"/>
  <c r="I50" i="6"/>
  <c r="H50" i="6"/>
  <c r="G50" i="6"/>
  <c r="F50" i="6"/>
  <c r="I49" i="6"/>
  <c r="H49" i="6"/>
  <c r="G49" i="6"/>
  <c r="F49" i="6"/>
  <c r="I48" i="6"/>
  <c r="H48" i="6"/>
  <c r="G48" i="6"/>
  <c r="F48" i="6"/>
  <c r="I47" i="6"/>
  <c r="H47" i="6"/>
  <c r="G47" i="6"/>
  <c r="F47" i="6"/>
  <c r="I46" i="6"/>
  <c r="H46" i="6"/>
  <c r="G46" i="6"/>
  <c r="F46" i="6"/>
  <c r="I45" i="6"/>
  <c r="H45" i="6"/>
  <c r="G45" i="6"/>
  <c r="F45" i="6"/>
  <c r="I44" i="6"/>
  <c r="H44" i="6"/>
  <c r="G44" i="6"/>
  <c r="F44" i="6"/>
  <c r="I43" i="6"/>
  <c r="H43" i="6"/>
  <c r="G43" i="6"/>
  <c r="F43" i="6"/>
  <c r="I42" i="6"/>
  <c r="H42" i="6"/>
  <c r="G42" i="6"/>
  <c r="F42" i="6"/>
  <c r="I41" i="6"/>
  <c r="H41" i="6"/>
  <c r="G41" i="6"/>
  <c r="F41" i="6"/>
  <c r="I40" i="6"/>
  <c r="H40" i="6"/>
  <c r="G40" i="6"/>
  <c r="F40" i="6"/>
  <c r="I39" i="6"/>
  <c r="H39" i="6"/>
  <c r="G39" i="6"/>
  <c r="F39" i="6"/>
  <c r="I38" i="6"/>
  <c r="H38" i="6"/>
  <c r="G38" i="6"/>
  <c r="F38" i="6"/>
  <c r="I37" i="6"/>
  <c r="H37" i="6"/>
  <c r="G37" i="6"/>
  <c r="F37" i="6"/>
  <c r="I36" i="6"/>
  <c r="H36" i="6"/>
  <c r="G36" i="6"/>
  <c r="F36" i="6"/>
  <c r="I34" i="6"/>
  <c r="H34" i="6"/>
  <c r="G34" i="6"/>
  <c r="F34" i="6"/>
  <c r="I33" i="6"/>
  <c r="H33" i="6"/>
  <c r="G33" i="6"/>
  <c r="F33" i="6"/>
  <c r="I32" i="6"/>
  <c r="H32" i="6"/>
  <c r="G32" i="6"/>
  <c r="F32" i="6"/>
  <c r="I31" i="6"/>
  <c r="H31" i="6"/>
  <c r="G31" i="6"/>
  <c r="F31" i="6"/>
  <c r="I30" i="6"/>
  <c r="H30" i="6"/>
  <c r="G30" i="6"/>
  <c r="F30" i="6"/>
  <c r="I29" i="6"/>
  <c r="H29" i="6"/>
  <c r="G29" i="6"/>
  <c r="F29" i="6"/>
  <c r="I28" i="6"/>
  <c r="H28" i="6"/>
  <c r="G28" i="6"/>
  <c r="F28" i="6"/>
  <c r="I27" i="6"/>
  <c r="H27" i="6"/>
  <c r="G27" i="6"/>
  <c r="F27" i="6"/>
  <c r="I26" i="6"/>
  <c r="H26" i="6"/>
  <c r="G26" i="6"/>
  <c r="F26" i="6"/>
  <c r="I25" i="6"/>
  <c r="H25" i="6"/>
  <c r="G25" i="6"/>
  <c r="F25" i="6"/>
  <c r="I24" i="6"/>
  <c r="H24" i="6"/>
  <c r="G24" i="6"/>
  <c r="F24" i="6"/>
  <c r="I23" i="6"/>
  <c r="H23" i="6"/>
  <c r="G23" i="6"/>
  <c r="F23" i="6"/>
  <c r="I22" i="6"/>
  <c r="H22" i="6"/>
  <c r="G22" i="6"/>
  <c r="F22" i="6"/>
  <c r="I21" i="6"/>
  <c r="H21" i="6"/>
  <c r="G21" i="6"/>
  <c r="F21" i="6"/>
  <c r="I20" i="6"/>
  <c r="H20" i="6"/>
  <c r="G20" i="6"/>
  <c r="F20" i="6"/>
  <c r="I19" i="6"/>
  <c r="H19" i="6"/>
  <c r="G19" i="6"/>
  <c r="F19" i="6"/>
  <c r="I18" i="6"/>
  <c r="H18" i="6"/>
  <c r="G18" i="6"/>
  <c r="F18" i="6"/>
  <c r="I17" i="6"/>
  <c r="H17" i="6"/>
  <c r="G17" i="6"/>
  <c r="F17" i="6"/>
  <c r="I15" i="6"/>
  <c r="H15" i="6"/>
  <c r="G15" i="6"/>
  <c r="F15" i="6"/>
  <c r="I13" i="6"/>
  <c r="H13" i="6"/>
  <c r="G13" i="6"/>
  <c r="F13" i="6"/>
  <c r="I12" i="6"/>
  <c r="H12" i="6"/>
  <c r="G12" i="6"/>
  <c r="F12" i="6"/>
  <c r="I11" i="6"/>
  <c r="H11" i="6"/>
  <c r="G11" i="6"/>
  <c r="F11" i="6"/>
  <c r="I10" i="6"/>
  <c r="H10" i="6"/>
  <c r="G10" i="6"/>
  <c r="F10" i="6"/>
  <c r="I9" i="6"/>
  <c r="H9" i="6"/>
  <c r="G9" i="6"/>
  <c r="F9" i="6"/>
  <c r="I8" i="6"/>
  <c r="H8" i="6"/>
  <c r="G8" i="6"/>
  <c r="F8" i="6"/>
  <c r="I7" i="6"/>
  <c r="H7" i="6"/>
  <c r="G7" i="6"/>
  <c r="F7" i="6"/>
  <c r="I6" i="6"/>
  <c r="H6" i="6"/>
  <c r="G6" i="6"/>
  <c r="F6" i="6"/>
  <c r="I5" i="6"/>
  <c r="H5" i="6"/>
  <c r="G5" i="6"/>
  <c r="F5" i="6"/>
  <c r="I4" i="6"/>
  <c r="H4" i="6"/>
  <c r="G4" i="6"/>
  <c r="F4" i="6"/>
  <c r="I3" i="6"/>
  <c r="H3" i="6"/>
  <c r="G3" i="6"/>
  <c r="F3" i="6"/>
  <c r="I18" i="7" l="1"/>
  <c r="I19" i="7"/>
  <c r="I14" i="7"/>
  <c r="I12" i="7"/>
  <c r="I9" i="7"/>
  <c r="I8" i="7"/>
  <c r="I3" i="7"/>
  <c r="I2" i="7"/>
  <c r="I10" i="7"/>
  <c r="I17" i="7"/>
  <c r="L23" i="7"/>
  <c r="I13" i="7"/>
  <c r="I4" i="7"/>
  <c r="H19" i="7"/>
  <c r="I24" i="7"/>
  <c r="I16" i="7"/>
  <c r="I6" i="7"/>
  <c r="I15" i="7"/>
  <c r="I23" i="7"/>
  <c r="H22" i="7"/>
  <c r="H2" i="7"/>
  <c r="H5" i="7"/>
  <c r="H8" i="7"/>
  <c r="H11" i="7"/>
  <c r="H14" i="7"/>
  <c r="H20" i="7"/>
  <c r="H23" i="7"/>
  <c r="H3" i="7"/>
  <c r="H6" i="7"/>
  <c r="H9" i="7"/>
  <c r="H12" i="7"/>
  <c r="H15" i="7"/>
  <c r="H18" i="7"/>
  <c r="I7" i="7"/>
  <c r="H21" i="7"/>
  <c r="F2" i="4"/>
  <c r="L31" i="7" l="1"/>
  <c r="L30" i="7"/>
  <c r="H4" i="4"/>
  <c r="H5" i="4"/>
  <c r="H6" i="4"/>
  <c r="H7" i="4"/>
  <c r="H8" i="4"/>
  <c r="H12" i="4"/>
  <c r="H13" i="4"/>
  <c r="H14" i="4"/>
  <c r="H15" i="4"/>
  <c r="H16" i="4"/>
  <c r="H20" i="4"/>
  <c r="H21" i="4"/>
  <c r="H22" i="4"/>
  <c r="H23" i="4"/>
  <c r="H28" i="4"/>
  <c r="H29" i="4"/>
  <c r="H30" i="4"/>
  <c r="H31" i="4"/>
  <c r="F3" i="4"/>
  <c r="F4" i="4"/>
  <c r="F5" i="4"/>
  <c r="F6" i="4"/>
  <c r="F7" i="4"/>
  <c r="F8" i="4"/>
  <c r="F9" i="4"/>
  <c r="I9" i="4" s="1"/>
  <c r="F10" i="4"/>
  <c r="I10" i="4" s="1"/>
  <c r="F11" i="4"/>
  <c r="F12" i="4"/>
  <c r="F31" i="4"/>
  <c r="F30" i="4"/>
  <c r="F29" i="4"/>
  <c r="F28" i="4"/>
  <c r="F27" i="4"/>
  <c r="F26" i="4"/>
  <c r="I26" i="4" s="1"/>
  <c r="F25" i="4"/>
  <c r="I25" i="4" s="1"/>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tc={13861492-292D-4486-B32C-C91789CDB44A}</author>
    <author>tc={D01F6201-45E8-4B18-BDA5-50E66F46F067}</author>
    <author>tc={4B5FBC8B-8EAD-4408-BD24-99E4559DF526}</author>
    <author>tc={F4609F76-DC04-4B2B-9E4B-2AD6A86AC19B}</author>
    <author>tc={9A7F5CD2-D3AB-447C-9BD4-54D958C1F7F7}</author>
    <author>tc={AAC610BF-6958-47A6-A0EA-D199DCD680AF}</author>
    <author>tc={B98644DB-D7C8-43C1-A7DD-F1F0B1ED8DAE}</author>
    <author>tc={4794ADE8-5FD6-42AB-BF7C-2FEA3E41D2DD}</author>
    <author>tc={275F0E31-C1C5-4A2A-A60C-694F1C7A5DA8}</author>
    <author>tc={936AAE8F-57AA-40B1-ACAE-60C06C3D0DE6}</author>
    <author>tc={8332F764-5497-4A50-BE37-ADBDC3B9098D}</author>
    <author>tc={79675EC1-AC5D-40E2-8E45-1578D6E6663B}</author>
    <author>tc={AD32C394-F30E-45C7-8DDA-C2DBE5319E84}</author>
    <author>tc={65EF55DC-6CB9-452B-9A5F-ED96716E0292}</author>
    <author>tc={C0A9769C-0852-4B2A-907A-F759A5AD4B83}</author>
    <author>tc={25A9F59B-A9BA-4807-ABC1-1CB8DA541075}</author>
    <author>tc={7CBC1818-9210-4DAC-8B09-6B9259B6A834}</author>
    <author>tc={1219DECA-6C9B-4269-AEF0-51ACF50286EA}</author>
    <author>tc={CC070CED-FC49-4988-8096-6357813295B7}</author>
    <author>tc={6D3C6741-2389-4BC1-BE28-7BC6F064F3E5}</author>
    <author>tc={A57CDB58-4950-4D90-8D59-BB6E5046DC11}</author>
    <author>tc={F55450CE-B4B8-42F5-A173-B8CB65771199}</author>
    <author>tc={BC48522C-223D-4F28-8761-708D6C1EE9C6}</author>
    <author>tc={E27D81BC-3F4D-40B5-85C9-C3E122126713}</author>
    <author>tc={941E5A56-BC21-4011-BF16-F76CC654D21A}</author>
    <author>tc={27AC1FB6-39C4-4745-BD97-E75D2C994819}</author>
    <author>tc={910898F7-989C-429F-A3A6-B7D8EF31EEA0}</author>
    <author>tc={F98C2744-2228-4AA8-AEC0-F3FF8FEFC88E}</author>
    <author>tc={BD98DEC3-EC5F-4762-AD14-24442B111BC7}</author>
    <author>tc={0F4A6B42-0626-43AE-8D00-1382E14B13E0}</author>
    <author>tc={1FA3C459-FEB0-40D7-98B6-88E1FFE94C60}</author>
    <author>tc={73C7D91B-FB28-4A30-83A3-99D2DF340FBF}</author>
    <author>tc={CA05A546-EEFC-423C-BB0E-501749C31DC0}</author>
    <author>tc={3D7AED67-D3FA-4A0B-8751-13E88A2CA317}</author>
    <author>tc={452C9678-5D53-4A05-96AB-9E747CFD9EB2}</author>
    <author>tc={B8F7446E-09A4-42E7-9B32-DE8D3952EA3B}</author>
    <author>tc={4AA591C7-B3BB-43C4-A212-7900FB68ABC1}</author>
    <author>tc={21A1B36D-5872-474F-823E-0211DE983BBB}</author>
    <author>tc={CB14E97B-E4B8-4DBD-936D-6E6D5BF86430}</author>
    <author>tc={0936C96B-8EBD-492D-B7F1-E630F2D82396}</author>
    <author>tc={7FA1D2D5-2DB2-4B22-9086-AF9CF255D256}</author>
    <author>tc={E08877CB-C4E0-4770-9220-0ADD67329039}</author>
    <author>tc={E0BD0F4D-4A8B-4D32-9632-0ACAC1F6432F}</author>
    <author>tc={EEB67066-180D-4486-A4A8-4BC116CD2083}</author>
    <author>tc={4F7A743B-7A6B-4AAB-9C92-2FC3D26F9BDE}</author>
    <author>tc={04B0B1FB-DB29-489E-A4D5-C91535D9C6FB}</author>
    <author>tc={79E7E453-71FD-4887-9FBE-F692396BFF92}</author>
    <author>tc={3FA52149-0C69-4FF8-A004-3AADBB9B76F3}</author>
    <author>tc={45340208-F9E0-466D-9AAE-86F9C63F3197}</author>
    <author>tc={25B321D4-6187-49C5-9A02-464C9A730850}</author>
    <author>tc={A6CFD4FE-48DB-416F-919E-CF12BC9B1110}</author>
  </authors>
  <commentList>
    <comment ref="A3" authorId="0" shapeId="0" xr:uid="{13861492-292D-4486-B32C-C91789CDB44A}">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01F6201-45E8-4B18-BDA5-50E66F46F067}">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B5FBC8B-8EAD-4408-BD24-99E4559DF526}">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F4609F76-DC04-4B2B-9E4B-2AD6A86AC19B}">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4" shapeId="0" xr:uid="{9A7F5CD2-D3AB-447C-9BD4-54D958C1F7F7}">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5" shapeId="0" xr:uid="{AAC610BF-6958-47A6-A0EA-D199DCD680AF}">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9" authorId="6" shapeId="0" xr:uid="{B98644DB-D7C8-43C1-A7DD-F1F0B1ED8DAE}">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40" authorId="7" shapeId="0" xr:uid="{4794ADE8-5FD6-42AB-BF7C-2FEA3E41D2D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5" authorId="8" shapeId="0" xr:uid="{275F0E31-C1C5-4A2A-A60C-694F1C7A5DA8}">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50" authorId="9" shapeId="0" xr:uid="{936AAE8F-57AA-40B1-ACAE-60C06C3D0DE6}">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4" authorId="10" shapeId="0" xr:uid="{8332F764-5497-4A50-BE37-ADBDC3B9098D}">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5" authorId="11" shapeId="0" xr:uid="{79675EC1-AC5D-40E2-8E45-1578D6E6663B}">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6" authorId="12" shapeId="0" xr:uid="{AD32C394-F30E-45C7-8DDA-C2DBE5319E84}">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5" authorId="13" shapeId="0" xr:uid="{65EF55DC-6CB9-452B-9A5F-ED96716E0292}">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5" authorId="14" shapeId="0" xr:uid="{C0A9769C-0852-4B2A-907A-F759A5AD4B83}">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6" authorId="15" shapeId="0" xr:uid="{25A9F59B-A9BA-4807-ABC1-1CB8DA541075}">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7" authorId="16" shapeId="0" xr:uid="{7CBC1818-9210-4DAC-8B09-6B9259B6A834}">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8" authorId="17" shapeId="0" xr:uid="{1219DECA-6C9B-4269-AEF0-51ACF50286EA}">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8" authorId="18" shapeId="0" xr:uid="{CC070CED-FC49-4988-8096-6357813295B7}">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9" authorId="19" shapeId="0" xr:uid="{6D3C6741-2389-4BC1-BE28-7BC6F064F3E5}">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8" authorId="20" shapeId="0" xr:uid="{A57CDB58-4950-4D90-8D59-BB6E5046DC11}">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8" authorId="21" shapeId="0" xr:uid="{F55450CE-B4B8-42F5-A173-B8CB6577119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81" authorId="22" shapeId="0" xr:uid="{BC48522C-223D-4F28-8761-708D6C1EE9C6}">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3" authorId="23" shapeId="0" xr:uid="{E27D81BC-3F4D-40B5-85C9-C3E122126713}">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4" authorId="24" shapeId="0" xr:uid="{941E5A56-BC21-4011-BF16-F76CC654D21A}">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8" authorId="25" shapeId="0" xr:uid="{27AC1FB6-39C4-4745-BD97-E75D2C994819}">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6" authorId="26" shapeId="0" xr:uid="{910898F7-989C-429F-A3A6-B7D8EF31EEA0}">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6" authorId="27" shapeId="0" xr:uid="{F98C2744-2228-4AA8-AEC0-F3FF8FEFC88E}">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7" authorId="28" shapeId="0" xr:uid="{BD98DEC3-EC5F-4762-AD14-24442B111BC7}">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7" authorId="29" shapeId="0" xr:uid="{0F4A6B42-0626-43AE-8D00-1382E14B13E0}">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31" authorId="30" shapeId="0" xr:uid="{1FA3C459-FEB0-40D7-98B6-88E1FFE94C60}">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5" authorId="31" shapeId="0" xr:uid="{73C7D91B-FB28-4A30-83A3-99D2DF340FBF}">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43" authorId="32" shapeId="0" xr:uid="{CA05A546-EEFC-423C-BB0E-501749C31DC0}">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6" authorId="33" shapeId="0" xr:uid="{3D7AED67-D3FA-4A0B-8751-13E88A2CA31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60" authorId="34" shapeId="0" xr:uid="{452C9678-5D53-4A05-96AB-9E747CFD9EB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61" authorId="35" shapeId="0" xr:uid="{B8F7446E-09A4-42E7-9B32-DE8D3952EA3B}">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7" authorId="36" shapeId="0" xr:uid="{4AA591C7-B3BB-43C4-A212-7900FB68ABC1}">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70" authorId="37" shapeId="0" xr:uid="{21A1B36D-5872-474F-823E-0211DE983BBB}">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71" authorId="38" shapeId="0" xr:uid="{CB14E97B-E4B8-4DBD-936D-6E6D5BF86430}">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72" authorId="39" shapeId="0" xr:uid="{0936C96B-8EBD-492D-B7F1-E630F2D82396}">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5" authorId="40" shapeId="0" xr:uid="{7FA1D2D5-2DB2-4B22-9086-AF9CF255D256}">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6" authorId="41" shapeId="0" xr:uid="{E08877CB-C4E0-4770-9220-0ADD67329039}">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6" authorId="42" shapeId="0" xr:uid="{E0BD0F4D-4A8B-4D32-9632-0ACAC1F6432F}">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7" authorId="43" shapeId="0" xr:uid="{EEB67066-180D-4486-A4A8-4BC116CD2083}">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7" authorId="44" shapeId="0" xr:uid="{4F7A743B-7A6B-4AAB-9C92-2FC3D26F9BDE}">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8" authorId="45" shapeId="0" xr:uid="{04B0B1FB-DB29-489E-A4D5-C91535D9C6FB}">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6" authorId="46" shapeId="0" xr:uid="{79E7E453-71FD-4887-9FBE-F692396BFF92}">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92" authorId="47" shapeId="0" xr:uid="{3FA52149-0C69-4FF8-A004-3AADBB9B76F3}">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93" authorId="48" shapeId="0" xr:uid="{45340208-F9E0-466D-9AAE-86F9C63F319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11" authorId="49" shapeId="0" xr:uid="{25B321D4-6187-49C5-9A02-464C9A73085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14" authorId="50" shapeId="0" xr:uid="{A6CFD4FE-48DB-416F-919E-CF12BC9B111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<sst xmlns="http://schemas.openxmlformats.org/spreadsheetml/2006/main" count="676" uniqueCount="459">
  <si>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</si>
  <si>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</si>
  <si>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</si>
  <si>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</si>
  <si>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</si>
  <si>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</si>
  <si>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</si>
  <si>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</si>
  <si>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</si>
  <si>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</si>
  <si>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</si>
  <si>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</si>
  <si>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</si>
  <si>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</si>
  <si>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</si>
  <si>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</si>
  <si>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</si>
  <si>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</si>
  <si>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</si>
  <si>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</si>
  <si>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</si>
  <si>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</si>
  <si>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</si>
  <si>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</si>
  <si>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</si>
  <si>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</si>
  <si>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</si>
  <si>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</si>
  <si>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</si>
  <si>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</si>
  <si>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</si>
  <si>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</si>
  <si>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</si>
  <si>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</si>
  <si>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</si>
  <si>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</si>
  <si>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</si>
  <si>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</si>
  <si>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</si>
  <si>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</si>
  <si>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</si>
  <si>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</si>
  <si>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</si>
  <si>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</si>
  <si>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</si>
  <si>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</si>
  <si>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</si>
  <si>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</si>
  <si>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</si>
  <si>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</si>
  <si>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</si>
  <si>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</si>
  <si>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</si>
  <si>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</si>
  <si>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</si>
  <si>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</si>
  <si>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</si>
  <si>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</si>
  <si>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</si>
  <si>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</si>
  <si>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</si>
  <si>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</si>
  <si>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</si>
  <si>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</si>
  <si>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</si>
  <si>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</si>
  <si>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</si>
  <si>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</si>
  <si>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</si>
  <si>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</si>
  <si>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</si>
  <si>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</si>
  <si>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</si>
  <si>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</si>
  <si>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</si>
  <si>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</si>
  <si>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</si>
  <si>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</si>
  <si>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</si>
  <si>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</si>
  <si>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</si>
  <si>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</si>
  <si>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</si>
  <si>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</si>
  <si>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</si>
  <si>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</si>
  <si>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</si>
  <si>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</si>
  <si>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</si>
  <si>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</si>
  <si>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</si>
  <si>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</si>
  <si>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</si>
  <si>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</si>
  <si>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</si>
  <si>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</si>
  <si>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</si>
  <si>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</si>
  <si>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</si>
  <si>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</si>
  <si>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</si>
  <si>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</si>
  <si>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</si>
  <si>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</si>
  <si>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</si>
  <si>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</si>
  <si>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</si>
  <si>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</si>
  <si>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</si>
  <si>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</si>
  <si>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</si>
  <si>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</si>
  <si>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</si>
  <si>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</si>
  <si>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</si>
  <si>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</si>
  <si>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</si>
  <si>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</si>
  <si>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</si>
  <si>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</si>
  <si>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</si>
  <si>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</si>
  <si>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</si>
  <si>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</si>
  <si>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</si>
  <si>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</si>
  <si>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</si>
  <si>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</si>
  <si>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</si>
  <si>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</si>
  <si>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</si>
  <si>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</si>
  <si>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</si>
  <si>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</si>
  <si>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</si>
  <si>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</si>
  <si>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</si>
  <si>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</si>
  <si>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</si>
  <si>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</si>
  <si>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</si>
  <si>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</si>
  <si>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</si>
  <si>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</si>
  <si>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</si>
  <si>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</si>
  <si>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</si>
  <si>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</si>
  <si>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</si>
  <si>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</si>
  <si>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</si>
  <si>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</si>
  <si>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</si>
  <si>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</si>
  <si>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</si>
  <si>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</si>
  <si>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</si>
  <si>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</si>
  <si>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</si>
  <si>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</si>
  <si>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</si>
  <si>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</si>
  <si>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</si>
  <si>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</si>
  <si>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</si>
  <si>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</si>
  <si>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</si>
  <si>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</si>
  <si>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</si>
  <si>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</si>
  <si>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</si>
  <si>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</si>
  <si>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</si>
  <si>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</si>
  <si>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</si>
  <si>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</si>
  <si>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</si>
  <si>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</si>
  <si>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</si>
  <si>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</si>
  <si>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</si>
  <si>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</si>
  <si>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</si>
  <si>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</si>
  <si>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</si>
  <si>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</si>
  <si>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</si>
  <si>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</si>
  <si>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</si>
  <si>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</si>
  <si>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</si>
  <si>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</si>
  <si>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</si>
  <si>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</si>
  <si>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</si>
  <si>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</si>
  <si>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</si>
  <si>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</si>
  <si>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</si>
  <si>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</si>
  <si>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</si>
  <si>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</si>
  <si>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</si>
  <si>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</si>
  <si>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</si>
  <si>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</si>
  <si>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</si>
  <si>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</si>
  <si>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</si>
  <si>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</si>
  <si>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</si>
  <si>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</si>
  <si>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</si>
  <si>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</si>
  <si>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</si>
  <si>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</si>
  <si>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</si>
  <si>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</si>
  <si>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</si>
  <si>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</si>
  <si>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</si>
  <si>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</si>
  <si>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</si>
  <si>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</si>
  <si>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</si>
  <si>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</si>
  <si>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</si>
  <si>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</si>
  <si>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</si>
  <si>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</si>
  <si>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</si>
  <si>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</si>
  <si>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</si>
  <si>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</si>
  <si>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</si>
  <si>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</si>
  <si>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</si>
  <si>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</si>
  <si>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</si>
  <si>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</si>
  <si>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</si>
  <si>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</si>
  <si>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</si>
  <si>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</si>
  <si>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</si>
  <si>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</si>
  <si>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</si>
  <si>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</si>
  <si>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</si>
  <si>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</si>
  <si>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</si>
  <si>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</si>
  <si>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</si>
  <si>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</si>
  <si>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</si>
  <si>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</si>
  <si>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</si>
  <si>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</si>
  <si>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</si>
  <si>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</si>
  <si>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</si>
  <si>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</si>
  <si>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</si>
  <si>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</si>
  <si>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</si>
  <si>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</si>
  <si>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</si>
  <si>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</si>
  <si>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</si>
  <si>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</si>
  <si>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</si>
  <si>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</si>
  <si>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</si>
  <si>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</si>
  <si>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</si>
  <si>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</si>
  <si>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</si>
  <si>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</si>
  <si>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</si>
  <si>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</si>
  <si>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</si>
  <si>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</si>
  <si>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</si>
  <si>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</si>
  <si>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</si>
  <si>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</si>
  <si>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</si>
  <si>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</si>
  <si>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</si>
  <si>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</si>
  <si>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</si>
  <si>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</si>
  <si>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</si>
  <si>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</si>
  <si>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</si>
  <si>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</si>
  <si>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</si>
  <si>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</si>
  <si>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</si>
  <si>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</si>
  <si>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</si>
  <si>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</si>
  <si>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</si>
  <si>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</si>
  <si>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</si>
  <si>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</si>
  <si>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</si>
  <si>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</si>
  <si>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</si>
  <si>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</si>
  <si>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</si>
  <si>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</si>
  <si>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</si>
  <si>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</si>
  <si>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</si>
  <si>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</si>
  <si>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</si>
  <si>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</si>
  <si>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</si>
  <si>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</si>
  <si>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</si>
  <si>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</si>
  <si>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</si>
  <si>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</si>
  <si>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</si>
  <si>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</si>
  <si>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</si>
  <si>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</si>
  <si>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</si>
  <si>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</si>
  <si>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</si>
  <si>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</si>
  <si>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</si>
  <si>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</si>
  <si>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</si>
  <si>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</si>
  <si>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</si>
  <si>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</si>
  <si>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</si>
  <si>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</si>
  <si>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</si>
  <si>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</si>
  <si>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</si>
  <si>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</si>
  <si>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</si>
  <si>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</si>
  <si>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</si>
  <si>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</si>
  <si>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</si>
  <si>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</si>
  <si>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</si>
  <si>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</si>
  <si>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</si>
  <si>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</si>
  <si>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</si>
  <si>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</si>
  <si>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</si>
  <si>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</si>
  <si>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</si>
  <si>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</si>
  <si>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</si>
  <si>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</si>
  <si>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</si>
  <si>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</si>
  <si>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</si>
  <si>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</si>
  <si>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</si>
  <si>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</si>
  <si>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</si>
  <si>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</si>
  <si>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</si>
  <si>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</si>
  <si>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</si>
  <si>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</si>
  <si>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</si>
  <si>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</si>
  <si>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</si>
  <si>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</si>
  <si>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</si>
  <si>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</si>
  <si>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</si>
  <si>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</si>
  <si>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</si>
  <si>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</si>
  <si>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</si>
  <si>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</si>
  <si>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</si>
  <si>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</si>
  <si>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</si>
  <si>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</si>
  <si>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</si>
  <si>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</si>
  <si>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</si>
  <si>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</si>
  <si>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</si>
  <si>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</si>
  <si>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</si>
  <si>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</si>
  <si>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</si>
  <si>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</si>
  <si>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</si>
  <si>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</si>
  <si>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</si>
  <si>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</si>
  <si>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</si>
  <si>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</si>
  <si>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</si>
  <si>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</si>
  <si>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</si>
  <si>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백선피</t>
    <phoneticPr fontId="5" type="noConversion"/>
  </si>
  <si>
    <t>계자황(난황)</t>
    <phoneticPr fontId="9" type="noConversion"/>
  </si>
  <si>
    <t>계혈등</t>
    <phoneticPr fontId="9" type="noConversion"/>
  </si>
  <si>
    <t>녹각교</t>
    <phoneticPr fontId="9" type="noConversion"/>
  </si>
  <si>
    <t>백두옹</t>
    <phoneticPr fontId="9" type="noConversion"/>
  </si>
  <si>
    <t>애엽</t>
    <phoneticPr fontId="9" type="noConversion"/>
  </si>
  <si>
    <t>유백피</t>
    <phoneticPr fontId="9" type="noConversion"/>
  </si>
  <si>
    <t>천초(촉초)</t>
    <phoneticPr fontId="9" type="noConversion"/>
  </si>
  <si>
    <t>F</t>
    <phoneticPr fontId="5" type="noConversion"/>
  </si>
  <si>
    <t>감초</t>
    <phoneticPr fontId="5" type="noConversion"/>
  </si>
  <si>
    <t>행인</t>
    <phoneticPr fontId="5" type="noConversion"/>
  </si>
  <si>
    <t>자완</t>
    <phoneticPr fontId="5" type="noConversion"/>
  </si>
  <si>
    <t>원육</t>
    <phoneticPr fontId="5" type="noConversion"/>
  </si>
  <si>
    <t>산약</t>
    <phoneticPr fontId="5" type="noConversion"/>
  </si>
  <si>
    <t>산수유</t>
    <phoneticPr fontId="5" type="noConversion"/>
  </si>
  <si>
    <t>목단피</t>
    <phoneticPr fontId="5" type="noConversion"/>
  </si>
  <si>
    <t>오미자</t>
    <phoneticPr fontId="5" type="noConversion"/>
  </si>
  <si>
    <t>지실</t>
    <phoneticPr fontId="5" type="noConversion"/>
  </si>
  <si>
    <t>맥문동</t>
    <phoneticPr fontId="5" type="noConversion"/>
  </si>
  <si>
    <t>천문동</t>
    <phoneticPr fontId="5" type="noConversion"/>
  </si>
  <si>
    <t>패모</t>
    <phoneticPr fontId="5" type="noConversion"/>
  </si>
  <si>
    <t>길경</t>
    <phoneticPr fontId="5" type="noConversion"/>
  </si>
  <si>
    <t>황금</t>
    <phoneticPr fontId="5" type="noConversion"/>
  </si>
  <si>
    <t>반하</t>
    <phoneticPr fontId="5" type="noConversion"/>
  </si>
  <si>
    <t>백부근</t>
    <phoneticPr fontId="5" type="noConversion"/>
  </si>
  <si>
    <t>소자</t>
    <phoneticPr fontId="5" type="noConversion"/>
  </si>
  <si>
    <t>황련</t>
    <phoneticPr fontId="5" type="noConversion"/>
  </si>
  <si>
    <t>과루인</t>
    <phoneticPr fontId="5" type="noConversion"/>
  </si>
  <si>
    <t>녹용</t>
    <phoneticPr fontId="5" type="noConversion"/>
  </si>
  <si>
    <t>청상보하탕</t>
    <phoneticPr fontId="5" type="noConversion"/>
  </si>
  <si>
    <t>24.05.03</t>
    <phoneticPr fontId="5" type="noConversion"/>
  </si>
  <si>
    <t>김정자</t>
    <phoneticPr fontId="5" type="noConversion"/>
  </si>
  <si>
    <t>청상보하탕 
+ 백부근 자완 진피 소자</t>
    <phoneticPr fontId="5" type="noConversion"/>
  </si>
  <si>
    <t>진피1</t>
    <phoneticPr fontId="5" type="noConversion"/>
  </si>
  <si>
    <t>복령</t>
    <phoneticPr fontId="5" type="noConversion"/>
  </si>
  <si>
    <t>택사1</t>
    <phoneticPr fontId="5" type="noConversion"/>
  </si>
  <si>
    <t>김재윤</t>
    <phoneticPr fontId="5" type="noConversion"/>
  </si>
  <si>
    <t>숙지황</t>
    <phoneticPr fontId="5" type="noConversion"/>
  </si>
  <si>
    <t>차전자</t>
    <phoneticPr fontId="5" type="noConversion"/>
  </si>
  <si>
    <t>독활</t>
    <phoneticPr fontId="5" type="noConversion"/>
  </si>
  <si>
    <t>형개</t>
    <phoneticPr fontId="5" type="noConversion"/>
  </si>
  <si>
    <t>강활1</t>
    <phoneticPr fontId="5" type="noConversion"/>
  </si>
  <si>
    <t>방풍1</t>
    <phoneticPr fontId="5" type="noConversion"/>
  </si>
  <si>
    <t>두충</t>
    <phoneticPr fontId="5" type="noConversion"/>
  </si>
  <si>
    <t>파고지</t>
    <phoneticPr fontId="5" type="noConversion"/>
  </si>
  <si>
    <t>구기자</t>
    <phoneticPr fontId="5" type="noConversion"/>
  </si>
  <si>
    <t>속단</t>
    <phoneticPr fontId="5" type="noConversion"/>
  </si>
  <si>
    <t>사인</t>
    <phoneticPr fontId="5" type="noConversion"/>
  </si>
  <si>
    <t>형방지황탕가감</t>
    <phoneticPr fontId="5" type="noConversion"/>
  </si>
  <si>
    <t>형방지황탕 + 두충 속단 파고지 구기자 사인 진피 맥문동 녹용</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</si>
</sst>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1">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7" fillId="8" borderId="48" xfId="5" applyFont="1" applyFill="1" applyBorder="1" applyAlignment="1">
      <alignment vertical="center"/>
    </xf>
    <xf numFmtId="41" fontId="6" fillId="0" borderId="40" xfId="5" applyNumberFormat="1" applyBorder="1" applyAlignment="1">
      <alignment vertical="center"/>
    </xf>
    <xf numFmtId="41" fontId="6" fillId="0" borderId="41" xfId="5" applyNumberFormat="1" applyBorder="1" applyAlignment="1">
      <alignment vertical="center"/>
    </xf>
    <xf numFmtId="41" fontId="6" fillId="0" borderId="42" xfId="5" applyNumberFormat="1" applyBorder="1" applyAlignment="1">
      <alignment vertical="center"/>
    </xf>
    <xf numFmtId="176" fontId="6" fillId="0" borderId="40" xfId="5" applyNumberFormat="1" applyBorder="1" applyAlignment="1">
      <alignment vertical="center"/>
    </xf>
    <xf numFmtId="176" fontId="1" fillId="2" borderId="41" xfId="1" applyNumberFormat="1" applyBorder="1" applyAlignment="1">
      <alignment vertical="center"/>
    </xf>
    <xf numFmtId="176" fontId="6" fillId="0" borderId="42" xfId="5" applyNumberFormat="1" applyBorder="1" applyAlignment="1">
      <alignment vertical="center"/>
    </xf>
    <xf numFmtId="176" fontId="2" fillId="3" borderId="37" xfId="2" applyNumberFormat="1" applyBorder="1" applyAlignment="1">
      <alignment vertical="center"/>
    </xf>
    <xf numFmtId="0" fontId="11" fillId="0" borderId="53" xfId="5" applyFont="1" applyBorder="1" applyAlignment="1">
      <alignment vertical="center"/>
    </xf>
    <xf numFmtId="0" fontId="12" fillId="8" borderId="41" xfId="6" applyFont="1" applyFill="1" applyBorder="1">
      <alignment vertical="center"/>
    </xf>
    <xf numFmtId="0" fontId="12" fillId="8" borderId="41" xfId="6" applyFont="1" applyFill="1" applyBorder="1" applyAlignment="1">
      <alignment horizontal="left" vertical="center"/>
    </xf>
    <xf numFmtId="0" fontId="11" fillId="0" borderId="42" xfId="5" applyFont="1" applyBorder="1" applyAlignment="1">
      <alignment vertical="center"/>
    </xf>
    <xf numFmtId="0" fontId="7" fillId="7" borderId="54" xfId="5" applyFont="1" applyFill="1" applyBorder="1" applyAlignment="1">
      <alignment vertical="center"/>
    </xf>
    <xf numFmtId="41" fontId="6" fillId="0" borderId="55" xfId="5" applyNumberFormat="1" applyBorder="1" applyAlignment="1">
      <alignment vertical="center"/>
    </xf>
    <xf numFmtId="41" fontId="6" fillId="0" borderId="56" xfId="5" applyNumberFormat="1" applyBorder="1" applyAlignment="1">
      <alignment vertical="center"/>
    </xf>
    <xf numFmtId="41" fontId="6" fillId="0" borderId="57" xfId="5" applyNumberFormat="1" applyBorder="1" applyAlignment="1">
      <alignment vertical="center"/>
    </xf>
    <xf numFmtId="176" fontId="6" fillId="0" borderId="55" xfId="5" applyNumberFormat="1" applyBorder="1" applyAlignment="1">
      <alignment vertical="center"/>
    </xf>
    <xf numFmtId="176" fontId="1" fillId="2" borderId="56" xfId="1" applyNumberFormat="1" applyBorder="1" applyAlignment="1">
      <alignment vertical="center"/>
    </xf>
    <xf numFmtId="176" fontId="6" fillId="0" borderId="56" xfId="5" applyNumberFormat="1" applyBorder="1" applyAlignment="1">
      <alignment vertical="center"/>
    </xf>
    <xf numFmtId="176" fontId="1" fillId="2" borderId="57" xfId="1" applyNumberFormat="1" applyBorder="1" applyAlignment="1">
      <alignment vertical="center"/>
    </xf>
    <xf numFmtId="0" fontId="11" fillId="0" borderId="58" xfId="5" applyFont="1" applyBorder="1" applyAlignment="1">
      <alignment vertical="center"/>
    </xf>
    <xf numFmtId="0" fontId="11" fillId="0" borderId="56" xfId="5" applyFont="1" applyBorder="1" applyAlignment="1">
      <alignment vertical="center"/>
    </xf>
    <xf numFmtId="0" fontId="11" fillId="0" borderId="57" xfId="5" applyFont="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2ab25238472eeb1d/&#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s>
    <sheetDataSet>
      <sheetData sheetId="0" refreshError="1"/>
      <sheetData sheetId="1" refreshError="1">
        <row r="1">
          <cell r="A1" t="str">
            <v>약재 이름</v>
          </cell>
          <cell r="B1" t="str">
            <v>옴니허브</v>
          </cell>
          <cell r="C1" t="str">
            <v>한퓨어</v>
          </cell>
          <cell r="D1" t="str">
            <v>신우한방</v>
          </cell>
          <cell r="E1" t="str">
            <v>바른한약</v>
          </cell>
          <cell r="F1" t="str">
            <v>옴니허브</v>
          </cell>
          <cell r="G1" t="str">
            <v>한퓨어</v>
          </cell>
          <cell r="H1" t="str">
            <v>신우한방</v>
          </cell>
          <cell r="I1" t="str">
            <v>바른한약</v>
          </cell>
          <cell r="J1" t="str">
            <v>최종</v>
          </cell>
        </row>
        <row r="2">
          <cell r="A2">
            <v>45902</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갈근</v>
          </cell>
          <cell r="B3">
            <v>9900</v>
          </cell>
          <cell r="C3">
            <v>9000</v>
          </cell>
          <cell r="D3">
            <v>11000</v>
          </cell>
          <cell r="E3">
            <v>9900</v>
          </cell>
          <cell r="F3">
            <v>19.8</v>
          </cell>
          <cell r="G3">
            <v>18</v>
          </cell>
          <cell r="H3">
            <v>18.333333333333332</v>
          </cell>
          <cell r="I3">
            <v>16.5</v>
          </cell>
          <cell r="J3">
            <v>16.5</v>
          </cell>
        </row>
        <row r="4">
          <cell r="A4" t="str">
            <v>감국</v>
          </cell>
          <cell r="B4"/>
          <cell r="C4">
            <v>10000</v>
          </cell>
          <cell r="D4"/>
          <cell r="E4">
            <v>11700</v>
          </cell>
          <cell r="F4">
            <v>0</v>
          </cell>
          <cell r="G4">
            <v>20</v>
          </cell>
          <cell r="H4">
            <v>0</v>
          </cell>
          <cell r="I4">
            <v>19.5</v>
          </cell>
        </row>
        <row r="5">
          <cell r="A5" t="str">
            <v>감수</v>
          </cell>
          <cell r="B5"/>
          <cell r="C5">
            <v>23400</v>
          </cell>
          <cell r="D5"/>
          <cell r="E5">
            <v>27100</v>
          </cell>
          <cell r="F5">
            <v>0</v>
          </cell>
          <cell r="G5">
            <v>39</v>
          </cell>
          <cell r="H5">
            <v>0</v>
          </cell>
          <cell r="I5">
            <v>45.166666666666664</v>
          </cell>
          <cell r="J5">
            <v>45.2</v>
          </cell>
        </row>
        <row r="6">
          <cell r="A6" t="str">
            <v>감초</v>
          </cell>
          <cell r="B6">
            <v>17500</v>
          </cell>
          <cell r="C6"/>
          <cell r="D6">
            <v>17000</v>
          </cell>
          <cell r="E6">
            <v>25500</v>
          </cell>
          <cell r="F6">
            <v>35</v>
          </cell>
          <cell r="G6">
            <v>0</v>
          </cell>
          <cell r="H6">
            <v>28.333333333333332</v>
          </cell>
          <cell r="I6">
            <v>42.5</v>
          </cell>
          <cell r="J6">
            <v>28.3</v>
          </cell>
        </row>
        <row r="7">
          <cell r="A7" t="str">
            <v>강활1</v>
          </cell>
          <cell r="B7">
            <v>27200</v>
          </cell>
          <cell r="C7">
            <v>24000</v>
          </cell>
          <cell r="D7">
            <v>24000</v>
          </cell>
          <cell r="E7"/>
          <cell r="F7">
            <v>54.4</v>
          </cell>
          <cell r="G7">
            <v>48</v>
          </cell>
          <cell r="H7">
            <v>40</v>
          </cell>
          <cell r="I7">
            <v>0</v>
          </cell>
          <cell r="J7">
            <v>40</v>
          </cell>
        </row>
        <row r="8">
          <cell r="A8" t="str">
            <v>강활2</v>
          </cell>
          <cell r="B8"/>
          <cell r="C8">
            <v>23000</v>
          </cell>
          <cell r="D8">
            <v>21000</v>
          </cell>
          <cell r="E8">
            <v>27400</v>
          </cell>
          <cell r="F8">
            <v>0</v>
          </cell>
          <cell r="G8">
            <v>46</v>
          </cell>
          <cell r="H8">
            <v>35</v>
          </cell>
          <cell r="I8">
            <v>45.666666666666664</v>
          </cell>
          <cell r="J8">
            <v>45.7</v>
          </cell>
        </row>
        <row r="9">
          <cell r="A9" t="str">
            <v>강황</v>
          </cell>
          <cell r="B9"/>
          <cell r="C9">
            <v>3300</v>
          </cell>
          <cell r="D9">
            <v>5000</v>
          </cell>
          <cell r="E9"/>
          <cell r="F9">
            <v>0</v>
          </cell>
          <cell r="G9">
            <v>6.6</v>
          </cell>
          <cell r="H9">
            <v>8.3333333333333339</v>
          </cell>
          <cell r="I9">
            <v>0</v>
          </cell>
          <cell r="J9">
            <v>8.3000000000000007</v>
          </cell>
        </row>
        <row r="10">
          <cell r="A10" t="str">
            <v>건강</v>
          </cell>
          <cell r="B10"/>
          <cell r="C10">
            <v>5200</v>
          </cell>
          <cell r="D10">
            <v>8000</v>
          </cell>
          <cell r="E10">
            <v>5900</v>
          </cell>
          <cell r="F10">
            <v>0</v>
          </cell>
          <cell r="G10">
            <v>10.4</v>
          </cell>
          <cell r="H10">
            <v>13.333333333333334</v>
          </cell>
          <cell r="I10">
            <v>9.8333333333333339</v>
          </cell>
          <cell r="J10">
            <v>9.5</v>
          </cell>
        </row>
        <row r="11">
          <cell r="A11" t="str">
            <v>건율</v>
          </cell>
          <cell r="B11"/>
          <cell r="C11">
            <v>16800</v>
          </cell>
          <cell r="D11">
            <v>16500</v>
          </cell>
          <cell r="E11">
            <v>20800</v>
          </cell>
          <cell r="F11">
            <v>0</v>
          </cell>
          <cell r="G11">
            <v>33.6</v>
          </cell>
          <cell r="H11">
            <v>27.5</v>
          </cell>
          <cell r="I11">
            <v>34.666666666666664</v>
          </cell>
          <cell r="J11">
            <v>34.700000000000003</v>
          </cell>
        </row>
        <row r="12">
          <cell r="A12" t="str">
            <v>건지황</v>
          </cell>
          <cell r="B12">
            <v>19900</v>
          </cell>
          <cell r="C12">
            <v>5600</v>
          </cell>
          <cell r="D12">
            <v>11000</v>
          </cell>
          <cell r="E12">
            <v>8900</v>
          </cell>
          <cell r="F12">
            <v>39.799999999999997</v>
          </cell>
          <cell r="G12">
            <v>11.2</v>
          </cell>
          <cell r="H12">
            <v>18.333333333333332</v>
          </cell>
          <cell r="I12">
            <v>14.833333333333334</v>
          </cell>
          <cell r="J12">
            <v>14.4</v>
          </cell>
        </row>
        <row r="13">
          <cell r="A13" t="str">
            <v>결명자</v>
          </cell>
          <cell r="B13"/>
          <cell r="C13"/>
          <cell r="D13"/>
          <cell r="E13"/>
          <cell r="F13">
            <v>0</v>
          </cell>
          <cell r="G13">
            <v>0</v>
          </cell>
          <cell r="H13">
            <v>0</v>
          </cell>
          <cell r="I13">
            <v>0</v>
          </cell>
        </row>
        <row r="14">
          <cell r="A14" t="str">
            <v>계자황(난황)</v>
          </cell>
          <cell r="B14"/>
          <cell r="C14"/>
          <cell r="D14"/>
          <cell r="E14"/>
          <cell r="F14"/>
          <cell r="G14"/>
          <cell r="H14"/>
          <cell r="I14"/>
        </row>
        <row r="15">
          <cell r="A15" t="str">
            <v>계지</v>
          </cell>
          <cell r="B15">
            <v>4500</v>
          </cell>
          <cell r="C15">
            <v>2000</v>
          </cell>
          <cell r="D15">
            <v>3500</v>
          </cell>
          <cell r="E15">
            <v>2900</v>
          </cell>
          <cell r="F15">
            <v>9</v>
          </cell>
          <cell r="G15">
            <v>4</v>
          </cell>
          <cell r="H15">
            <v>5.833333333333333</v>
          </cell>
          <cell r="I15">
            <v>4.833333333333333</v>
          </cell>
          <cell r="J15">
            <v>4.8</v>
          </cell>
        </row>
        <row r="16">
          <cell r="A16" t="str">
            <v>계혈등</v>
          </cell>
          <cell r="B16"/>
          <cell r="C16"/>
          <cell r="D16"/>
          <cell r="E16"/>
          <cell r="F16"/>
          <cell r="G16"/>
          <cell r="H16"/>
          <cell r="I16"/>
        </row>
        <row r="17">
          <cell r="A17" t="str">
            <v>고량강</v>
          </cell>
          <cell r="B17"/>
          <cell r="C17">
            <v>10200</v>
          </cell>
          <cell r="D17"/>
          <cell r="E17">
            <v>11100</v>
          </cell>
          <cell r="F17">
            <v>0</v>
          </cell>
          <cell r="G17">
            <v>17</v>
          </cell>
          <cell r="H17">
            <v>0</v>
          </cell>
          <cell r="I17">
            <v>18.5</v>
          </cell>
          <cell r="J17">
            <v>17</v>
          </cell>
        </row>
        <row r="18">
          <cell r="A18" t="str">
            <v>고본</v>
          </cell>
          <cell r="B18"/>
          <cell r="C18">
            <v>32000</v>
          </cell>
          <cell r="D18"/>
          <cell r="E18">
            <v>41600</v>
          </cell>
          <cell r="F18">
            <v>0</v>
          </cell>
          <cell r="G18">
            <v>64</v>
          </cell>
          <cell r="H18">
            <v>0</v>
          </cell>
          <cell r="I18">
            <v>69.333333333333329</v>
          </cell>
          <cell r="J18">
            <v>64</v>
          </cell>
        </row>
        <row r="19">
          <cell r="A19" t="str">
            <v>고삼</v>
          </cell>
          <cell r="B19"/>
          <cell r="C19">
            <v>4500</v>
          </cell>
          <cell r="D19"/>
          <cell r="E19"/>
          <cell r="F19">
            <v>0</v>
          </cell>
          <cell r="G19">
            <v>9</v>
          </cell>
          <cell r="H19">
            <v>0</v>
          </cell>
          <cell r="I19">
            <v>0</v>
          </cell>
          <cell r="J19">
            <v>9</v>
          </cell>
        </row>
        <row r="20">
          <cell r="A20" t="str">
            <v>골쇄보</v>
          </cell>
          <cell r="B20"/>
          <cell r="C20"/>
          <cell r="D20"/>
          <cell r="E20"/>
          <cell r="F20">
            <v>0</v>
          </cell>
          <cell r="G20">
            <v>0</v>
          </cell>
          <cell r="H20">
            <v>0</v>
          </cell>
          <cell r="I20">
            <v>0</v>
          </cell>
        </row>
        <row r="21">
          <cell r="A21" t="str">
            <v>과루인</v>
          </cell>
          <cell r="B21"/>
          <cell r="C21">
            <v>3500</v>
          </cell>
          <cell r="D21">
            <v>6500</v>
          </cell>
          <cell r="E21"/>
          <cell r="F21">
            <v>0</v>
          </cell>
          <cell r="G21">
            <v>7</v>
          </cell>
          <cell r="H21">
            <v>10.833333333333334</v>
          </cell>
          <cell r="I21">
            <v>0</v>
          </cell>
          <cell r="J21">
            <v>10.8</v>
          </cell>
        </row>
        <row r="22">
          <cell r="A22" t="str">
            <v>곽향1</v>
          </cell>
          <cell r="B22">
            <v>6900</v>
          </cell>
          <cell r="C22">
            <v>5600</v>
          </cell>
          <cell r="D22"/>
          <cell r="E22">
            <v>6900</v>
          </cell>
          <cell r="F22">
            <v>13.8</v>
          </cell>
          <cell r="G22">
            <v>11.2</v>
          </cell>
          <cell r="H22">
            <v>0</v>
          </cell>
          <cell r="I22">
            <v>11.5</v>
          </cell>
          <cell r="J22">
            <v>13.8</v>
          </cell>
        </row>
        <row r="23">
          <cell r="A23" t="str">
            <v>곽향2</v>
          </cell>
          <cell r="B23">
            <v>4600</v>
          </cell>
          <cell r="C23">
            <v>3500</v>
          </cell>
          <cell r="D23"/>
          <cell r="E23">
            <v>4800</v>
          </cell>
          <cell r="F23">
            <v>9.1999999999999993</v>
          </cell>
          <cell r="G23">
            <v>7</v>
          </cell>
          <cell r="H23">
            <v>0</v>
          </cell>
          <cell r="I23">
            <v>8</v>
          </cell>
          <cell r="J23">
            <v>7</v>
          </cell>
        </row>
        <row r="24">
          <cell r="A24" t="str">
            <v>관동화</v>
          </cell>
          <cell r="B24"/>
          <cell r="C24">
            <v>46000</v>
          </cell>
          <cell r="D24">
            <v>73000</v>
          </cell>
          <cell r="E24">
            <v>75400</v>
          </cell>
          <cell r="F24">
            <v>0</v>
          </cell>
          <cell r="G24">
            <v>153.33333333333334</v>
          </cell>
          <cell r="H24">
            <v>121.66666666666667</v>
          </cell>
          <cell r="I24">
            <v>125.66666666666667</v>
          </cell>
          <cell r="J24">
            <v>121.7</v>
          </cell>
        </row>
        <row r="25">
          <cell r="A25" t="str">
            <v>괴화</v>
          </cell>
          <cell r="B25"/>
          <cell r="C25"/>
          <cell r="D25"/>
          <cell r="E25"/>
          <cell r="F25">
            <v>0</v>
          </cell>
          <cell r="G25">
            <v>0</v>
          </cell>
          <cell r="H25">
            <v>0</v>
          </cell>
          <cell r="I25">
            <v>0</v>
          </cell>
        </row>
        <row r="26">
          <cell r="A26" t="str">
            <v>교이</v>
          </cell>
          <cell r="B26"/>
          <cell r="C26"/>
          <cell r="D26"/>
          <cell r="E26"/>
          <cell r="F26">
            <v>0</v>
          </cell>
          <cell r="G26">
            <v>0</v>
          </cell>
          <cell r="H26">
            <v>0</v>
          </cell>
          <cell r="I26">
            <v>0</v>
          </cell>
          <cell r="J26">
            <v>5.3</v>
          </cell>
        </row>
        <row r="27">
          <cell r="A27" t="str">
            <v>구기자</v>
          </cell>
          <cell r="B27">
            <v>14900</v>
          </cell>
          <cell r="C27">
            <v>8700</v>
          </cell>
          <cell r="D27">
            <v>9000</v>
          </cell>
          <cell r="E27">
            <v>8200</v>
          </cell>
          <cell r="F27">
            <v>29.8</v>
          </cell>
          <cell r="G27">
            <v>17.399999999999999</v>
          </cell>
          <cell r="H27">
            <v>15</v>
          </cell>
          <cell r="I27">
            <v>13.666666666666666</v>
          </cell>
          <cell r="J27">
            <v>13.7</v>
          </cell>
        </row>
        <row r="28">
          <cell r="A28" t="str">
            <v>구맥</v>
          </cell>
          <cell r="B28"/>
          <cell r="C28"/>
          <cell r="D28"/>
          <cell r="E28"/>
          <cell r="F28">
            <v>0</v>
          </cell>
          <cell r="G28">
            <v>0</v>
          </cell>
          <cell r="H28">
            <v>0</v>
          </cell>
          <cell r="I28">
            <v>0</v>
          </cell>
        </row>
        <row r="29">
          <cell r="A29" t="str">
            <v>구척</v>
          </cell>
          <cell r="B29"/>
          <cell r="C29">
            <v>12000</v>
          </cell>
          <cell r="D29"/>
          <cell r="E29">
            <v>14300</v>
          </cell>
          <cell r="F29">
            <v>0</v>
          </cell>
          <cell r="G29">
            <v>24</v>
          </cell>
          <cell r="H29">
            <v>0</v>
          </cell>
          <cell r="I29">
            <v>23.833333333333332</v>
          </cell>
        </row>
        <row r="30">
          <cell r="A30" t="str">
            <v>귀판</v>
          </cell>
          <cell r="B30"/>
          <cell r="C30">
            <v>20500</v>
          </cell>
          <cell r="D30">
            <v>19000</v>
          </cell>
          <cell r="E30"/>
          <cell r="F30">
            <v>0</v>
          </cell>
          <cell r="G30">
            <v>34.166666666666664</v>
          </cell>
          <cell r="H30">
            <v>31.666666666666668</v>
          </cell>
          <cell r="I30">
            <v>0</v>
          </cell>
          <cell r="J30">
            <v>31.7</v>
          </cell>
        </row>
        <row r="31">
          <cell r="A31" t="str">
            <v>금은화</v>
          </cell>
          <cell r="B31"/>
          <cell r="C31">
            <v>21500</v>
          </cell>
          <cell r="D31"/>
          <cell r="E31">
            <v>30800</v>
          </cell>
          <cell r="F31">
            <v>0</v>
          </cell>
          <cell r="G31">
            <v>43</v>
          </cell>
          <cell r="H31">
            <v>0</v>
          </cell>
          <cell r="I31">
            <v>51.333333333333336</v>
          </cell>
          <cell r="J31">
            <v>43</v>
          </cell>
        </row>
        <row r="32">
          <cell r="A32" t="str">
            <v>길경</v>
          </cell>
          <cell r="B32">
            <v>11500</v>
          </cell>
          <cell r="C32">
            <v>12900</v>
          </cell>
          <cell r="D32">
            <v>7500</v>
          </cell>
          <cell r="E32">
            <v>6900</v>
          </cell>
          <cell r="F32">
            <v>23</v>
          </cell>
          <cell r="G32">
            <v>25.8</v>
          </cell>
          <cell r="H32">
            <v>12.5</v>
          </cell>
          <cell r="I32">
            <v>11.5</v>
          </cell>
          <cell r="J32">
            <v>11.5</v>
          </cell>
        </row>
        <row r="33">
          <cell r="A33" t="str">
            <v>나복자</v>
          </cell>
          <cell r="B33"/>
          <cell r="C33">
            <v>3000</v>
          </cell>
          <cell r="D33">
            <v>4000</v>
          </cell>
          <cell r="E33">
            <v>4000</v>
          </cell>
          <cell r="F33">
            <v>0</v>
          </cell>
          <cell r="G33">
            <v>6</v>
          </cell>
          <cell r="H33">
            <v>6.666666666666667</v>
          </cell>
          <cell r="I33">
            <v>6.666666666666667</v>
          </cell>
          <cell r="J33">
            <v>6</v>
          </cell>
        </row>
        <row r="34">
          <cell r="A34" t="str">
            <v>남성</v>
          </cell>
          <cell r="B34"/>
          <cell r="C34">
            <v>13000</v>
          </cell>
          <cell r="D34">
            <v>13000</v>
          </cell>
          <cell r="E34"/>
          <cell r="F34">
            <v>0</v>
          </cell>
          <cell r="G34">
            <v>26</v>
          </cell>
          <cell r="H34">
            <v>26</v>
          </cell>
          <cell r="I34">
            <v>0</v>
          </cell>
          <cell r="J34">
            <v>26</v>
          </cell>
        </row>
        <row r="35">
          <cell r="A35" t="str">
            <v>녹각교</v>
          </cell>
          <cell r="B35"/>
          <cell r="C35"/>
          <cell r="D35"/>
          <cell r="E35"/>
          <cell r="F35"/>
          <cell r="G35"/>
          <cell r="H35"/>
          <cell r="I35"/>
          <cell r="J35"/>
        </row>
        <row r="36">
          <cell r="A36" t="str">
            <v>녹용</v>
          </cell>
          <cell r="B36"/>
          <cell r="C36">
            <v>278000</v>
          </cell>
          <cell r="D36"/>
          <cell r="E36"/>
          <cell r="F36">
            <v>0</v>
          </cell>
          <cell r="G36">
            <v>463.33333333333331</v>
          </cell>
          <cell r="H36">
            <v>0</v>
          </cell>
          <cell r="I36">
            <v>0</v>
          </cell>
          <cell r="J36">
            <v>463.3</v>
          </cell>
        </row>
        <row r="37">
          <cell r="A37" t="str">
            <v>단삼</v>
          </cell>
          <cell r="B37"/>
          <cell r="C37">
            <v>6600</v>
          </cell>
          <cell r="D37"/>
          <cell r="E37">
            <v>8900</v>
          </cell>
          <cell r="F37">
            <v>0</v>
          </cell>
          <cell r="G37">
            <v>13.2</v>
          </cell>
          <cell r="H37">
            <v>0</v>
          </cell>
          <cell r="I37">
            <v>14.833333333333334</v>
          </cell>
          <cell r="J37">
            <v>14.8</v>
          </cell>
        </row>
        <row r="38">
          <cell r="A38" t="str">
            <v>담두시</v>
          </cell>
          <cell r="B38"/>
          <cell r="C38"/>
          <cell r="D38">
            <v>8000</v>
          </cell>
          <cell r="E38"/>
          <cell r="F38">
            <v>0</v>
          </cell>
          <cell r="G38">
            <v>0</v>
          </cell>
          <cell r="H38">
            <v>13.333333333333334</v>
          </cell>
          <cell r="I38">
            <v>0</v>
          </cell>
          <cell r="J38">
            <v>13.3</v>
          </cell>
        </row>
        <row r="39">
          <cell r="A39" t="str">
            <v>당귀1</v>
          </cell>
          <cell r="B39">
            <v>14900</v>
          </cell>
          <cell r="C39">
            <v>12700</v>
          </cell>
          <cell r="D39">
            <v>15000</v>
          </cell>
          <cell r="E39">
            <v>16300</v>
          </cell>
          <cell r="F39">
            <v>29.8</v>
          </cell>
          <cell r="G39">
            <v>25.4</v>
          </cell>
          <cell r="H39">
            <v>25</v>
          </cell>
          <cell r="I39">
            <v>27.166666666666668</v>
          </cell>
          <cell r="J39">
            <v>27.2</v>
          </cell>
        </row>
        <row r="40">
          <cell r="A40" t="str">
            <v>당귀2</v>
          </cell>
          <cell r="B40"/>
          <cell r="C40">
            <v>12700</v>
          </cell>
          <cell r="D40"/>
          <cell r="E40">
            <v>13800</v>
          </cell>
          <cell r="F40">
            <v>0</v>
          </cell>
          <cell r="G40">
            <v>25.4</v>
          </cell>
          <cell r="H40">
            <v>0</v>
          </cell>
          <cell r="I40">
            <v>23</v>
          </cell>
          <cell r="J40">
            <v>23</v>
          </cell>
        </row>
        <row r="41">
          <cell r="A41" t="str">
            <v>당삼</v>
          </cell>
          <cell r="B41"/>
          <cell r="C41">
            <v>26000</v>
          </cell>
          <cell r="D41">
            <v>32000</v>
          </cell>
          <cell r="E41">
            <v>35500</v>
          </cell>
          <cell r="F41">
            <v>0</v>
          </cell>
          <cell r="G41">
            <v>43.333333333333336</v>
          </cell>
          <cell r="H41">
            <v>53.333333333333336</v>
          </cell>
          <cell r="I41">
            <v>59.166666666666664</v>
          </cell>
          <cell r="J41">
            <v>43.3</v>
          </cell>
        </row>
        <row r="42">
          <cell r="A42" t="str">
            <v>대두황권</v>
          </cell>
          <cell r="B42"/>
          <cell r="C42">
            <v>13000</v>
          </cell>
          <cell r="D42"/>
          <cell r="E42">
            <v>15800</v>
          </cell>
          <cell r="F42">
            <v>0</v>
          </cell>
          <cell r="G42">
            <v>26</v>
          </cell>
          <cell r="H42">
            <v>0</v>
          </cell>
          <cell r="I42">
            <v>26.333333333333332</v>
          </cell>
          <cell r="J42">
            <v>26</v>
          </cell>
        </row>
        <row r="43">
          <cell r="A43" t="str">
            <v>대복피</v>
          </cell>
          <cell r="B43"/>
          <cell r="C43"/>
          <cell r="D43">
            <v>4000</v>
          </cell>
          <cell r="E43">
            <v>3200</v>
          </cell>
          <cell r="F43">
            <v>0</v>
          </cell>
          <cell r="G43">
            <v>0</v>
          </cell>
          <cell r="H43">
            <v>6.666666666666667</v>
          </cell>
          <cell r="I43">
            <v>5.333333333333333</v>
          </cell>
          <cell r="J43">
            <v>5.3</v>
          </cell>
        </row>
        <row r="44">
          <cell r="A44" t="str">
            <v>대추</v>
          </cell>
          <cell r="B44"/>
          <cell r="C44">
            <v>10300</v>
          </cell>
          <cell r="D44">
            <v>10000</v>
          </cell>
          <cell r="E44">
            <v>12500</v>
          </cell>
          <cell r="F44">
            <v>0</v>
          </cell>
          <cell r="G44">
            <v>20.6</v>
          </cell>
          <cell r="H44">
            <v>16.666666666666668</v>
          </cell>
          <cell r="I44">
            <v>20.833333333333332</v>
          </cell>
          <cell r="J44">
            <v>20.8</v>
          </cell>
        </row>
        <row r="45">
          <cell r="A45" t="str">
            <v>대황</v>
          </cell>
          <cell r="B45"/>
          <cell r="C45">
            <v>4500</v>
          </cell>
          <cell r="D45">
            <v>9500</v>
          </cell>
          <cell r="E45">
            <v>7800</v>
          </cell>
          <cell r="F45">
            <v>0</v>
          </cell>
          <cell r="G45">
            <v>9</v>
          </cell>
          <cell r="H45">
            <v>15.833333333333334</v>
          </cell>
          <cell r="I45">
            <v>13</v>
          </cell>
          <cell r="J45">
            <v>13</v>
          </cell>
        </row>
        <row r="46">
          <cell r="A46" t="str">
            <v>도인</v>
          </cell>
          <cell r="B46"/>
          <cell r="C46">
            <v>6200</v>
          </cell>
          <cell r="D46">
            <v>8000</v>
          </cell>
          <cell r="E46"/>
          <cell r="F46">
            <v>0</v>
          </cell>
          <cell r="G46">
            <v>12.4</v>
          </cell>
          <cell r="H46">
            <v>13.333333333333334</v>
          </cell>
          <cell r="I46">
            <v>0</v>
          </cell>
          <cell r="J46">
            <v>13.3</v>
          </cell>
        </row>
        <row r="47">
          <cell r="A47" t="str">
            <v>독활</v>
          </cell>
          <cell r="B47"/>
          <cell r="C47">
            <v>15600</v>
          </cell>
          <cell r="D47">
            <v>19000</v>
          </cell>
          <cell r="E47">
            <v>18000</v>
          </cell>
          <cell r="F47">
            <v>0</v>
          </cell>
          <cell r="G47">
            <v>31.2</v>
          </cell>
          <cell r="H47">
            <v>31.666666666666668</v>
          </cell>
          <cell r="I47">
            <v>30</v>
          </cell>
          <cell r="J47">
            <v>31.2</v>
          </cell>
        </row>
        <row r="48">
          <cell r="A48" t="str">
            <v>동과자</v>
          </cell>
          <cell r="B48"/>
          <cell r="C48"/>
          <cell r="D48">
            <v>7000</v>
          </cell>
          <cell r="E48"/>
          <cell r="F48">
            <v>0</v>
          </cell>
          <cell r="G48">
            <v>0</v>
          </cell>
          <cell r="H48">
            <v>11.666666666666666</v>
          </cell>
          <cell r="I48">
            <v>0</v>
          </cell>
          <cell r="J48">
            <v>11.7</v>
          </cell>
        </row>
        <row r="49">
          <cell r="A49" t="str">
            <v>두충</v>
          </cell>
          <cell r="B49">
            <v>10700</v>
          </cell>
          <cell r="C49">
            <v>5700</v>
          </cell>
          <cell r="D49">
            <v>9500</v>
          </cell>
          <cell r="E49">
            <v>6800</v>
          </cell>
          <cell r="F49">
            <v>21.4</v>
          </cell>
          <cell r="G49">
            <v>11.4</v>
          </cell>
          <cell r="H49">
            <v>15.833333333333334</v>
          </cell>
          <cell r="I49">
            <v>11.333333333333334</v>
          </cell>
          <cell r="J49">
            <v>21.4</v>
          </cell>
        </row>
        <row r="50">
          <cell r="A50" t="str">
            <v>등심초</v>
          </cell>
          <cell r="B50"/>
          <cell r="C50">
            <v>6500</v>
          </cell>
          <cell r="D50">
            <v>7000</v>
          </cell>
          <cell r="E50">
            <v>6700</v>
          </cell>
          <cell r="F50">
            <v>0</v>
          </cell>
          <cell r="G50">
            <v>65</v>
          </cell>
          <cell r="H50">
            <v>70</v>
          </cell>
          <cell r="I50">
            <v>67</v>
          </cell>
          <cell r="J50">
            <v>65</v>
          </cell>
        </row>
        <row r="51">
          <cell r="A51" t="str">
            <v>마자인</v>
          </cell>
          <cell r="B51"/>
          <cell r="C51">
            <v>4000</v>
          </cell>
          <cell r="D51"/>
          <cell r="E51">
            <v>5100</v>
          </cell>
          <cell r="F51">
            <v>0</v>
          </cell>
          <cell r="G51">
            <v>8</v>
          </cell>
          <cell r="H51">
            <v>0</v>
          </cell>
          <cell r="I51">
            <v>8.5</v>
          </cell>
          <cell r="J51">
            <v>8</v>
          </cell>
        </row>
        <row r="52">
          <cell r="A52" t="str">
            <v>마황</v>
          </cell>
          <cell r="B52"/>
          <cell r="C52">
            <v>4200</v>
          </cell>
          <cell r="D52">
            <v>7500</v>
          </cell>
          <cell r="E52">
            <v>5000</v>
          </cell>
          <cell r="F52">
            <v>0</v>
          </cell>
          <cell r="G52">
            <v>8.4</v>
          </cell>
          <cell r="H52">
            <v>12.5</v>
          </cell>
          <cell r="I52">
            <v>8.3333333333333339</v>
          </cell>
          <cell r="J52">
            <v>8.5</v>
          </cell>
        </row>
        <row r="53">
          <cell r="A53" t="str">
            <v>만형자</v>
          </cell>
          <cell r="B53"/>
          <cell r="C53">
            <v>13200</v>
          </cell>
          <cell r="D53"/>
          <cell r="E53">
            <v>15800</v>
          </cell>
          <cell r="F53">
            <v>0</v>
          </cell>
          <cell r="G53">
            <v>26.4</v>
          </cell>
          <cell r="H53">
            <v>0</v>
          </cell>
          <cell r="I53">
            <v>26.333333333333332</v>
          </cell>
          <cell r="J53">
            <v>26.3</v>
          </cell>
        </row>
        <row r="54">
          <cell r="A54" t="str">
            <v>망초</v>
          </cell>
          <cell r="B54"/>
          <cell r="C54">
            <v>3000</v>
          </cell>
          <cell r="D54">
            <v>4000</v>
          </cell>
          <cell r="E54"/>
          <cell r="F54">
            <v>0</v>
          </cell>
          <cell r="G54">
            <v>5</v>
          </cell>
          <cell r="H54">
            <v>6.666666666666667</v>
          </cell>
          <cell r="I54">
            <v>0</v>
          </cell>
          <cell r="J54">
            <v>5</v>
          </cell>
        </row>
        <row r="55">
          <cell r="A55" t="str">
            <v>맥문동</v>
          </cell>
          <cell r="B55"/>
          <cell r="C55">
            <v>19600</v>
          </cell>
          <cell r="D55">
            <v>39000</v>
          </cell>
          <cell r="E55">
            <v>23500</v>
          </cell>
          <cell r="F55">
            <v>0</v>
          </cell>
          <cell r="G55">
            <v>39.200000000000003</v>
          </cell>
          <cell r="H55">
            <v>65</v>
          </cell>
          <cell r="I55">
            <v>39.166666666666664</v>
          </cell>
          <cell r="J55">
            <v>44.3</v>
          </cell>
        </row>
        <row r="56">
          <cell r="A56" t="str">
            <v>맥아</v>
          </cell>
          <cell r="B56"/>
          <cell r="C56">
            <v>8000</v>
          </cell>
          <cell r="D56">
            <v>7500</v>
          </cell>
          <cell r="F56">
            <v>0</v>
          </cell>
          <cell r="G56">
            <v>8</v>
          </cell>
          <cell r="H56">
            <v>7.5</v>
          </cell>
          <cell r="I56">
            <v>23.5</v>
          </cell>
          <cell r="J56">
            <v>7.5</v>
          </cell>
        </row>
        <row r="57">
          <cell r="A57" t="str">
            <v>모과</v>
          </cell>
          <cell r="B57"/>
          <cell r="C57">
            <v>4700</v>
          </cell>
          <cell r="D57">
            <v>7000</v>
          </cell>
          <cell r="E57">
            <v>5900</v>
          </cell>
          <cell r="F57">
            <v>0</v>
          </cell>
          <cell r="G57">
            <v>9.4</v>
          </cell>
          <cell r="H57">
            <v>11.666666666666666</v>
          </cell>
          <cell r="I57">
            <v>9.8333333333333339</v>
          </cell>
          <cell r="J57">
            <v>9.8000000000000007</v>
          </cell>
        </row>
        <row r="58">
          <cell r="A58" t="str">
            <v>모려</v>
          </cell>
          <cell r="B58"/>
          <cell r="C58">
            <v>8000</v>
          </cell>
          <cell r="D58">
            <v>8000</v>
          </cell>
          <cell r="E58"/>
          <cell r="F58">
            <v>0</v>
          </cell>
          <cell r="G58">
            <v>8</v>
          </cell>
          <cell r="H58">
            <v>8</v>
          </cell>
          <cell r="I58">
            <v>0</v>
          </cell>
          <cell r="J58">
            <v>8</v>
          </cell>
        </row>
        <row r="59">
          <cell r="A59" t="str">
            <v>목단피</v>
          </cell>
          <cell r="B59">
            <v>18500</v>
          </cell>
          <cell r="C59">
            <v>14000</v>
          </cell>
          <cell r="D59">
            <v>19000</v>
          </cell>
          <cell r="E59">
            <v>20200</v>
          </cell>
          <cell r="F59">
            <v>37</v>
          </cell>
          <cell r="G59">
            <v>28</v>
          </cell>
          <cell r="H59">
            <v>31.666666666666668</v>
          </cell>
          <cell r="I59">
            <v>33.666666666666664</v>
          </cell>
          <cell r="J59">
            <v>28</v>
          </cell>
        </row>
        <row r="60">
          <cell r="A60" t="str">
            <v>목통</v>
          </cell>
          <cell r="B60"/>
          <cell r="C60">
            <v>5400</v>
          </cell>
          <cell r="D60">
            <v>7000</v>
          </cell>
          <cell r="E60">
            <v>6400</v>
          </cell>
          <cell r="F60">
            <v>0</v>
          </cell>
          <cell r="G60">
            <v>10.8</v>
          </cell>
          <cell r="H60">
            <v>11.666666666666666</v>
          </cell>
          <cell r="I60">
            <v>10.666666666666666</v>
          </cell>
          <cell r="J60">
            <v>10.7</v>
          </cell>
        </row>
        <row r="61">
          <cell r="A61" t="str">
            <v>목향</v>
          </cell>
          <cell r="B61"/>
          <cell r="C61">
            <v>6000</v>
          </cell>
          <cell r="D61">
            <v>8500</v>
          </cell>
          <cell r="E61">
            <v>7300</v>
          </cell>
          <cell r="F61">
            <v>0</v>
          </cell>
          <cell r="G61">
            <v>10</v>
          </cell>
          <cell r="H61">
            <v>14.166666666666666</v>
          </cell>
          <cell r="I61">
            <v>12.166666666666666</v>
          </cell>
          <cell r="J61">
            <v>12.2</v>
          </cell>
        </row>
        <row r="62">
          <cell r="A62" t="str">
            <v>몰약</v>
          </cell>
          <cell r="B62"/>
          <cell r="C62"/>
          <cell r="D62"/>
          <cell r="E62">
            <v>10500</v>
          </cell>
          <cell r="F62">
            <v>0</v>
          </cell>
          <cell r="G62">
            <v>0</v>
          </cell>
          <cell r="H62">
            <v>0</v>
          </cell>
          <cell r="I62">
            <v>17.5</v>
          </cell>
          <cell r="J62">
            <v>17.5</v>
          </cell>
        </row>
        <row r="63">
          <cell r="A63" t="str">
            <v>박하</v>
          </cell>
          <cell r="B63"/>
          <cell r="C63">
            <v>8500</v>
          </cell>
          <cell r="D63"/>
          <cell r="E63">
            <v>10800</v>
          </cell>
          <cell r="F63">
            <v>0</v>
          </cell>
          <cell r="G63">
            <v>17</v>
          </cell>
          <cell r="H63">
            <v>0</v>
          </cell>
          <cell r="I63">
            <v>18</v>
          </cell>
          <cell r="J63">
            <v>21.8</v>
          </cell>
        </row>
        <row r="64">
          <cell r="A64" t="str">
            <v>반하</v>
          </cell>
          <cell r="B64"/>
          <cell r="C64">
            <v>20500</v>
          </cell>
          <cell r="D64">
            <v>26500</v>
          </cell>
          <cell r="E64">
            <v>20500</v>
          </cell>
          <cell r="F64">
            <v>0</v>
          </cell>
          <cell r="G64">
            <v>41</v>
          </cell>
          <cell r="H64">
            <v>53</v>
          </cell>
          <cell r="I64">
            <v>41</v>
          </cell>
          <cell r="J64">
            <v>41</v>
          </cell>
        </row>
        <row r="65">
          <cell r="A65" t="str">
            <v>방기1</v>
          </cell>
          <cell r="B65"/>
          <cell r="C65"/>
          <cell r="D65"/>
          <cell r="E65">
            <v>42100</v>
          </cell>
          <cell r="F65">
            <v>0</v>
          </cell>
          <cell r="G65">
            <v>0</v>
          </cell>
          <cell r="H65">
            <v>0</v>
          </cell>
          <cell r="I65">
            <v>70.166666666666671</v>
          </cell>
          <cell r="J65">
            <v>70.2</v>
          </cell>
        </row>
        <row r="66">
          <cell r="A66" t="str">
            <v>방기2</v>
          </cell>
          <cell r="B66"/>
          <cell r="C66">
            <v>3000</v>
          </cell>
          <cell r="D66"/>
          <cell r="E66">
            <v>3500</v>
          </cell>
          <cell r="F66">
            <v>0</v>
          </cell>
          <cell r="G66">
            <v>6</v>
          </cell>
          <cell r="H66">
            <v>0</v>
          </cell>
          <cell r="I66">
            <v>5.833333333333333</v>
          </cell>
          <cell r="J66">
            <v>5.8</v>
          </cell>
        </row>
        <row r="67">
          <cell r="A67" t="str">
            <v>방기3</v>
          </cell>
          <cell r="B67"/>
          <cell r="C67"/>
          <cell r="D67"/>
          <cell r="E67"/>
          <cell r="F67">
            <v>0</v>
          </cell>
          <cell r="G67">
            <v>0</v>
          </cell>
          <cell r="H67">
            <v>0</v>
          </cell>
          <cell r="I67">
            <v>0</v>
          </cell>
        </row>
        <row r="68">
          <cell r="A68" t="str">
            <v>방풍1</v>
          </cell>
          <cell r="B68"/>
          <cell r="C68">
            <v>5900</v>
          </cell>
          <cell r="D68"/>
          <cell r="E68">
            <v>7000</v>
          </cell>
          <cell r="F68">
            <v>0</v>
          </cell>
          <cell r="G68">
            <v>11.8</v>
          </cell>
          <cell r="H68">
            <v>0</v>
          </cell>
          <cell r="I68">
            <v>11.666666666666666</v>
          </cell>
          <cell r="J68">
            <v>13.2</v>
          </cell>
        </row>
        <row r="69">
          <cell r="A69" t="str">
            <v>방풍2</v>
          </cell>
          <cell r="B69"/>
          <cell r="C69">
            <v>11300</v>
          </cell>
          <cell r="D69">
            <v>14000</v>
          </cell>
          <cell r="E69"/>
          <cell r="F69">
            <v>0</v>
          </cell>
          <cell r="G69">
            <v>22.6</v>
          </cell>
          <cell r="H69">
            <v>23.333333333333332</v>
          </cell>
          <cell r="I69">
            <v>0</v>
          </cell>
          <cell r="J69">
            <v>22.6</v>
          </cell>
        </row>
        <row r="70">
          <cell r="A70" t="str">
            <v>백강잠</v>
          </cell>
          <cell r="B70"/>
          <cell r="C70">
            <v>14000</v>
          </cell>
          <cell r="D70"/>
          <cell r="E70"/>
          <cell r="F70">
            <v>0</v>
          </cell>
          <cell r="G70">
            <v>28</v>
          </cell>
          <cell r="H70">
            <v>0</v>
          </cell>
          <cell r="I70">
            <v>0</v>
          </cell>
          <cell r="J70">
            <v>28</v>
          </cell>
        </row>
        <row r="71">
          <cell r="A71" t="str">
            <v>백개자</v>
          </cell>
          <cell r="B71"/>
          <cell r="C71">
            <v>3600</v>
          </cell>
          <cell r="D71"/>
          <cell r="E71">
            <v>3800</v>
          </cell>
          <cell r="F71">
            <v>0</v>
          </cell>
          <cell r="G71">
            <v>7.2</v>
          </cell>
          <cell r="H71">
            <v>0</v>
          </cell>
          <cell r="I71">
            <v>6.333333333333333</v>
          </cell>
          <cell r="J71">
            <v>6.3</v>
          </cell>
        </row>
        <row r="72">
          <cell r="A72" t="str">
            <v>백두구</v>
          </cell>
          <cell r="B72"/>
          <cell r="C72">
            <v>10500</v>
          </cell>
          <cell r="D72"/>
          <cell r="E72">
            <v>12600</v>
          </cell>
          <cell r="F72">
            <v>0</v>
          </cell>
          <cell r="G72">
            <v>21</v>
          </cell>
          <cell r="H72">
            <v>0</v>
          </cell>
          <cell r="I72">
            <v>21</v>
          </cell>
          <cell r="J72">
            <v>21</v>
          </cell>
        </row>
        <row r="73">
          <cell r="A73" t="str">
            <v>백두옹</v>
          </cell>
          <cell r="B73"/>
          <cell r="C73"/>
          <cell r="D73"/>
          <cell r="E73"/>
          <cell r="F73"/>
          <cell r="G73"/>
          <cell r="H73"/>
          <cell r="I73"/>
        </row>
        <row r="74">
          <cell r="A74" t="str">
            <v>백부근</v>
          </cell>
          <cell r="B74"/>
          <cell r="C74">
            <v>10700</v>
          </cell>
          <cell r="D74">
            <v>15000</v>
          </cell>
          <cell r="E74"/>
          <cell r="F74">
            <v>0</v>
          </cell>
          <cell r="G74">
            <v>21.4</v>
          </cell>
          <cell r="H74">
            <v>25</v>
          </cell>
          <cell r="I74">
            <v>0</v>
          </cell>
          <cell r="J74">
            <v>23.3</v>
          </cell>
        </row>
        <row r="75">
          <cell r="A75" t="str">
            <v>백부자</v>
          </cell>
          <cell r="B75"/>
          <cell r="C75"/>
          <cell r="D75"/>
          <cell r="E75"/>
          <cell r="F75">
            <v>0</v>
          </cell>
          <cell r="G75">
            <v>0</v>
          </cell>
          <cell r="H75">
            <v>0</v>
          </cell>
          <cell r="I75">
            <v>0</v>
          </cell>
        </row>
        <row r="76">
          <cell r="A76" t="str">
            <v>백선피</v>
          </cell>
          <cell r="B76"/>
          <cell r="C76"/>
          <cell r="D76"/>
          <cell r="E76"/>
          <cell r="F76"/>
          <cell r="G76"/>
          <cell r="H76"/>
          <cell r="I76"/>
        </row>
        <row r="77">
          <cell r="A77" t="str">
            <v>백자인</v>
          </cell>
          <cell r="B77"/>
          <cell r="C77">
            <v>21500</v>
          </cell>
          <cell r="D77">
            <v>32000</v>
          </cell>
          <cell r="E77">
            <v>27500</v>
          </cell>
          <cell r="F77">
            <v>0</v>
          </cell>
          <cell r="G77">
            <v>43</v>
          </cell>
          <cell r="H77">
            <v>53.333333333333336</v>
          </cell>
          <cell r="I77">
            <v>45.833333333333336</v>
          </cell>
          <cell r="J77">
            <v>43</v>
          </cell>
        </row>
        <row r="78">
          <cell r="A78" t="str">
            <v>백작약</v>
          </cell>
          <cell r="B78">
            <v>9800</v>
          </cell>
          <cell r="C78">
            <v>9000</v>
          </cell>
          <cell r="D78">
            <v>15000</v>
          </cell>
          <cell r="E78">
            <v>9200</v>
          </cell>
          <cell r="F78">
            <v>19.600000000000001</v>
          </cell>
          <cell r="G78">
            <v>18</v>
          </cell>
          <cell r="H78">
            <v>25</v>
          </cell>
          <cell r="I78">
            <v>15.333333333333334</v>
          </cell>
          <cell r="J78">
            <v>19.600000000000001</v>
          </cell>
        </row>
        <row r="79">
          <cell r="A79" t="str">
            <v>백지</v>
          </cell>
          <cell r="B79">
            <v>16900</v>
          </cell>
          <cell r="C79">
            <v>13200</v>
          </cell>
          <cell r="D79">
            <v>16500</v>
          </cell>
          <cell r="E79">
            <v>16300</v>
          </cell>
          <cell r="F79">
            <v>33.799999999999997</v>
          </cell>
          <cell r="G79">
            <v>26.4</v>
          </cell>
          <cell r="H79">
            <v>27.5</v>
          </cell>
          <cell r="I79">
            <v>27.166666666666668</v>
          </cell>
          <cell r="J79">
            <v>26.4</v>
          </cell>
        </row>
        <row r="80">
          <cell r="A80" t="str">
            <v>백질려</v>
          </cell>
          <cell r="B80"/>
          <cell r="C80"/>
          <cell r="D80"/>
          <cell r="E80">
            <v>9600</v>
          </cell>
          <cell r="F80">
            <v>0</v>
          </cell>
          <cell r="G80">
            <v>0</v>
          </cell>
          <cell r="H80">
            <v>0</v>
          </cell>
          <cell r="I80">
            <v>16</v>
          </cell>
          <cell r="J80">
            <v>16</v>
          </cell>
        </row>
        <row r="81">
          <cell r="A81" t="str">
            <v>백출</v>
          </cell>
          <cell r="B81"/>
          <cell r="C81">
            <v>14000</v>
          </cell>
          <cell r="D81">
            <v>16000</v>
          </cell>
          <cell r="E81">
            <v>16700</v>
          </cell>
          <cell r="F81">
            <v>0</v>
          </cell>
          <cell r="G81">
            <v>28</v>
          </cell>
          <cell r="H81">
            <v>26.666666666666668</v>
          </cell>
          <cell r="I81">
            <v>27.833333333333332</v>
          </cell>
          <cell r="J81">
            <v>30.3</v>
          </cell>
        </row>
        <row r="82">
          <cell r="A82" t="str">
            <v>백편두</v>
          </cell>
          <cell r="B82"/>
          <cell r="C82">
            <v>6300</v>
          </cell>
          <cell r="D82"/>
          <cell r="E82"/>
          <cell r="F82">
            <v>0</v>
          </cell>
          <cell r="G82">
            <v>10.5</v>
          </cell>
          <cell r="H82">
            <v>0</v>
          </cell>
          <cell r="I82">
            <v>0</v>
          </cell>
          <cell r="J82">
            <v>10.5</v>
          </cell>
        </row>
        <row r="83">
          <cell r="A83" t="str">
            <v>백하수오</v>
          </cell>
          <cell r="B83"/>
          <cell r="C83">
            <v>23000</v>
          </cell>
          <cell r="D83"/>
          <cell r="E83">
            <v>29900</v>
          </cell>
          <cell r="F83">
            <v>0</v>
          </cell>
          <cell r="G83">
            <v>46</v>
          </cell>
          <cell r="H83">
            <v>0</v>
          </cell>
          <cell r="I83">
            <v>49.833333333333336</v>
          </cell>
          <cell r="J83">
            <v>49.8</v>
          </cell>
        </row>
        <row r="84">
          <cell r="A84" t="str">
            <v>백합</v>
          </cell>
          <cell r="B84"/>
          <cell r="C84">
            <v>10000</v>
          </cell>
          <cell r="D84"/>
          <cell r="E84"/>
          <cell r="F84">
            <v>0</v>
          </cell>
          <cell r="G84">
            <v>16.666666666666668</v>
          </cell>
          <cell r="H84">
            <v>0</v>
          </cell>
          <cell r="I84">
            <v>0</v>
          </cell>
          <cell r="J84">
            <v>16.7</v>
          </cell>
        </row>
        <row r="85">
          <cell r="A85" t="str">
            <v>별갑</v>
          </cell>
          <cell r="B85"/>
          <cell r="C85">
            <v>20500</v>
          </cell>
          <cell r="D85"/>
          <cell r="E85">
            <v>16600</v>
          </cell>
          <cell r="F85">
            <v>0</v>
          </cell>
          <cell r="G85">
            <v>34.166666666666664</v>
          </cell>
          <cell r="H85">
            <v>0</v>
          </cell>
          <cell r="I85">
            <v>27.666666666666668</v>
          </cell>
        </row>
        <row r="86">
          <cell r="A86" t="str">
            <v>복령</v>
          </cell>
          <cell r="B86">
            <v>9900</v>
          </cell>
          <cell r="C86">
            <v>4400</v>
          </cell>
          <cell r="D86">
            <v>7000</v>
          </cell>
          <cell r="E86">
            <v>5400</v>
          </cell>
          <cell r="F86">
            <v>19.8</v>
          </cell>
          <cell r="G86">
            <v>8.8000000000000007</v>
          </cell>
          <cell r="H86">
            <v>11.666666666666666</v>
          </cell>
          <cell r="I86">
            <v>9</v>
          </cell>
          <cell r="J86">
            <v>9</v>
          </cell>
        </row>
        <row r="87">
          <cell r="A87" t="str">
            <v>복분자</v>
          </cell>
          <cell r="B87"/>
          <cell r="C87">
            <v>5200</v>
          </cell>
          <cell r="D87"/>
          <cell r="E87"/>
          <cell r="F87">
            <v>0</v>
          </cell>
          <cell r="G87">
            <v>10.4</v>
          </cell>
          <cell r="H87">
            <v>0</v>
          </cell>
          <cell r="I87">
            <v>0</v>
          </cell>
          <cell r="J87">
            <v>10.4</v>
          </cell>
        </row>
        <row r="88">
          <cell r="A88" t="str">
            <v>복신</v>
          </cell>
          <cell r="B88"/>
          <cell r="C88"/>
          <cell r="D88">
            <v>16000</v>
          </cell>
          <cell r="E88"/>
          <cell r="F88">
            <v>0</v>
          </cell>
          <cell r="G88">
            <v>0</v>
          </cell>
          <cell r="H88">
            <v>26.666666666666668</v>
          </cell>
          <cell r="I88">
            <v>0</v>
          </cell>
        </row>
        <row r="89">
          <cell r="A89" t="str">
            <v>봉출</v>
          </cell>
          <cell r="B89"/>
          <cell r="C89">
            <v>4500</v>
          </cell>
          <cell r="D89">
            <v>6500</v>
          </cell>
          <cell r="E89">
            <v>5900</v>
          </cell>
          <cell r="F89">
            <v>0</v>
          </cell>
          <cell r="G89">
            <v>9</v>
          </cell>
          <cell r="H89">
            <v>10.833333333333334</v>
          </cell>
          <cell r="I89">
            <v>9.8333333333333339</v>
          </cell>
          <cell r="J89">
            <v>10.8</v>
          </cell>
        </row>
        <row r="90">
          <cell r="A90" t="str">
            <v>부소맥</v>
          </cell>
          <cell r="B90"/>
          <cell r="C90"/>
          <cell r="D90"/>
          <cell r="E90">
            <v>6200</v>
          </cell>
          <cell r="F90"/>
          <cell r="G90"/>
          <cell r="H90"/>
          <cell r="I90">
            <v>10.333333333333334</v>
          </cell>
          <cell r="J90">
            <v>10.3</v>
          </cell>
        </row>
        <row r="91">
          <cell r="A91" t="str">
            <v>부자</v>
          </cell>
          <cell r="B91"/>
          <cell r="C91"/>
          <cell r="D91">
            <v>11000</v>
          </cell>
          <cell r="E91">
            <v>11900</v>
          </cell>
          <cell r="F91">
            <v>0</v>
          </cell>
          <cell r="G91">
            <v>0</v>
          </cell>
          <cell r="H91">
            <v>18.333333333333332</v>
          </cell>
          <cell r="I91">
            <v>19.833333333333332</v>
          </cell>
          <cell r="J91">
            <v>18.3</v>
          </cell>
        </row>
        <row r="92">
          <cell r="A92" t="str">
            <v>빈랑</v>
          </cell>
          <cell r="B92"/>
          <cell r="C92">
            <v>4200</v>
          </cell>
          <cell r="D92">
            <v>7000</v>
          </cell>
          <cell r="E92">
            <v>5000</v>
          </cell>
          <cell r="F92">
            <v>0</v>
          </cell>
          <cell r="G92">
            <v>8.4</v>
          </cell>
          <cell r="H92">
            <v>11.666666666666666</v>
          </cell>
          <cell r="I92">
            <v>8.3333333333333339</v>
          </cell>
          <cell r="J92">
            <v>8.3000000000000007</v>
          </cell>
        </row>
        <row r="93">
          <cell r="A93" t="str">
            <v>사삼</v>
          </cell>
          <cell r="B93"/>
          <cell r="C93">
            <v>10500</v>
          </cell>
          <cell r="D93">
            <v>16500</v>
          </cell>
          <cell r="E93">
            <v>12600</v>
          </cell>
          <cell r="F93">
            <v>0</v>
          </cell>
          <cell r="G93">
            <v>21</v>
          </cell>
          <cell r="H93">
            <v>27.5</v>
          </cell>
          <cell r="I93">
            <v>21</v>
          </cell>
          <cell r="J93">
            <v>27.2</v>
          </cell>
        </row>
        <row r="94">
          <cell r="A94" t="str">
            <v>사인</v>
          </cell>
          <cell r="B94"/>
          <cell r="C94">
            <v>13200</v>
          </cell>
          <cell r="D94">
            <v>15000</v>
          </cell>
          <cell r="E94">
            <v>13100</v>
          </cell>
          <cell r="F94">
            <v>0</v>
          </cell>
          <cell r="G94">
            <v>26.4</v>
          </cell>
          <cell r="H94">
            <v>25</v>
          </cell>
          <cell r="I94">
            <v>21.833333333333332</v>
          </cell>
          <cell r="J94">
            <v>21.8</v>
          </cell>
        </row>
        <row r="95">
          <cell r="A95" t="str">
            <v>산사</v>
          </cell>
          <cell r="B95"/>
          <cell r="C95">
            <v>3500</v>
          </cell>
          <cell r="D95">
            <v>4500</v>
          </cell>
          <cell r="E95">
            <v>5000</v>
          </cell>
          <cell r="F95">
            <v>0</v>
          </cell>
          <cell r="G95">
            <v>7</v>
          </cell>
          <cell r="H95">
            <v>7.5</v>
          </cell>
          <cell r="I95">
            <v>8.3333333333333339</v>
          </cell>
          <cell r="J95">
            <v>7</v>
          </cell>
        </row>
        <row r="96">
          <cell r="A96" t="str">
            <v>산수유</v>
          </cell>
          <cell r="B96"/>
          <cell r="C96">
            <v>12500</v>
          </cell>
          <cell r="D96">
            <v>24000</v>
          </cell>
          <cell r="E96">
            <v>15600</v>
          </cell>
          <cell r="F96">
            <v>0</v>
          </cell>
          <cell r="G96">
            <v>25</v>
          </cell>
          <cell r="H96">
            <v>40</v>
          </cell>
          <cell r="I96">
            <v>26</v>
          </cell>
          <cell r="J96">
            <v>27.7</v>
          </cell>
        </row>
        <row r="97">
          <cell r="A97" t="str">
            <v>산약</v>
          </cell>
          <cell r="B97"/>
          <cell r="C97">
            <v>10400</v>
          </cell>
          <cell r="D97">
            <v>11000</v>
          </cell>
          <cell r="E97">
            <v>24600</v>
          </cell>
          <cell r="F97">
            <v>0</v>
          </cell>
          <cell r="G97">
            <v>20.8</v>
          </cell>
          <cell r="H97">
            <v>18.333333333333332</v>
          </cell>
          <cell r="I97">
            <v>41</v>
          </cell>
          <cell r="J97">
            <v>18.3</v>
          </cell>
        </row>
        <row r="98">
          <cell r="A98" t="str">
            <v>산조인</v>
          </cell>
          <cell r="B98"/>
          <cell r="C98">
            <v>125800</v>
          </cell>
          <cell r="D98"/>
          <cell r="E98">
            <v>169000</v>
          </cell>
          <cell r="F98">
            <v>0</v>
          </cell>
          <cell r="G98">
            <v>251.6</v>
          </cell>
          <cell r="H98">
            <v>0</v>
          </cell>
          <cell r="I98">
            <v>281.66666666666669</v>
          </cell>
        </row>
        <row r="99">
          <cell r="A99" t="str">
            <v>삼릉</v>
          </cell>
          <cell r="B99"/>
          <cell r="C99">
            <v>3800</v>
          </cell>
          <cell r="D99">
            <v>5500</v>
          </cell>
          <cell r="E99">
            <v>4900</v>
          </cell>
          <cell r="F99">
            <v>0</v>
          </cell>
          <cell r="G99">
            <v>7.6</v>
          </cell>
          <cell r="H99">
            <v>9.1666666666666661</v>
          </cell>
          <cell r="I99">
            <v>8.1666666666666661</v>
          </cell>
          <cell r="J99">
            <v>9.1999999999999993</v>
          </cell>
        </row>
        <row r="100">
          <cell r="A100" t="str">
            <v>상기생</v>
          </cell>
          <cell r="B100"/>
          <cell r="C100"/>
          <cell r="D100"/>
          <cell r="E100"/>
          <cell r="F100">
            <v>0</v>
          </cell>
          <cell r="G100">
            <v>0</v>
          </cell>
          <cell r="H100">
            <v>0</v>
          </cell>
          <cell r="I100">
            <v>0</v>
          </cell>
        </row>
        <row r="101">
          <cell r="A101" t="str">
            <v>상백피</v>
          </cell>
          <cell r="B101"/>
          <cell r="C101">
            <v>17500</v>
          </cell>
          <cell r="D101"/>
          <cell r="E101">
            <v>20100</v>
          </cell>
          <cell r="F101">
            <v>0</v>
          </cell>
          <cell r="G101">
            <v>35</v>
          </cell>
          <cell r="H101">
            <v>0</v>
          </cell>
          <cell r="I101">
            <v>33.5</v>
          </cell>
          <cell r="J101">
            <v>35</v>
          </cell>
        </row>
        <row r="102">
          <cell r="A102" t="str">
            <v>상표초</v>
          </cell>
          <cell r="B102"/>
          <cell r="C102"/>
          <cell r="D102"/>
          <cell r="E102"/>
          <cell r="F102">
            <v>0</v>
          </cell>
          <cell r="G102">
            <v>0</v>
          </cell>
          <cell r="H102">
            <v>0</v>
          </cell>
          <cell r="I102">
            <v>0</v>
          </cell>
        </row>
        <row r="103">
          <cell r="A103" t="str">
            <v>생강</v>
          </cell>
          <cell r="B103">
            <v>7500</v>
          </cell>
          <cell r="C103">
            <v>7000</v>
          </cell>
          <cell r="D103">
            <v>9000</v>
          </cell>
          <cell r="E103"/>
          <cell r="F103">
            <v>15</v>
          </cell>
          <cell r="G103">
            <v>14</v>
          </cell>
          <cell r="H103">
            <v>15</v>
          </cell>
          <cell r="I103">
            <v>0</v>
          </cell>
          <cell r="J103">
            <v>15</v>
          </cell>
        </row>
        <row r="104">
          <cell r="A104" t="str">
            <v>생지황</v>
          </cell>
          <cell r="B104">
            <v>10300</v>
          </cell>
          <cell r="C104">
            <v>7500</v>
          </cell>
          <cell r="D104">
            <v>9000</v>
          </cell>
          <cell r="E104"/>
          <cell r="F104">
            <v>20.6</v>
          </cell>
          <cell r="G104">
            <v>15</v>
          </cell>
          <cell r="H104">
            <v>15</v>
          </cell>
          <cell r="I104">
            <v>0</v>
          </cell>
          <cell r="J104">
            <v>17.399999999999999</v>
          </cell>
        </row>
        <row r="105">
          <cell r="A105" t="str">
            <v>석고</v>
          </cell>
          <cell r="B105"/>
          <cell r="C105">
            <v>5500</v>
          </cell>
          <cell r="D105">
            <v>5500</v>
          </cell>
          <cell r="E105">
            <v>4600</v>
          </cell>
          <cell r="F105">
            <v>0</v>
          </cell>
          <cell r="G105">
            <v>5.5</v>
          </cell>
          <cell r="H105">
            <v>5.5</v>
          </cell>
          <cell r="I105">
            <v>4.5999999999999996</v>
          </cell>
          <cell r="J105">
            <v>5.5</v>
          </cell>
        </row>
        <row r="106">
          <cell r="A106" t="str">
            <v>석곡</v>
          </cell>
          <cell r="B106"/>
          <cell r="C106"/>
          <cell r="D106"/>
          <cell r="E106"/>
          <cell r="F106">
            <v>0</v>
          </cell>
          <cell r="G106">
            <v>0</v>
          </cell>
          <cell r="H106">
            <v>0</v>
          </cell>
          <cell r="I106">
            <v>0</v>
          </cell>
        </row>
        <row r="107">
          <cell r="A107" t="str">
            <v>석창포</v>
          </cell>
          <cell r="B107">
            <v>22400</v>
          </cell>
          <cell r="C107">
            <v>15000</v>
          </cell>
          <cell r="D107"/>
          <cell r="E107">
            <v>19000</v>
          </cell>
          <cell r="F107">
            <v>44.8</v>
          </cell>
          <cell r="G107">
            <v>30</v>
          </cell>
          <cell r="H107">
            <v>0</v>
          </cell>
          <cell r="I107">
            <v>31.666666666666668</v>
          </cell>
          <cell r="J107">
            <v>31.5</v>
          </cell>
        </row>
        <row r="108">
          <cell r="A108" t="str">
            <v>선복화</v>
          </cell>
          <cell r="B108"/>
          <cell r="C108">
            <v>15000</v>
          </cell>
          <cell r="D108">
            <v>20000</v>
          </cell>
          <cell r="E108"/>
          <cell r="F108">
            <v>0</v>
          </cell>
          <cell r="G108">
            <v>30</v>
          </cell>
          <cell r="H108">
            <v>33.333333333333336</v>
          </cell>
          <cell r="I108">
            <v>0</v>
          </cell>
          <cell r="J108">
            <v>33.299999999999997</v>
          </cell>
        </row>
        <row r="109">
          <cell r="A109" t="str">
            <v>세신</v>
          </cell>
          <cell r="B109"/>
          <cell r="C109">
            <v>66000</v>
          </cell>
          <cell r="D109"/>
          <cell r="E109">
            <v>84500</v>
          </cell>
          <cell r="F109">
            <v>0</v>
          </cell>
          <cell r="G109">
            <v>132</v>
          </cell>
          <cell r="H109">
            <v>0</v>
          </cell>
          <cell r="I109">
            <v>140.83333333333334</v>
          </cell>
          <cell r="J109">
            <v>145.19999999999999</v>
          </cell>
        </row>
        <row r="110">
          <cell r="A110" t="str">
            <v>소목</v>
          </cell>
          <cell r="B110"/>
          <cell r="C110">
            <v>3100</v>
          </cell>
          <cell r="D110">
            <v>5000</v>
          </cell>
          <cell r="E110">
            <v>3700</v>
          </cell>
          <cell r="F110">
            <v>0</v>
          </cell>
          <cell r="G110">
            <v>6.2</v>
          </cell>
          <cell r="H110">
            <v>8.3333333333333339</v>
          </cell>
          <cell r="I110">
            <v>6.166666666666667</v>
          </cell>
          <cell r="J110">
            <v>6.2</v>
          </cell>
        </row>
        <row r="111">
          <cell r="A111" t="str">
            <v>소자</v>
          </cell>
          <cell r="B111"/>
          <cell r="C111">
            <v>5700</v>
          </cell>
          <cell r="D111">
            <v>7800</v>
          </cell>
          <cell r="E111">
            <v>4500</v>
          </cell>
          <cell r="F111">
            <v>0</v>
          </cell>
          <cell r="G111">
            <v>11.4</v>
          </cell>
          <cell r="H111">
            <v>13</v>
          </cell>
          <cell r="I111">
            <v>7.5</v>
          </cell>
          <cell r="J111">
            <v>7.5</v>
          </cell>
        </row>
        <row r="112">
          <cell r="A112" t="str">
            <v>소회향</v>
          </cell>
          <cell r="B112"/>
          <cell r="C112">
            <v>5800</v>
          </cell>
          <cell r="D112">
            <v>6000</v>
          </cell>
          <cell r="E112"/>
          <cell r="F112">
            <v>0</v>
          </cell>
          <cell r="G112">
            <v>11.6</v>
          </cell>
          <cell r="H112">
            <v>10</v>
          </cell>
          <cell r="I112">
            <v>0</v>
          </cell>
          <cell r="J112">
            <v>10</v>
          </cell>
        </row>
        <row r="113">
          <cell r="A113" t="str">
            <v>속단</v>
          </cell>
          <cell r="B113"/>
          <cell r="C113">
            <v>5700</v>
          </cell>
          <cell r="D113"/>
          <cell r="E113">
            <v>7000</v>
          </cell>
          <cell r="F113">
            <v>0</v>
          </cell>
          <cell r="G113">
            <v>11.4</v>
          </cell>
          <cell r="H113">
            <v>0</v>
          </cell>
          <cell r="I113">
            <v>11.666666666666666</v>
          </cell>
          <cell r="J113">
            <v>11.7</v>
          </cell>
        </row>
        <row r="114">
          <cell r="A114" t="str">
            <v>숙지황</v>
          </cell>
          <cell r="B114"/>
          <cell r="C114">
            <v>20000</v>
          </cell>
          <cell r="D114">
            <v>20000</v>
          </cell>
          <cell r="E114">
            <v>20000</v>
          </cell>
          <cell r="F114">
            <v>0</v>
          </cell>
          <cell r="G114">
            <v>20</v>
          </cell>
          <cell r="H114">
            <v>20</v>
          </cell>
          <cell r="I114">
            <v>20</v>
          </cell>
          <cell r="J114">
            <v>20</v>
          </cell>
        </row>
        <row r="115">
          <cell r="A115" t="str">
            <v>승마</v>
          </cell>
          <cell r="B115"/>
          <cell r="C115">
            <v>15500</v>
          </cell>
          <cell r="D115"/>
          <cell r="E115">
            <v>19200</v>
          </cell>
          <cell r="F115">
            <v>0</v>
          </cell>
          <cell r="G115">
            <v>31</v>
          </cell>
          <cell r="H115">
            <v>0</v>
          </cell>
          <cell r="I115">
            <v>32</v>
          </cell>
          <cell r="J115">
            <v>31</v>
          </cell>
        </row>
        <row r="116">
          <cell r="A116" t="str">
            <v>시호1</v>
          </cell>
          <cell r="B116"/>
          <cell r="C116"/>
          <cell r="D116"/>
          <cell r="E116">
            <v>43600</v>
          </cell>
          <cell r="F116">
            <v>0</v>
          </cell>
          <cell r="G116">
            <v>0</v>
          </cell>
          <cell r="H116">
            <v>0</v>
          </cell>
          <cell r="I116">
            <v>72.666666666666671</v>
          </cell>
          <cell r="J116">
            <v>72.7</v>
          </cell>
        </row>
        <row r="117">
          <cell r="A117" t="str">
            <v>시호2</v>
          </cell>
          <cell r="B117">
            <v>29900</v>
          </cell>
          <cell r="C117">
            <v>7800</v>
          </cell>
          <cell r="D117">
            <v>10000</v>
          </cell>
          <cell r="E117">
            <v>8700</v>
          </cell>
          <cell r="F117">
            <v>59.8</v>
          </cell>
          <cell r="G117">
            <v>15.6</v>
          </cell>
          <cell r="H117">
            <v>16.666666666666668</v>
          </cell>
          <cell r="I117">
            <v>14.5</v>
          </cell>
          <cell r="J117">
            <v>15.3</v>
          </cell>
        </row>
        <row r="118">
          <cell r="A118" t="str">
            <v>신곡</v>
          </cell>
          <cell r="B118"/>
          <cell r="C118">
            <v>8500</v>
          </cell>
          <cell r="D118">
            <v>8000</v>
          </cell>
          <cell r="E118">
            <v>8500</v>
          </cell>
          <cell r="F118">
            <v>0</v>
          </cell>
          <cell r="G118">
            <v>8.5</v>
          </cell>
          <cell r="H118">
            <v>8</v>
          </cell>
          <cell r="I118">
            <v>8.5</v>
          </cell>
          <cell r="J118">
            <v>8</v>
          </cell>
        </row>
        <row r="119">
          <cell r="A119" t="str">
            <v>신이화</v>
          </cell>
          <cell r="B119"/>
          <cell r="C119">
            <v>18000</v>
          </cell>
          <cell r="D119">
            <v>15000</v>
          </cell>
          <cell r="E119">
            <v>24100</v>
          </cell>
          <cell r="F119">
            <v>0</v>
          </cell>
          <cell r="G119">
            <v>36</v>
          </cell>
          <cell r="H119">
            <v>25</v>
          </cell>
          <cell r="I119">
            <v>40.166666666666664</v>
          </cell>
          <cell r="J119">
            <v>36</v>
          </cell>
        </row>
        <row r="120">
          <cell r="A120" t="str">
            <v>아교</v>
          </cell>
          <cell r="B120"/>
          <cell r="C120">
            <v>8000</v>
          </cell>
          <cell r="D120"/>
          <cell r="E120">
            <v>8000</v>
          </cell>
          <cell r="F120">
            <v>0</v>
          </cell>
          <cell r="G120">
            <v>26.666666666666668</v>
          </cell>
          <cell r="H120">
            <v>0</v>
          </cell>
          <cell r="I120">
            <v>26.666666666666668</v>
          </cell>
          <cell r="J120">
            <v>26.7</v>
          </cell>
        </row>
        <row r="121">
          <cell r="A121" t="str">
            <v>애엽</v>
          </cell>
          <cell r="B121"/>
          <cell r="C121"/>
          <cell r="D121"/>
          <cell r="E121"/>
          <cell r="F121"/>
          <cell r="G121"/>
          <cell r="H121"/>
          <cell r="I121"/>
          <cell r="J121"/>
        </row>
        <row r="122">
          <cell r="A122" t="str">
            <v>여정자</v>
          </cell>
          <cell r="B122"/>
          <cell r="C122">
            <v>2600</v>
          </cell>
          <cell r="D122">
            <v>4000</v>
          </cell>
          <cell r="E122"/>
          <cell r="F122">
            <v>0</v>
          </cell>
          <cell r="G122">
            <v>5.2</v>
          </cell>
          <cell r="H122">
            <v>6.666666666666667</v>
          </cell>
          <cell r="I122">
            <v>0</v>
          </cell>
          <cell r="J122">
            <v>6.7</v>
          </cell>
        </row>
        <row r="123">
          <cell r="A123" t="str">
            <v>연교</v>
          </cell>
          <cell r="B123"/>
          <cell r="C123">
            <v>13500</v>
          </cell>
          <cell r="D123">
            <v>38000</v>
          </cell>
          <cell r="E123">
            <v>23500</v>
          </cell>
          <cell r="F123">
            <v>0</v>
          </cell>
          <cell r="G123">
            <v>27</v>
          </cell>
          <cell r="H123">
            <v>63.333333333333336</v>
          </cell>
          <cell r="I123">
            <v>39.166666666666664</v>
          </cell>
          <cell r="J123">
            <v>28</v>
          </cell>
        </row>
        <row r="124">
          <cell r="A124" t="str">
            <v>연육</v>
          </cell>
          <cell r="B124"/>
          <cell r="C124">
            <v>3700</v>
          </cell>
          <cell r="D124">
            <v>5500</v>
          </cell>
          <cell r="E124"/>
          <cell r="F124">
            <v>0</v>
          </cell>
          <cell r="G124">
            <v>7.4</v>
          </cell>
          <cell r="H124">
            <v>9.1666666666666661</v>
          </cell>
          <cell r="I124">
            <v>0</v>
          </cell>
          <cell r="J124">
            <v>9.1999999999999993</v>
          </cell>
        </row>
        <row r="125">
          <cell r="A125" t="str">
            <v>오가피</v>
          </cell>
          <cell r="B125"/>
          <cell r="C125">
            <v>8200</v>
          </cell>
          <cell r="D125">
            <v>12000</v>
          </cell>
          <cell r="E125">
            <v>9900</v>
          </cell>
          <cell r="F125">
            <v>0</v>
          </cell>
          <cell r="G125">
            <v>16.399999999999999</v>
          </cell>
          <cell r="H125">
            <v>20</v>
          </cell>
          <cell r="I125">
            <v>16.5</v>
          </cell>
          <cell r="J125">
            <v>16.5</v>
          </cell>
        </row>
        <row r="126">
          <cell r="A126" t="str">
            <v>오령지</v>
          </cell>
          <cell r="B126"/>
          <cell r="C126"/>
          <cell r="D126"/>
          <cell r="E126"/>
          <cell r="F126">
            <v>0</v>
          </cell>
          <cell r="G126">
            <v>0</v>
          </cell>
          <cell r="H126">
            <v>0</v>
          </cell>
          <cell r="I126">
            <v>0</v>
          </cell>
        </row>
        <row r="127">
          <cell r="A127" t="str">
            <v>오매</v>
          </cell>
          <cell r="B127"/>
          <cell r="C127">
            <v>7200</v>
          </cell>
          <cell r="D127">
            <v>7000</v>
          </cell>
          <cell r="E127">
            <v>6400</v>
          </cell>
          <cell r="F127">
            <v>0</v>
          </cell>
          <cell r="G127">
            <v>14.4</v>
          </cell>
          <cell r="H127">
            <v>11.666666666666666</v>
          </cell>
          <cell r="I127">
            <v>10.666666666666666</v>
          </cell>
          <cell r="J127">
            <v>11.7</v>
          </cell>
        </row>
        <row r="128">
          <cell r="A128" t="str">
            <v>오미자</v>
          </cell>
          <cell r="B128">
            <v>17900</v>
          </cell>
          <cell r="C128">
            <v>11000</v>
          </cell>
          <cell r="D128">
            <v>16000</v>
          </cell>
          <cell r="E128">
            <v>14100</v>
          </cell>
          <cell r="F128">
            <v>35.799999999999997</v>
          </cell>
          <cell r="G128">
            <v>22</v>
          </cell>
          <cell r="H128">
            <v>26.666666666666668</v>
          </cell>
          <cell r="I128">
            <v>23.5</v>
          </cell>
          <cell r="J128">
            <v>23.5</v>
          </cell>
        </row>
        <row r="129">
          <cell r="A129" t="str">
            <v>오배자</v>
          </cell>
          <cell r="B129"/>
          <cell r="C129"/>
          <cell r="D129"/>
          <cell r="E129"/>
          <cell r="F129">
            <v>0</v>
          </cell>
          <cell r="G129">
            <v>0</v>
          </cell>
          <cell r="H129">
            <v>0</v>
          </cell>
          <cell r="I129">
            <v>0</v>
          </cell>
        </row>
        <row r="130">
          <cell r="A130" t="str">
            <v>오수유</v>
          </cell>
          <cell r="B130"/>
          <cell r="C130">
            <v>8400</v>
          </cell>
          <cell r="D130"/>
          <cell r="E130"/>
          <cell r="F130">
            <v>0</v>
          </cell>
          <cell r="G130">
            <v>16.8</v>
          </cell>
          <cell r="H130">
            <v>0</v>
          </cell>
          <cell r="I130">
            <v>0</v>
          </cell>
          <cell r="J130">
            <v>16.8</v>
          </cell>
        </row>
        <row r="131">
          <cell r="A131" t="str">
            <v>오약</v>
          </cell>
          <cell r="B131"/>
          <cell r="C131">
            <v>4600</v>
          </cell>
          <cell r="D131">
            <v>7000</v>
          </cell>
          <cell r="E131">
            <v>5500</v>
          </cell>
          <cell r="F131">
            <v>0</v>
          </cell>
          <cell r="G131">
            <v>9.1999999999999993</v>
          </cell>
          <cell r="H131">
            <v>11.666666666666666</v>
          </cell>
          <cell r="I131">
            <v>9.1666666666666661</v>
          </cell>
          <cell r="J131">
            <v>9.1999999999999993</v>
          </cell>
        </row>
        <row r="132">
          <cell r="A132" t="str">
            <v>용골</v>
          </cell>
          <cell r="B132"/>
          <cell r="C132">
            <v>14000</v>
          </cell>
          <cell r="D132">
            <v>15000</v>
          </cell>
          <cell r="E132">
            <v>14000</v>
          </cell>
          <cell r="F132">
            <v>0</v>
          </cell>
          <cell r="G132">
            <v>14</v>
          </cell>
          <cell r="H132">
            <v>15</v>
          </cell>
          <cell r="I132">
            <v>14</v>
          </cell>
          <cell r="J132">
            <v>14</v>
          </cell>
        </row>
        <row r="133">
          <cell r="A133" t="str">
            <v>용담초</v>
          </cell>
          <cell r="B133"/>
          <cell r="C133">
            <v>27500</v>
          </cell>
          <cell r="D133">
            <v>26000</v>
          </cell>
          <cell r="E133"/>
          <cell r="F133">
            <v>0</v>
          </cell>
          <cell r="G133">
            <v>55</v>
          </cell>
          <cell r="H133">
            <v>43.333333333333336</v>
          </cell>
          <cell r="I133">
            <v>0</v>
          </cell>
          <cell r="J133">
            <v>55</v>
          </cell>
        </row>
        <row r="134">
          <cell r="A134" t="str">
            <v>우방자</v>
          </cell>
          <cell r="B134"/>
          <cell r="C134">
            <v>7300</v>
          </cell>
          <cell r="D134">
            <v>8500</v>
          </cell>
          <cell r="E134">
            <v>6100</v>
          </cell>
          <cell r="F134">
            <v>0</v>
          </cell>
          <cell r="G134">
            <v>14.6</v>
          </cell>
          <cell r="H134">
            <v>14.166666666666666</v>
          </cell>
          <cell r="I134">
            <v>10.166666666666666</v>
          </cell>
          <cell r="J134">
            <v>10.199999999999999</v>
          </cell>
        </row>
        <row r="135">
          <cell r="A135" t="str">
            <v>우슬</v>
          </cell>
          <cell r="B135"/>
          <cell r="C135">
            <v>5700</v>
          </cell>
          <cell r="D135">
            <v>9500</v>
          </cell>
          <cell r="E135">
            <v>6900</v>
          </cell>
          <cell r="F135">
            <v>0</v>
          </cell>
          <cell r="G135">
            <v>11.4</v>
          </cell>
          <cell r="H135">
            <v>15.833333333333334</v>
          </cell>
          <cell r="I135">
            <v>11.5</v>
          </cell>
          <cell r="J135">
            <v>17.7</v>
          </cell>
        </row>
        <row r="136">
          <cell r="A136" t="str">
            <v>원육</v>
          </cell>
          <cell r="B136"/>
          <cell r="C136">
            <v>12800</v>
          </cell>
          <cell r="D136">
            <v>13500</v>
          </cell>
          <cell r="E136">
            <v>12300</v>
          </cell>
          <cell r="F136">
            <v>0</v>
          </cell>
          <cell r="G136">
            <v>21.333333333333332</v>
          </cell>
          <cell r="H136">
            <v>22.5</v>
          </cell>
          <cell r="I136">
            <v>20.5</v>
          </cell>
          <cell r="J136">
            <v>20.5</v>
          </cell>
        </row>
        <row r="137">
          <cell r="A137" t="str">
            <v>원지</v>
          </cell>
          <cell r="B137"/>
          <cell r="C137">
            <v>46800</v>
          </cell>
          <cell r="D137"/>
          <cell r="E137">
            <v>55900</v>
          </cell>
          <cell r="F137">
            <v>0</v>
          </cell>
          <cell r="G137">
            <v>93.6</v>
          </cell>
          <cell r="H137">
            <v>0</v>
          </cell>
          <cell r="I137">
            <v>93.166666666666671</v>
          </cell>
          <cell r="J137">
            <v>68</v>
          </cell>
        </row>
        <row r="138">
          <cell r="A138" t="str">
            <v>위령선</v>
          </cell>
          <cell r="B138"/>
          <cell r="C138">
            <v>14500</v>
          </cell>
          <cell r="D138">
            <v>19000</v>
          </cell>
          <cell r="E138">
            <v>17700</v>
          </cell>
          <cell r="F138">
            <v>0</v>
          </cell>
          <cell r="G138">
            <v>29</v>
          </cell>
          <cell r="H138">
            <v>31.666666666666668</v>
          </cell>
          <cell r="I138">
            <v>29.5</v>
          </cell>
          <cell r="J138">
            <v>29</v>
          </cell>
        </row>
        <row r="139">
          <cell r="A139" t="str">
            <v>유백피</v>
          </cell>
          <cell r="B139"/>
          <cell r="C139"/>
          <cell r="D139"/>
          <cell r="E139"/>
          <cell r="F139"/>
          <cell r="G139"/>
          <cell r="H139"/>
          <cell r="I139"/>
        </row>
        <row r="140">
          <cell r="A140" t="str">
            <v>유향</v>
          </cell>
          <cell r="B140"/>
          <cell r="C140"/>
          <cell r="D140"/>
          <cell r="E140">
            <v>8800</v>
          </cell>
          <cell r="F140">
            <v>0</v>
          </cell>
          <cell r="G140">
            <v>0</v>
          </cell>
          <cell r="H140">
            <v>0</v>
          </cell>
          <cell r="I140">
            <v>14.666666666666666</v>
          </cell>
          <cell r="J140">
            <v>14.7</v>
          </cell>
        </row>
        <row r="141">
          <cell r="A141" t="str">
            <v>육계</v>
          </cell>
          <cell r="B141">
            <v>14800</v>
          </cell>
          <cell r="C141"/>
          <cell r="D141"/>
          <cell r="E141">
            <v>8600</v>
          </cell>
          <cell r="F141">
            <v>29.6</v>
          </cell>
          <cell r="G141">
            <v>0</v>
          </cell>
          <cell r="H141">
            <v>0</v>
          </cell>
          <cell r="I141">
            <v>14.333333333333334</v>
          </cell>
          <cell r="J141">
            <v>14.8</v>
          </cell>
        </row>
        <row r="142">
          <cell r="A142" t="str">
            <v>육두구</v>
          </cell>
          <cell r="B142"/>
          <cell r="C142">
            <v>13800</v>
          </cell>
          <cell r="D142">
            <v>17500</v>
          </cell>
          <cell r="E142"/>
          <cell r="F142">
            <v>0</v>
          </cell>
          <cell r="G142">
            <v>27.6</v>
          </cell>
          <cell r="H142">
            <v>29.166666666666668</v>
          </cell>
          <cell r="I142">
            <v>0</v>
          </cell>
          <cell r="J142">
            <v>29.2</v>
          </cell>
        </row>
        <row r="143">
          <cell r="A143" t="str">
            <v>육종용</v>
          </cell>
          <cell r="B143"/>
          <cell r="C143">
            <v>13200</v>
          </cell>
          <cell r="D143">
            <v>14000</v>
          </cell>
          <cell r="E143">
            <v>13000</v>
          </cell>
          <cell r="F143">
            <v>0</v>
          </cell>
          <cell r="G143">
            <v>22</v>
          </cell>
          <cell r="H143">
            <v>23.333333333333332</v>
          </cell>
          <cell r="I143">
            <v>26</v>
          </cell>
          <cell r="J143">
            <v>22</v>
          </cell>
        </row>
        <row r="144">
          <cell r="A144" t="str">
            <v>음양곽</v>
          </cell>
          <cell r="B144"/>
          <cell r="C144">
            <v>11900</v>
          </cell>
          <cell r="D144"/>
          <cell r="E144"/>
          <cell r="F144">
            <v>0</v>
          </cell>
          <cell r="G144">
            <v>23.8</v>
          </cell>
          <cell r="H144">
            <v>0</v>
          </cell>
          <cell r="I144">
            <v>0</v>
          </cell>
          <cell r="J144">
            <v>23.8</v>
          </cell>
        </row>
        <row r="145">
          <cell r="A145" t="str">
            <v>의이인</v>
          </cell>
          <cell r="B145"/>
          <cell r="C145">
            <v>7900</v>
          </cell>
          <cell r="D145">
            <v>10000</v>
          </cell>
          <cell r="E145">
            <v>7900</v>
          </cell>
          <cell r="F145">
            <v>0</v>
          </cell>
          <cell r="G145">
            <v>15.8</v>
          </cell>
          <cell r="H145">
            <v>16.666666666666668</v>
          </cell>
          <cell r="I145">
            <v>13.166666666666666</v>
          </cell>
          <cell r="J145">
            <v>15.8</v>
          </cell>
        </row>
        <row r="146">
          <cell r="A146" t="str">
            <v>익모초</v>
          </cell>
          <cell r="B146"/>
          <cell r="C146">
            <v>5800</v>
          </cell>
          <cell r="D146">
            <v>7500</v>
          </cell>
          <cell r="E146"/>
          <cell r="F146">
            <v>0</v>
          </cell>
          <cell r="G146">
            <v>11.6</v>
          </cell>
          <cell r="H146">
            <v>12.5</v>
          </cell>
          <cell r="I146">
            <v>0</v>
          </cell>
        </row>
        <row r="147">
          <cell r="A147" t="str">
            <v>익지인</v>
          </cell>
          <cell r="B147"/>
          <cell r="C147">
            <v>11600</v>
          </cell>
          <cell r="D147">
            <v>10500</v>
          </cell>
          <cell r="E147">
            <v>13700</v>
          </cell>
          <cell r="F147">
            <v>0</v>
          </cell>
          <cell r="G147">
            <v>23.2</v>
          </cell>
          <cell r="H147">
            <v>17.5</v>
          </cell>
          <cell r="I147">
            <v>22.833333333333332</v>
          </cell>
          <cell r="J147">
            <v>22.8</v>
          </cell>
        </row>
        <row r="148">
          <cell r="A148" t="str">
            <v>인삼</v>
          </cell>
          <cell r="B148"/>
          <cell r="C148">
            <v>60000</v>
          </cell>
          <cell r="D148">
            <v>30000</v>
          </cell>
          <cell r="E148">
            <v>67500</v>
          </cell>
          <cell r="F148">
            <v>0</v>
          </cell>
          <cell r="G148">
            <v>100</v>
          </cell>
          <cell r="H148">
            <v>100</v>
          </cell>
          <cell r="I148">
            <v>112.5</v>
          </cell>
          <cell r="J148">
            <v>108.3</v>
          </cell>
        </row>
        <row r="149">
          <cell r="A149" t="str">
            <v>인진</v>
          </cell>
          <cell r="B149"/>
          <cell r="C149">
            <v>6000</v>
          </cell>
          <cell r="D149">
            <v>7500</v>
          </cell>
          <cell r="E149">
            <v>7200</v>
          </cell>
          <cell r="F149">
            <v>0</v>
          </cell>
          <cell r="G149">
            <v>12</v>
          </cell>
          <cell r="H149">
            <v>12.5</v>
          </cell>
          <cell r="I149">
            <v>12</v>
          </cell>
          <cell r="J149">
            <v>12</v>
          </cell>
        </row>
        <row r="150">
          <cell r="A150" t="str">
            <v>자소엽</v>
          </cell>
          <cell r="B150"/>
          <cell r="C150">
            <v>7500</v>
          </cell>
          <cell r="D150">
            <v>8500</v>
          </cell>
          <cell r="E150">
            <v>7200</v>
          </cell>
          <cell r="F150">
            <v>0</v>
          </cell>
          <cell r="G150">
            <v>15</v>
          </cell>
          <cell r="H150">
            <v>14.166666666666666</v>
          </cell>
          <cell r="I150">
            <v>12</v>
          </cell>
          <cell r="J150">
            <v>12</v>
          </cell>
        </row>
        <row r="151">
          <cell r="A151" t="str">
            <v>자완</v>
          </cell>
          <cell r="B151"/>
          <cell r="C151">
            <v>29000</v>
          </cell>
          <cell r="D151">
            <v>23000</v>
          </cell>
          <cell r="E151">
            <v>20700</v>
          </cell>
          <cell r="F151">
            <v>0</v>
          </cell>
          <cell r="G151">
            <v>48.333333333333336</v>
          </cell>
          <cell r="H151">
            <v>38.333333333333336</v>
          </cell>
          <cell r="I151">
            <v>34.5</v>
          </cell>
          <cell r="J151">
            <v>38</v>
          </cell>
        </row>
        <row r="152">
          <cell r="A152" t="str">
            <v>자충</v>
          </cell>
          <cell r="B152"/>
          <cell r="C152"/>
          <cell r="D152"/>
          <cell r="E152">
            <v>31200</v>
          </cell>
          <cell r="F152">
            <v>0</v>
          </cell>
          <cell r="G152">
            <v>0</v>
          </cell>
          <cell r="H152">
            <v>0</v>
          </cell>
          <cell r="I152">
            <v>52</v>
          </cell>
          <cell r="J152">
            <v>52</v>
          </cell>
        </row>
        <row r="153">
          <cell r="A153" t="str">
            <v>저령</v>
          </cell>
          <cell r="B153"/>
          <cell r="C153">
            <v>22500</v>
          </cell>
          <cell r="D153">
            <v>28000</v>
          </cell>
          <cell r="E153">
            <v>26900</v>
          </cell>
          <cell r="F153">
            <v>0</v>
          </cell>
          <cell r="G153">
            <v>45</v>
          </cell>
          <cell r="H153">
            <v>46.666666666666664</v>
          </cell>
          <cell r="I153">
            <v>44.833333333333336</v>
          </cell>
          <cell r="J153">
            <v>46.7</v>
          </cell>
        </row>
        <row r="154">
          <cell r="A154" t="str">
            <v>적복령</v>
          </cell>
          <cell r="B154"/>
          <cell r="C154"/>
          <cell r="D154">
            <v>9000</v>
          </cell>
          <cell r="E154"/>
          <cell r="F154">
            <v>0</v>
          </cell>
          <cell r="G154">
            <v>0</v>
          </cell>
          <cell r="H154">
            <v>15</v>
          </cell>
          <cell r="I154">
            <v>0</v>
          </cell>
          <cell r="J154">
            <v>15</v>
          </cell>
        </row>
        <row r="155">
          <cell r="A155" t="str">
            <v>적하수오</v>
          </cell>
          <cell r="B155"/>
          <cell r="C155">
            <v>20000</v>
          </cell>
          <cell r="D155">
            <v>20000</v>
          </cell>
          <cell r="E155"/>
          <cell r="F155">
            <v>0</v>
          </cell>
          <cell r="G155">
            <v>20</v>
          </cell>
          <cell r="H155">
            <v>20</v>
          </cell>
          <cell r="I155">
            <v>0</v>
          </cell>
          <cell r="J155">
            <v>20</v>
          </cell>
        </row>
        <row r="156">
          <cell r="A156" t="str">
            <v>전호</v>
          </cell>
          <cell r="B156"/>
          <cell r="C156">
            <v>11500</v>
          </cell>
          <cell r="D156">
            <v>16000</v>
          </cell>
          <cell r="E156">
            <v>16500</v>
          </cell>
          <cell r="F156">
            <v>0</v>
          </cell>
          <cell r="G156">
            <v>23</v>
          </cell>
          <cell r="H156">
            <v>26.666666666666668</v>
          </cell>
          <cell r="I156">
            <v>27.5</v>
          </cell>
          <cell r="J156">
            <v>23</v>
          </cell>
        </row>
        <row r="157">
          <cell r="A157" t="str">
            <v>정향</v>
          </cell>
          <cell r="B157"/>
          <cell r="C157"/>
          <cell r="D157"/>
          <cell r="E157"/>
          <cell r="F157">
            <v>0</v>
          </cell>
          <cell r="G157">
            <v>0</v>
          </cell>
          <cell r="H157">
            <v>0</v>
          </cell>
          <cell r="I157">
            <v>0</v>
          </cell>
        </row>
        <row r="158">
          <cell r="A158" t="str">
            <v>조협</v>
          </cell>
          <cell r="B158"/>
          <cell r="C158"/>
          <cell r="D158"/>
          <cell r="E158">
            <v>7800</v>
          </cell>
          <cell r="F158">
            <v>0</v>
          </cell>
          <cell r="G158">
            <v>0</v>
          </cell>
          <cell r="H158">
            <v>0</v>
          </cell>
          <cell r="I158">
            <v>13</v>
          </cell>
          <cell r="J158">
            <v>13</v>
          </cell>
        </row>
        <row r="159">
          <cell r="A159" t="str">
            <v>조구등</v>
          </cell>
          <cell r="B159"/>
          <cell r="C159">
            <v>8600</v>
          </cell>
          <cell r="D159">
            <v>11000</v>
          </cell>
          <cell r="E159"/>
          <cell r="F159">
            <v>0</v>
          </cell>
          <cell r="G159">
            <v>17.2</v>
          </cell>
          <cell r="H159">
            <v>18.333333333333332</v>
          </cell>
          <cell r="I159">
            <v>0</v>
          </cell>
          <cell r="J159">
            <v>18.3</v>
          </cell>
        </row>
        <row r="160">
          <cell r="A160" t="str">
            <v>죽여1</v>
          </cell>
          <cell r="B160"/>
          <cell r="C160">
            <v>8000</v>
          </cell>
          <cell r="D160"/>
          <cell r="E160">
            <v>10200</v>
          </cell>
          <cell r="F160">
            <v>0</v>
          </cell>
          <cell r="G160">
            <v>16</v>
          </cell>
          <cell r="H160">
            <v>0</v>
          </cell>
          <cell r="I160">
            <v>17</v>
          </cell>
          <cell r="J160">
            <v>15.4</v>
          </cell>
        </row>
        <row r="161">
          <cell r="A161" t="str">
            <v>죽여2</v>
          </cell>
          <cell r="B161"/>
          <cell r="C161">
            <v>3500</v>
          </cell>
          <cell r="D161">
            <v>4500</v>
          </cell>
          <cell r="E161"/>
          <cell r="F161">
            <v>0</v>
          </cell>
          <cell r="G161">
            <v>5.833333333333333</v>
          </cell>
          <cell r="H161">
            <v>7.5</v>
          </cell>
          <cell r="I161">
            <v>0</v>
          </cell>
        </row>
        <row r="162">
          <cell r="A162" t="str">
            <v>죽엽</v>
          </cell>
          <cell r="B162"/>
          <cell r="C162">
            <v>4500</v>
          </cell>
          <cell r="D162"/>
          <cell r="E162"/>
          <cell r="F162">
            <v>0</v>
          </cell>
          <cell r="G162">
            <v>7.5</v>
          </cell>
          <cell r="H162">
            <v>0</v>
          </cell>
          <cell r="I162">
            <v>0</v>
          </cell>
          <cell r="J162">
            <v>7.5</v>
          </cell>
        </row>
        <row r="163">
          <cell r="A163" t="str">
            <v>지각</v>
          </cell>
          <cell r="B163"/>
          <cell r="C163">
            <v>4800</v>
          </cell>
          <cell r="D163">
            <v>7000</v>
          </cell>
          <cell r="E163">
            <v>6000</v>
          </cell>
          <cell r="F163">
            <v>0</v>
          </cell>
          <cell r="G163">
            <v>9.6</v>
          </cell>
          <cell r="H163">
            <v>11.666666666666666</v>
          </cell>
          <cell r="I163">
            <v>10</v>
          </cell>
          <cell r="J163">
            <v>10</v>
          </cell>
        </row>
        <row r="164">
          <cell r="A164" t="str">
            <v>지골피</v>
          </cell>
          <cell r="B164"/>
          <cell r="C164">
            <v>10600</v>
          </cell>
          <cell r="D164">
            <v>14000</v>
          </cell>
          <cell r="E164">
            <v>14200</v>
          </cell>
          <cell r="F164">
            <v>0</v>
          </cell>
          <cell r="G164">
            <v>21.2</v>
          </cell>
          <cell r="H164">
            <v>23.333333333333332</v>
          </cell>
          <cell r="I164">
            <v>23.666666666666668</v>
          </cell>
          <cell r="J164">
            <v>21.7</v>
          </cell>
        </row>
        <row r="165">
          <cell r="A165" t="str">
            <v>지모</v>
          </cell>
          <cell r="B165"/>
          <cell r="C165">
            <v>7800</v>
          </cell>
          <cell r="D165">
            <v>11000</v>
          </cell>
          <cell r="E165">
            <v>9600</v>
          </cell>
          <cell r="F165">
            <v>0</v>
          </cell>
          <cell r="G165">
            <v>15.6</v>
          </cell>
          <cell r="H165">
            <v>18.333333333333332</v>
          </cell>
          <cell r="I165">
            <v>16</v>
          </cell>
          <cell r="J165">
            <v>16.7</v>
          </cell>
        </row>
        <row r="166">
          <cell r="A166" t="str">
            <v>지부자</v>
          </cell>
          <cell r="B166"/>
          <cell r="C166"/>
          <cell r="D166"/>
          <cell r="E166">
            <v>5600</v>
          </cell>
          <cell r="F166">
            <v>0</v>
          </cell>
          <cell r="G166">
            <v>0</v>
          </cell>
          <cell r="H166">
            <v>0</v>
          </cell>
          <cell r="I166">
            <v>9.3333333333333339</v>
          </cell>
          <cell r="J166">
            <v>9.3000000000000007</v>
          </cell>
        </row>
        <row r="167">
          <cell r="A167" t="str">
            <v>지실</v>
          </cell>
          <cell r="B167"/>
          <cell r="C167">
            <v>10000</v>
          </cell>
          <cell r="D167"/>
          <cell r="E167">
            <v>10000</v>
          </cell>
          <cell r="F167">
            <v>0</v>
          </cell>
          <cell r="G167">
            <v>20</v>
          </cell>
          <cell r="H167">
            <v>0</v>
          </cell>
          <cell r="I167">
            <v>16.666666666666668</v>
          </cell>
          <cell r="J167">
            <v>16.7</v>
          </cell>
        </row>
        <row r="168">
          <cell r="A168" t="str">
            <v>지유</v>
          </cell>
          <cell r="B168"/>
          <cell r="C168"/>
          <cell r="D168"/>
          <cell r="E168"/>
          <cell r="F168">
            <v>0</v>
          </cell>
          <cell r="G168">
            <v>0</v>
          </cell>
          <cell r="H168">
            <v>0</v>
          </cell>
          <cell r="I168">
            <v>0</v>
          </cell>
        </row>
        <row r="169">
          <cell r="A169" t="str">
            <v>진교</v>
          </cell>
          <cell r="B169"/>
          <cell r="C169">
            <v>9500</v>
          </cell>
          <cell r="D169">
            <v>14000</v>
          </cell>
          <cell r="E169"/>
          <cell r="F169">
            <v>0</v>
          </cell>
          <cell r="G169">
            <v>19</v>
          </cell>
          <cell r="H169">
            <v>23.333333333333332</v>
          </cell>
          <cell r="I169">
            <v>0</v>
          </cell>
          <cell r="J169">
            <v>23.3</v>
          </cell>
        </row>
        <row r="170">
          <cell r="A170" t="str">
            <v>진피1</v>
          </cell>
          <cell r="B170">
            <v>8800</v>
          </cell>
          <cell r="C170">
            <v>5100</v>
          </cell>
          <cell r="D170">
            <v>5800</v>
          </cell>
          <cell r="E170">
            <v>7000</v>
          </cell>
          <cell r="F170">
            <v>17.600000000000001</v>
          </cell>
          <cell r="G170">
            <v>10.199999999999999</v>
          </cell>
          <cell r="H170">
            <v>9.6666666666666661</v>
          </cell>
          <cell r="I170">
            <v>11.666666666666666</v>
          </cell>
          <cell r="J170">
            <v>17.600000000000001</v>
          </cell>
        </row>
        <row r="171">
          <cell r="A171" t="str">
            <v>진피2</v>
          </cell>
          <cell r="B171">
            <v>22500</v>
          </cell>
          <cell r="C171"/>
          <cell r="D171"/>
          <cell r="E171"/>
          <cell r="F171">
            <v>45</v>
          </cell>
          <cell r="G171">
            <v>0</v>
          </cell>
          <cell r="H171">
            <v>0</v>
          </cell>
          <cell r="I171">
            <v>0</v>
          </cell>
          <cell r="J171">
            <v>45</v>
          </cell>
        </row>
        <row r="172">
          <cell r="A172" t="str">
            <v>진피3</v>
          </cell>
          <cell r="B172"/>
          <cell r="C172"/>
          <cell r="D172"/>
          <cell r="E172"/>
          <cell r="F172">
            <v>0</v>
          </cell>
          <cell r="G172">
            <v>0</v>
          </cell>
          <cell r="H172">
            <v>0</v>
          </cell>
          <cell r="I172">
            <v>0</v>
          </cell>
          <cell r="J172"/>
        </row>
        <row r="173">
          <cell r="A173" t="str">
            <v>차전자</v>
          </cell>
          <cell r="B173"/>
          <cell r="C173">
            <v>5300</v>
          </cell>
          <cell r="D173">
            <v>14000</v>
          </cell>
          <cell r="E173"/>
          <cell r="F173">
            <v>0</v>
          </cell>
          <cell r="G173">
            <v>10.6</v>
          </cell>
          <cell r="H173">
            <v>23.333333333333332</v>
          </cell>
          <cell r="I173">
            <v>0</v>
          </cell>
          <cell r="J173">
            <v>23.3</v>
          </cell>
        </row>
        <row r="174">
          <cell r="A174" t="str">
            <v>창이자</v>
          </cell>
          <cell r="B174"/>
          <cell r="C174"/>
          <cell r="D174"/>
          <cell r="E174"/>
          <cell r="F174">
            <v>0</v>
          </cell>
          <cell r="G174">
            <v>0</v>
          </cell>
          <cell r="H174">
            <v>0</v>
          </cell>
          <cell r="I174">
            <v>0</v>
          </cell>
        </row>
        <row r="175">
          <cell r="A175" t="str">
            <v>창출1</v>
          </cell>
          <cell r="B175"/>
          <cell r="C175">
            <v>11000</v>
          </cell>
          <cell r="D175"/>
          <cell r="E175">
            <v>15000</v>
          </cell>
          <cell r="F175">
            <v>0</v>
          </cell>
          <cell r="G175">
            <v>22</v>
          </cell>
          <cell r="H175">
            <v>0</v>
          </cell>
          <cell r="I175">
            <v>25</v>
          </cell>
          <cell r="J175">
            <v>25</v>
          </cell>
        </row>
        <row r="176">
          <cell r="A176" t="str">
            <v>창출2</v>
          </cell>
          <cell r="B176">
            <v>31900</v>
          </cell>
          <cell r="C176"/>
          <cell r="D176">
            <v>17000</v>
          </cell>
          <cell r="E176">
            <v>25800</v>
          </cell>
          <cell r="F176">
            <v>63.8</v>
          </cell>
          <cell r="G176">
            <v>0</v>
          </cell>
          <cell r="H176">
            <v>28.333333333333332</v>
          </cell>
          <cell r="I176">
            <v>43</v>
          </cell>
          <cell r="J176">
            <v>43</v>
          </cell>
        </row>
        <row r="177">
          <cell r="A177" t="str">
            <v>천궁1</v>
          </cell>
          <cell r="B177"/>
          <cell r="C177">
            <v>5200</v>
          </cell>
          <cell r="D177">
            <v>14000</v>
          </cell>
          <cell r="E177">
            <v>6500</v>
          </cell>
          <cell r="F177">
            <v>0</v>
          </cell>
          <cell r="G177">
            <v>10.4</v>
          </cell>
          <cell r="H177">
            <v>23.333333333333332</v>
          </cell>
          <cell r="I177">
            <v>10.833333333333334</v>
          </cell>
          <cell r="J177">
            <v>10.8</v>
          </cell>
        </row>
        <row r="178">
          <cell r="A178" t="str">
            <v>천궁2</v>
          </cell>
          <cell r="B178"/>
          <cell r="C178"/>
          <cell r="D178"/>
          <cell r="E178">
            <v>12500</v>
          </cell>
          <cell r="F178">
            <v>0</v>
          </cell>
          <cell r="G178">
            <v>0</v>
          </cell>
          <cell r="H178">
            <v>0</v>
          </cell>
          <cell r="I178">
            <v>20.833333333333332</v>
          </cell>
          <cell r="J178">
            <v>20.8</v>
          </cell>
        </row>
        <row r="179">
          <cell r="A179" t="str">
            <v>천련자</v>
          </cell>
          <cell r="B179"/>
          <cell r="C179">
            <v>5800</v>
          </cell>
          <cell r="D179"/>
          <cell r="E179"/>
          <cell r="F179">
            <v>0</v>
          </cell>
          <cell r="G179">
            <v>11.6</v>
          </cell>
          <cell r="H179">
            <v>0</v>
          </cell>
          <cell r="I179">
            <v>0</v>
          </cell>
          <cell r="J179">
            <v>11.6</v>
          </cell>
        </row>
        <row r="180">
          <cell r="A180" t="str">
            <v>천마</v>
          </cell>
          <cell r="B180"/>
          <cell r="C180">
            <v>21900</v>
          </cell>
          <cell r="D180">
            <v>24000</v>
          </cell>
          <cell r="E180">
            <v>24300</v>
          </cell>
          <cell r="F180">
            <v>0</v>
          </cell>
          <cell r="G180">
            <v>43.8</v>
          </cell>
          <cell r="H180">
            <v>40</v>
          </cell>
          <cell r="I180">
            <v>40.5</v>
          </cell>
          <cell r="J180">
            <v>40</v>
          </cell>
        </row>
        <row r="181">
          <cell r="A181" t="str">
            <v>천문동</v>
          </cell>
          <cell r="B181"/>
          <cell r="C181">
            <v>13800</v>
          </cell>
          <cell r="D181"/>
          <cell r="E181">
            <v>17900</v>
          </cell>
          <cell r="F181">
            <v>0</v>
          </cell>
          <cell r="G181">
            <v>27.6</v>
          </cell>
          <cell r="H181">
            <v>0</v>
          </cell>
          <cell r="I181">
            <v>29.833333333333332</v>
          </cell>
          <cell r="J181">
            <v>29.8</v>
          </cell>
        </row>
        <row r="182">
          <cell r="A182" t="str">
            <v>천오</v>
          </cell>
          <cell r="B182"/>
          <cell r="C182">
            <v>11000</v>
          </cell>
          <cell r="D182"/>
          <cell r="E182">
            <v>11000</v>
          </cell>
          <cell r="F182">
            <v>0</v>
          </cell>
          <cell r="G182">
            <v>22</v>
          </cell>
          <cell r="H182">
            <v>0</v>
          </cell>
          <cell r="I182">
            <v>22</v>
          </cell>
          <cell r="J182">
            <v>22</v>
          </cell>
        </row>
        <row r="183">
          <cell r="A183" t="str">
            <v>천초(촉초)</v>
          </cell>
          <cell r="B183"/>
          <cell r="C183"/>
          <cell r="D183"/>
          <cell r="E183"/>
          <cell r="F183"/>
          <cell r="G183"/>
          <cell r="H183"/>
          <cell r="I183"/>
        </row>
        <row r="184">
          <cell r="A184" t="str">
            <v>천화분</v>
          </cell>
          <cell r="B184"/>
          <cell r="C184">
            <v>11300</v>
          </cell>
          <cell r="D184"/>
          <cell r="E184">
            <v>14200</v>
          </cell>
          <cell r="F184">
            <v>0</v>
          </cell>
          <cell r="G184">
            <v>22.6</v>
          </cell>
          <cell r="H184">
            <v>0</v>
          </cell>
          <cell r="I184">
            <v>23.666666666666668</v>
          </cell>
          <cell r="J184">
            <v>22.6</v>
          </cell>
        </row>
        <row r="185">
          <cell r="A185" t="str">
            <v>청상자</v>
          </cell>
          <cell r="B185"/>
          <cell r="C185"/>
          <cell r="D185">
            <v>8500</v>
          </cell>
          <cell r="E185"/>
          <cell r="F185">
            <v>0</v>
          </cell>
          <cell r="G185">
            <v>0</v>
          </cell>
          <cell r="H185">
            <v>14.166666666666666</v>
          </cell>
          <cell r="I185">
            <v>0</v>
          </cell>
          <cell r="J185">
            <v>14.2</v>
          </cell>
        </row>
        <row r="186">
          <cell r="A186" t="str">
            <v>청피</v>
          </cell>
          <cell r="B186"/>
          <cell r="C186">
            <v>3300</v>
          </cell>
          <cell r="D186">
            <v>5800</v>
          </cell>
          <cell r="E186">
            <v>4400</v>
          </cell>
          <cell r="F186">
            <v>0</v>
          </cell>
          <cell r="G186">
            <v>6.6</v>
          </cell>
          <cell r="H186">
            <v>9.6666666666666661</v>
          </cell>
          <cell r="I186">
            <v>7.333333333333333</v>
          </cell>
          <cell r="J186">
            <v>7.3</v>
          </cell>
        </row>
        <row r="187">
          <cell r="A187" t="str">
            <v>초결</v>
          </cell>
          <cell r="B187"/>
          <cell r="C187"/>
          <cell r="D187"/>
          <cell r="E187"/>
          <cell r="F187">
            <v>0</v>
          </cell>
          <cell r="G187">
            <v>0</v>
          </cell>
          <cell r="H187">
            <v>0</v>
          </cell>
          <cell r="I187">
            <v>0</v>
          </cell>
        </row>
        <row r="188">
          <cell r="A188" t="str">
            <v>초과</v>
          </cell>
          <cell r="B188"/>
          <cell r="C188"/>
          <cell r="D188"/>
          <cell r="E188"/>
          <cell r="F188">
            <v>0</v>
          </cell>
          <cell r="G188">
            <v>0</v>
          </cell>
          <cell r="H188">
            <v>0</v>
          </cell>
          <cell r="I188">
            <v>0</v>
          </cell>
        </row>
        <row r="189">
          <cell r="A189" t="str">
            <v>초두구</v>
          </cell>
          <cell r="B189"/>
          <cell r="C189">
            <v>5800</v>
          </cell>
          <cell r="D189">
            <v>7000</v>
          </cell>
          <cell r="E189"/>
          <cell r="F189">
            <v>0</v>
          </cell>
          <cell r="G189">
            <v>11.6</v>
          </cell>
          <cell r="H189">
            <v>11.666666666666666</v>
          </cell>
          <cell r="I189">
            <v>0</v>
          </cell>
          <cell r="J189">
            <v>11.7</v>
          </cell>
        </row>
        <row r="190">
          <cell r="A190" t="str">
            <v>측백엽</v>
          </cell>
          <cell r="B190"/>
          <cell r="C190"/>
          <cell r="D190"/>
          <cell r="E190"/>
          <cell r="F190">
            <v>0</v>
          </cell>
          <cell r="G190">
            <v>0</v>
          </cell>
          <cell r="H190">
            <v>0</v>
          </cell>
          <cell r="I190">
            <v>0</v>
          </cell>
        </row>
        <row r="191">
          <cell r="A191" t="str">
            <v>치자</v>
          </cell>
          <cell r="B191">
            <v>10800</v>
          </cell>
          <cell r="C191">
            <v>9500</v>
          </cell>
          <cell r="D191">
            <v>7500</v>
          </cell>
          <cell r="E191">
            <v>12700</v>
          </cell>
          <cell r="F191">
            <v>21.6</v>
          </cell>
          <cell r="G191">
            <v>19</v>
          </cell>
          <cell r="H191">
            <v>12.5</v>
          </cell>
          <cell r="I191">
            <v>21.166666666666668</v>
          </cell>
          <cell r="J191">
            <v>26</v>
          </cell>
        </row>
        <row r="192">
          <cell r="A192" t="str">
            <v>택사1</v>
          </cell>
          <cell r="B192"/>
          <cell r="C192">
            <v>13200</v>
          </cell>
          <cell r="D192">
            <v>15000</v>
          </cell>
          <cell r="E192">
            <v>16300</v>
          </cell>
          <cell r="F192">
            <v>0</v>
          </cell>
          <cell r="G192">
            <v>26.4</v>
          </cell>
          <cell r="H192">
            <v>25</v>
          </cell>
          <cell r="I192">
            <v>27.166666666666668</v>
          </cell>
          <cell r="J192">
            <v>23.7</v>
          </cell>
        </row>
        <row r="193">
          <cell r="A193" t="str">
            <v>택사2</v>
          </cell>
          <cell r="B193"/>
          <cell r="C193">
            <v>5500</v>
          </cell>
          <cell r="D193"/>
          <cell r="E193"/>
          <cell r="F193"/>
          <cell r="G193">
            <v>11</v>
          </cell>
          <cell r="H193"/>
          <cell r="I193"/>
          <cell r="J193">
            <v>11</v>
          </cell>
        </row>
        <row r="194">
          <cell r="A194" t="str">
            <v>토사자</v>
          </cell>
          <cell r="B194"/>
          <cell r="C194">
            <v>10000</v>
          </cell>
          <cell r="D194">
            <v>10000</v>
          </cell>
          <cell r="E194">
            <v>10300</v>
          </cell>
          <cell r="F194">
            <v>0</v>
          </cell>
          <cell r="G194">
            <v>16.666666666666668</v>
          </cell>
          <cell r="H194">
            <v>16.666666666666668</v>
          </cell>
          <cell r="I194">
            <v>17.166666666666668</v>
          </cell>
          <cell r="J194">
            <v>17.2</v>
          </cell>
        </row>
        <row r="195">
          <cell r="A195" t="str">
            <v>파고지</v>
          </cell>
          <cell r="B195"/>
          <cell r="C195">
            <v>4700</v>
          </cell>
          <cell r="D195">
            <v>5500</v>
          </cell>
          <cell r="E195">
            <v>4700</v>
          </cell>
          <cell r="F195">
            <v>0</v>
          </cell>
          <cell r="G195">
            <v>7.833333333333333</v>
          </cell>
          <cell r="H195">
            <v>9.1666666666666661</v>
          </cell>
          <cell r="I195">
            <v>7.833333333333333</v>
          </cell>
          <cell r="J195">
            <v>9.1999999999999993</v>
          </cell>
        </row>
        <row r="196">
          <cell r="A196" t="str">
            <v>파극천</v>
          </cell>
          <cell r="B196"/>
          <cell r="C196">
            <v>21000</v>
          </cell>
          <cell r="D196">
            <v>25500</v>
          </cell>
          <cell r="E196">
            <v>25400</v>
          </cell>
          <cell r="F196">
            <v>0</v>
          </cell>
          <cell r="G196">
            <v>35</v>
          </cell>
          <cell r="H196">
            <v>42.5</v>
          </cell>
          <cell r="I196">
            <v>42.333333333333336</v>
          </cell>
          <cell r="J196">
            <v>35</v>
          </cell>
        </row>
        <row r="197">
          <cell r="A197" t="str">
            <v>패모</v>
          </cell>
          <cell r="B197"/>
          <cell r="C197">
            <v>19000</v>
          </cell>
          <cell r="D197">
            <v>19200</v>
          </cell>
          <cell r="E197">
            <v>19200</v>
          </cell>
          <cell r="F197">
            <v>0</v>
          </cell>
          <cell r="G197">
            <v>38</v>
          </cell>
          <cell r="H197">
            <v>32</v>
          </cell>
          <cell r="I197">
            <v>32</v>
          </cell>
          <cell r="J197">
            <v>32</v>
          </cell>
        </row>
        <row r="198">
          <cell r="A198" t="str">
            <v>편축</v>
          </cell>
          <cell r="B198"/>
          <cell r="C198"/>
          <cell r="D198"/>
          <cell r="E198"/>
          <cell r="F198">
            <v>0</v>
          </cell>
          <cell r="G198">
            <v>0</v>
          </cell>
          <cell r="H198">
            <v>0</v>
          </cell>
          <cell r="I198">
            <v>0</v>
          </cell>
        </row>
        <row r="199">
          <cell r="A199" t="str">
            <v>포공영</v>
          </cell>
          <cell r="B199"/>
          <cell r="C199">
            <v>5200</v>
          </cell>
          <cell r="D199"/>
          <cell r="E199">
            <v>5600</v>
          </cell>
          <cell r="F199">
            <v>0</v>
          </cell>
          <cell r="G199">
            <v>8.6666666666666661</v>
          </cell>
          <cell r="H199">
            <v>0</v>
          </cell>
          <cell r="I199">
            <v>9.3333333333333339</v>
          </cell>
          <cell r="J199">
            <v>8.6999999999999993</v>
          </cell>
        </row>
        <row r="200">
          <cell r="A200" t="str">
            <v>해동피</v>
          </cell>
          <cell r="B200"/>
          <cell r="C200">
            <v>4000</v>
          </cell>
          <cell r="D200">
            <v>5500</v>
          </cell>
          <cell r="E200">
            <v>5100</v>
          </cell>
          <cell r="F200">
            <v>0</v>
          </cell>
          <cell r="G200">
            <v>8</v>
          </cell>
          <cell r="H200">
            <v>9.1666666666666661</v>
          </cell>
          <cell r="I200">
            <v>8.5</v>
          </cell>
          <cell r="J200">
            <v>8</v>
          </cell>
        </row>
        <row r="201">
          <cell r="A201" t="str">
            <v>행인</v>
          </cell>
          <cell r="B201"/>
          <cell r="C201">
            <v>5900</v>
          </cell>
          <cell r="D201">
            <v>6500</v>
          </cell>
          <cell r="E201">
            <v>6900</v>
          </cell>
          <cell r="F201">
            <v>0</v>
          </cell>
          <cell r="G201">
            <v>11.8</v>
          </cell>
          <cell r="H201">
            <v>10.833333333333334</v>
          </cell>
          <cell r="I201">
            <v>11.5</v>
          </cell>
          <cell r="J201">
            <v>12</v>
          </cell>
        </row>
        <row r="202">
          <cell r="A202" t="str">
            <v>향부자</v>
          </cell>
          <cell r="B202"/>
          <cell r="C202">
            <v>7200</v>
          </cell>
          <cell r="D202">
            <v>9500</v>
          </cell>
          <cell r="E202">
            <v>8600</v>
          </cell>
          <cell r="F202">
            <v>0</v>
          </cell>
          <cell r="G202">
            <v>14.4</v>
          </cell>
          <cell r="H202">
            <v>15.833333333333334</v>
          </cell>
          <cell r="I202">
            <v>14.333333333333334</v>
          </cell>
          <cell r="J202">
            <v>14.7</v>
          </cell>
        </row>
        <row r="203">
          <cell r="A203" t="str">
            <v>향시</v>
          </cell>
          <cell r="B203"/>
          <cell r="C203"/>
          <cell r="D203"/>
          <cell r="E203">
            <v>39000</v>
          </cell>
          <cell r="F203">
            <v>0</v>
          </cell>
          <cell r="G203">
            <v>0</v>
          </cell>
          <cell r="H203">
            <v>0</v>
          </cell>
          <cell r="I203">
            <v>39</v>
          </cell>
          <cell r="J203">
            <v>39</v>
          </cell>
        </row>
        <row r="204">
          <cell r="A204" t="str">
            <v>현삼</v>
          </cell>
          <cell r="B204"/>
          <cell r="C204">
            <v>12000</v>
          </cell>
          <cell r="D204">
            <v>6000</v>
          </cell>
          <cell r="E204">
            <v>15300</v>
          </cell>
          <cell r="F204">
            <v>0</v>
          </cell>
          <cell r="G204">
            <v>24</v>
          </cell>
          <cell r="H204">
            <v>10</v>
          </cell>
          <cell r="I204">
            <v>25.5</v>
          </cell>
          <cell r="J204">
            <v>24</v>
          </cell>
        </row>
        <row r="205">
          <cell r="A205" t="str">
            <v>현호색</v>
          </cell>
          <cell r="B205"/>
          <cell r="C205">
            <v>14500</v>
          </cell>
          <cell r="D205">
            <v>37000</v>
          </cell>
          <cell r="E205">
            <v>35800</v>
          </cell>
          <cell r="F205">
            <v>0</v>
          </cell>
          <cell r="G205">
            <v>24.166666666666668</v>
          </cell>
          <cell r="H205">
            <v>61.666666666666664</v>
          </cell>
          <cell r="I205">
            <v>59.666666666666664</v>
          </cell>
          <cell r="J205">
            <v>59.7</v>
          </cell>
        </row>
        <row r="206">
          <cell r="A206" t="str">
            <v>형개</v>
          </cell>
          <cell r="B206"/>
          <cell r="C206">
            <v>8800</v>
          </cell>
          <cell r="D206"/>
          <cell r="E206">
            <v>10500</v>
          </cell>
          <cell r="F206">
            <v>0</v>
          </cell>
          <cell r="G206">
            <v>17.600000000000001</v>
          </cell>
          <cell r="H206">
            <v>0</v>
          </cell>
          <cell r="I206">
            <v>17.5</v>
          </cell>
          <cell r="J206">
            <v>17.600000000000001</v>
          </cell>
        </row>
        <row r="207">
          <cell r="A207" t="str">
            <v>홍화</v>
          </cell>
          <cell r="B207"/>
          <cell r="C207">
            <v>19500</v>
          </cell>
          <cell r="D207">
            <v>30000</v>
          </cell>
          <cell r="E207">
            <v>26000</v>
          </cell>
          <cell r="F207">
            <v>0</v>
          </cell>
          <cell r="G207">
            <v>39</v>
          </cell>
          <cell r="H207">
            <v>50</v>
          </cell>
          <cell r="I207">
            <v>43.333333333333336</v>
          </cell>
          <cell r="J207">
            <v>44.2</v>
          </cell>
        </row>
        <row r="208">
          <cell r="A208" t="str">
            <v>활석</v>
          </cell>
          <cell r="B208"/>
          <cell r="C208"/>
          <cell r="D208">
            <v>8500</v>
          </cell>
          <cell r="E208"/>
          <cell r="F208">
            <v>0</v>
          </cell>
          <cell r="G208">
            <v>0</v>
          </cell>
          <cell r="H208">
            <v>8.5</v>
          </cell>
          <cell r="I208">
            <v>0</v>
          </cell>
          <cell r="J208">
            <v>8.5</v>
          </cell>
        </row>
        <row r="209">
          <cell r="A209" t="str">
            <v>황금</v>
          </cell>
          <cell r="B209"/>
          <cell r="C209">
            <v>9000</v>
          </cell>
          <cell r="D209">
            <v>9000</v>
          </cell>
          <cell r="E209">
            <v>13500</v>
          </cell>
          <cell r="F209">
            <v>0</v>
          </cell>
          <cell r="G209">
            <v>18</v>
          </cell>
          <cell r="H209">
            <v>15</v>
          </cell>
          <cell r="I209">
            <v>22.5</v>
          </cell>
          <cell r="J209">
            <v>22.5</v>
          </cell>
        </row>
        <row r="210">
          <cell r="A210" t="str">
            <v>황기</v>
          </cell>
          <cell r="B210"/>
          <cell r="C210">
            <v>11000</v>
          </cell>
          <cell r="D210">
            <v>24000</v>
          </cell>
          <cell r="E210">
            <v>13400</v>
          </cell>
          <cell r="F210">
            <v>0</v>
          </cell>
          <cell r="G210">
            <v>22</v>
          </cell>
          <cell r="H210">
            <v>40</v>
          </cell>
          <cell r="I210">
            <v>22.333333333333332</v>
          </cell>
          <cell r="J210">
            <v>22</v>
          </cell>
        </row>
        <row r="211">
          <cell r="A211" t="str">
            <v>황련</v>
          </cell>
          <cell r="B211"/>
          <cell r="C211">
            <v>68400</v>
          </cell>
          <cell r="D211">
            <v>85000</v>
          </cell>
          <cell r="E211">
            <v>84800</v>
          </cell>
          <cell r="F211">
            <v>0</v>
          </cell>
          <cell r="G211">
            <v>136.80000000000001</v>
          </cell>
          <cell r="H211">
            <v>141.66666666666666</v>
          </cell>
          <cell r="I211">
            <v>141.33333333333334</v>
          </cell>
          <cell r="J211">
            <v>136.80000000000001</v>
          </cell>
        </row>
        <row r="212">
          <cell r="A212" t="str">
            <v>황백</v>
          </cell>
          <cell r="B212"/>
          <cell r="C212">
            <v>12800</v>
          </cell>
          <cell r="D212">
            <v>9500</v>
          </cell>
          <cell r="E212">
            <v>16600</v>
          </cell>
          <cell r="F212">
            <v>0</v>
          </cell>
          <cell r="G212">
            <v>25.6</v>
          </cell>
          <cell r="H212">
            <v>15.833333333333334</v>
          </cell>
          <cell r="I212">
            <v>27.666666666666668</v>
          </cell>
          <cell r="J212">
            <v>27.7</v>
          </cell>
        </row>
        <row r="213">
          <cell r="A213" t="str">
            <v>황정</v>
          </cell>
          <cell r="B213"/>
          <cell r="C213"/>
          <cell r="D213">
            <v>9500</v>
          </cell>
          <cell r="E213"/>
          <cell r="F213">
            <v>0</v>
          </cell>
          <cell r="G213">
            <v>0</v>
          </cell>
          <cell r="H213">
            <v>15.833333333333334</v>
          </cell>
          <cell r="I213">
            <v>0</v>
          </cell>
        </row>
        <row r="214">
          <cell r="A214" t="str">
            <v>후박</v>
          </cell>
          <cell r="B214"/>
          <cell r="C214">
            <v>4500</v>
          </cell>
          <cell r="D214">
            <v>4500</v>
          </cell>
          <cell r="E214">
            <v>5400</v>
          </cell>
          <cell r="F214">
            <v>0</v>
          </cell>
          <cell r="G214">
            <v>9</v>
          </cell>
          <cell r="H214">
            <v>7.5</v>
          </cell>
          <cell r="I214">
            <v>9</v>
          </cell>
          <cell r="J214">
            <v>9</v>
          </cell>
        </row>
        <row r="215">
          <cell r="A215"/>
          <cell r="B215"/>
          <cell r="C215"/>
          <cell r="D215"/>
          <cell r="E215"/>
          <cell r="F215"/>
          <cell r="G215"/>
          <cell r="H215"/>
          <cell r="I215"/>
          <cell r="J215"/>
        </row>
        <row r="216">
          <cell r="A216"/>
          <cell r="B216"/>
          <cell r="C216"/>
          <cell r="D216"/>
          <cell r="E216"/>
          <cell r="F216"/>
          <cell r="G216"/>
          <cell r="H216"/>
          <cell r="I216"/>
          <cell r="J216"/>
        </row>
        <row r="217">
          <cell r="A217"/>
          <cell r="B217"/>
          <cell r="C217"/>
          <cell r="D217"/>
          <cell r="E217"/>
          <cell r="F217"/>
          <cell r="G217"/>
          <cell r="H217"/>
          <cell r="I217"/>
          <cell r="J217"/>
        </row>
        <row r="218">
          <cell r="A218"/>
          <cell r="B218"/>
          <cell r="C218"/>
          <cell r="D218"/>
          <cell r="E218"/>
          <cell r="F218"/>
          <cell r="G218"/>
          <cell r="H218"/>
          <cell r="I218"/>
          <cell r="J218"/>
        </row>
        <row r="219">
          <cell r="A219"/>
          <cell r="B219"/>
          <cell r="C219"/>
          <cell r="D219"/>
          <cell r="E219"/>
          <cell r="F219"/>
          <cell r="G219"/>
          <cell r="H219"/>
          <cell r="I219"/>
          <cell r="J219"/>
        </row>
        <row r="220">
          <cell r="A220"/>
          <cell r="B220"/>
          <cell r="C220"/>
          <cell r="D220"/>
          <cell r="E220"/>
          <cell r="F220"/>
          <cell r="G220"/>
          <cell r="H220"/>
          <cell r="I220"/>
          <cell r="J220"/>
        </row>
        <row r="221">
          <cell r="A221"/>
          <cell r="B221"/>
          <cell r="C221"/>
          <cell r="D221"/>
          <cell r="E221"/>
          <cell r="F221"/>
          <cell r="G221"/>
          <cell r="H221"/>
          <cell r="I221"/>
          <cell r="J221"/>
        </row>
        <row r="222">
          <cell r="A222"/>
          <cell r="B222"/>
          <cell r="C222"/>
          <cell r="D222"/>
          <cell r="E222"/>
          <cell r="F222"/>
          <cell r="G222"/>
          <cell r="H222"/>
          <cell r="I222"/>
          <cell r="J222"/>
        </row>
        <row r="223">
          <cell r="A223"/>
          <cell r="B223"/>
          <cell r="C223"/>
          <cell r="D223"/>
          <cell r="E223"/>
          <cell r="F223"/>
          <cell r="G223"/>
          <cell r="H223"/>
          <cell r="I223"/>
          <cell r="J223"/>
        </row>
        <row r="224">
          <cell r="A224"/>
          <cell r="B224"/>
          <cell r="C224"/>
          <cell r="D224"/>
          <cell r="E224"/>
          <cell r="F224"/>
          <cell r="G224"/>
          <cell r="H224"/>
          <cell r="I224"/>
          <cell r="J224"/>
        </row>
        <row r="225">
          <cell r="A225"/>
          <cell r="B225"/>
          <cell r="C225"/>
          <cell r="D225"/>
          <cell r="E225"/>
          <cell r="F225"/>
          <cell r="G225"/>
          <cell r="H225"/>
          <cell r="I225"/>
          <cell r="J225"/>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J2379"/>
        </row>
      </sheetData>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13861492-292D-4486-B32C-C91789CDB44A}">
    <text>국산</text>
  </threadedComment>
  <threadedComment ref="A7" dT="2024-09-12T16:16:48.00" personId="{0277103A-E300-412D-B5C0-A5092221214E}" id="{D01F6201-45E8-4B18-BDA5-50E66F46F067}">
    <text>남강활</text>
  </threadedComment>
  <threadedComment ref="A8" dT="2024-09-12T16:17:02.12" personId="{0277103A-E300-412D-B5C0-A5092221214E}" id="{4B5FBC8B-8EAD-4408-BD24-99E4559DF526}">
    <text>북강활</text>
  </threadedComment>
  <threadedComment ref="N8" dT="2024-09-12T05:51:52.29" personId="{00000000-0000-0000-0000-000000000000}" id="{F4609F76-DC04-4B2B-9E4B-2AD6A86AC19B}">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9A7F5CD2-D3AB-447C-9BD4-54D958C1F7F7}">
    <text>배초향(국산)</text>
  </threadedComment>
  <threadedComment ref="A23" dT="2024-09-12T16:17:54.11" personId="{0277103A-E300-412D-B5C0-A5092221214E}" id="{AAC610BF-6958-47A6-A0EA-D199DCD680AF}">
    <text>광곽향</text>
  </threadedComment>
  <threadedComment ref="A39" dT="2024-09-12T16:15:45.21" personId="{0277103A-E300-412D-B5C0-A5092221214E}" id="{B98644DB-D7C8-43C1-A7DD-F1F0B1ED8DAE}">
    <text>일당귀</text>
  </threadedComment>
  <threadedComment ref="A40" dT="2024-09-12T16:15:56.22" personId="{0277103A-E300-412D-B5C0-A5092221214E}" id="{4794ADE8-5FD6-42AB-BF7C-2FEA3E41D2DD}">
    <text>토당귀, 참당귀</text>
  </threadedComment>
  <threadedComment ref="N45" dT="2024-09-12T05:13:07.78" personId="{00000000-0000-0000-0000-000000000000}" id="{275F0E31-C1C5-4A2A-A60C-694F1C7A5DA8}">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50" dT="2024-09-12T04:33:01.16" personId="{00000000-0000-0000-0000-000000000000}" id="{936AAE8F-57AA-40B1-ACAE-60C06C3D0DE6}">
    <text>100g</text>
  </threadedComment>
  <threadedComment ref="G54" dT="2024-09-12T04:33:28.57" personId="{00000000-0000-0000-0000-000000000000}" id="{8332F764-5497-4A50-BE37-ADBDC3B9098D}">
    <text>600g</text>
  </threadedComment>
  <threadedComment ref="N55" dT="2024-09-13T04:58:21.35" personId="{0277103A-E300-412D-B5C0-A5092221214E}" id="{79675EC1-AC5D-40E2-8E45-1578D6E6663B}">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6" dT="2024-09-12T04:33:49.78" personId="{00000000-0000-0000-0000-000000000000}" id="{AD32C394-F30E-45C7-8DDA-C2DBE5319E84}">
    <text>1kg 신흥</text>
  </threadedComment>
  <threadedComment ref="A65" dT="2024-09-12T16:18:16.70" personId="{0277103A-E300-412D-B5C0-A5092221214E}" id="{65EF55DC-6CB9-452B-9A5F-ED96716E0292}">
    <text>분방기</text>
  </threadedComment>
  <threadedComment ref="N65" dT="2024-09-12T07:47:29.54" personId="{00000000-0000-0000-0000-000000000000}" id="{C0A9769C-0852-4B2A-907A-F759A5AD4B83}">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6" dT="2024-09-12T16:18:26.42" personId="{0277103A-E300-412D-B5C0-A5092221214E}" id="{25A9F59B-A9BA-4807-ABC1-1CB8DA541075}">
    <text>청풍등</text>
  </threadedComment>
  <threadedComment ref="A67" dT="2024-09-12T16:18:36.31" personId="{0277103A-E300-412D-B5C0-A5092221214E}" id="{7CBC1818-9210-4DAC-8B09-6B9259B6A834}">
    <text>목방기</text>
  </threadedComment>
  <threadedComment ref="A68" dT="2024-09-12T16:18:51.22" personId="{0277103A-E300-412D-B5C0-A5092221214E}" id="{1219DECA-6C9B-4269-AEF0-51ACF50286EA}">
    <text>관방풍</text>
  </threadedComment>
  <threadedComment ref="N68" dT="2024-09-12T06:53:13.26" personId="{00000000-0000-0000-0000-000000000000}" id="{CC070CED-FC49-4988-8096-6357813295B7}">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9" dT="2024-09-12T16:19:02.57" personId="{0277103A-E300-412D-B5C0-A5092221214E}" id="{6D3C6741-2389-4BC1-BE28-7BC6F064F3E5}">
    <text>식방풍/해방풍</text>
  </threadedComment>
  <threadedComment ref="I78" dT="2024-09-12T04:32:48.49" personId="{00000000-0000-0000-0000-000000000000}" id="{A57CDB58-4950-4D90-8D59-BB6E5046DC11}">
    <text>의성, 유피</text>
  </threadedComment>
  <threadedComment ref="N78" dT="2024-09-12T07:43:39.33" personId="{00000000-0000-0000-0000-000000000000}" id="{F55450CE-B4B8-42F5-A173-B8CB6577119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81" dT="2024-09-12T16:19:19.41" personId="{0277103A-E300-412D-B5C0-A5092221214E}" id="{BC48522C-223D-4F28-8761-708D6C1EE9C6}">
    <text>기원백출</text>
  </threadedComment>
  <threadedComment ref="N83" dT="2024-09-12T06:51:12.26" personId="{00000000-0000-0000-0000-000000000000}" id="{E27D81BC-3F4D-40B5-85C9-C3E122126713}">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4" dT="2024-09-12T06:51:12.26" personId="{00000000-0000-0000-0000-000000000000}" id="{941E5A56-BC21-4011-BF16-F76CC654D21A}">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8" dT="2024-09-12T04:54:22.50" personId="{00000000-0000-0000-0000-000000000000}" id="{27AC1FB6-39C4-4745-BD97-E75D2C994819}">
    <text>휴먼허브, 초, 원산조인, 중국</text>
  </threadedComment>
  <threadedComment ref="A116" dT="2024-09-12T16:19:48.44" personId="{0277103A-E300-412D-B5C0-A5092221214E}" id="{910898F7-989C-429F-A3A6-B7D8EF31EEA0}">
    <text>북시호</text>
  </threadedComment>
  <threadedComment ref="N116" dT="2024-09-12T07:49:51.15" personId="{00000000-0000-0000-0000-000000000000}" id="{F98C2744-2228-4AA8-AEC0-F3FF8FEFC88E}">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7" dT="2024-09-12T16:19:33.49" personId="{0277103A-E300-412D-B5C0-A5092221214E}" id="{BD98DEC3-EC5F-4762-AD14-24442B111BC7}">
    <text>야생시호</text>
  </threadedComment>
  <threadedComment ref="N117" dT="2024-09-12T07:59:25.73" personId="{00000000-0000-0000-0000-000000000000}" id="{0F4A6B42-0626-43AE-8D00-1382E14B13E0}">
    <text>사이코사포닌0.3%이상</text>
  </threadedComment>
  <threadedComment ref="N131" dT="2024-09-12T07:33:39.37" personId="{00000000-0000-0000-0000-000000000000}" id="{1FA3C459-FEB0-40D7-98B6-88E1FFE94C60}">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5" dT="2024-09-12T07:17:51.94" personId="{00000000-0000-0000-0000-000000000000}" id="{73C7D91B-FB28-4A30-83A3-99D2DF340FBF}">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43" dT="2024-09-12T16:20:09.18" personId="{0277103A-E300-412D-B5C0-A5092221214E}" id="{CA05A546-EEFC-423C-BB0E-501749C31DC0}">
    <text>주증</text>
  </threadedComment>
  <threadedComment ref="A156" dT="2024-09-12T16:20:20.23" personId="{0277103A-E300-412D-B5C0-A5092221214E}" id="{3D7AED67-D3FA-4A0B-8751-13E88A2CA317}">
    <text>백화전호</text>
  </threadedComment>
  <threadedComment ref="A160" dT="2024-09-12T16:20:31.35" personId="{0277103A-E300-412D-B5C0-A5092221214E}" id="{452C9678-5D53-4A05-96AB-9E747CFD9EB2}">
    <text>국산</text>
  </threadedComment>
  <threadedComment ref="A161" dT="2024-09-12T16:20:37.76" personId="{0277103A-E300-412D-B5C0-A5092221214E}" id="{B8F7446E-09A4-42E7-9B32-DE8D3952EA3B}">
    <text>중국산</text>
  </threadedComment>
  <threadedComment ref="I167" dT="2024-09-12T04:24:51.64" personId="{00000000-0000-0000-0000-000000000000}" id="{4AA591C7-B3BB-43C4-A212-7900FB68ABC1}">
    <text>중국, 흑지실</text>
  </threadedComment>
  <threadedComment ref="A170" dT="2024-09-12T16:20:55.53" personId="{0277103A-E300-412D-B5C0-A5092221214E}" id="{21A1B36D-5872-474F-823E-0211DE983BBB}">
    <text>귤피</text>
  </threadedComment>
  <threadedComment ref="A171" dT="2024-09-12T16:21:11.61" personId="{0277103A-E300-412D-B5C0-A5092221214E}" id="{CB14E97B-E4B8-4DBD-936D-6E6D5BF86430}">
    <text>산물진피</text>
  </threadedComment>
  <threadedComment ref="A172" dT="2024-09-12T16:21:01.68" personId="{0277103A-E300-412D-B5C0-A5092221214E}" id="{0936C96B-8EBD-492D-B7F1-E630F2D82396}">
    <text>물푸레진피</text>
  </threadedComment>
  <threadedComment ref="A175" dT="2024-09-12T16:21:31.68" personId="{0277103A-E300-412D-B5C0-A5092221214E}" id="{7FA1D2D5-2DB2-4B22-9086-AF9CF255D256}">
    <text>삽주</text>
  </threadedComment>
  <threadedComment ref="A176" dT="2024-09-12T16:21:25.45" personId="{0277103A-E300-412D-B5C0-A5092221214E}" id="{E08877CB-C4E0-4770-9220-0ADD67329039}">
    <text>북창출/모창출</text>
  </threadedComment>
  <threadedComment ref="N176" dT="2024-09-12T07:40:54.71" personId="{00000000-0000-0000-0000-000000000000}" id="{E0BD0F4D-4A8B-4D32-9632-0ACAC1F6432F}">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6" dT="2024-09-12T14:33:46.22" personId="{0277103A-E300-412D-B5C0-A5092221214E}" id="{B3ABBF3A-6F80-485D-8C56-56589B7AFD56}" parentId="{E0BD0F4D-4A8B-4D32-9632-0ACAC1F6432F}">
    <text xml:space="preserve">북창출北蒼朮은 모창출茅蒼朮의 변종이며, 모창출茅蒼朮은 북창출北蒼朮에 비해 단면에 등황색 또는 적갈색의 유실이 많고, 특유의 향도 강하고, 약성도 좋다. </text>
  </threadedComment>
  <threadedComment ref="A177" dT="2024-09-12T16:21:44.45" personId="{0277103A-E300-412D-B5C0-A5092221214E}" id="{EEB67066-180D-4486-A4A8-4BC116CD2083}">
    <text>일천궁</text>
  </threadedComment>
  <threadedComment ref="N177" dT="2024-09-12T07:24:28.34" personId="{00000000-0000-0000-0000-000000000000}" id="{4F7A743B-7A6B-4AAB-9C92-2FC3D26F9BDE}">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8" dT="2024-09-12T16:21:50.99" personId="{0277103A-E300-412D-B5C0-A5092221214E}" id="{04B0B1FB-DB29-489E-A4D5-C91535D9C6FB}">
    <text>토천궁</text>
  </threadedComment>
  <threadedComment ref="N186" dT="2024-09-12T07:30:41.95" personId="{00000000-0000-0000-0000-000000000000}" id="{79E7E453-71FD-4887-9FBE-F692396BFF92}">
    <text xml:space="preserve">- 5〜6월에 스스로 떨어진 유과(幼果)를 수집하고 볕에 말린 것을 “개청피(個靑皮)”라 하며 </text>
  </threadedComment>
  <threadedComment ref="N186" dT="2024-09-12T14:37:59.85" personId="{0277103A-E300-412D-B5C0-A5092221214E}" id="{CED33C50-B627-4FF7-8DBA-E073B81A644B}" parentId="{79E7E453-71FD-4887-9FBE-F692396BFF92}">
    <text xml:space="preserve">- 7〜8월에 덜익은 과실을 거둬서 열매껍질을 기부까지 4장으로 세로로 갈라서 과육을 제거하고 볕에 말린 것을 사화청피(四花靑皮)라 한다. </text>
  </threadedComment>
  <threadedComment ref="A192" dT="2024-09-12T16:22:05.38" personId="{0277103A-E300-412D-B5C0-A5092221214E}" id="{3FA52149-0C69-4FF8-A004-3AADBB9B76F3}">
    <text>국산</text>
  </threadedComment>
  <threadedComment ref="A193" dT="2024-09-12T16:22:10.88" personId="{0277103A-E300-412D-B5C0-A5092221214E}" id="{45340208-F9E0-466D-9AAE-86F9C63F3197}">
    <text>중국산</text>
  </threadedComment>
  <threadedComment ref="N211" dT="2024-09-12T14:45:25.20" personId="{0277103A-E300-412D-B5C0-A5092221214E}" id="{25B321D4-6187-49C5-9A02-464C9A73085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14" dT="2024-09-12T05:05:24.49" personId="{00000000-0000-0000-0000-000000000000}" id="{A6CFD4FE-48DB-416F-919E-CF12BC9B111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07B73-4184-478F-BDD0-3CA090BE7608}">
  <sheetPr>
    <pageSetUpPr fitToPage="1"/>
  </sheetPr>
  <dimension ref="B1:M31"/>
  <sheetViews>
    <sheetView tabSelected="1" workbookViewId="0">
      <selection activeCell="E6" sqref="E6"/>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c r="D1" s="147"/>
      <c r="E1" s="96"/>
      <c r="F1" s="97" t="s">
        <v>1</v>
      </c>
      <c r="G1" s="145" t="s">
        <v>2</v>
      </c>
      <c r="H1" s="146" t="s">
        <v>3</v>
      </c>
      <c r="I1" s="147" t="s">
        <v>4</v>
      </c>
      <c r="K1" s="174" t="s">
        <v>5</v>
      </c>
      <c r="L1" s="175"/>
      <c r="M1" s="176"/>
    </row>
    <row r="2" spans="2:13">
      <c r="B2" s="2">
        <v>1</v>
      </c>
      <c r="C2" t="s">
        <v>446</v>
      </c>
      <c r="D2" s="3"/>
      <c r="E2">
        <v>8</v>
      </c>
      <c r="F2" s="98">
        <f>E2*$L$15</f>
        <v>160</v>
      </c>
      <c r="G2">
        <f>VLOOKUP($C2,[1]약재관리!$A:$J,10,FALSE)</f>
        <v>20</v>
      </c>
      <c r="H2" s="4">
        <f>G2*E2</f>
        <v>160</v>
      </c>
      <c r="I2" s="89">
        <f>G2*F2</f>
        <v>3200</v>
      </c>
      <c r="K2" s="6" t="s">
        <v>6</v>
      </c>
      <c r="L2" s="177">
        <v>147</v>
      </c>
      <c r="M2" s="178"/>
    </row>
    <row r="3" spans="2:13">
      <c r="B3" s="2">
        <v>2</v>
      </c>
      <c r="C3" t="s">
        <v>423</v>
      </c>
      <c r="D3" s="3"/>
      <c r="E3">
        <v>8</v>
      </c>
      <c r="F3" s="98">
        <f t="shared" ref="F3:F31" si="0">E3*$L$15</f>
        <v>160</v>
      </c>
      <c r="G3">
        <f>VLOOKUP($C3,[1]약재관리!$A:$J,10,FALSE)</f>
        <v>27.7</v>
      </c>
      <c r="H3" s="4">
        <f t="shared" ref="H3:H31" si="1">G3*E3</f>
        <v>221.6</v>
      </c>
      <c r="I3" s="5">
        <f t="shared" ref="I3:I31" si="2">G3*F3</f>
        <v>4432</v>
      </c>
      <c r="K3" s="7" t="s">
        <v>7</v>
      </c>
      <c r="L3" s="172" t="s">
        <v>457</v>
      </c>
      <c r="M3" s="173"/>
    </row>
    <row r="4" spans="2:13">
      <c r="B4" s="2">
        <v>3</v>
      </c>
      <c r="C4" t="s">
        <v>443</v>
      </c>
      <c r="D4" s="3"/>
      <c r="E4">
        <v>6</v>
      </c>
      <c r="F4" s="98">
        <f t="shared" si="0"/>
        <v>120</v>
      </c>
      <c r="G4">
        <f>VLOOKUP($C4,[1]약재관리!$A:$J,10,FALSE)</f>
        <v>9</v>
      </c>
      <c r="H4" s="4">
        <f t="shared" si="1"/>
        <v>54</v>
      </c>
      <c r="I4" s="5">
        <f t="shared" si="2"/>
        <v>1080</v>
      </c>
      <c r="K4" s="7" t="s">
        <v>8</v>
      </c>
      <c r="L4" s="179">
        <v>45922</v>
      </c>
      <c r="M4" s="173"/>
    </row>
    <row r="5" spans="2:13">
      <c r="B5" s="2">
        <v>4</v>
      </c>
      <c r="C5" t="s">
        <v>444</v>
      </c>
      <c r="D5" s="3"/>
      <c r="E5">
        <v>6</v>
      </c>
      <c r="F5" s="98">
        <f t="shared" si="0"/>
        <v>120</v>
      </c>
      <c r="G5">
        <f>VLOOKUP($C5,[1]약재관리!$A:$J,10,FALSE)</f>
        <v>23.7</v>
      </c>
      <c r="H5" s="4">
        <f t="shared" si="1"/>
        <v>142.19999999999999</v>
      </c>
      <c r="I5" s="5">
        <f t="shared" si="2"/>
        <v>2844</v>
      </c>
      <c r="K5" s="7" t="s">
        <v>9</v>
      </c>
      <c r="L5" s="172" t="s">
        <v>445</v>
      </c>
      <c r="M5" s="173"/>
    </row>
    <row r="6" spans="2:13">
      <c r="B6" s="2">
        <v>5</v>
      </c>
      <c r="C6" t="s">
        <v>447</v>
      </c>
      <c r="D6" s="3"/>
      <c r="E6">
        <v>4</v>
      </c>
      <c r="F6" s="98">
        <f t="shared" si="0"/>
        <v>80</v>
      </c>
      <c r="G6">
        <f>VLOOKUP($C6,[1]약재관리!$A:$J,10,FALSE)</f>
        <v>23.3</v>
      </c>
      <c r="H6" s="4">
        <f t="shared" si="1"/>
        <v>93.2</v>
      </c>
      <c r="I6" s="5">
        <f t="shared" si="2"/>
        <v>1864</v>
      </c>
      <c r="K6" s="7" t="s">
        <v>10</v>
      </c>
      <c r="L6" s="172">
        <v>78</v>
      </c>
      <c r="M6" s="173"/>
    </row>
    <row r="7" spans="2:13" ht="17.25" thickBot="1">
      <c r="B7" s="2">
        <v>6</v>
      </c>
      <c r="C7" t="s">
        <v>450</v>
      </c>
      <c r="D7" s="3"/>
      <c r="E7">
        <v>4</v>
      </c>
      <c r="F7" s="98">
        <f t="shared" si="0"/>
        <v>80</v>
      </c>
      <c r="G7">
        <f>VLOOKUP($C7,[1]약재관리!$A:$J,10,FALSE)</f>
        <v>40</v>
      </c>
      <c r="H7" s="4">
        <f t="shared" si="1"/>
        <v>160</v>
      </c>
      <c r="I7" s="5">
        <f t="shared" si="2"/>
        <v>3200</v>
      </c>
      <c r="K7" s="7" t="s">
        <v>11</v>
      </c>
      <c r="L7" s="180" t="s">
        <v>417</v>
      </c>
      <c r="M7" s="181"/>
    </row>
    <row r="8" spans="2:13" ht="17.25" thickBot="1">
      <c r="B8" s="2">
        <v>7</v>
      </c>
      <c r="C8" t="s">
        <v>448</v>
      </c>
      <c r="D8" s="3"/>
      <c r="E8">
        <v>4</v>
      </c>
      <c r="F8" s="98">
        <f t="shared" si="0"/>
        <v>80</v>
      </c>
      <c r="G8">
        <f>VLOOKUP($C8,[1]약재관리!$A:$J,10,FALSE)</f>
        <v>31.2</v>
      </c>
      <c r="H8" s="4">
        <f t="shared" si="1"/>
        <v>124.8</v>
      </c>
      <c r="I8" s="5">
        <f t="shared" si="2"/>
        <v>2496</v>
      </c>
      <c r="K8" s="174" t="s">
        <v>12</v>
      </c>
      <c r="L8" s="175"/>
      <c r="M8" s="176"/>
    </row>
    <row r="9" spans="2:13">
      <c r="B9" s="2">
        <v>8</v>
      </c>
      <c r="C9" t="s">
        <v>449</v>
      </c>
      <c r="D9" s="3"/>
      <c r="E9">
        <v>4</v>
      </c>
      <c r="F9" s="98">
        <f t="shared" si="0"/>
        <v>80</v>
      </c>
      <c r="G9">
        <f>VLOOKUP($C9,[1]약재관리!$A:$J,10,FALSE)</f>
        <v>17.600000000000001</v>
      </c>
      <c r="H9" s="4">
        <f t="shared" si="1"/>
        <v>70.400000000000006</v>
      </c>
      <c r="I9" s="5">
        <f t="shared" si="2"/>
        <v>1408</v>
      </c>
      <c r="K9" s="182" t="s">
        <v>458</v>
      </c>
      <c r="L9" s="183"/>
      <c r="M9" s="184"/>
    </row>
    <row r="10" spans="2:13">
      <c r="B10" s="2">
        <v>9</v>
      </c>
      <c r="C10" t="s">
        <v>451</v>
      </c>
      <c r="D10" s="3"/>
      <c r="E10">
        <v>4</v>
      </c>
      <c r="F10" s="98">
        <f t="shared" si="0"/>
        <v>80</v>
      </c>
      <c r="G10">
        <f>VLOOKUP($C10,[1]약재관리!$A:$J,10,FALSE)</f>
        <v>13.2</v>
      </c>
      <c r="H10" s="4">
        <f t="shared" si="1"/>
        <v>52.8</v>
      </c>
      <c r="I10" s="5">
        <f t="shared" si="2"/>
        <v>1056</v>
      </c>
      <c r="K10" s="185"/>
      <c r="L10" s="186"/>
      <c r="M10" s="187"/>
    </row>
    <row r="11" spans="2:13">
      <c r="B11" s="2">
        <v>10</v>
      </c>
      <c r="C11" t="s">
        <v>424</v>
      </c>
      <c r="D11" s="3"/>
      <c r="E11">
        <v>4</v>
      </c>
      <c r="F11" s="98">
        <f t="shared" si="0"/>
        <v>80</v>
      </c>
      <c r="G11">
        <f>VLOOKUP($C11,[1]약재관리!$A:$J,10,FALSE)</f>
        <v>28</v>
      </c>
      <c r="H11" s="4">
        <f t="shared" si="1"/>
        <v>112</v>
      </c>
      <c r="I11" s="5">
        <f t="shared" si="2"/>
        <v>2240</v>
      </c>
      <c r="K11" s="185"/>
      <c r="L11" s="186"/>
      <c r="M11" s="187"/>
    </row>
    <row r="12" spans="2:13">
      <c r="B12" s="2">
        <v>11</v>
      </c>
      <c r="C12" t="s">
        <v>452</v>
      </c>
      <c r="D12" s="3"/>
      <c r="E12">
        <v>4</v>
      </c>
      <c r="F12" s="98">
        <f t="shared" si="0"/>
        <v>80</v>
      </c>
      <c r="G12">
        <f>VLOOKUP($C12,[1]약재관리!$A:$J,10,FALSE)</f>
        <v>21.4</v>
      </c>
      <c r="H12" s="4">
        <f t="shared" si="1"/>
        <v>85.6</v>
      </c>
      <c r="I12" s="5">
        <f t="shared" si="2"/>
        <v>1712</v>
      </c>
      <c r="K12" s="185"/>
      <c r="L12" s="186"/>
      <c r="M12" s="187"/>
    </row>
    <row r="13" spans="2:13" ht="17.25" thickBot="1">
      <c r="B13" s="2">
        <v>12</v>
      </c>
      <c r="C13" t="s">
        <v>453</v>
      </c>
      <c r="D13" s="3"/>
      <c r="E13">
        <v>4</v>
      </c>
      <c r="F13" s="98">
        <f t="shared" si="0"/>
        <v>80</v>
      </c>
      <c r="G13">
        <f>VLOOKUP($C13,[1]약재관리!$A:$J,10,FALSE)</f>
        <v>9.1999999999999993</v>
      </c>
      <c r="H13" s="4">
        <f t="shared" si="1"/>
        <v>36.799999999999997</v>
      </c>
      <c r="I13" s="5">
        <f t="shared" si="2"/>
        <v>736</v>
      </c>
      <c r="K13" s="188"/>
      <c r="L13" s="189"/>
      <c r="M13" s="190"/>
    </row>
    <row r="14" spans="2:13">
      <c r="B14" s="2">
        <v>13</v>
      </c>
      <c r="C14" t="s">
        <v>454</v>
      </c>
      <c r="D14" s="3"/>
      <c r="E14">
        <v>4</v>
      </c>
      <c r="F14" s="98">
        <f t="shared" si="0"/>
        <v>80</v>
      </c>
      <c r="G14">
        <f>VLOOKUP($C14,[1]약재관리!$A:$J,10,FALSE)</f>
        <v>13.7</v>
      </c>
      <c r="H14" s="4">
        <f t="shared" si="1"/>
        <v>54.8</v>
      </c>
      <c r="I14" s="5">
        <f t="shared" si="2"/>
        <v>1096</v>
      </c>
      <c r="K14" s="91" t="s">
        <v>13</v>
      </c>
      <c r="L14" s="8">
        <v>15</v>
      </c>
      <c r="M14" s="9" t="s">
        <v>14</v>
      </c>
    </row>
    <row r="15" spans="2:13">
      <c r="B15" s="2">
        <v>14</v>
      </c>
      <c r="C15" t="s">
        <v>455</v>
      </c>
      <c r="D15" s="3"/>
      <c r="E15">
        <v>4</v>
      </c>
      <c r="F15" s="98">
        <f t="shared" si="0"/>
        <v>80</v>
      </c>
      <c r="G15">
        <f>VLOOKUP($C15,[1]약재관리!$A:$J,10,FALSE)</f>
        <v>11.7</v>
      </c>
      <c r="H15" s="4">
        <f t="shared" si="1"/>
        <v>46.8</v>
      </c>
      <c r="I15" s="5">
        <f t="shared" si="2"/>
        <v>936</v>
      </c>
      <c r="K15" s="90" t="s">
        <v>15</v>
      </c>
      <c r="L15">
        <v>20</v>
      </c>
      <c r="M15" s="3" t="s">
        <v>16</v>
      </c>
    </row>
    <row r="16" spans="2:13">
      <c r="B16" s="2">
        <v>15</v>
      </c>
      <c r="C16" t="s">
        <v>456</v>
      </c>
      <c r="D16" s="3"/>
      <c r="E16">
        <v>4</v>
      </c>
      <c r="F16" s="98">
        <f t="shared" si="0"/>
        <v>80</v>
      </c>
      <c r="G16">
        <f>VLOOKUP($C16,[1]약재관리!$A:$J,10,FALSE)</f>
        <v>21.8</v>
      </c>
      <c r="H16" s="4">
        <f t="shared" si="1"/>
        <v>87.2</v>
      </c>
      <c r="I16" s="5">
        <f t="shared" si="2"/>
        <v>1744</v>
      </c>
      <c r="K16" s="90" t="s">
        <v>17</v>
      </c>
      <c r="L16">
        <v>45</v>
      </c>
      <c r="M16" s="3" t="s">
        <v>18</v>
      </c>
    </row>
    <row r="17" spans="2:13" ht="17.25" thickBot="1">
      <c r="B17" s="2">
        <v>16</v>
      </c>
      <c r="C17" t="s">
        <v>442</v>
      </c>
      <c r="D17" s="3"/>
      <c r="E17">
        <v>4</v>
      </c>
      <c r="F17" s="98">
        <f t="shared" si="0"/>
        <v>80</v>
      </c>
      <c r="G17">
        <f>VLOOKUP($C17,[1]약재관리!$A:$J,10,FALSE)</f>
        <v>17.600000000000001</v>
      </c>
      <c r="H17" s="4">
        <f t="shared" si="1"/>
        <v>70.400000000000006</v>
      </c>
      <c r="I17" s="5">
        <f t="shared" si="2"/>
        <v>1408</v>
      </c>
      <c r="K17" s="13" t="s">
        <v>19</v>
      </c>
      <c r="L17" s="10">
        <v>90</v>
      </c>
      <c r="M17" s="11" t="s">
        <v>20</v>
      </c>
    </row>
    <row r="18" spans="2:13">
      <c r="B18" s="2">
        <v>17</v>
      </c>
      <c r="C18" t="s">
        <v>427</v>
      </c>
      <c r="D18" s="3"/>
      <c r="E18">
        <v>4</v>
      </c>
      <c r="F18" s="98">
        <f t="shared" si="0"/>
        <v>80</v>
      </c>
      <c r="G18">
        <f>VLOOKUP($C18,[1]약재관리!$A:$J,10,FALSE)</f>
        <v>44.3</v>
      </c>
      <c r="H18" s="4">
        <f t="shared" si="1"/>
        <v>177.2</v>
      </c>
      <c r="I18" s="5">
        <f t="shared" si="2"/>
        <v>3544</v>
      </c>
      <c r="K18" s="91" t="s">
        <v>21</v>
      </c>
      <c r="L18" s="8">
        <f>SUM(E2:E31)</f>
        <v>82</v>
      </c>
      <c r="M18" s="9" t="s">
        <v>22</v>
      </c>
    </row>
    <row r="19" spans="2:13">
      <c r="B19" s="2">
        <v>18</v>
      </c>
      <c r="C19" t="s">
        <v>437</v>
      </c>
      <c r="D19" s="3"/>
      <c r="E19">
        <v>2</v>
      </c>
      <c r="F19" s="98">
        <f t="shared" si="0"/>
        <v>40</v>
      </c>
      <c r="G19">
        <f>VLOOKUP($C19,[1]약재관리!$A:$J,10,FALSE)</f>
        <v>463.3</v>
      </c>
      <c r="H19" s="4">
        <f t="shared" si="1"/>
        <v>926.6</v>
      </c>
      <c r="I19" s="5">
        <f t="shared" si="2"/>
        <v>18532</v>
      </c>
      <c r="K19" s="90" t="s">
        <v>23</v>
      </c>
      <c r="L19">
        <f>L15*L18</f>
        <v>1640</v>
      </c>
      <c r="M19" s="3" t="s">
        <v>22</v>
      </c>
    </row>
    <row r="20" spans="2:13" ht="17.25" thickBot="1">
      <c r="B20" s="2">
        <v>19</v>
      </c>
      <c r="D20" s="3"/>
      <c r="E20"/>
      <c r="F20" s="98">
        <f t="shared" si="0"/>
        <v>0</v>
      </c>
      <c r="H20" s="4">
        <f t="shared" si="1"/>
        <v>0</v>
      </c>
      <c r="I20" s="5">
        <f t="shared" si="2"/>
        <v>0</v>
      </c>
      <c r="K20" s="13" t="s">
        <v>24</v>
      </c>
      <c r="L20" s="10">
        <f>L16*L17+L19</f>
        <v>5690</v>
      </c>
      <c r="M20" s="11" t="s">
        <v>20</v>
      </c>
    </row>
    <row r="21" spans="2:13" ht="17.25" thickBot="1">
      <c r="B21" s="2">
        <v>20</v>
      </c>
      <c r="D21" s="3"/>
      <c r="E21"/>
      <c r="F21" s="98">
        <f t="shared" si="0"/>
        <v>0</v>
      </c>
      <c r="H21" s="4">
        <f t="shared" si="1"/>
        <v>0</v>
      </c>
      <c r="I21" s="5">
        <f t="shared" si="2"/>
        <v>0</v>
      </c>
      <c r="J21" s="90"/>
      <c r="M21" s="93"/>
    </row>
    <row r="22" spans="2:13" ht="17.25" thickBot="1">
      <c r="B22" s="2">
        <v>21</v>
      </c>
      <c r="D22" s="3"/>
      <c r="E22"/>
      <c r="F22" s="98">
        <f t="shared" si="0"/>
        <v>0</v>
      </c>
      <c r="H22" s="4">
        <f t="shared" si="1"/>
        <v>0</v>
      </c>
      <c r="I22" s="5">
        <f t="shared" si="2"/>
        <v>0</v>
      </c>
      <c r="K22" s="174" t="s">
        <v>25</v>
      </c>
      <c r="L22" s="175"/>
      <c r="M22" s="176"/>
    </row>
    <row r="23" spans="2:13">
      <c r="B23" s="2">
        <v>22</v>
      </c>
      <c r="D23" s="3"/>
      <c r="E23"/>
      <c r="F23" s="98">
        <f t="shared" si="0"/>
        <v>0</v>
      </c>
      <c r="H23" s="4">
        <f t="shared" si="1"/>
        <v>0</v>
      </c>
      <c r="I23" s="5">
        <f t="shared" si="2"/>
        <v>0</v>
      </c>
      <c r="K23" s="90" t="s">
        <v>26</v>
      </c>
      <c r="L23">
        <f>SUM(F2:F31)</f>
        <v>1640</v>
      </c>
      <c r="M23" s="3" t="s">
        <v>22</v>
      </c>
    </row>
    <row r="24" spans="2:13">
      <c r="B24" s="2">
        <v>23</v>
      </c>
      <c r="D24" s="3"/>
      <c r="E24"/>
      <c r="F24" s="98">
        <f t="shared" si="0"/>
        <v>0</v>
      </c>
      <c r="H24" s="4">
        <f t="shared" si="1"/>
        <v>0</v>
      </c>
      <c r="I24" s="5">
        <f t="shared" si="2"/>
        <v>0</v>
      </c>
      <c r="K24" s="90" t="s">
        <v>27</v>
      </c>
      <c r="L24">
        <v>5000</v>
      </c>
      <c r="M24" s="3" t="s">
        <v>20</v>
      </c>
    </row>
    <row r="25" spans="2:13">
      <c r="B25" s="2">
        <v>24</v>
      </c>
      <c r="D25" s="3"/>
      <c r="F25" s="98">
        <f t="shared" si="0"/>
        <v>0</v>
      </c>
      <c r="H25" s="4">
        <f t="shared" si="1"/>
        <v>0</v>
      </c>
      <c r="I25" s="5">
        <f t="shared" si="2"/>
        <v>0</v>
      </c>
      <c r="K25" s="90" t="s">
        <v>28</v>
      </c>
      <c r="L25" s="92" t="s">
        <v>29</v>
      </c>
      <c r="M25" s="3" t="s">
        <v>22</v>
      </c>
    </row>
    <row r="26" spans="2:13">
      <c r="B26" s="2">
        <v>25</v>
      </c>
      <c r="D26" s="3"/>
      <c r="F26" s="98">
        <f t="shared" si="0"/>
        <v>0</v>
      </c>
      <c r="H26" s="4">
        <f t="shared" si="1"/>
        <v>0</v>
      </c>
      <c r="I26" s="5">
        <f t="shared" si="2"/>
        <v>0</v>
      </c>
      <c r="K26" s="90" t="s">
        <v>30</v>
      </c>
      <c r="L26" s="92">
        <v>1600</v>
      </c>
      <c r="M26" s="3" t="s">
        <v>22</v>
      </c>
    </row>
    <row r="27" spans="2:13" ht="17.25" thickBot="1">
      <c r="B27" s="2">
        <v>26</v>
      </c>
      <c r="D27" s="3"/>
      <c r="F27" s="98">
        <f t="shared" si="0"/>
        <v>0</v>
      </c>
      <c r="H27" s="4">
        <f t="shared" si="1"/>
        <v>0</v>
      </c>
      <c r="I27" s="5">
        <f t="shared" si="2"/>
        <v>0</v>
      </c>
      <c r="K27" s="13" t="s">
        <v>31</v>
      </c>
      <c r="L27" s="10">
        <v>4</v>
      </c>
      <c r="M27" s="11" t="s">
        <v>22</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74" t="s">
        <v>32</v>
      </c>
      <c r="L29" s="175"/>
      <c r="M29" s="176"/>
    </row>
    <row r="30" spans="2:13">
      <c r="B30" s="2">
        <v>29</v>
      </c>
      <c r="D30" s="3"/>
      <c r="F30" s="98">
        <f t="shared" si="0"/>
        <v>0</v>
      </c>
      <c r="H30" s="4">
        <f t="shared" si="1"/>
        <v>0</v>
      </c>
      <c r="I30" s="5">
        <f t="shared" si="2"/>
        <v>0</v>
      </c>
      <c r="K30" s="90" t="s">
        <v>28</v>
      </c>
      <c r="L30" s="4">
        <f>SUM(H2:H31)</f>
        <v>2676.4</v>
      </c>
      <c r="M30" s="3" t="s">
        <v>33</v>
      </c>
    </row>
    <row r="31" spans="2:13" ht="17.25" thickBot="1">
      <c r="B31" s="12">
        <v>30</v>
      </c>
      <c r="C31" s="13"/>
      <c r="D31" s="11"/>
      <c r="E31" s="94"/>
      <c r="F31" s="99">
        <f t="shared" si="0"/>
        <v>0</v>
      </c>
      <c r="G31" s="10"/>
      <c r="H31" s="14">
        <f t="shared" si="1"/>
        <v>0</v>
      </c>
      <c r="I31" s="15">
        <f t="shared" si="2"/>
        <v>0</v>
      </c>
      <c r="K31" s="13" t="s">
        <v>34</v>
      </c>
      <c r="L31" s="14">
        <f>SUM(I2:I31)</f>
        <v>53528</v>
      </c>
      <c r="M31" s="11" t="s">
        <v>33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C32" sqref="C32"/>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c r="D1" s="147"/>
      <c r="E1" s="96"/>
      <c r="F1" s="97" t="s">
        <v>1</v>
      </c>
      <c r="G1" s="145" t="s">
        <v>2</v>
      </c>
      <c r="H1" s="146" t="s">
        <v>3</v>
      </c>
      <c r="I1" s="147" t="s">
        <v>4</v>
      </c>
      <c r="K1" s="174" t="s">
        <v>5</v>
      </c>
      <c r="L1" s="175"/>
      <c r="M1" s="176"/>
    </row>
    <row r="2" spans="2:13">
      <c r="B2" s="2">
        <v>1</v>
      </c>
      <c r="C2" t="s">
        <v>421</v>
      </c>
      <c r="D2" s="3"/>
      <c r="E2">
        <v>8</v>
      </c>
      <c r="F2" s="98">
        <f>E2*$L$15</f>
        <v>160</v>
      </c>
      <c r="G2">
        <f>VLOOKUP($C2,[1]약재관리!$A:$J,10,FALSE)</f>
        <v>20.5</v>
      </c>
      <c r="H2" s="4">
        <f>G2*E2</f>
        <v>164</v>
      </c>
      <c r="I2" s="89">
        <f>G2*F2</f>
        <v>3280</v>
      </c>
      <c r="K2" s="6" t="s">
        <v>6</v>
      </c>
      <c r="L2" s="177">
        <v>146</v>
      </c>
      <c r="M2" s="178"/>
    </row>
    <row r="3" spans="2:13">
      <c r="B3" s="2">
        <v>2</v>
      </c>
      <c r="C3" t="s">
        <v>422</v>
      </c>
      <c r="D3" s="3"/>
      <c r="E3">
        <v>6</v>
      </c>
      <c r="F3" s="98">
        <f t="shared" ref="F3:F31" si="0">E3*$L$15</f>
        <v>120</v>
      </c>
      <c r="G3">
        <f>VLOOKUP($C3,[1]약재관리!$A:$J,10,FALSE)</f>
        <v>18.3</v>
      </c>
      <c r="H3" s="4">
        <f t="shared" ref="H3:H31" si="1">G3*E3</f>
        <v>109.80000000000001</v>
      </c>
      <c r="I3" s="5">
        <f t="shared" ref="I3:I31" si="2">G3*F3</f>
        <v>2196</v>
      </c>
      <c r="K3" s="7" t="s">
        <v>7</v>
      </c>
      <c r="L3" s="172" t="s">
        <v>438</v>
      </c>
      <c r="M3" s="173"/>
    </row>
    <row r="4" spans="2:13">
      <c r="B4" s="2">
        <v>3</v>
      </c>
      <c r="C4" t="s">
        <v>423</v>
      </c>
      <c r="D4" s="3"/>
      <c r="E4">
        <v>6</v>
      </c>
      <c r="F4" s="98">
        <f t="shared" si="0"/>
        <v>120</v>
      </c>
      <c r="G4">
        <f>VLOOKUP($C4,[1]약재관리!$A:$J,10,FALSE)</f>
        <v>27.7</v>
      </c>
      <c r="H4" s="4">
        <f t="shared" si="1"/>
        <v>166.2</v>
      </c>
      <c r="I4" s="5">
        <f t="shared" si="2"/>
        <v>3324</v>
      </c>
      <c r="K4" s="7" t="s">
        <v>8</v>
      </c>
      <c r="L4" s="179" t="s">
        <v>439</v>
      </c>
      <c r="M4" s="173"/>
    </row>
    <row r="5" spans="2:13">
      <c r="B5" s="2">
        <v>4</v>
      </c>
      <c r="C5" t="s">
        <v>443</v>
      </c>
      <c r="D5" s="3"/>
      <c r="E5">
        <v>4</v>
      </c>
      <c r="F5" s="98">
        <f t="shared" si="0"/>
        <v>80</v>
      </c>
      <c r="G5">
        <f>VLOOKUP($C5,[1]약재관리!$A:$J,10,FALSE)</f>
        <v>9</v>
      </c>
      <c r="H5" s="4">
        <f t="shared" si="1"/>
        <v>36</v>
      </c>
      <c r="I5" s="5">
        <f t="shared" si="2"/>
        <v>720</v>
      </c>
      <c r="K5" s="7" t="s">
        <v>9</v>
      </c>
      <c r="L5" s="172" t="s">
        <v>440</v>
      </c>
      <c r="M5" s="173"/>
    </row>
    <row r="6" spans="2:13">
      <c r="B6" s="2">
        <v>5</v>
      </c>
      <c r="C6" t="s">
        <v>424</v>
      </c>
      <c r="D6" s="3"/>
      <c r="E6">
        <v>4</v>
      </c>
      <c r="F6" s="98">
        <f t="shared" si="0"/>
        <v>80</v>
      </c>
      <c r="G6">
        <f>VLOOKUP($C6,[1]약재관리!$A:$J,10,FALSE)</f>
        <v>28</v>
      </c>
      <c r="H6" s="4">
        <f t="shared" si="1"/>
        <v>112</v>
      </c>
      <c r="I6" s="5">
        <f t="shared" si="2"/>
        <v>2240</v>
      </c>
      <c r="K6" s="7" t="s">
        <v>10</v>
      </c>
      <c r="L6" s="172">
        <v>59</v>
      </c>
      <c r="M6" s="173"/>
    </row>
    <row r="7" spans="2:13" ht="17.25" thickBot="1">
      <c r="B7" s="2">
        <v>6</v>
      </c>
      <c r="C7" t="s">
        <v>444</v>
      </c>
      <c r="D7" s="3"/>
      <c r="E7">
        <v>4</v>
      </c>
      <c r="F7" s="98">
        <f t="shared" si="0"/>
        <v>80</v>
      </c>
      <c r="G7">
        <f>VLOOKUP($C7,[1]약재관리!$A:$J,10,FALSE)</f>
        <v>23.7</v>
      </c>
      <c r="H7" s="4">
        <f t="shared" si="1"/>
        <v>94.8</v>
      </c>
      <c r="I7" s="5">
        <f t="shared" si="2"/>
        <v>1896</v>
      </c>
      <c r="K7" s="7" t="s">
        <v>11</v>
      </c>
      <c r="L7" s="180" t="s">
        <v>417</v>
      </c>
      <c r="M7" s="181"/>
    </row>
    <row r="8" spans="2:13" ht="17.25" thickBot="1">
      <c r="B8" s="2">
        <v>7</v>
      </c>
      <c r="C8" t="s">
        <v>425</v>
      </c>
      <c r="D8" s="3"/>
      <c r="E8">
        <v>4</v>
      </c>
      <c r="F8" s="98">
        <f t="shared" si="0"/>
        <v>80</v>
      </c>
      <c r="G8">
        <f>VLOOKUP($C8,[1]약재관리!$A:$J,10,FALSE)</f>
        <v>23.5</v>
      </c>
      <c r="H8" s="4">
        <f t="shared" si="1"/>
        <v>94</v>
      </c>
      <c r="I8" s="5">
        <f t="shared" si="2"/>
        <v>1880</v>
      </c>
      <c r="K8" s="174" t="s">
        <v>12</v>
      </c>
      <c r="L8" s="175"/>
      <c r="M8" s="176"/>
    </row>
    <row r="9" spans="2:13">
      <c r="B9" s="2">
        <v>8</v>
      </c>
      <c r="C9" t="s">
        <v>426</v>
      </c>
      <c r="D9" s="3"/>
      <c r="E9">
        <v>4</v>
      </c>
      <c r="F9" s="98">
        <f t="shared" si="0"/>
        <v>80</v>
      </c>
      <c r="G9">
        <f>VLOOKUP($C9,[1]약재관리!$A:$J,10,FALSE)</f>
        <v>16.7</v>
      </c>
      <c r="H9" s="4">
        <f t="shared" si="1"/>
        <v>66.8</v>
      </c>
      <c r="I9" s="5">
        <f t="shared" si="2"/>
        <v>1336</v>
      </c>
      <c r="K9" s="182" t="s">
        <v>441</v>
      </c>
      <c r="L9" s="183"/>
      <c r="M9" s="184"/>
    </row>
    <row r="10" spans="2:13">
      <c r="B10" s="2">
        <v>9</v>
      </c>
      <c r="C10" t="s">
        <v>427</v>
      </c>
      <c r="D10" s="3"/>
      <c r="E10">
        <v>4</v>
      </c>
      <c r="F10" s="98">
        <f t="shared" si="0"/>
        <v>80</v>
      </c>
      <c r="G10">
        <f>VLOOKUP($C10,[1]약재관리!$A:$J,10,FALSE)</f>
        <v>44.3</v>
      </c>
      <c r="H10" s="4">
        <f t="shared" si="1"/>
        <v>177.2</v>
      </c>
      <c r="I10" s="5">
        <f t="shared" si="2"/>
        <v>3544</v>
      </c>
      <c r="K10" s="185"/>
      <c r="L10" s="186"/>
      <c r="M10" s="187"/>
    </row>
    <row r="11" spans="2:13">
      <c r="B11" s="2">
        <v>10</v>
      </c>
      <c r="C11" t="s">
        <v>428</v>
      </c>
      <c r="D11" s="3"/>
      <c r="E11">
        <v>4</v>
      </c>
      <c r="F11" s="98">
        <f t="shared" si="0"/>
        <v>80</v>
      </c>
      <c r="G11">
        <f>VLOOKUP($C11,[1]약재관리!$A:$J,10,FALSE)</f>
        <v>29.8</v>
      </c>
      <c r="H11" s="4">
        <f t="shared" si="1"/>
        <v>119.2</v>
      </c>
      <c r="I11" s="5">
        <f t="shared" si="2"/>
        <v>2384</v>
      </c>
      <c r="K11" s="185"/>
      <c r="L11" s="186"/>
      <c r="M11" s="187"/>
    </row>
    <row r="12" spans="2:13">
      <c r="B12" s="2">
        <v>11</v>
      </c>
      <c r="C12" t="s">
        <v>429</v>
      </c>
      <c r="D12" s="3"/>
      <c r="E12">
        <v>4</v>
      </c>
      <c r="F12" s="98">
        <f t="shared" si="0"/>
        <v>80</v>
      </c>
      <c r="G12">
        <f>VLOOKUP($C12,[1]약재관리!$A:$J,10,FALSE)</f>
        <v>32</v>
      </c>
      <c r="H12" s="4">
        <f t="shared" si="1"/>
        <v>128</v>
      </c>
      <c r="I12" s="5">
        <f t="shared" si="2"/>
        <v>2560</v>
      </c>
      <c r="K12" s="185"/>
      <c r="L12" s="186"/>
      <c r="M12" s="187"/>
    </row>
    <row r="13" spans="2:13" ht="17.25" thickBot="1">
      <c r="B13" s="2">
        <v>12</v>
      </c>
      <c r="C13" t="s">
        <v>430</v>
      </c>
      <c r="D13" s="3"/>
      <c r="E13">
        <v>4</v>
      </c>
      <c r="F13" s="98">
        <f t="shared" si="0"/>
        <v>80</v>
      </c>
      <c r="G13">
        <f>VLOOKUP($C13,[1]약재관리!$A:$J,10,FALSE)</f>
        <v>11.5</v>
      </c>
      <c r="H13" s="4">
        <f t="shared" si="1"/>
        <v>46</v>
      </c>
      <c r="I13" s="5">
        <f t="shared" si="2"/>
        <v>920</v>
      </c>
      <c r="K13" s="188"/>
      <c r="L13" s="189"/>
      <c r="M13" s="190"/>
    </row>
    <row r="14" spans="2:13">
      <c r="B14" s="2">
        <v>13</v>
      </c>
      <c r="C14" t="s">
        <v>419</v>
      </c>
      <c r="D14" s="3"/>
      <c r="E14">
        <v>4</v>
      </c>
      <c r="F14" s="98">
        <f t="shared" si="0"/>
        <v>80</v>
      </c>
      <c r="G14">
        <f>VLOOKUP($C14,[1]약재관리!$A:$J,10,FALSE)</f>
        <v>12</v>
      </c>
      <c r="H14" s="4">
        <f t="shared" si="1"/>
        <v>48</v>
      </c>
      <c r="I14" s="5">
        <f t="shared" si="2"/>
        <v>960</v>
      </c>
      <c r="K14" s="91" t="s">
        <v>13</v>
      </c>
      <c r="L14" s="8">
        <v>15</v>
      </c>
      <c r="M14" s="9" t="s">
        <v>14</v>
      </c>
    </row>
    <row r="15" spans="2:13">
      <c r="B15" s="2">
        <v>14</v>
      </c>
      <c r="C15" t="s">
        <v>431</v>
      </c>
      <c r="D15" s="3"/>
      <c r="E15">
        <v>4</v>
      </c>
      <c r="F15" s="98">
        <f t="shared" si="0"/>
        <v>80</v>
      </c>
      <c r="G15">
        <f>VLOOKUP($C15,[1]약재관리!$A:$J,10,FALSE)</f>
        <v>22.5</v>
      </c>
      <c r="H15" s="4">
        <f t="shared" si="1"/>
        <v>90</v>
      </c>
      <c r="I15" s="5">
        <f t="shared" si="2"/>
        <v>1800</v>
      </c>
      <c r="K15" s="90" t="s">
        <v>15</v>
      </c>
      <c r="L15">
        <v>20</v>
      </c>
      <c r="M15" s="3" t="s">
        <v>16</v>
      </c>
    </row>
    <row r="16" spans="2:13">
      <c r="B16" s="2">
        <v>15</v>
      </c>
      <c r="C16" t="s">
        <v>432</v>
      </c>
      <c r="D16" s="3"/>
      <c r="E16">
        <v>4</v>
      </c>
      <c r="F16" s="98">
        <f t="shared" si="0"/>
        <v>80</v>
      </c>
      <c r="G16">
        <f>VLOOKUP($C16,[1]약재관리!$A:$J,10,FALSE)</f>
        <v>41</v>
      </c>
      <c r="H16" s="4">
        <f t="shared" si="1"/>
        <v>164</v>
      </c>
      <c r="I16" s="5">
        <f t="shared" si="2"/>
        <v>3280</v>
      </c>
      <c r="K16" s="90" t="s">
        <v>17</v>
      </c>
      <c r="L16">
        <v>45</v>
      </c>
      <c r="M16" s="3" t="s">
        <v>18</v>
      </c>
    </row>
    <row r="17" spans="2:13" ht="17.25" thickBot="1">
      <c r="B17" s="2">
        <v>16</v>
      </c>
      <c r="C17" t="s">
        <v>418</v>
      </c>
      <c r="D17" s="3"/>
      <c r="E17">
        <v>2</v>
      </c>
      <c r="F17" s="98">
        <f t="shared" si="0"/>
        <v>40</v>
      </c>
      <c r="G17">
        <f>VLOOKUP($C17,[1]약재관리!$A:$J,10,FALSE)</f>
        <v>28.3</v>
      </c>
      <c r="H17" s="4">
        <f t="shared" si="1"/>
        <v>56.6</v>
      </c>
      <c r="I17" s="5">
        <f t="shared" si="2"/>
        <v>1132</v>
      </c>
      <c r="K17" s="13" t="s">
        <v>19</v>
      </c>
      <c r="L17" s="10">
        <v>90</v>
      </c>
      <c r="M17" s="11" t="s">
        <v>20</v>
      </c>
    </row>
    <row r="18" spans="2:13">
      <c r="B18" s="2">
        <v>17</v>
      </c>
      <c r="C18" t="s">
        <v>433</v>
      </c>
      <c r="D18" s="3"/>
      <c r="E18">
        <v>3</v>
      </c>
      <c r="F18" s="98">
        <f t="shared" si="0"/>
        <v>60</v>
      </c>
      <c r="G18">
        <f>VLOOKUP($C18,[1]약재관리!$A:$J,10,FALSE)</f>
        <v>23.3</v>
      </c>
      <c r="H18" s="4">
        <f t="shared" si="1"/>
        <v>69.900000000000006</v>
      </c>
      <c r="I18" s="5">
        <f t="shared" si="2"/>
        <v>1398</v>
      </c>
      <c r="K18" s="91" t="s">
        <v>21</v>
      </c>
      <c r="L18" s="8">
        <f>SUM(E2:E31)</f>
        <v>88</v>
      </c>
      <c r="M18" s="9" t="s">
        <v>22</v>
      </c>
    </row>
    <row r="19" spans="2:13">
      <c r="B19" s="2">
        <v>18</v>
      </c>
      <c r="C19" t="s">
        <v>420</v>
      </c>
      <c r="D19" s="3"/>
      <c r="E19">
        <v>3</v>
      </c>
      <c r="F19" s="98">
        <f t="shared" si="0"/>
        <v>60</v>
      </c>
      <c r="G19">
        <f>VLOOKUP($C19,[1]약재관리!$A:$J,10,FALSE)</f>
        <v>38</v>
      </c>
      <c r="H19" s="4">
        <f t="shared" si="1"/>
        <v>114</v>
      </c>
      <c r="I19" s="5">
        <f t="shared" si="2"/>
        <v>2280</v>
      </c>
      <c r="K19" s="90" t="s">
        <v>23</v>
      </c>
      <c r="L19">
        <f>L15*L18</f>
        <v>1760</v>
      </c>
      <c r="M19" s="3" t="s">
        <v>22</v>
      </c>
    </row>
    <row r="20" spans="2:13" ht="17.25" thickBot="1">
      <c r="B20" s="2">
        <v>19</v>
      </c>
      <c r="C20" t="s">
        <v>442</v>
      </c>
      <c r="D20" s="3"/>
      <c r="E20">
        <v>3</v>
      </c>
      <c r="F20" s="98">
        <f t="shared" si="0"/>
        <v>60</v>
      </c>
      <c r="G20">
        <f>VLOOKUP($C20,[1]약재관리!$A:$J,10,FALSE)</f>
        <v>17.600000000000001</v>
      </c>
      <c r="H20" s="4">
        <f t="shared" si="1"/>
        <v>52.800000000000004</v>
      </c>
      <c r="I20" s="5">
        <f t="shared" si="2"/>
        <v>1056</v>
      </c>
      <c r="K20" s="13" t="s">
        <v>24</v>
      </c>
      <c r="L20" s="10">
        <f>L16*L17+L19</f>
        <v>5810</v>
      </c>
      <c r="M20" s="11" t="s">
        <v>20</v>
      </c>
    </row>
    <row r="21" spans="2:13" ht="17.25" thickBot="1">
      <c r="B21" s="2">
        <v>20</v>
      </c>
      <c r="C21" t="s">
        <v>434</v>
      </c>
      <c r="D21" s="3"/>
      <c r="E21">
        <v>3</v>
      </c>
      <c r="F21" s="98">
        <f t="shared" si="0"/>
        <v>60</v>
      </c>
      <c r="G21">
        <f>VLOOKUP($C21,[1]약재관리!$A:$J,10,FALSE)</f>
        <v>7.5</v>
      </c>
      <c r="H21" s="4">
        <f t="shared" si="1"/>
        <v>22.5</v>
      </c>
      <c r="I21" s="5">
        <f t="shared" si="2"/>
        <v>450</v>
      </c>
      <c r="J21" s="90"/>
      <c r="M21" s="93"/>
    </row>
    <row r="22" spans="2:13" ht="17.25" thickBot="1">
      <c r="B22" s="2">
        <v>21</v>
      </c>
      <c r="C22" t="s">
        <v>435</v>
      </c>
      <c r="D22" s="3"/>
      <c r="E22">
        <v>2</v>
      </c>
      <c r="F22" s="98">
        <f t="shared" si="0"/>
        <v>40</v>
      </c>
      <c r="G22">
        <f>VLOOKUP($C22,[1]약재관리!$A:$J,10,FALSE)</f>
        <v>136.80000000000001</v>
      </c>
      <c r="H22" s="4">
        <f t="shared" si="1"/>
        <v>273.60000000000002</v>
      </c>
      <c r="I22" s="5">
        <f t="shared" si="2"/>
        <v>5472</v>
      </c>
      <c r="K22" s="174" t="s">
        <v>25</v>
      </c>
      <c r="L22" s="175"/>
      <c r="M22" s="176"/>
    </row>
    <row r="23" spans="2:13">
      <c r="B23" s="2">
        <v>22</v>
      </c>
      <c r="C23" t="s">
        <v>436</v>
      </c>
      <c r="D23" s="3"/>
      <c r="E23">
        <v>2</v>
      </c>
      <c r="F23" s="98">
        <f t="shared" si="0"/>
        <v>40</v>
      </c>
      <c r="G23">
        <f>VLOOKUP($C23,[1]약재관리!$A:$J,10,FALSE)</f>
        <v>10.8</v>
      </c>
      <c r="H23" s="4">
        <f t="shared" si="1"/>
        <v>21.6</v>
      </c>
      <c r="I23" s="5">
        <f t="shared" si="2"/>
        <v>432</v>
      </c>
      <c r="K23" s="90" t="s">
        <v>26</v>
      </c>
      <c r="L23">
        <f>SUM(F2:F31)</f>
        <v>1760</v>
      </c>
      <c r="M23" s="3" t="s">
        <v>22</v>
      </c>
    </row>
    <row r="24" spans="2:13">
      <c r="B24" s="2">
        <v>23</v>
      </c>
      <c r="C24" t="s">
        <v>437</v>
      </c>
      <c r="D24" s="3"/>
      <c r="E24">
        <v>2</v>
      </c>
      <c r="F24" s="98">
        <f t="shared" si="0"/>
        <v>40</v>
      </c>
      <c r="G24">
        <f>VLOOKUP($C24,[1]약재관리!$A:$J,10,FALSE)</f>
        <v>463.3</v>
      </c>
      <c r="H24" s="4">
        <f t="shared" si="1"/>
        <v>926.6</v>
      </c>
      <c r="I24" s="5">
        <f t="shared" si="2"/>
        <v>18532</v>
      </c>
      <c r="K24" s="90" t="s">
        <v>27</v>
      </c>
      <c r="L24">
        <v>5000</v>
      </c>
      <c r="M24" s="3" t="s">
        <v>20</v>
      </c>
    </row>
    <row r="25" spans="2:13">
      <c r="B25" s="2">
        <v>24</v>
      </c>
      <c r="D25" s="3"/>
      <c r="F25" s="98">
        <f t="shared" si="0"/>
        <v>0</v>
      </c>
      <c r="H25" s="4">
        <f t="shared" si="1"/>
        <v>0</v>
      </c>
      <c r="I25" s="5">
        <f t="shared" si="2"/>
        <v>0</v>
      </c>
      <c r="K25" s="90" t="s">
        <v>28</v>
      </c>
      <c r="L25" s="92" t="s">
        <v>29</v>
      </c>
      <c r="M25" s="3" t="s">
        <v>22</v>
      </c>
    </row>
    <row r="26" spans="2:13">
      <c r="B26" s="2">
        <v>25</v>
      </c>
      <c r="D26" s="3"/>
      <c r="F26" s="98">
        <f t="shared" si="0"/>
        <v>0</v>
      </c>
      <c r="H26" s="4">
        <f t="shared" si="1"/>
        <v>0</v>
      </c>
      <c r="I26" s="5">
        <f t="shared" si="2"/>
        <v>0</v>
      </c>
      <c r="K26" s="90" t="s">
        <v>30</v>
      </c>
      <c r="L26" s="92">
        <v>1600</v>
      </c>
      <c r="M26" s="3" t="s">
        <v>22</v>
      </c>
    </row>
    <row r="27" spans="2:13" ht="17.25" thickBot="1">
      <c r="B27" s="2">
        <v>26</v>
      </c>
      <c r="D27" s="3"/>
      <c r="F27" s="98">
        <f t="shared" si="0"/>
        <v>0</v>
      </c>
      <c r="H27" s="4">
        <f t="shared" si="1"/>
        <v>0</v>
      </c>
      <c r="I27" s="5">
        <f t="shared" si="2"/>
        <v>0</v>
      </c>
      <c r="K27" s="13" t="s">
        <v>31</v>
      </c>
      <c r="L27" s="10">
        <v>4</v>
      </c>
      <c r="M27" s="11" t="s">
        <v>22</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74" t="s">
        <v>32</v>
      </c>
      <c r="L29" s="175"/>
      <c r="M29" s="176"/>
    </row>
    <row r="30" spans="2:13">
      <c r="B30" s="2">
        <v>29</v>
      </c>
      <c r="D30" s="3"/>
      <c r="F30" s="98">
        <f t="shared" si="0"/>
        <v>0</v>
      </c>
      <c r="H30" s="4">
        <f t="shared" si="1"/>
        <v>0</v>
      </c>
      <c r="I30" s="5">
        <f t="shared" si="2"/>
        <v>0</v>
      </c>
      <c r="K30" s="90" t="s">
        <v>28</v>
      </c>
      <c r="L30" s="4">
        <f>SUM(H2:H31)</f>
        <v>3153.6</v>
      </c>
      <c r="M30" s="3" t="s">
        <v>33</v>
      </c>
    </row>
    <row r="31" spans="2:13" ht="17.25" thickBot="1">
      <c r="B31" s="12">
        <v>30</v>
      </c>
      <c r="C31" s="13"/>
      <c r="D31" s="11"/>
      <c r="E31" s="94"/>
      <c r="F31" s="99">
        <f t="shared" si="0"/>
        <v>0</v>
      </c>
      <c r="G31" s="10"/>
      <c r="H31" s="14">
        <f t="shared" si="1"/>
        <v>0</v>
      </c>
      <c r="I31" s="15">
        <f t="shared" si="2"/>
        <v>0</v>
      </c>
      <c r="K31" s="13" t="s">
        <v>34</v>
      </c>
      <c r="L31" s="14">
        <f>SUM(I2:I31)</f>
        <v>63072</v>
      </c>
      <c r="M31" s="11" t="s">
        <v>33</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8024-988C-435B-B32E-EBD112D10D9E}">
  <dimension ref="A1:N2379"/>
  <sheetViews>
    <sheetView topLeftCell="A66" zoomScaleNormal="100" workbookViewId="0">
      <selection activeCell="A84" sqref="A84"/>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3" t="s">
        <v>35</v>
      </c>
      <c r="B1" s="120" t="s">
        <v>36</v>
      </c>
      <c r="C1" s="16" t="s">
        <v>37</v>
      </c>
      <c r="D1" s="16" t="s">
        <v>38</v>
      </c>
      <c r="E1" s="17" t="s">
        <v>39</v>
      </c>
      <c r="F1" s="18" t="s">
        <v>36</v>
      </c>
      <c r="G1" s="19" t="s">
        <v>37</v>
      </c>
      <c r="H1" s="19" t="s">
        <v>38</v>
      </c>
      <c r="I1" s="20" t="s">
        <v>39</v>
      </c>
      <c r="J1" s="111" t="s">
        <v>40</v>
      </c>
      <c r="K1" s="21" t="s">
        <v>36</v>
      </c>
      <c r="L1" s="22" t="s">
        <v>37</v>
      </c>
      <c r="M1" s="22" t="s">
        <v>38</v>
      </c>
      <c r="N1" s="23" t="s">
        <v>39</v>
      </c>
    </row>
    <row r="2" spans="1:14" ht="15.75" customHeight="1" thickTop="1" thickBot="1">
      <c r="A2" s="114">
        <v>45902</v>
      </c>
      <c r="B2" s="121" t="s">
        <v>41</v>
      </c>
      <c r="C2" s="101" t="s">
        <v>42</v>
      </c>
      <c r="D2" s="101" t="s">
        <v>42</v>
      </c>
      <c r="E2" s="102" t="s">
        <v>42</v>
      </c>
      <c r="F2" s="103" t="s">
        <v>43</v>
      </c>
      <c r="G2" s="104" t="s">
        <v>43</v>
      </c>
      <c r="H2" s="104" t="s">
        <v>43</v>
      </c>
      <c r="I2" s="105" t="s">
        <v>43</v>
      </c>
      <c r="J2" s="106" t="s">
        <v>43</v>
      </c>
      <c r="K2" s="107" t="s">
        <v>44</v>
      </c>
      <c r="L2" s="108" t="s">
        <v>44</v>
      </c>
      <c r="M2" s="108" t="s">
        <v>45</v>
      </c>
      <c r="N2" s="109" t="s">
        <v>45</v>
      </c>
    </row>
    <row r="3" spans="1:14" ht="15.75" customHeight="1">
      <c r="A3" s="124" t="s">
        <v>408</v>
      </c>
      <c r="B3" s="125">
        <v>9900</v>
      </c>
      <c r="C3" s="25">
        <v>9000</v>
      </c>
      <c r="D3" s="25">
        <v>11000</v>
      </c>
      <c r="E3" s="26">
        <v>9900</v>
      </c>
      <c r="F3" s="27">
        <f t="shared" ref="F3:G19" si="0">B3/500</f>
        <v>19.8</v>
      </c>
      <c r="G3" s="28">
        <f t="shared" si="0"/>
        <v>18</v>
      </c>
      <c r="H3" s="28">
        <f t="shared" ref="H3:I33" si="1">D3/600</f>
        <v>18.333333333333332</v>
      </c>
      <c r="I3" s="29">
        <f t="shared" si="1"/>
        <v>16.5</v>
      </c>
      <c r="J3" s="30">
        <v>16.5</v>
      </c>
      <c r="K3" s="31"/>
      <c r="L3" s="32" t="s">
        <v>46</v>
      </c>
      <c r="M3" s="33" t="s">
        <v>47</v>
      </c>
      <c r="N3" s="34" t="s">
        <v>48</v>
      </c>
    </row>
    <row r="4" spans="1:14" ht="15.75" customHeight="1">
      <c r="A4" s="115" t="s">
        <v>49</v>
      </c>
      <c r="B4" s="122"/>
      <c r="C4" s="35">
        <v>10000</v>
      </c>
      <c r="D4" s="35"/>
      <c r="E4" s="36">
        <v>11700</v>
      </c>
      <c r="F4" s="112">
        <f t="shared" si="0"/>
        <v>0</v>
      </c>
      <c r="G4" s="37">
        <f t="shared" si="0"/>
        <v>20</v>
      </c>
      <c r="H4" s="37">
        <f t="shared" si="1"/>
        <v>0</v>
      </c>
      <c r="I4" s="38">
        <f t="shared" si="1"/>
        <v>19.5</v>
      </c>
      <c r="K4" s="40"/>
      <c r="L4" s="41"/>
      <c r="M4" s="41"/>
      <c r="N4" s="42"/>
    </row>
    <row r="5" spans="1:14" ht="15.75" customHeight="1">
      <c r="A5" s="115" t="s">
        <v>50</v>
      </c>
      <c r="B5" s="122"/>
      <c r="C5" s="35">
        <v>23400</v>
      </c>
      <c r="D5" s="35"/>
      <c r="E5" s="36">
        <v>27100</v>
      </c>
      <c r="F5" s="112">
        <f t="shared" si="0"/>
        <v>0</v>
      </c>
      <c r="G5" s="43">
        <f>C5/600</f>
        <v>39</v>
      </c>
      <c r="H5" s="37">
        <f t="shared" si="1"/>
        <v>0</v>
      </c>
      <c r="I5" s="38">
        <f t="shared" si="1"/>
        <v>45.166666666666664</v>
      </c>
      <c r="J5" s="39">
        <v>45.2</v>
      </c>
      <c r="K5" s="40"/>
      <c r="L5" s="41" t="s">
        <v>51</v>
      </c>
      <c r="M5" s="41"/>
      <c r="N5" s="42" t="s">
        <v>52</v>
      </c>
    </row>
    <row r="6" spans="1:14" ht="15.75" customHeight="1">
      <c r="A6" s="115" t="s">
        <v>53</v>
      </c>
      <c r="B6" s="122">
        <v>17500</v>
      </c>
      <c r="C6" s="35"/>
      <c r="D6" s="35">
        <v>17000</v>
      </c>
      <c r="E6" s="36">
        <v>25500</v>
      </c>
      <c r="F6" s="112">
        <f t="shared" si="0"/>
        <v>35</v>
      </c>
      <c r="G6" s="37">
        <f t="shared" si="0"/>
        <v>0</v>
      </c>
      <c r="H6" s="43">
        <f t="shared" si="1"/>
        <v>28.333333333333332</v>
      </c>
      <c r="I6" s="38">
        <f t="shared" si="1"/>
        <v>42.5</v>
      </c>
      <c r="J6" s="39">
        <v>28.3</v>
      </c>
      <c r="K6" s="40"/>
      <c r="L6" s="41"/>
      <c r="M6" s="110" t="s">
        <v>54</v>
      </c>
      <c r="N6" s="44" t="s">
        <v>55</v>
      </c>
    </row>
    <row r="7" spans="1:14" ht="15.75" customHeight="1">
      <c r="A7" s="115" t="s">
        <v>56</v>
      </c>
      <c r="B7" s="122">
        <v>27200</v>
      </c>
      <c r="C7" s="35">
        <v>24000</v>
      </c>
      <c r="D7" s="35">
        <v>24000</v>
      </c>
      <c r="E7" s="36"/>
      <c r="F7" s="112">
        <f t="shared" si="0"/>
        <v>54.4</v>
      </c>
      <c r="G7" s="37">
        <f t="shared" si="0"/>
        <v>48</v>
      </c>
      <c r="H7" s="37">
        <f t="shared" si="1"/>
        <v>40</v>
      </c>
      <c r="I7" s="45">
        <f t="shared" si="1"/>
        <v>0</v>
      </c>
      <c r="J7" s="39">
        <v>40</v>
      </c>
      <c r="K7" s="40"/>
      <c r="L7" s="41" t="s">
        <v>46</v>
      </c>
      <c r="M7" s="41" t="s">
        <v>57</v>
      </c>
      <c r="N7" s="44"/>
    </row>
    <row r="8" spans="1:14" ht="15.75" customHeight="1">
      <c r="A8" s="115" t="s">
        <v>58</v>
      </c>
      <c r="B8" s="122"/>
      <c r="C8" s="35">
        <v>23000</v>
      </c>
      <c r="D8" s="35">
        <v>21000</v>
      </c>
      <c r="E8" s="36">
        <v>27400</v>
      </c>
      <c r="F8" s="112">
        <f t="shared" si="0"/>
        <v>0</v>
      </c>
      <c r="G8" s="37">
        <f t="shared" si="0"/>
        <v>46</v>
      </c>
      <c r="H8" s="43">
        <f t="shared" si="1"/>
        <v>35</v>
      </c>
      <c r="I8" s="63">
        <f t="shared" si="1"/>
        <v>45.666666666666664</v>
      </c>
      <c r="J8" s="39">
        <v>45.7</v>
      </c>
      <c r="K8" s="40"/>
      <c r="L8" s="41" t="s">
        <v>59</v>
      </c>
      <c r="M8" s="41"/>
      <c r="N8" s="44" t="s">
        <v>46</v>
      </c>
    </row>
    <row r="9" spans="1:14" ht="15.75" customHeight="1">
      <c r="A9" s="115" t="s">
        <v>60</v>
      </c>
      <c r="B9" s="122"/>
      <c r="C9" s="35">
        <v>3300</v>
      </c>
      <c r="D9" s="35">
        <v>5000</v>
      </c>
      <c r="E9" s="36"/>
      <c r="F9" s="112">
        <f t="shared" si="0"/>
        <v>0</v>
      </c>
      <c r="G9" s="37">
        <f t="shared" si="0"/>
        <v>6.6</v>
      </c>
      <c r="H9" s="37">
        <f t="shared" si="1"/>
        <v>8.3333333333333339</v>
      </c>
      <c r="I9" s="38">
        <f t="shared" si="1"/>
        <v>0</v>
      </c>
      <c r="J9" s="39">
        <v>8.3000000000000007</v>
      </c>
      <c r="K9" s="40"/>
      <c r="L9" s="41"/>
      <c r="M9" s="46" t="s">
        <v>61</v>
      </c>
      <c r="N9" s="42"/>
    </row>
    <row r="10" spans="1:14" ht="15.75" customHeight="1">
      <c r="A10" s="115" t="s">
        <v>62</v>
      </c>
      <c r="B10" s="122"/>
      <c r="C10" s="35">
        <v>5200</v>
      </c>
      <c r="D10" s="35">
        <v>8000</v>
      </c>
      <c r="E10" s="36">
        <v>5900</v>
      </c>
      <c r="F10" s="112">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5" t="s">
        <v>64</v>
      </c>
      <c r="B11" s="122"/>
      <c r="C11" s="35">
        <v>16800</v>
      </c>
      <c r="D11" s="35">
        <v>16500</v>
      </c>
      <c r="E11" s="36">
        <v>20800</v>
      </c>
      <c r="F11" s="112">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5" t="s">
        <v>67</v>
      </c>
      <c r="B12" s="122">
        <v>19900</v>
      </c>
      <c r="C12" s="35">
        <v>5600</v>
      </c>
      <c r="D12" s="35">
        <v>11000</v>
      </c>
      <c r="E12" s="36">
        <v>8900</v>
      </c>
      <c r="F12" s="112">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5" t="s">
        <v>69</v>
      </c>
      <c r="B13" s="122"/>
      <c r="C13" s="35"/>
      <c r="D13" s="35"/>
      <c r="E13" s="36"/>
      <c r="F13" s="112">
        <f t="shared" si="0"/>
        <v>0</v>
      </c>
      <c r="G13" s="37">
        <f t="shared" si="0"/>
        <v>0</v>
      </c>
      <c r="H13" s="37">
        <f t="shared" si="1"/>
        <v>0</v>
      </c>
      <c r="I13" s="38">
        <f t="shared" si="1"/>
        <v>0</v>
      </c>
      <c r="K13" s="40"/>
      <c r="L13" s="41"/>
      <c r="M13" s="41"/>
      <c r="N13" s="42"/>
    </row>
    <row r="14" spans="1:14" ht="15.75" customHeight="1">
      <c r="A14" s="115" t="s">
        <v>410</v>
      </c>
      <c r="B14" s="122"/>
      <c r="C14" s="35"/>
      <c r="D14" s="35"/>
      <c r="E14" s="36"/>
      <c r="F14" s="112"/>
      <c r="G14" s="37"/>
      <c r="H14" s="37"/>
      <c r="I14" s="38"/>
      <c r="K14" s="40"/>
      <c r="L14" s="41"/>
      <c r="M14" s="41"/>
      <c r="N14" s="42"/>
    </row>
    <row r="15" spans="1:14" ht="15.75" customHeight="1">
      <c r="A15" s="115" t="s">
        <v>70</v>
      </c>
      <c r="B15" s="122">
        <v>4500</v>
      </c>
      <c r="C15" s="35">
        <v>2000</v>
      </c>
      <c r="D15" s="35">
        <v>3500</v>
      </c>
      <c r="E15" s="36">
        <v>2900</v>
      </c>
      <c r="F15" s="112">
        <f t="shared" si="0"/>
        <v>9</v>
      </c>
      <c r="G15" s="37">
        <f t="shared" si="0"/>
        <v>4</v>
      </c>
      <c r="H15" s="37">
        <f t="shared" si="1"/>
        <v>5.833333333333333</v>
      </c>
      <c r="I15" s="47">
        <f t="shared" si="1"/>
        <v>4.833333333333333</v>
      </c>
      <c r="J15" s="39">
        <v>4.8</v>
      </c>
      <c r="K15" s="40"/>
      <c r="L15" s="41" t="s">
        <v>71</v>
      </c>
      <c r="M15" s="46" t="s">
        <v>72</v>
      </c>
      <c r="N15" s="42" t="s">
        <v>73</v>
      </c>
    </row>
    <row r="16" spans="1:14" ht="15.75" customHeight="1">
      <c r="A16" s="115" t="s">
        <v>411</v>
      </c>
      <c r="B16" s="122"/>
      <c r="C16" s="35"/>
      <c r="D16" s="35"/>
      <c r="E16" s="36"/>
      <c r="F16" s="112"/>
      <c r="G16" s="37"/>
      <c r="H16" s="37"/>
      <c r="I16" s="47"/>
      <c r="K16" s="40"/>
      <c r="L16" s="41"/>
      <c r="M16" s="46"/>
      <c r="N16" s="42"/>
    </row>
    <row r="17" spans="1:14" ht="15.75" customHeight="1">
      <c r="A17" s="115" t="s">
        <v>74</v>
      </c>
      <c r="B17" s="122"/>
      <c r="C17" s="35">
        <v>10200</v>
      </c>
      <c r="D17" s="35"/>
      <c r="E17" s="36">
        <v>11100</v>
      </c>
      <c r="F17" s="112">
        <f t="shared" si="0"/>
        <v>0</v>
      </c>
      <c r="G17" s="37">
        <f>C17/600</f>
        <v>17</v>
      </c>
      <c r="H17" s="37">
        <f t="shared" si="1"/>
        <v>0</v>
      </c>
      <c r="I17" s="38">
        <f t="shared" si="1"/>
        <v>18.5</v>
      </c>
      <c r="J17" s="39">
        <v>17</v>
      </c>
      <c r="K17" s="40"/>
      <c r="L17" s="41" t="s">
        <v>75</v>
      </c>
      <c r="M17" s="41"/>
      <c r="N17" s="42" t="s">
        <v>52</v>
      </c>
    </row>
    <row r="18" spans="1:14" ht="15.75" customHeight="1">
      <c r="A18" s="115" t="s">
        <v>76</v>
      </c>
      <c r="B18" s="122"/>
      <c r="C18" s="35">
        <v>32000</v>
      </c>
      <c r="D18" s="35"/>
      <c r="E18" s="36">
        <v>41600</v>
      </c>
      <c r="F18" s="112">
        <f t="shared" si="0"/>
        <v>0</v>
      </c>
      <c r="G18" s="37">
        <f t="shared" si="0"/>
        <v>64</v>
      </c>
      <c r="H18" s="37">
        <f t="shared" si="1"/>
        <v>0</v>
      </c>
      <c r="I18" s="38">
        <f t="shared" si="1"/>
        <v>69.333333333333329</v>
      </c>
      <c r="J18" s="39">
        <v>64</v>
      </c>
      <c r="K18" s="40"/>
      <c r="L18" s="41" t="s">
        <v>77</v>
      </c>
      <c r="M18" s="41"/>
      <c r="N18" s="42" t="s">
        <v>48</v>
      </c>
    </row>
    <row r="19" spans="1:14" ht="15.75" customHeight="1">
      <c r="A19" s="115" t="s">
        <v>78</v>
      </c>
      <c r="B19" s="122"/>
      <c r="C19" s="35">
        <v>4500</v>
      </c>
      <c r="D19" s="35"/>
      <c r="E19" s="36"/>
      <c r="F19" s="112">
        <f t="shared" si="0"/>
        <v>0</v>
      </c>
      <c r="G19" s="37">
        <f t="shared" si="0"/>
        <v>9</v>
      </c>
      <c r="H19" s="37">
        <f t="shared" si="1"/>
        <v>0</v>
      </c>
      <c r="I19" s="38">
        <f t="shared" si="1"/>
        <v>0</v>
      </c>
      <c r="J19" s="39">
        <v>9</v>
      </c>
      <c r="K19" s="40"/>
      <c r="L19" s="41" t="s">
        <v>79</v>
      </c>
      <c r="M19" s="41"/>
      <c r="N19" s="42"/>
    </row>
    <row r="20" spans="1:14" ht="15.75" customHeight="1">
      <c r="A20" s="115" t="s">
        <v>80</v>
      </c>
      <c r="B20" s="122"/>
      <c r="C20" s="35"/>
      <c r="D20" s="35"/>
      <c r="E20" s="36"/>
      <c r="F20" s="112">
        <f t="shared" ref="F20:G52" si="2">B20/500</f>
        <v>0</v>
      </c>
      <c r="G20" s="37">
        <f t="shared" si="2"/>
        <v>0</v>
      </c>
      <c r="H20" s="37">
        <f t="shared" si="1"/>
        <v>0</v>
      </c>
      <c r="I20" s="38">
        <f t="shared" si="1"/>
        <v>0</v>
      </c>
      <c r="K20" s="40"/>
      <c r="L20" s="41"/>
      <c r="M20" s="41"/>
      <c r="N20" s="42"/>
    </row>
    <row r="21" spans="1:14" ht="15.75" customHeight="1">
      <c r="A21" s="115" t="s">
        <v>81</v>
      </c>
      <c r="B21" s="122"/>
      <c r="C21" s="35">
        <v>3500</v>
      </c>
      <c r="D21" s="35">
        <v>6500</v>
      </c>
      <c r="E21" s="36"/>
      <c r="F21" s="112">
        <f t="shared" si="2"/>
        <v>0</v>
      </c>
      <c r="G21" s="37">
        <f t="shared" si="2"/>
        <v>7</v>
      </c>
      <c r="H21" s="37">
        <f t="shared" si="1"/>
        <v>10.833333333333334</v>
      </c>
      <c r="I21" s="38">
        <f t="shared" si="1"/>
        <v>0</v>
      </c>
      <c r="J21" s="39">
        <v>10.8</v>
      </c>
      <c r="K21" s="40"/>
      <c r="L21" s="41"/>
      <c r="M21" s="46" t="s">
        <v>82</v>
      </c>
      <c r="N21" s="42"/>
    </row>
    <row r="22" spans="1:14" ht="15.75" customHeight="1">
      <c r="A22" s="115" t="s">
        <v>83</v>
      </c>
      <c r="B22" s="122">
        <v>6900</v>
      </c>
      <c r="C22" s="35">
        <v>5600</v>
      </c>
      <c r="D22" s="35"/>
      <c r="E22" s="36">
        <v>6900</v>
      </c>
      <c r="F22" s="148">
        <f t="shared" si="2"/>
        <v>13.8</v>
      </c>
      <c r="G22" s="37">
        <f t="shared" si="2"/>
        <v>11.2</v>
      </c>
      <c r="H22" s="37">
        <f t="shared" si="1"/>
        <v>0</v>
      </c>
      <c r="I22" s="38">
        <f t="shared" si="1"/>
        <v>11.5</v>
      </c>
      <c r="J22" s="39">
        <v>13.8</v>
      </c>
      <c r="K22" s="40"/>
      <c r="L22" s="41" t="s">
        <v>77</v>
      </c>
      <c r="M22" s="41"/>
      <c r="N22" s="42" t="s">
        <v>84</v>
      </c>
    </row>
    <row r="23" spans="1:14" ht="15.75" customHeight="1">
      <c r="A23" s="115" t="s">
        <v>85</v>
      </c>
      <c r="B23" s="122">
        <v>4600</v>
      </c>
      <c r="C23" s="35">
        <v>3500</v>
      </c>
      <c r="D23" s="35"/>
      <c r="E23" s="36">
        <v>4800</v>
      </c>
      <c r="F23" s="112">
        <f t="shared" si="2"/>
        <v>9.1999999999999993</v>
      </c>
      <c r="G23" s="37">
        <f t="shared" si="2"/>
        <v>7</v>
      </c>
      <c r="H23" s="37">
        <f t="shared" si="1"/>
        <v>0</v>
      </c>
      <c r="I23" s="38">
        <f t="shared" si="1"/>
        <v>8</v>
      </c>
      <c r="J23" s="39">
        <v>7</v>
      </c>
      <c r="K23" s="40" t="s">
        <v>86</v>
      </c>
      <c r="L23" s="41" t="s">
        <v>87</v>
      </c>
      <c r="M23" s="41"/>
      <c r="N23" s="42" t="s">
        <v>88</v>
      </c>
    </row>
    <row r="24" spans="1:14" ht="15.75" customHeight="1">
      <c r="A24" s="115" t="s">
        <v>89</v>
      </c>
      <c r="B24" s="122"/>
      <c r="C24" s="35">
        <v>46000</v>
      </c>
      <c r="D24" s="35">
        <v>73000</v>
      </c>
      <c r="E24" s="36">
        <v>75400</v>
      </c>
      <c r="F24" s="112">
        <f t="shared" si="2"/>
        <v>0</v>
      </c>
      <c r="G24" s="37">
        <f>C24/300</f>
        <v>153.33333333333334</v>
      </c>
      <c r="H24" s="43">
        <f t="shared" si="1"/>
        <v>121.66666666666667</v>
      </c>
      <c r="I24" s="38">
        <f t="shared" si="1"/>
        <v>125.66666666666667</v>
      </c>
      <c r="J24" s="39">
        <v>121.7</v>
      </c>
      <c r="K24" s="40"/>
      <c r="L24" s="41" t="s">
        <v>90</v>
      </c>
      <c r="M24" s="41"/>
      <c r="N24" s="42" t="s">
        <v>91</v>
      </c>
    </row>
    <row r="25" spans="1:14" ht="15.75" customHeight="1">
      <c r="A25" s="115" t="s">
        <v>92</v>
      </c>
      <c r="B25" s="122"/>
      <c r="C25" s="35"/>
      <c r="D25" s="35"/>
      <c r="E25" s="36"/>
      <c r="F25" s="112">
        <f t="shared" si="2"/>
        <v>0</v>
      </c>
      <c r="G25" s="37">
        <f>C25/500</f>
        <v>0</v>
      </c>
      <c r="H25" s="37">
        <f t="shared" si="1"/>
        <v>0</v>
      </c>
      <c r="I25" s="38">
        <f t="shared" si="1"/>
        <v>0</v>
      </c>
      <c r="K25" s="40"/>
      <c r="L25" s="41"/>
      <c r="M25" s="41"/>
      <c r="N25" s="42"/>
    </row>
    <row r="26" spans="1:14" ht="15.75" customHeight="1">
      <c r="A26" s="115" t="s">
        <v>93</v>
      </c>
      <c r="B26" s="122"/>
      <c r="C26" s="35"/>
      <c r="D26" s="35"/>
      <c r="E26" s="36"/>
      <c r="F26" s="112">
        <f t="shared" si="2"/>
        <v>0</v>
      </c>
      <c r="G26" s="37">
        <f>C26/500</f>
        <v>0</v>
      </c>
      <c r="H26" s="37">
        <f t="shared" si="1"/>
        <v>0</v>
      </c>
      <c r="I26" s="38">
        <f t="shared" si="1"/>
        <v>0</v>
      </c>
      <c r="J26" s="39">
        <v>5.3</v>
      </c>
      <c r="K26" s="40"/>
      <c r="L26" s="41"/>
      <c r="M26" s="41"/>
      <c r="N26" s="42"/>
    </row>
    <row r="27" spans="1:14" ht="15.75" customHeight="1">
      <c r="A27" s="115" t="s">
        <v>94</v>
      </c>
      <c r="B27" s="122">
        <v>14900</v>
      </c>
      <c r="C27" s="35">
        <v>8700</v>
      </c>
      <c r="D27" s="35">
        <v>9000</v>
      </c>
      <c r="E27" s="36">
        <v>8200</v>
      </c>
      <c r="F27" s="112">
        <f t="shared" si="2"/>
        <v>29.8</v>
      </c>
      <c r="G27" s="37">
        <f>C27/500</f>
        <v>17.399999999999999</v>
      </c>
      <c r="H27" s="37">
        <f t="shared" si="1"/>
        <v>15</v>
      </c>
      <c r="I27" s="47">
        <f t="shared" si="1"/>
        <v>13.666666666666666</v>
      </c>
      <c r="J27" s="39">
        <v>13.7</v>
      </c>
      <c r="K27" s="40"/>
      <c r="L27" s="41"/>
      <c r="M27" s="41"/>
      <c r="N27" s="44" t="s">
        <v>95</v>
      </c>
    </row>
    <row r="28" spans="1:14" ht="15.75" customHeight="1">
      <c r="A28" s="115" t="s">
        <v>96</v>
      </c>
      <c r="B28" s="122"/>
      <c r="C28" s="35"/>
      <c r="D28" s="35"/>
      <c r="E28" s="36"/>
      <c r="F28" s="112">
        <f t="shared" si="2"/>
        <v>0</v>
      </c>
      <c r="G28" s="37">
        <f>C28/500</f>
        <v>0</v>
      </c>
      <c r="H28" s="37">
        <f t="shared" si="1"/>
        <v>0</v>
      </c>
      <c r="I28" s="38">
        <f t="shared" si="1"/>
        <v>0</v>
      </c>
      <c r="K28" s="40"/>
      <c r="L28" s="41"/>
      <c r="M28" s="41"/>
      <c r="N28" s="42"/>
    </row>
    <row r="29" spans="1:14" ht="15.75" customHeight="1">
      <c r="A29" s="115" t="s">
        <v>97</v>
      </c>
      <c r="B29" s="122"/>
      <c r="C29" s="35">
        <v>12000</v>
      </c>
      <c r="D29" s="35"/>
      <c r="E29" s="36">
        <v>14300</v>
      </c>
      <c r="F29" s="112">
        <f t="shared" si="2"/>
        <v>0</v>
      </c>
      <c r="G29" s="37">
        <f>C29/500</f>
        <v>24</v>
      </c>
      <c r="H29" s="37">
        <f t="shared" si="1"/>
        <v>0</v>
      </c>
      <c r="I29" s="38">
        <f t="shared" si="1"/>
        <v>23.833333333333332</v>
      </c>
      <c r="K29" s="40"/>
      <c r="L29" s="41"/>
      <c r="M29" s="41"/>
      <c r="N29" s="42"/>
    </row>
    <row r="30" spans="1:14" ht="15.75" customHeight="1">
      <c r="A30" s="115" t="s">
        <v>98</v>
      </c>
      <c r="B30" s="122"/>
      <c r="C30" s="35">
        <v>20500</v>
      </c>
      <c r="D30" s="35">
        <v>19000</v>
      </c>
      <c r="E30" s="36"/>
      <c r="F30" s="112">
        <f t="shared" si="2"/>
        <v>0</v>
      </c>
      <c r="G30" s="37">
        <f>C30/600</f>
        <v>34.166666666666664</v>
      </c>
      <c r="H30" s="37">
        <f t="shared" si="1"/>
        <v>31.666666666666668</v>
      </c>
      <c r="I30" s="38">
        <f t="shared" si="1"/>
        <v>0</v>
      </c>
      <c r="J30" s="39">
        <v>31.7</v>
      </c>
      <c r="K30" s="40"/>
      <c r="L30" s="41" t="s">
        <v>99</v>
      </c>
      <c r="M30" s="41"/>
      <c r="N30" s="42"/>
    </row>
    <row r="31" spans="1:14" ht="15.75" customHeight="1">
      <c r="A31" s="115" t="s">
        <v>100</v>
      </c>
      <c r="B31" s="122"/>
      <c r="C31" s="35">
        <v>21500</v>
      </c>
      <c r="D31" s="35"/>
      <c r="E31" s="36">
        <v>30800</v>
      </c>
      <c r="F31" s="112">
        <f t="shared" si="2"/>
        <v>0</v>
      </c>
      <c r="G31" s="37">
        <f>C31/500</f>
        <v>43</v>
      </c>
      <c r="H31" s="37">
        <f t="shared" si="1"/>
        <v>0</v>
      </c>
      <c r="I31" s="38">
        <f t="shared" si="1"/>
        <v>51.333333333333336</v>
      </c>
      <c r="J31" s="39">
        <v>43</v>
      </c>
      <c r="K31" s="40"/>
      <c r="L31" s="41" t="s">
        <v>101</v>
      </c>
      <c r="M31" s="41"/>
      <c r="N31" s="42" t="s">
        <v>91</v>
      </c>
    </row>
    <row r="32" spans="1:14" ht="15.75" customHeight="1" thickBot="1">
      <c r="A32" s="126" t="s">
        <v>102</v>
      </c>
      <c r="B32" s="123">
        <v>11500</v>
      </c>
      <c r="C32" s="48">
        <v>12900</v>
      </c>
      <c r="D32" s="48">
        <v>7500</v>
      </c>
      <c r="E32" s="49">
        <v>6900</v>
      </c>
      <c r="F32" s="72">
        <f t="shared" si="2"/>
        <v>23</v>
      </c>
      <c r="G32" s="50">
        <f>C32/500</f>
        <v>25.8</v>
      </c>
      <c r="H32" s="50">
        <f t="shared" si="1"/>
        <v>12.5</v>
      </c>
      <c r="I32" s="135">
        <f t="shared" si="1"/>
        <v>11.5</v>
      </c>
      <c r="J32" s="51">
        <v>11.5</v>
      </c>
      <c r="K32" s="134" t="s">
        <v>103</v>
      </c>
      <c r="L32" s="52" t="s">
        <v>46</v>
      </c>
      <c r="M32" s="53" t="s">
        <v>104</v>
      </c>
      <c r="N32" s="133" t="s">
        <v>105</v>
      </c>
    </row>
    <row r="33" spans="1:14" ht="15.75" customHeight="1">
      <c r="A33" s="127" t="s">
        <v>106</v>
      </c>
      <c r="B33" s="125"/>
      <c r="C33" s="25">
        <v>3000</v>
      </c>
      <c r="D33" s="25">
        <v>4000</v>
      </c>
      <c r="E33" s="26">
        <v>4000</v>
      </c>
      <c r="F33" s="27">
        <f t="shared" si="2"/>
        <v>0</v>
      </c>
      <c r="G33" s="28">
        <f>C33/500</f>
        <v>6</v>
      </c>
      <c r="H33" s="144">
        <f t="shared" si="1"/>
        <v>6.666666666666667</v>
      </c>
      <c r="I33" s="55">
        <f t="shared" si="1"/>
        <v>6.666666666666667</v>
      </c>
      <c r="J33" s="30">
        <v>6</v>
      </c>
      <c r="K33" s="31"/>
      <c r="L33" s="32" t="s">
        <v>107</v>
      </c>
      <c r="M33" s="137" t="s">
        <v>108</v>
      </c>
      <c r="N33" s="34"/>
    </row>
    <row r="34" spans="1:14" ht="15.75" customHeight="1">
      <c r="A34" s="116" t="s">
        <v>109</v>
      </c>
      <c r="B34" s="122"/>
      <c r="C34" s="35">
        <v>13000</v>
      </c>
      <c r="D34" s="35">
        <v>13000</v>
      </c>
      <c r="E34" s="36"/>
      <c r="F34" s="112">
        <f t="shared" si="2"/>
        <v>0</v>
      </c>
      <c r="G34" s="43">
        <f>C34/500</f>
        <v>26</v>
      </c>
      <c r="H34" s="43">
        <f>D34/500</f>
        <v>26</v>
      </c>
      <c r="I34" s="38">
        <f t="shared" ref="I34:I49" si="3">E34/600</f>
        <v>0</v>
      </c>
      <c r="J34" s="39">
        <v>26</v>
      </c>
      <c r="K34" s="40"/>
      <c r="L34" s="56" t="s">
        <v>110</v>
      </c>
      <c r="M34" s="57" t="s">
        <v>111</v>
      </c>
      <c r="N34" s="42"/>
    </row>
    <row r="35" spans="1:14" ht="15.75" customHeight="1">
      <c r="A35" s="149" t="s">
        <v>412</v>
      </c>
      <c r="B35" s="150"/>
      <c r="C35" s="151"/>
      <c r="D35" s="151"/>
      <c r="E35" s="152"/>
      <c r="F35" s="153"/>
      <c r="G35" s="154"/>
      <c r="H35" s="154"/>
      <c r="I35" s="155"/>
      <c r="J35" s="156"/>
      <c r="K35" s="157"/>
      <c r="L35" s="158"/>
      <c r="M35" s="159"/>
      <c r="N35" s="160"/>
    </row>
    <row r="36" spans="1:14" ht="15.75" customHeight="1" thickBot="1">
      <c r="A36" s="128" t="s">
        <v>112</v>
      </c>
      <c r="B36" s="123"/>
      <c r="C36" s="48">
        <v>278000</v>
      </c>
      <c r="D36" s="48"/>
      <c r="E36" s="49"/>
      <c r="F36" s="72">
        <f t="shared" si="2"/>
        <v>0</v>
      </c>
      <c r="G36" s="58">
        <f>C36/600</f>
        <v>463.33333333333331</v>
      </c>
      <c r="H36" s="50">
        <f>D36/600</f>
        <v>0</v>
      </c>
      <c r="I36" s="59">
        <f t="shared" si="3"/>
        <v>0</v>
      </c>
      <c r="J36" s="51">
        <v>463.3</v>
      </c>
      <c r="K36" s="60"/>
      <c r="L36" s="138" t="s">
        <v>113</v>
      </c>
      <c r="M36" s="52"/>
      <c r="N36" s="61"/>
    </row>
    <row r="37" spans="1:14" ht="15.75" customHeight="1">
      <c r="A37" s="124" t="s">
        <v>114</v>
      </c>
      <c r="B37" s="125"/>
      <c r="C37" s="25">
        <v>6600</v>
      </c>
      <c r="D37" s="25"/>
      <c r="E37" s="26">
        <v>8900</v>
      </c>
      <c r="F37" s="27">
        <f t="shared" si="2"/>
        <v>0</v>
      </c>
      <c r="G37" s="28">
        <f>C37/500</f>
        <v>13.2</v>
      </c>
      <c r="H37" s="28">
        <f t="shared" ref="H37:H49" si="4">D37/600</f>
        <v>0</v>
      </c>
      <c r="I37" s="29">
        <f t="shared" si="3"/>
        <v>14.833333333333334</v>
      </c>
      <c r="J37" s="30">
        <v>14.8</v>
      </c>
      <c r="K37" s="31"/>
      <c r="L37" s="32" t="s">
        <v>115</v>
      </c>
      <c r="M37" s="32"/>
      <c r="N37" s="34" t="s">
        <v>91</v>
      </c>
    </row>
    <row r="38" spans="1:14" ht="15.75" customHeight="1">
      <c r="A38" s="115" t="s">
        <v>116</v>
      </c>
      <c r="B38" s="122"/>
      <c r="C38" s="35"/>
      <c r="D38" s="35">
        <v>8000</v>
      </c>
      <c r="E38" s="36"/>
      <c r="F38" s="112">
        <f t="shared" si="2"/>
        <v>0</v>
      </c>
      <c r="G38" s="37">
        <f>C38/500</f>
        <v>0</v>
      </c>
      <c r="H38" s="37">
        <f t="shared" si="4"/>
        <v>13.333333333333334</v>
      </c>
      <c r="I38" s="38">
        <f t="shared" si="3"/>
        <v>0</v>
      </c>
      <c r="J38" s="39">
        <v>13.3</v>
      </c>
      <c r="K38" s="40"/>
      <c r="L38" s="41"/>
      <c r="M38" s="46"/>
      <c r="N38" s="42"/>
    </row>
    <row r="39" spans="1:14" ht="15.75" customHeight="1">
      <c r="A39" s="115" t="s">
        <v>117</v>
      </c>
      <c r="B39" s="122">
        <v>14900</v>
      </c>
      <c r="C39" s="35">
        <v>12700</v>
      </c>
      <c r="D39" s="35">
        <v>15000</v>
      </c>
      <c r="E39" s="36">
        <v>16300</v>
      </c>
      <c r="F39" s="112">
        <f t="shared" si="2"/>
        <v>29.8</v>
      </c>
      <c r="G39" s="37">
        <f>C39/500</f>
        <v>25.4</v>
      </c>
      <c r="H39" s="37">
        <f t="shared" si="4"/>
        <v>25</v>
      </c>
      <c r="I39" s="47">
        <f t="shared" si="3"/>
        <v>27.166666666666668</v>
      </c>
      <c r="J39" s="39">
        <v>27.2</v>
      </c>
      <c r="K39" s="40"/>
      <c r="L39" s="41" t="s">
        <v>46</v>
      </c>
      <c r="M39" s="41"/>
      <c r="N39" s="62" t="s">
        <v>46</v>
      </c>
    </row>
    <row r="40" spans="1:14" ht="15.75" customHeight="1">
      <c r="A40" s="115" t="s">
        <v>118</v>
      </c>
      <c r="B40" s="122"/>
      <c r="C40" s="35">
        <v>12700</v>
      </c>
      <c r="D40" s="35"/>
      <c r="E40" s="36">
        <v>13800</v>
      </c>
      <c r="F40" s="112">
        <f t="shared" si="2"/>
        <v>0</v>
      </c>
      <c r="G40" s="37">
        <f>C40/500</f>
        <v>25.4</v>
      </c>
      <c r="H40" s="37">
        <f t="shared" si="4"/>
        <v>0</v>
      </c>
      <c r="I40" s="47">
        <f t="shared" si="3"/>
        <v>23</v>
      </c>
      <c r="J40" s="39">
        <v>23</v>
      </c>
      <c r="K40" s="40"/>
      <c r="L40" s="41" t="s">
        <v>46</v>
      </c>
      <c r="M40" s="41"/>
      <c r="N40" s="42" t="s">
        <v>46</v>
      </c>
    </row>
    <row r="41" spans="1:14" ht="15.75" customHeight="1">
      <c r="A41" s="115" t="s">
        <v>119</v>
      </c>
      <c r="B41" s="122"/>
      <c r="C41" s="35">
        <v>26000</v>
      </c>
      <c r="D41" s="35">
        <v>32000</v>
      </c>
      <c r="E41" s="36">
        <v>35500</v>
      </c>
      <c r="F41" s="112">
        <f t="shared" si="2"/>
        <v>0</v>
      </c>
      <c r="G41" s="37">
        <f>C41/600</f>
        <v>43.333333333333336</v>
      </c>
      <c r="H41" s="37">
        <f t="shared" si="4"/>
        <v>53.333333333333336</v>
      </c>
      <c r="I41" s="38">
        <f t="shared" si="3"/>
        <v>59.166666666666664</v>
      </c>
      <c r="J41" s="39">
        <v>43.3</v>
      </c>
      <c r="K41" s="40"/>
      <c r="L41" s="41" t="s">
        <v>120</v>
      </c>
      <c r="M41" s="46"/>
      <c r="N41" s="42" t="s">
        <v>121</v>
      </c>
    </row>
    <row r="42" spans="1:14" ht="15.75" customHeight="1">
      <c r="A42" s="115" t="s">
        <v>122</v>
      </c>
      <c r="B42" s="122"/>
      <c r="C42" s="35">
        <v>13000</v>
      </c>
      <c r="D42" s="35"/>
      <c r="E42" s="36">
        <v>15800</v>
      </c>
      <c r="F42" s="112">
        <f t="shared" si="2"/>
        <v>0</v>
      </c>
      <c r="G42" s="43">
        <f t="shared" si="2"/>
        <v>26</v>
      </c>
      <c r="H42" s="37">
        <f t="shared" si="4"/>
        <v>0</v>
      </c>
      <c r="I42" s="38">
        <f t="shared" si="3"/>
        <v>26.333333333333332</v>
      </c>
      <c r="J42" s="39">
        <v>26</v>
      </c>
      <c r="K42" s="40"/>
      <c r="L42" s="41" t="s">
        <v>52</v>
      </c>
      <c r="M42" s="41"/>
      <c r="N42" s="42" t="s">
        <v>52</v>
      </c>
    </row>
    <row r="43" spans="1:14" ht="15.75" customHeight="1">
      <c r="A43" s="115" t="s">
        <v>123</v>
      </c>
      <c r="B43" s="122"/>
      <c r="C43" s="35"/>
      <c r="D43" s="35">
        <v>4000</v>
      </c>
      <c r="E43" s="36">
        <v>3200</v>
      </c>
      <c r="F43" s="112">
        <f t="shared" si="2"/>
        <v>0</v>
      </c>
      <c r="G43" s="37">
        <f t="shared" si="2"/>
        <v>0</v>
      </c>
      <c r="H43" s="37">
        <f t="shared" si="4"/>
        <v>6.666666666666667</v>
      </c>
      <c r="I43" s="38">
        <f t="shared" si="3"/>
        <v>5.333333333333333</v>
      </c>
      <c r="J43" s="39">
        <v>5.3</v>
      </c>
      <c r="K43" s="40"/>
      <c r="L43" s="41"/>
      <c r="M43" s="46"/>
      <c r="N43" s="42" t="s">
        <v>124</v>
      </c>
    </row>
    <row r="44" spans="1:14" ht="15.75" customHeight="1">
      <c r="A44" s="115" t="s">
        <v>125</v>
      </c>
      <c r="B44" s="122"/>
      <c r="C44" s="35">
        <v>10300</v>
      </c>
      <c r="D44" s="35">
        <v>10000</v>
      </c>
      <c r="E44" s="36">
        <v>12500</v>
      </c>
      <c r="F44" s="112">
        <f t="shared" si="2"/>
        <v>0</v>
      </c>
      <c r="G44" s="37">
        <f t="shared" si="2"/>
        <v>20.6</v>
      </c>
      <c r="H44" s="37">
        <f t="shared" si="4"/>
        <v>16.666666666666668</v>
      </c>
      <c r="I44" s="47">
        <f t="shared" si="3"/>
        <v>20.833333333333332</v>
      </c>
      <c r="J44" s="39">
        <v>20.8</v>
      </c>
      <c r="K44" s="40"/>
      <c r="L44" s="41" t="s">
        <v>126</v>
      </c>
      <c r="M44" s="46" t="s">
        <v>65</v>
      </c>
      <c r="N44" s="42" t="s">
        <v>127</v>
      </c>
    </row>
    <row r="45" spans="1:14" ht="15.75" customHeight="1">
      <c r="A45" s="115" t="s">
        <v>128</v>
      </c>
      <c r="B45" s="122"/>
      <c r="C45" s="35">
        <v>4500</v>
      </c>
      <c r="D45" s="35">
        <v>9500</v>
      </c>
      <c r="E45" s="36">
        <v>7800</v>
      </c>
      <c r="F45" s="112">
        <f t="shared" si="2"/>
        <v>0</v>
      </c>
      <c r="G45" s="37">
        <f t="shared" si="2"/>
        <v>9</v>
      </c>
      <c r="H45" s="37">
        <f t="shared" si="4"/>
        <v>15.833333333333334</v>
      </c>
      <c r="I45" s="47">
        <f t="shared" si="3"/>
        <v>13</v>
      </c>
      <c r="J45" s="39">
        <v>13</v>
      </c>
      <c r="K45" s="40"/>
      <c r="L45" s="41"/>
      <c r="M45" s="46" t="s">
        <v>129</v>
      </c>
      <c r="N45" s="42" t="s">
        <v>130</v>
      </c>
    </row>
    <row r="46" spans="1:14" ht="15.75" customHeight="1">
      <c r="A46" s="115" t="s">
        <v>131</v>
      </c>
      <c r="B46" s="122"/>
      <c r="C46" s="35">
        <v>6200</v>
      </c>
      <c r="D46" s="35">
        <v>8000</v>
      </c>
      <c r="E46" s="36"/>
      <c r="F46" s="112">
        <f t="shared" si="2"/>
        <v>0</v>
      </c>
      <c r="G46" s="37">
        <f t="shared" si="2"/>
        <v>12.4</v>
      </c>
      <c r="H46" s="37">
        <f t="shared" si="4"/>
        <v>13.333333333333334</v>
      </c>
      <c r="I46" s="38">
        <f t="shared" si="3"/>
        <v>0</v>
      </c>
      <c r="J46" s="39">
        <v>13.3</v>
      </c>
      <c r="K46" s="40"/>
      <c r="L46" s="41"/>
      <c r="M46" s="46" t="s">
        <v>104</v>
      </c>
      <c r="N46" s="42"/>
    </row>
    <row r="47" spans="1:14" ht="15.75" customHeight="1">
      <c r="A47" s="115" t="s">
        <v>132</v>
      </c>
      <c r="B47" s="122"/>
      <c r="C47" s="35">
        <v>15600</v>
      </c>
      <c r="D47" s="35">
        <v>19000</v>
      </c>
      <c r="E47" s="36">
        <v>18000</v>
      </c>
      <c r="F47" s="112">
        <f t="shared" si="2"/>
        <v>0</v>
      </c>
      <c r="G47" s="43">
        <f t="shared" si="2"/>
        <v>31.2</v>
      </c>
      <c r="H47" s="37">
        <f t="shared" si="4"/>
        <v>31.666666666666668</v>
      </c>
      <c r="I47" s="38">
        <f t="shared" si="3"/>
        <v>30</v>
      </c>
      <c r="J47" s="39">
        <v>31.2</v>
      </c>
      <c r="K47" s="40"/>
      <c r="L47" s="41" t="s">
        <v>46</v>
      </c>
      <c r="M47" s="41" t="s">
        <v>65</v>
      </c>
      <c r="N47" s="42"/>
    </row>
    <row r="48" spans="1:14" ht="15.75" customHeight="1">
      <c r="A48" s="115" t="s">
        <v>133</v>
      </c>
      <c r="B48" s="122"/>
      <c r="C48" s="35"/>
      <c r="D48" s="35">
        <v>7000</v>
      </c>
      <c r="E48" s="36"/>
      <c r="F48" s="112">
        <f t="shared" si="2"/>
        <v>0</v>
      </c>
      <c r="G48" s="37">
        <f t="shared" si="2"/>
        <v>0</v>
      </c>
      <c r="H48" s="37">
        <f t="shared" si="4"/>
        <v>11.666666666666666</v>
      </c>
      <c r="I48" s="38">
        <f t="shared" si="3"/>
        <v>0</v>
      </c>
      <c r="J48" s="39">
        <v>11.7</v>
      </c>
      <c r="K48" s="40"/>
      <c r="L48" s="41"/>
      <c r="M48" s="46"/>
      <c r="N48" s="42"/>
    </row>
    <row r="49" spans="1:14" ht="15.75" customHeight="1">
      <c r="A49" s="115" t="s">
        <v>134</v>
      </c>
      <c r="B49" s="122">
        <v>10700</v>
      </c>
      <c r="C49" s="35">
        <v>5700</v>
      </c>
      <c r="D49" s="35">
        <v>9500</v>
      </c>
      <c r="E49" s="36">
        <v>6800</v>
      </c>
      <c r="F49" s="112">
        <f t="shared" si="2"/>
        <v>21.4</v>
      </c>
      <c r="G49" s="37">
        <f t="shared" si="2"/>
        <v>11.4</v>
      </c>
      <c r="H49" s="37">
        <f t="shared" si="4"/>
        <v>15.833333333333334</v>
      </c>
      <c r="I49" s="47">
        <f t="shared" si="3"/>
        <v>11.333333333333334</v>
      </c>
      <c r="J49" s="39">
        <v>21.4</v>
      </c>
      <c r="K49" s="40" t="s">
        <v>407</v>
      </c>
      <c r="L49" s="41" t="s">
        <v>135</v>
      </c>
      <c r="M49" s="41" t="s">
        <v>136</v>
      </c>
      <c r="N49" s="42" t="s">
        <v>137</v>
      </c>
    </row>
    <row r="50" spans="1:14" ht="15.75" customHeight="1" thickBot="1">
      <c r="A50" s="126" t="s">
        <v>138</v>
      </c>
      <c r="B50" s="123"/>
      <c r="C50" s="48">
        <v>6500</v>
      </c>
      <c r="D50" s="48">
        <v>7000</v>
      </c>
      <c r="E50" s="49">
        <v>6700</v>
      </c>
      <c r="F50" s="72">
        <f t="shared" si="2"/>
        <v>0</v>
      </c>
      <c r="G50" s="58">
        <f>C50/100</f>
        <v>65</v>
      </c>
      <c r="H50" s="50">
        <f>D50/100</f>
        <v>70</v>
      </c>
      <c r="I50" s="59">
        <f>E50/100</f>
        <v>67</v>
      </c>
      <c r="J50" s="51">
        <v>65</v>
      </c>
      <c r="K50" s="60"/>
      <c r="L50" s="52" t="s">
        <v>139</v>
      </c>
      <c r="M50" s="53" t="s">
        <v>140</v>
      </c>
      <c r="N50" s="61" t="s">
        <v>141</v>
      </c>
    </row>
    <row r="51" spans="1:14" ht="15.75" customHeight="1">
      <c r="A51" s="127" t="s">
        <v>142</v>
      </c>
      <c r="B51" s="125"/>
      <c r="C51" s="25">
        <v>4000</v>
      </c>
      <c r="D51" s="25"/>
      <c r="E51" s="26">
        <v>5100</v>
      </c>
      <c r="F51" s="27">
        <f t="shared" si="2"/>
        <v>0</v>
      </c>
      <c r="G51" s="54">
        <f>C51/500</f>
        <v>8</v>
      </c>
      <c r="H51" s="28">
        <f t="shared" ref="H51:I55" si="5">D51/600</f>
        <v>0</v>
      </c>
      <c r="I51" s="55">
        <f t="shared" si="5"/>
        <v>8.5</v>
      </c>
      <c r="J51" s="30">
        <v>8</v>
      </c>
      <c r="K51" s="31"/>
      <c r="L51" s="32" t="s">
        <v>52</v>
      </c>
      <c r="M51" s="32"/>
      <c r="N51" s="34" t="s">
        <v>91</v>
      </c>
    </row>
    <row r="52" spans="1:14" ht="15.75" customHeight="1">
      <c r="A52" s="116" t="s">
        <v>143</v>
      </c>
      <c r="B52" s="122"/>
      <c r="C52" s="35">
        <v>4200</v>
      </c>
      <c r="D52" s="35">
        <v>7500</v>
      </c>
      <c r="E52" s="36">
        <v>5000</v>
      </c>
      <c r="F52" s="112">
        <f t="shared" si="2"/>
        <v>0</v>
      </c>
      <c r="G52" s="37">
        <f>C52/500</f>
        <v>8.4</v>
      </c>
      <c r="H52" s="37">
        <f t="shared" si="5"/>
        <v>12.5</v>
      </c>
      <c r="I52" s="47">
        <f t="shared" si="5"/>
        <v>8.3333333333333339</v>
      </c>
      <c r="J52" s="39">
        <v>8.5</v>
      </c>
      <c r="K52" s="40"/>
      <c r="L52" s="41" t="s">
        <v>52</v>
      </c>
      <c r="M52" s="46"/>
      <c r="N52" s="42" t="s">
        <v>144</v>
      </c>
    </row>
    <row r="53" spans="1:14" ht="15.75" customHeight="1">
      <c r="A53" s="116" t="s">
        <v>145</v>
      </c>
      <c r="B53" s="122"/>
      <c r="C53" s="35">
        <v>13200</v>
      </c>
      <c r="D53" s="35"/>
      <c r="E53" s="36">
        <v>15800</v>
      </c>
      <c r="F53" s="112">
        <f t="shared" ref="F53:G87" si="6">B53/500</f>
        <v>0</v>
      </c>
      <c r="G53" s="37">
        <f>C53/500</f>
        <v>26.4</v>
      </c>
      <c r="H53" s="37">
        <f t="shared" si="5"/>
        <v>0</v>
      </c>
      <c r="I53" s="38">
        <f t="shared" si="5"/>
        <v>26.333333333333332</v>
      </c>
      <c r="J53" s="39">
        <v>26.3</v>
      </c>
      <c r="K53" s="40"/>
      <c r="L53" s="41" t="s">
        <v>146</v>
      </c>
      <c r="M53" s="41"/>
      <c r="N53" s="42" t="s">
        <v>147</v>
      </c>
    </row>
    <row r="54" spans="1:14" ht="15.75" customHeight="1">
      <c r="A54" s="116" t="s">
        <v>148</v>
      </c>
      <c r="B54" s="122"/>
      <c r="C54" s="35">
        <v>3000</v>
      </c>
      <c r="D54" s="35">
        <v>4000</v>
      </c>
      <c r="E54" s="36"/>
      <c r="F54" s="112">
        <f t="shared" si="6"/>
        <v>0</v>
      </c>
      <c r="G54" s="37">
        <f>C54/600</f>
        <v>5</v>
      </c>
      <c r="H54" s="37">
        <f t="shared" si="5"/>
        <v>6.666666666666667</v>
      </c>
      <c r="I54" s="38">
        <f t="shared" si="5"/>
        <v>0</v>
      </c>
      <c r="J54" s="39">
        <v>5</v>
      </c>
      <c r="K54" s="40"/>
      <c r="L54" s="41" t="s">
        <v>149</v>
      </c>
      <c r="M54" s="41"/>
      <c r="N54" s="42"/>
    </row>
    <row r="55" spans="1:14" ht="15.75" customHeight="1">
      <c r="A55" s="116" t="s">
        <v>150</v>
      </c>
      <c r="B55" s="122"/>
      <c r="C55" s="35">
        <v>19600</v>
      </c>
      <c r="D55" s="35">
        <v>39000</v>
      </c>
      <c r="E55" s="36">
        <v>23500</v>
      </c>
      <c r="F55" s="112">
        <f t="shared" si="6"/>
        <v>0</v>
      </c>
      <c r="G55" s="37">
        <f>C55/500</f>
        <v>39.200000000000003</v>
      </c>
      <c r="H55" s="37">
        <f t="shared" si="5"/>
        <v>65</v>
      </c>
      <c r="I55" s="38">
        <f t="shared" si="5"/>
        <v>39.166666666666664</v>
      </c>
      <c r="J55" s="39">
        <v>44.3</v>
      </c>
      <c r="K55" s="40"/>
      <c r="L55" s="41" t="s">
        <v>151</v>
      </c>
      <c r="M55" s="46" t="s">
        <v>65</v>
      </c>
      <c r="N55" s="44" t="s">
        <v>152</v>
      </c>
    </row>
    <row r="56" spans="1:14" ht="15.75" customHeight="1">
      <c r="A56" s="116" t="s">
        <v>153</v>
      </c>
      <c r="B56" s="122"/>
      <c r="C56" s="35">
        <v>8000</v>
      </c>
      <c r="D56" s="35">
        <v>7500</v>
      </c>
      <c r="F56" s="112">
        <f t="shared" si="6"/>
        <v>0</v>
      </c>
      <c r="G56" s="37">
        <f>C56/1000</f>
        <v>8</v>
      </c>
      <c r="H56" s="43">
        <f>D56/1000</f>
        <v>7.5</v>
      </c>
      <c r="I56" s="38">
        <f>E55/1000</f>
        <v>23.5</v>
      </c>
      <c r="J56" s="39">
        <v>7.5</v>
      </c>
      <c r="K56" s="40"/>
      <c r="L56" s="41" t="s">
        <v>154</v>
      </c>
      <c r="M56" s="46" t="s">
        <v>154</v>
      </c>
      <c r="N56" s="44" t="s">
        <v>155</v>
      </c>
    </row>
    <row r="57" spans="1:14" ht="15.75" customHeight="1">
      <c r="A57" s="116" t="s">
        <v>156</v>
      </c>
      <c r="B57" s="122"/>
      <c r="C57" s="35">
        <v>4700</v>
      </c>
      <c r="D57" s="35">
        <v>7000</v>
      </c>
      <c r="E57" s="36">
        <v>5900</v>
      </c>
      <c r="F57" s="112">
        <f t="shared" si="6"/>
        <v>0</v>
      </c>
      <c r="G57" s="37">
        <f>C57/500</f>
        <v>9.4</v>
      </c>
      <c r="H57" s="37">
        <f t="shared" ref="H57:I63" si="7">D57/600</f>
        <v>11.666666666666666</v>
      </c>
      <c r="I57" s="38">
        <f t="shared" si="7"/>
        <v>9.8333333333333339</v>
      </c>
      <c r="J57" s="39">
        <v>9.8000000000000007</v>
      </c>
      <c r="K57" s="40"/>
      <c r="L57" s="41"/>
      <c r="M57" s="41"/>
      <c r="N57" s="42"/>
    </row>
    <row r="58" spans="1:14" ht="15.75" customHeight="1">
      <c r="A58" s="116" t="s">
        <v>157</v>
      </c>
      <c r="B58" s="122"/>
      <c r="C58" s="35">
        <v>8000</v>
      </c>
      <c r="D58" s="35">
        <v>8000</v>
      </c>
      <c r="E58" s="36"/>
      <c r="F58" s="112">
        <f t="shared" si="6"/>
        <v>0</v>
      </c>
      <c r="G58" s="37">
        <f>C58/1000</f>
        <v>8</v>
      </c>
      <c r="H58" s="37">
        <f>D58/1000</f>
        <v>8</v>
      </c>
      <c r="I58" s="38">
        <f t="shared" si="7"/>
        <v>0</v>
      </c>
      <c r="J58" s="39">
        <v>8</v>
      </c>
      <c r="K58" s="40"/>
      <c r="L58" s="41" t="s">
        <v>155</v>
      </c>
      <c r="M58" s="41"/>
      <c r="N58" s="42"/>
    </row>
    <row r="59" spans="1:14" ht="15.75" customHeight="1">
      <c r="A59" s="116" t="s">
        <v>158</v>
      </c>
      <c r="B59" s="122">
        <v>18500</v>
      </c>
      <c r="C59" s="35">
        <v>14000</v>
      </c>
      <c r="D59" s="35">
        <v>19000</v>
      </c>
      <c r="E59" s="36">
        <v>20200</v>
      </c>
      <c r="F59" s="112">
        <f t="shared" si="6"/>
        <v>37</v>
      </c>
      <c r="G59" s="37">
        <f>C59/500</f>
        <v>28</v>
      </c>
      <c r="H59" s="37">
        <f t="shared" si="7"/>
        <v>31.666666666666668</v>
      </c>
      <c r="I59" s="47">
        <f t="shared" si="7"/>
        <v>33.666666666666664</v>
      </c>
      <c r="J59" s="39">
        <v>28</v>
      </c>
      <c r="K59" s="40"/>
      <c r="L59" s="41" t="s">
        <v>79</v>
      </c>
      <c r="M59" s="46"/>
      <c r="N59" s="42" t="s">
        <v>91</v>
      </c>
    </row>
    <row r="60" spans="1:14" ht="15.75" customHeight="1">
      <c r="A60" s="116" t="s">
        <v>159</v>
      </c>
      <c r="B60" s="122"/>
      <c r="C60" s="35">
        <v>5400</v>
      </c>
      <c r="D60" s="35">
        <v>7000</v>
      </c>
      <c r="E60" s="36">
        <v>6400</v>
      </c>
      <c r="F60" s="112">
        <f t="shared" si="6"/>
        <v>0</v>
      </c>
      <c r="G60" s="37">
        <f>C60/500</f>
        <v>10.8</v>
      </c>
      <c r="H60" s="37">
        <f t="shared" si="7"/>
        <v>11.666666666666666</v>
      </c>
      <c r="I60" s="38">
        <f t="shared" si="7"/>
        <v>10.666666666666666</v>
      </c>
      <c r="J60" s="39">
        <v>10.7</v>
      </c>
      <c r="K60" s="40"/>
      <c r="L60" s="41"/>
      <c r="M60" s="46" t="s">
        <v>160</v>
      </c>
      <c r="N60" s="62" t="s">
        <v>161</v>
      </c>
    </row>
    <row r="61" spans="1:14" ht="15.75" customHeight="1">
      <c r="A61" s="116" t="s">
        <v>162</v>
      </c>
      <c r="B61" s="122"/>
      <c r="C61" s="35">
        <v>6000</v>
      </c>
      <c r="D61" s="35">
        <v>8500</v>
      </c>
      <c r="E61" s="36">
        <v>7300</v>
      </c>
      <c r="F61" s="112">
        <f t="shared" si="6"/>
        <v>0</v>
      </c>
      <c r="G61" s="37">
        <f>C61/600</f>
        <v>10</v>
      </c>
      <c r="H61" s="37">
        <f t="shared" si="7"/>
        <v>14.166666666666666</v>
      </c>
      <c r="I61" s="47">
        <f t="shared" si="7"/>
        <v>12.166666666666666</v>
      </c>
      <c r="J61" s="39">
        <v>12.2</v>
      </c>
      <c r="K61" s="40"/>
      <c r="L61" s="41" t="s">
        <v>113</v>
      </c>
      <c r="M61" s="46" t="s">
        <v>160</v>
      </c>
      <c r="N61" s="42" t="s">
        <v>91</v>
      </c>
    </row>
    <row r="62" spans="1:14" ht="15.75" customHeight="1" thickBot="1">
      <c r="A62" s="128" t="s">
        <v>163</v>
      </c>
      <c r="B62" s="123"/>
      <c r="C62" s="48"/>
      <c r="D62" s="48"/>
      <c r="E62" s="49">
        <v>10500</v>
      </c>
      <c r="F62" s="72">
        <f t="shared" si="6"/>
        <v>0</v>
      </c>
      <c r="G62" s="50">
        <f t="shared" si="6"/>
        <v>0</v>
      </c>
      <c r="H62" s="50">
        <f t="shared" si="7"/>
        <v>0</v>
      </c>
      <c r="I62" s="59">
        <f t="shared" si="7"/>
        <v>17.5</v>
      </c>
      <c r="J62" s="51">
        <v>17.5</v>
      </c>
      <c r="K62" s="60"/>
      <c r="L62" s="52"/>
      <c r="M62" s="52"/>
      <c r="N62" s="61" t="s">
        <v>91</v>
      </c>
    </row>
    <row r="63" spans="1:14" ht="15.75" customHeight="1">
      <c r="A63" s="124" t="s">
        <v>164</v>
      </c>
      <c r="B63" s="125"/>
      <c r="C63" s="25">
        <v>8500</v>
      </c>
      <c r="D63" s="25"/>
      <c r="E63" s="26">
        <v>10800</v>
      </c>
      <c r="F63" s="27">
        <f t="shared" si="6"/>
        <v>0</v>
      </c>
      <c r="G63" s="54">
        <f t="shared" si="6"/>
        <v>17</v>
      </c>
      <c r="H63" s="28">
        <f t="shared" si="7"/>
        <v>0</v>
      </c>
      <c r="I63" s="55">
        <f t="shared" si="7"/>
        <v>18</v>
      </c>
      <c r="J63" s="30">
        <v>21.8</v>
      </c>
      <c r="K63" s="31"/>
      <c r="L63" s="32" t="s">
        <v>46</v>
      </c>
      <c r="M63" s="32"/>
      <c r="N63" s="34" t="s">
        <v>165</v>
      </c>
    </row>
    <row r="64" spans="1:14" ht="15.75" customHeight="1">
      <c r="A64" s="115" t="s">
        <v>166</v>
      </c>
      <c r="B64" s="122"/>
      <c r="C64" s="35">
        <v>20500</v>
      </c>
      <c r="D64" s="35">
        <v>26500</v>
      </c>
      <c r="E64" s="36">
        <v>20500</v>
      </c>
      <c r="F64" s="112">
        <f t="shared" si="6"/>
        <v>0</v>
      </c>
      <c r="G64" s="71">
        <f t="shared" si="6"/>
        <v>41</v>
      </c>
      <c r="H64" s="71">
        <f>D64/500</f>
        <v>53</v>
      </c>
      <c r="I64" s="38">
        <f>E64/500</f>
        <v>41</v>
      </c>
      <c r="J64" s="39">
        <v>41</v>
      </c>
      <c r="K64" s="40"/>
      <c r="L64" s="110" t="s">
        <v>167</v>
      </c>
      <c r="M64" s="110" t="s">
        <v>168</v>
      </c>
      <c r="N64" s="42" t="s">
        <v>169</v>
      </c>
    </row>
    <row r="65" spans="1:14" ht="15.75" customHeight="1">
      <c r="A65" s="115" t="s">
        <v>170</v>
      </c>
      <c r="B65" s="122"/>
      <c r="C65" s="35"/>
      <c r="D65" s="35"/>
      <c r="E65" s="36">
        <v>42100</v>
      </c>
      <c r="F65" s="112">
        <f t="shared" si="6"/>
        <v>0</v>
      </c>
      <c r="G65" s="37">
        <f t="shared" si="6"/>
        <v>0</v>
      </c>
      <c r="H65" s="37">
        <f t="shared" ref="H65:I104" si="8">D65/600</f>
        <v>0</v>
      </c>
      <c r="I65" s="47">
        <f t="shared" si="8"/>
        <v>70.166666666666671</v>
      </c>
      <c r="J65" s="39">
        <v>70.2</v>
      </c>
      <c r="K65" s="40"/>
      <c r="L65" s="41"/>
      <c r="M65" s="41"/>
      <c r="N65" s="42" t="s">
        <v>171</v>
      </c>
    </row>
    <row r="66" spans="1:14" ht="15.75" customHeight="1">
      <c r="A66" s="115" t="s">
        <v>172</v>
      </c>
      <c r="B66" s="122"/>
      <c r="C66" s="35">
        <v>3000</v>
      </c>
      <c r="D66" s="35"/>
      <c r="E66" s="36">
        <v>3500</v>
      </c>
      <c r="F66" s="112">
        <f t="shared" si="6"/>
        <v>0</v>
      </c>
      <c r="G66" s="37">
        <f t="shared" si="6"/>
        <v>6</v>
      </c>
      <c r="H66" s="37">
        <f t="shared" si="8"/>
        <v>0</v>
      </c>
      <c r="I66" s="47">
        <f t="shared" si="8"/>
        <v>5.833333333333333</v>
      </c>
      <c r="J66" s="39">
        <v>5.8</v>
      </c>
      <c r="K66" s="40"/>
      <c r="L66" s="56" t="s">
        <v>52</v>
      </c>
      <c r="M66" s="41"/>
      <c r="N66" s="42" t="s">
        <v>52</v>
      </c>
    </row>
    <row r="67" spans="1:14" ht="15.75" customHeight="1">
      <c r="A67" s="115" t="s">
        <v>173</v>
      </c>
      <c r="B67" s="122"/>
      <c r="C67" s="35"/>
      <c r="D67" s="35"/>
      <c r="E67" s="36"/>
      <c r="F67" s="112">
        <f t="shared" si="6"/>
        <v>0</v>
      </c>
      <c r="G67" s="37">
        <f t="shared" si="6"/>
        <v>0</v>
      </c>
      <c r="H67" s="37">
        <f t="shared" si="8"/>
        <v>0</v>
      </c>
      <c r="I67" s="63">
        <f t="shared" si="8"/>
        <v>0</v>
      </c>
      <c r="K67" s="40"/>
      <c r="L67" s="41"/>
      <c r="M67" s="41"/>
      <c r="N67" s="42"/>
    </row>
    <row r="68" spans="1:14" ht="15.75" customHeight="1">
      <c r="A68" s="115" t="s">
        <v>174</v>
      </c>
      <c r="B68" s="122"/>
      <c r="C68" s="35">
        <v>5900</v>
      </c>
      <c r="D68" s="35"/>
      <c r="E68" s="36">
        <v>7000</v>
      </c>
      <c r="F68" s="112">
        <f t="shared" si="6"/>
        <v>0</v>
      </c>
      <c r="G68" s="37">
        <f t="shared" si="6"/>
        <v>11.8</v>
      </c>
      <c r="H68" s="37">
        <f t="shared" si="8"/>
        <v>0</v>
      </c>
      <c r="I68" s="47">
        <f t="shared" si="8"/>
        <v>11.666666666666666</v>
      </c>
      <c r="J68" s="39">
        <v>13.2</v>
      </c>
      <c r="K68" s="40"/>
      <c r="L68" s="41"/>
      <c r="M68" s="41"/>
      <c r="N68" s="42" t="s">
        <v>91</v>
      </c>
    </row>
    <row r="69" spans="1:14" ht="15.75" customHeight="1">
      <c r="A69" s="115" t="s">
        <v>175</v>
      </c>
      <c r="B69" s="122"/>
      <c r="C69" s="35">
        <v>11300</v>
      </c>
      <c r="D69" s="35">
        <v>14000</v>
      </c>
      <c r="E69" s="36"/>
      <c r="F69" s="112">
        <f t="shared" si="6"/>
        <v>0</v>
      </c>
      <c r="G69" s="37">
        <f t="shared" si="6"/>
        <v>22.6</v>
      </c>
      <c r="H69" s="37">
        <f t="shared" si="8"/>
        <v>23.333333333333332</v>
      </c>
      <c r="I69" s="38">
        <f t="shared" si="8"/>
        <v>0</v>
      </c>
      <c r="J69" s="39">
        <v>22.6</v>
      </c>
      <c r="K69" s="40"/>
      <c r="L69" s="41" t="s">
        <v>46</v>
      </c>
      <c r="M69" s="46"/>
      <c r="N69" s="42"/>
    </row>
    <row r="70" spans="1:14" ht="15.75" customHeight="1">
      <c r="A70" s="115" t="s">
        <v>176</v>
      </c>
      <c r="B70" s="122"/>
      <c r="C70" s="35">
        <v>14000</v>
      </c>
      <c r="D70" s="35"/>
      <c r="E70" s="36"/>
      <c r="F70" s="112">
        <f t="shared" si="6"/>
        <v>0</v>
      </c>
      <c r="G70" s="37">
        <f t="shared" si="6"/>
        <v>28</v>
      </c>
      <c r="H70" s="37">
        <f t="shared" si="8"/>
        <v>0</v>
      </c>
      <c r="I70" s="38">
        <f t="shared" si="8"/>
        <v>0</v>
      </c>
      <c r="J70" s="39">
        <v>28</v>
      </c>
      <c r="K70" s="40"/>
      <c r="L70" s="41" t="s">
        <v>68</v>
      </c>
      <c r="M70" s="41"/>
      <c r="N70" s="42"/>
    </row>
    <row r="71" spans="1:14" ht="15.75" customHeight="1">
      <c r="A71" s="115" t="s">
        <v>177</v>
      </c>
      <c r="B71" s="122"/>
      <c r="C71" s="35">
        <v>3600</v>
      </c>
      <c r="D71" s="35"/>
      <c r="E71" s="36">
        <v>3800</v>
      </c>
      <c r="F71" s="112">
        <f t="shared" si="6"/>
        <v>0</v>
      </c>
      <c r="G71" s="37">
        <f t="shared" si="6"/>
        <v>7.2</v>
      </c>
      <c r="H71" s="37">
        <f t="shared" si="8"/>
        <v>0</v>
      </c>
      <c r="I71" s="38">
        <f t="shared" si="8"/>
        <v>6.333333333333333</v>
      </c>
      <c r="J71" s="39">
        <v>6.3</v>
      </c>
      <c r="K71" s="40"/>
      <c r="L71" s="41" t="s">
        <v>178</v>
      </c>
      <c r="M71" s="41"/>
      <c r="N71" s="42"/>
    </row>
    <row r="72" spans="1:14" ht="15.75" customHeight="1">
      <c r="A72" s="115" t="s">
        <v>179</v>
      </c>
      <c r="B72" s="122"/>
      <c r="C72" s="35">
        <v>10500</v>
      </c>
      <c r="D72" s="35"/>
      <c r="E72" s="36">
        <v>12600</v>
      </c>
      <c r="F72" s="112">
        <f t="shared" si="6"/>
        <v>0</v>
      </c>
      <c r="G72" s="37">
        <f t="shared" si="6"/>
        <v>21</v>
      </c>
      <c r="H72" s="37">
        <f t="shared" si="8"/>
        <v>0</v>
      </c>
      <c r="I72" s="38">
        <f t="shared" si="8"/>
        <v>21</v>
      </c>
      <c r="J72" s="39">
        <v>21</v>
      </c>
      <c r="K72" s="40"/>
      <c r="L72" s="41" t="s">
        <v>180</v>
      </c>
      <c r="M72" s="41"/>
      <c r="N72" s="42" t="s">
        <v>181</v>
      </c>
    </row>
    <row r="73" spans="1:14" ht="15.75" customHeight="1">
      <c r="A73" s="115" t="s">
        <v>413</v>
      </c>
      <c r="B73" s="122"/>
      <c r="C73" s="35"/>
      <c r="D73" s="35"/>
      <c r="E73" s="36"/>
      <c r="F73" s="112"/>
      <c r="G73" s="37"/>
      <c r="H73" s="37"/>
      <c r="I73" s="38"/>
      <c r="K73" s="40"/>
      <c r="L73" s="41"/>
      <c r="M73" s="41"/>
      <c r="N73" s="42"/>
    </row>
    <row r="74" spans="1:14" ht="15.75" customHeight="1">
      <c r="A74" s="115" t="s">
        <v>182</v>
      </c>
      <c r="B74" s="122"/>
      <c r="C74" s="35">
        <v>10700</v>
      </c>
      <c r="D74" s="35">
        <v>15000</v>
      </c>
      <c r="E74" s="36"/>
      <c r="F74" s="112">
        <f t="shared" si="6"/>
        <v>0</v>
      </c>
      <c r="G74" s="37">
        <f t="shared" si="6"/>
        <v>21.4</v>
      </c>
      <c r="H74" s="37">
        <f t="shared" si="8"/>
        <v>25</v>
      </c>
      <c r="I74" s="38">
        <f t="shared" si="8"/>
        <v>0</v>
      </c>
      <c r="J74" s="39">
        <v>23.3</v>
      </c>
      <c r="K74" s="40"/>
      <c r="L74" s="41"/>
      <c r="M74" s="41"/>
      <c r="N74" s="42"/>
    </row>
    <row r="75" spans="1:14" ht="15.75" customHeight="1">
      <c r="A75" s="115" t="s">
        <v>183</v>
      </c>
      <c r="B75" s="122"/>
      <c r="C75" s="35"/>
      <c r="D75" s="35"/>
      <c r="E75" s="36"/>
      <c r="F75" s="112">
        <f t="shared" si="6"/>
        <v>0</v>
      </c>
      <c r="G75" s="37">
        <f t="shared" si="6"/>
        <v>0</v>
      </c>
      <c r="H75" s="37">
        <f t="shared" si="8"/>
        <v>0</v>
      </c>
      <c r="I75" s="38">
        <f t="shared" si="8"/>
        <v>0</v>
      </c>
      <c r="K75" s="40"/>
      <c r="L75" s="41"/>
      <c r="M75" s="41"/>
      <c r="N75" s="42"/>
    </row>
    <row r="76" spans="1:14" ht="15.75" customHeight="1">
      <c r="A76" s="115" t="s">
        <v>409</v>
      </c>
      <c r="B76" s="122"/>
      <c r="C76" s="35"/>
      <c r="D76" s="35"/>
      <c r="E76" s="36"/>
      <c r="F76" s="112"/>
      <c r="G76" s="37"/>
      <c r="H76" s="37"/>
      <c r="I76" s="38"/>
      <c r="K76" s="40"/>
      <c r="L76" s="41"/>
      <c r="M76" s="41"/>
      <c r="N76" s="42"/>
    </row>
    <row r="77" spans="1:14" ht="15.75" customHeight="1">
      <c r="A77" s="115" t="s">
        <v>184</v>
      </c>
      <c r="B77" s="122"/>
      <c r="C77" s="35">
        <v>21500</v>
      </c>
      <c r="D77" s="35">
        <v>32000</v>
      </c>
      <c r="E77" s="36">
        <v>27500</v>
      </c>
      <c r="F77" s="112">
        <f t="shared" si="6"/>
        <v>0</v>
      </c>
      <c r="G77" s="43">
        <f t="shared" si="6"/>
        <v>43</v>
      </c>
      <c r="H77" s="37">
        <f t="shared" si="8"/>
        <v>53.333333333333336</v>
      </c>
      <c r="I77" s="38">
        <f t="shared" si="8"/>
        <v>45.833333333333336</v>
      </c>
      <c r="J77" s="39">
        <v>43</v>
      </c>
      <c r="K77" s="40"/>
      <c r="L77" s="41" t="s">
        <v>185</v>
      </c>
      <c r="M77" s="46"/>
      <c r="N77" s="42"/>
    </row>
    <row r="78" spans="1:14" ht="15.75" customHeight="1">
      <c r="A78" s="115" t="s">
        <v>186</v>
      </c>
      <c r="B78" s="122">
        <v>9800</v>
      </c>
      <c r="C78" s="35">
        <v>9000</v>
      </c>
      <c r="D78" s="35">
        <v>15000</v>
      </c>
      <c r="E78" s="36">
        <v>9200</v>
      </c>
      <c r="F78" s="112">
        <f t="shared" si="6"/>
        <v>19.600000000000001</v>
      </c>
      <c r="G78" s="37">
        <f t="shared" si="6"/>
        <v>18</v>
      </c>
      <c r="H78" s="37">
        <f t="shared" si="8"/>
        <v>25</v>
      </c>
      <c r="I78" s="47">
        <f t="shared" si="8"/>
        <v>15.333333333333334</v>
      </c>
      <c r="J78" s="39">
        <v>19.600000000000001</v>
      </c>
      <c r="K78" s="64" t="s">
        <v>187</v>
      </c>
      <c r="L78" s="41" t="s">
        <v>188</v>
      </c>
      <c r="M78" s="41"/>
      <c r="N78" s="42" t="s">
        <v>48</v>
      </c>
    </row>
    <row r="79" spans="1:14" ht="15.75" customHeight="1">
      <c r="A79" s="115" t="s">
        <v>189</v>
      </c>
      <c r="B79" s="122">
        <v>16900</v>
      </c>
      <c r="C79" s="35">
        <v>13200</v>
      </c>
      <c r="D79" s="35">
        <v>16500</v>
      </c>
      <c r="E79" s="36">
        <v>16300</v>
      </c>
      <c r="F79" s="112">
        <f t="shared" si="6"/>
        <v>33.799999999999997</v>
      </c>
      <c r="G79" s="37">
        <f t="shared" si="6"/>
        <v>26.4</v>
      </c>
      <c r="H79" s="43">
        <f t="shared" si="8"/>
        <v>27.5</v>
      </c>
      <c r="I79" s="38">
        <f t="shared" si="8"/>
        <v>27.166666666666668</v>
      </c>
      <c r="J79" s="39">
        <v>26.4</v>
      </c>
      <c r="K79" s="40"/>
      <c r="L79" s="41" t="s">
        <v>77</v>
      </c>
      <c r="M79" s="41" t="s">
        <v>65</v>
      </c>
      <c r="N79" s="42" t="s">
        <v>46</v>
      </c>
    </row>
    <row r="80" spans="1:14" ht="15.75" customHeight="1">
      <c r="A80" s="115" t="s">
        <v>190</v>
      </c>
      <c r="B80" s="122"/>
      <c r="C80" s="35"/>
      <c r="D80" s="35"/>
      <c r="E80" s="36">
        <v>9600</v>
      </c>
      <c r="F80" s="112">
        <f t="shared" si="6"/>
        <v>0</v>
      </c>
      <c r="G80" s="37">
        <f t="shared" si="6"/>
        <v>0</v>
      </c>
      <c r="H80" s="37">
        <f t="shared" si="8"/>
        <v>0</v>
      </c>
      <c r="I80" s="38">
        <f t="shared" si="8"/>
        <v>16</v>
      </c>
      <c r="J80" s="39">
        <v>16</v>
      </c>
      <c r="K80" s="40"/>
      <c r="L80" s="41"/>
      <c r="M80" s="41"/>
      <c r="N80" s="42"/>
    </row>
    <row r="81" spans="1:14" ht="15.75" customHeight="1">
      <c r="A81" s="115" t="s">
        <v>191</v>
      </c>
      <c r="B81" s="122"/>
      <c r="C81" s="35">
        <v>14000</v>
      </c>
      <c r="D81" s="35">
        <v>16000</v>
      </c>
      <c r="E81" s="36">
        <v>16700</v>
      </c>
      <c r="F81" s="112">
        <f t="shared" si="6"/>
        <v>0</v>
      </c>
      <c r="G81" s="37">
        <f t="shared" si="6"/>
        <v>28</v>
      </c>
      <c r="H81" s="37">
        <f t="shared" si="8"/>
        <v>26.666666666666668</v>
      </c>
      <c r="I81" s="38">
        <f t="shared" si="8"/>
        <v>27.833333333333332</v>
      </c>
      <c r="J81" s="39">
        <v>30.3</v>
      </c>
      <c r="K81" s="40"/>
      <c r="L81" s="41"/>
      <c r="M81" s="41"/>
      <c r="N81" s="42" t="s">
        <v>91</v>
      </c>
    </row>
    <row r="82" spans="1:14" ht="15.75" customHeight="1">
      <c r="A82" s="115" t="s">
        <v>192</v>
      </c>
      <c r="B82" s="122"/>
      <c r="C82" s="35">
        <v>6300</v>
      </c>
      <c r="D82" s="35"/>
      <c r="E82" s="36"/>
      <c r="F82" s="112">
        <f t="shared" si="6"/>
        <v>0</v>
      </c>
      <c r="G82" s="37">
        <f>C82/600</f>
        <v>10.5</v>
      </c>
      <c r="H82" s="37">
        <f t="shared" si="8"/>
        <v>0</v>
      </c>
      <c r="I82" s="38">
        <f t="shared" si="8"/>
        <v>0</v>
      </c>
      <c r="J82" s="39">
        <v>10.5</v>
      </c>
      <c r="K82" s="40"/>
      <c r="L82" s="41" t="s">
        <v>193</v>
      </c>
      <c r="M82" s="41"/>
      <c r="N82" s="42"/>
    </row>
    <row r="83" spans="1:14" ht="15.75" customHeight="1">
      <c r="A83" s="115" t="s">
        <v>194</v>
      </c>
      <c r="B83" s="122"/>
      <c r="C83" s="35">
        <v>23000</v>
      </c>
      <c r="D83" s="35"/>
      <c r="E83" s="36">
        <v>29900</v>
      </c>
      <c r="F83" s="112">
        <f t="shared" si="6"/>
        <v>0</v>
      </c>
      <c r="G83" s="43">
        <f>C83/500</f>
        <v>46</v>
      </c>
      <c r="H83" s="37">
        <f t="shared" si="8"/>
        <v>0</v>
      </c>
      <c r="I83" s="38">
        <f t="shared" si="8"/>
        <v>49.833333333333336</v>
      </c>
      <c r="J83" s="39">
        <v>49.8</v>
      </c>
      <c r="K83" s="40"/>
      <c r="L83" s="41" t="s">
        <v>46</v>
      </c>
      <c r="M83" s="41"/>
      <c r="N83" s="42" t="s">
        <v>195</v>
      </c>
    </row>
    <row r="84" spans="1:14" ht="15.75" customHeight="1">
      <c r="A84" s="115" t="s">
        <v>406</v>
      </c>
      <c r="B84" s="122"/>
      <c r="C84" s="35">
        <v>10000</v>
      </c>
      <c r="D84" s="35"/>
      <c r="E84" s="36"/>
      <c r="F84" s="112">
        <f t="shared" si="6"/>
        <v>0</v>
      </c>
      <c r="G84" s="43">
        <f>C84/600</f>
        <v>16.666666666666668</v>
      </c>
      <c r="H84" s="37">
        <f t="shared" si="8"/>
        <v>0</v>
      </c>
      <c r="I84" s="38">
        <f t="shared" si="8"/>
        <v>0</v>
      </c>
      <c r="J84" s="39">
        <v>16.7</v>
      </c>
      <c r="K84" s="40"/>
      <c r="L84" s="41" t="s">
        <v>261</v>
      </c>
      <c r="M84" s="41"/>
      <c r="N84" s="42"/>
    </row>
    <row r="85" spans="1:14" ht="15.75" customHeight="1">
      <c r="A85" s="115" t="s">
        <v>196</v>
      </c>
      <c r="B85" s="122"/>
      <c r="C85" s="35">
        <v>20500</v>
      </c>
      <c r="D85" s="35"/>
      <c r="E85" s="36">
        <v>16600</v>
      </c>
      <c r="F85" s="112">
        <f t="shared" si="6"/>
        <v>0</v>
      </c>
      <c r="G85" s="37">
        <f>C85/600</f>
        <v>34.166666666666664</v>
      </c>
      <c r="H85" s="37">
        <f t="shared" si="8"/>
        <v>0</v>
      </c>
      <c r="I85" s="38">
        <f t="shared" si="8"/>
        <v>27.666666666666668</v>
      </c>
      <c r="K85" s="40"/>
      <c r="L85" s="41" t="s">
        <v>197</v>
      </c>
      <c r="M85" s="41"/>
      <c r="N85" s="42" t="s">
        <v>61</v>
      </c>
    </row>
    <row r="86" spans="1:14" ht="15.75" customHeight="1">
      <c r="A86" s="115" t="s">
        <v>198</v>
      </c>
      <c r="B86" s="122">
        <v>9900</v>
      </c>
      <c r="C86" s="35">
        <v>4400</v>
      </c>
      <c r="D86" s="35">
        <v>7000</v>
      </c>
      <c r="E86" s="36">
        <v>5400</v>
      </c>
      <c r="F86" s="112">
        <f t="shared" si="6"/>
        <v>19.8</v>
      </c>
      <c r="G86" s="37">
        <f t="shared" si="6"/>
        <v>8.8000000000000007</v>
      </c>
      <c r="H86" s="37">
        <f t="shared" si="8"/>
        <v>11.666666666666666</v>
      </c>
      <c r="I86" s="47">
        <f t="shared" si="8"/>
        <v>9</v>
      </c>
      <c r="J86" s="39">
        <v>9</v>
      </c>
      <c r="K86" s="88" t="s">
        <v>199</v>
      </c>
      <c r="L86" s="46"/>
      <c r="M86" s="41"/>
      <c r="N86" s="44" t="s">
        <v>91</v>
      </c>
    </row>
    <row r="87" spans="1:14" ht="15.75" customHeight="1">
      <c r="A87" s="115" t="s">
        <v>200</v>
      </c>
      <c r="B87" s="122"/>
      <c r="C87" s="35">
        <v>5200</v>
      </c>
      <c r="D87" s="35"/>
      <c r="E87" s="36"/>
      <c r="F87" s="112">
        <f t="shared" si="6"/>
        <v>0</v>
      </c>
      <c r="G87" s="37">
        <f t="shared" si="6"/>
        <v>10.4</v>
      </c>
      <c r="H87" s="37">
        <f t="shared" si="8"/>
        <v>0</v>
      </c>
      <c r="I87" s="38">
        <f t="shared" si="8"/>
        <v>0</v>
      </c>
      <c r="J87" s="39">
        <v>10.4</v>
      </c>
      <c r="K87" s="40"/>
      <c r="L87" s="41" t="s">
        <v>201</v>
      </c>
      <c r="M87" s="41"/>
      <c r="N87" s="42"/>
    </row>
    <row r="88" spans="1:14" ht="15.75" customHeight="1">
      <c r="A88" s="115" t="s">
        <v>202</v>
      </c>
      <c r="B88" s="122"/>
      <c r="C88" s="35"/>
      <c r="D88" s="35">
        <v>16000</v>
      </c>
      <c r="E88" s="36"/>
      <c r="F88" s="112">
        <f t="shared" ref="F88:G120" si="9">B88/500</f>
        <v>0</v>
      </c>
      <c r="G88" s="37">
        <f t="shared" si="9"/>
        <v>0</v>
      </c>
      <c r="H88" s="37">
        <f t="shared" si="8"/>
        <v>26.666666666666668</v>
      </c>
      <c r="I88" s="38">
        <f t="shared" si="8"/>
        <v>0</v>
      </c>
      <c r="K88" s="40"/>
      <c r="L88" s="41"/>
      <c r="M88" s="46"/>
      <c r="N88" s="42"/>
    </row>
    <row r="89" spans="1:14" ht="15.75" customHeight="1">
      <c r="A89" s="115" t="s">
        <v>203</v>
      </c>
      <c r="B89" s="122"/>
      <c r="C89" s="35">
        <v>4500</v>
      </c>
      <c r="D89" s="35">
        <v>6500</v>
      </c>
      <c r="E89" s="36">
        <v>5900</v>
      </c>
      <c r="F89" s="112">
        <f t="shared" si="9"/>
        <v>0</v>
      </c>
      <c r="G89" s="37">
        <f t="shared" si="9"/>
        <v>9</v>
      </c>
      <c r="H89" s="37">
        <f t="shared" si="8"/>
        <v>10.833333333333334</v>
      </c>
      <c r="I89" s="38">
        <f t="shared" si="8"/>
        <v>9.8333333333333339</v>
      </c>
      <c r="J89" s="39">
        <v>10.8</v>
      </c>
      <c r="K89" s="40"/>
      <c r="L89" s="41" t="s">
        <v>52</v>
      </c>
      <c r="M89" s="41"/>
      <c r="N89" s="42" t="s">
        <v>68</v>
      </c>
    </row>
    <row r="90" spans="1:14" ht="15.75" customHeight="1">
      <c r="A90" s="115" t="s">
        <v>204</v>
      </c>
      <c r="B90" s="122"/>
      <c r="C90" s="35"/>
      <c r="D90" s="35"/>
      <c r="E90" s="36">
        <v>6200</v>
      </c>
      <c r="F90" s="112"/>
      <c r="G90" s="37"/>
      <c r="H90" s="37"/>
      <c r="I90" s="38">
        <f t="shared" si="8"/>
        <v>10.333333333333334</v>
      </c>
      <c r="J90" s="39">
        <v>10.3</v>
      </c>
      <c r="K90" s="40"/>
      <c r="L90" s="41"/>
      <c r="M90" s="41"/>
      <c r="N90" s="42"/>
    </row>
    <row r="91" spans="1:14" ht="15.75" customHeight="1">
      <c r="A91" s="115" t="s">
        <v>205</v>
      </c>
      <c r="B91" s="122"/>
      <c r="C91" s="35"/>
      <c r="D91" s="35">
        <v>11000</v>
      </c>
      <c r="E91" s="36">
        <v>11900</v>
      </c>
      <c r="F91" s="112">
        <f t="shared" si="9"/>
        <v>0</v>
      </c>
      <c r="G91" s="37">
        <f t="shared" si="9"/>
        <v>0</v>
      </c>
      <c r="H91" s="43">
        <f t="shared" si="8"/>
        <v>18.333333333333332</v>
      </c>
      <c r="I91" s="38">
        <f t="shared" si="8"/>
        <v>19.833333333333332</v>
      </c>
      <c r="J91" s="39">
        <v>18.3</v>
      </c>
      <c r="K91" s="40"/>
      <c r="L91" s="41"/>
      <c r="M91" s="46" t="s">
        <v>206</v>
      </c>
      <c r="N91" s="42" t="s">
        <v>207</v>
      </c>
    </row>
    <row r="92" spans="1:14" ht="15.75" customHeight="1" thickBot="1">
      <c r="A92" s="126" t="s">
        <v>208</v>
      </c>
      <c r="B92" s="123"/>
      <c r="C92" s="48">
        <v>4200</v>
      </c>
      <c r="D92" s="48">
        <v>7000</v>
      </c>
      <c r="E92" s="49">
        <v>5000</v>
      </c>
      <c r="F92" s="72">
        <f t="shared" si="9"/>
        <v>0</v>
      </c>
      <c r="G92" s="50">
        <f t="shared" si="9"/>
        <v>8.4</v>
      </c>
      <c r="H92" s="50">
        <f t="shared" si="8"/>
        <v>11.666666666666666</v>
      </c>
      <c r="I92" s="59">
        <f t="shared" si="8"/>
        <v>8.3333333333333339</v>
      </c>
      <c r="J92" s="51">
        <v>8.3000000000000007</v>
      </c>
      <c r="K92" s="60"/>
      <c r="L92" s="52"/>
      <c r="M92" s="52"/>
      <c r="N92" s="61" t="s">
        <v>124</v>
      </c>
    </row>
    <row r="93" spans="1:14" ht="15.75" customHeight="1">
      <c r="A93" s="127" t="s">
        <v>209</v>
      </c>
      <c r="B93" s="125"/>
      <c r="C93" s="25">
        <v>10500</v>
      </c>
      <c r="D93" s="25">
        <v>16500</v>
      </c>
      <c r="E93" s="26">
        <v>12600</v>
      </c>
      <c r="F93" s="27">
        <f t="shared" si="9"/>
        <v>0</v>
      </c>
      <c r="G93" s="28">
        <f t="shared" si="9"/>
        <v>21</v>
      </c>
      <c r="H93" s="28">
        <f t="shared" si="8"/>
        <v>27.5</v>
      </c>
      <c r="I93" s="55">
        <f t="shared" si="8"/>
        <v>21</v>
      </c>
      <c r="J93" s="30">
        <v>27.2</v>
      </c>
      <c r="K93" s="31"/>
      <c r="L93" s="32"/>
      <c r="M93" s="32"/>
      <c r="N93" s="34" t="s">
        <v>91</v>
      </c>
    </row>
    <row r="94" spans="1:14" ht="15.75" customHeight="1">
      <c r="A94" s="116" t="s">
        <v>210</v>
      </c>
      <c r="B94" s="122"/>
      <c r="C94" s="35">
        <v>13200</v>
      </c>
      <c r="D94" s="35">
        <v>15000</v>
      </c>
      <c r="E94" s="36">
        <v>13100</v>
      </c>
      <c r="F94" s="112">
        <f t="shared" si="9"/>
        <v>0</v>
      </c>
      <c r="G94" s="37">
        <f t="shared" si="9"/>
        <v>26.4</v>
      </c>
      <c r="H94" s="37">
        <f t="shared" si="8"/>
        <v>25</v>
      </c>
      <c r="I94" s="47">
        <f t="shared" si="8"/>
        <v>21.833333333333332</v>
      </c>
      <c r="J94" s="39">
        <v>21.8</v>
      </c>
      <c r="K94" s="40"/>
      <c r="L94" s="41" t="s">
        <v>211</v>
      </c>
      <c r="M94" s="46" t="s">
        <v>211</v>
      </c>
      <c r="N94" s="65" t="s">
        <v>212</v>
      </c>
    </row>
    <row r="95" spans="1:14" ht="15.75" customHeight="1">
      <c r="A95" s="116" t="s">
        <v>213</v>
      </c>
      <c r="B95" s="122"/>
      <c r="C95" s="35">
        <v>3500</v>
      </c>
      <c r="D95" s="35">
        <v>4500</v>
      </c>
      <c r="E95" s="36">
        <v>5000</v>
      </c>
      <c r="F95" s="112">
        <f t="shared" si="9"/>
        <v>0</v>
      </c>
      <c r="G95" s="43">
        <f t="shared" si="9"/>
        <v>7</v>
      </c>
      <c r="H95" s="37">
        <f t="shared" si="8"/>
        <v>7.5</v>
      </c>
      <c r="I95" s="38">
        <f t="shared" si="8"/>
        <v>8.3333333333333339</v>
      </c>
      <c r="J95" s="39">
        <v>7</v>
      </c>
      <c r="K95" s="40"/>
      <c r="L95" s="41" t="s">
        <v>178</v>
      </c>
      <c r="M95" s="46"/>
      <c r="N95" s="44" t="s">
        <v>91</v>
      </c>
    </row>
    <row r="96" spans="1:14" ht="15.75" customHeight="1">
      <c r="A96" s="116" t="s">
        <v>214</v>
      </c>
      <c r="B96" s="122"/>
      <c r="C96" s="35">
        <v>12500</v>
      </c>
      <c r="D96" s="35">
        <v>24000</v>
      </c>
      <c r="E96" s="36">
        <v>15600</v>
      </c>
      <c r="F96" s="112">
        <f t="shared" si="9"/>
        <v>0</v>
      </c>
      <c r="G96" s="43">
        <f t="shared" si="9"/>
        <v>25</v>
      </c>
      <c r="H96" s="37">
        <f t="shared" si="8"/>
        <v>40</v>
      </c>
      <c r="I96" s="38">
        <f t="shared" si="8"/>
        <v>26</v>
      </c>
      <c r="J96" s="39">
        <v>27.7</v>
      </c>
      <c r="K96" s="40"/>
      <c r="L96" s="41" t="s">
        <v>215</v>
      </c>
      <c r="M96" s="46" t="s">
        <v>216</v>
      </c>
      <c r="N96" s="42" t="s">
        <v>217</v>
      </c>
    </row>
    <row r="97" spans="1:14" ht="15.75" customHeight="1">
      <c r="A97" s="116" t="s">
        <v>218</v>
      </c>
      <c r="B97" s="122"/>
      <c r="C97" s="35">
        <v>10400</v>
      </c>
      <c r="D97" s="35">
        <v>11000</v>
      </c>
      <c r="E97" s="36">
        <v>24600</v>
      </c>
      <c r="F97" s="112">
        <f t="shared" si="9"/>
        <v>0</v>
      </c>
      <c r="G97" s="37">
        <f t="shared" si="9"/>
        <v>20.8</v>
      </c>
      <c r="H97" s="43">
        <f t="shared" si="8"/>
        <v>18.333333333333332</v>
      </c>
      <c r="I97" s="38">
        <f t="shared" si="8"/>
        <v>41</v>
      </c>
      <c r="J97" s="39">
        <v>18.3</v>
      </c>
      <c r="K97" s="40"/>
      <c r="L97" s="41" t="s">
        <v>219</v>
      </c>
      <c r="M97" s="57" t="s">
        <v>220</v>
      </c>
      <c r="N97" s="42" t="s">
        <v>221</v>
      </c>
    </row>
    <row r="98" spans="1:14" ht="15.75" customHeight="1">
      <c r="A98" s="116" t="s">
        <v>222</v>
      </c>
      <c r="B98" s="122"/>
      <c r="C98" s="35">
        <v>125800</v>
      </c>
      <c r="D98" s="35"/>
      <c r="E98" s="36">
        <v>169000</v>
      </c>
      <c r="F98" s="112">
        <f t="shared" si="9"/>
        <v>0</v>
      </c>
      <c r="G98" s="37">
        <f t="shared" si="9"/>
        <v>251.6</v>
      </c>
      <c r="H98" s="37">
        <f t="shared" si="8"/>
        <v>0</v>
      </c>
      <c r="I98" s="38">
        <f t="shared" si="8"/>
        <v>281.66666666666669</v>
      </c>
      <c r="K98" s="40"/>
      <c r="L98" s="110" t="s">
        <v>223</v>
      </c>
      <c r="M98" s="41"/>
      <c r="N98" s="42" t="s">
        <v>224</v>
      </c>
    </row>
    <row r="99" spans="1:14" ht="15.75" customHeight="1">
      <c r="A99" s="116" t="s">
        <v>225</v>
      </c>
      <c r="B99" s="122"/>
      <c r="C99" s="35">
        <v>3800</v>
      </c>
      <c r="D99" s="35">
        <v>5500</v>
      </c>
      <c r="E99" s="36">
        <v>4900</v>
      </c>
      <c r="F99" s="112">
        <f t="shared" si="9"/>
        <v>0</v>
      </c>
      <c r="G99" s="37">
        <f t="shared" si="9"/>
        <v>7.6</v>
      </c>
      <c r="H99" s="37">
        <f t="shared" si="8"/>
        <v>9.1666666666666661</v>
      </c>
      <c r="I99" s="38">
        <f t="shared" si="8"/>
        <v>8.1666666666666661</v>
      </c>
      <c r="J99" s="39">
        <v>9.1999999999999993</v>
      </c>
      <c r="K99" s="40"/>
      <c r="L99" s="41" t="s">
        <v>68</v>
      </c>
      <c r="M99" s="41"/>
      <c r="N99" s="42" t="s">
        <v>91</v>
      </c>
    </row>
    <row r="100" spans="1:14" ht="15.75" customHeight="1">
      <c r="A100" s="116" t="s">
        <v>226</v>
      </c>
      <c r="B100" s="122"/>
      <c r="C100" s="35"/>
      <c r="D100" s="35"/>
      <c r="E100" s="36"/>
      <c r="F100" s="112">
        <f t="shared" si="9"/>
        <v>0</v>
      </c>
      <c r="G100" s="37">
        <f t="shared" si="9"/>
        <v>0</v>
      </c>
      <c r="H100" s="37">
        <f t="shared" si="8"/>
        <v>0</v>
      </c>
      <c r="I100" s="38">
        <f t="shared" si="8"/>
        <v>0</v>
      </c>
      <c r="K100" s="40"/>
      <c r="L100" s="41"/>
      <c r="M100" s="41"/>
      <c r="N100" s="42"/>
    </row>
    <row r="101" spans="1:14" ht="15.75" customHeight="1">
      <c r="A101" s="116" t="s">
        <v>227</v>
      </c>
      <c r="B101" s="122"/>
      <c r="C101" s="35">
        <v>17500</v>
      </c>
      <c r="D101" s="35"/>
      <c r="E101" s="36">
        <v>20100</v>
      </c>
      <c r="F101" s="112">
        <f t="shared" si="9"/>
        <v>0</v>
      </c>
      <c r="G101" s="37">
        <f t="shared" si="9"/>
        <v>35</v>
      </c>
      <c r="H101" s="37">
        <f t="shared" si="8"/>
        <v>0</v>
      </c>
      <c r="I101" s="38">
        <f t="shared" si="8"/>
        <v>33.5</v>
      </c>
      <c r="J101" s="39">
        <v>35</v>
      </c>
      <c r="K101" s="40"/>
      <c r="L101" s="41" t="s">
        <v>46</v>
      </c>
      <c r="M101" s="41"/>
      <c r="N101" s="42" t="s">
        <v>46</v>
      </c>
    </row>
    <row r="102" spans="1:14" ht="15.75" customHeight="1">
      <c r="A102" s="116" t="s">
        <v>228</v>
      </c>
      <c r="B102" s="122"/>
      <c r="C102" s="35"/>
      <c r="D102" s="35"/>
      <c r="E102" s="36"/>
      <c r="F102" s="112">
        <f t="shared" si="9"/>
        <v>0</v>
      </c>
      <c r="G102" s="37">
        <f t="shared" si="9"/>
        <v>0</v>
      </c>
      <c r="H102" s="37">
        <f t="shared" si="8"/>
        <v>0</v>
      </c>
      <c r="I102" s="38">
        <f t="shared" si="8"/>
        <v>0</v>
      </c>
      <c r="K102" s="40"/>
      <c r="L102" s="41"/>
      <c r="M102" s="41"/>
      <c r="N102" s="42"/>
    </row>
    <row r="103" spans="1:14" ht="15.75" customHeight="1">
      <c r="A103" s="116" t="s">
        <v>229</v>
      </c>
      <c r="B103" s="122">
        <v>7500</v>
      </c>
      <c r="C103" s="35">
        <v>7000</v>
      </c>
      <c r="D103" s="35">
        <v>9000</v>
      </c>
      <c r="E103" s="36"/>
      <c r="F103" s="112">
        <f t="shared" si="9"/>
        <v>15</v>
      </c>
      <c r="G103" s="43">
        <f t="shared" si="9"/>
        <v>14</v>
      </c>
      <c r="H103" s="37">
        <f t="shared" si="8"/>
        <v>15</v>
      </c>
      <c r="I103" s="38">
        <f t="shared" si="8"/>
        <v>0</v>
      </c>
      <c r="J103" s="39">
        <v>15</v>
      </c>
      <c r="K103" s="66"/>
      <c r="L103" s="67" t="s">
        <v>165</v>
      </c>
      <c r="M103" s="46" t="s">
        <v>230</v>
      </c>
      <c r="N103" s="42"/>
    </row>
    <row r="104" spans="1:14" ht="15.75" customHeight="1">
      <c r="A104" s="116" t="s">
        <v>231</v>
      </c>
      <c r="B104" s="122">
        <v>10300</v>
      </c>
      <c r="C104" s="35">
        <v>7500</v>
      </c>
      <c r="D104" s="35">
        <v>9000</v>
      </c>
      <c r="E104" s="36"/>
      <c r="F104" s="112">
        <f t="shared" si="9"/>
        <v>20.6</v>
      </c>
      <c r="G104" s="43">
        <f t="shared" si="9"/>
        <v>15</v>
      </c>
      <c r="H104" s="37">
        <f t="shared" si="8"/>
        <v>15</v>
      </c>
      <c r="I104" s="38">
        <f t="shared" si="8"/>
        <v>0</v>
      </c>
      <c r="J104" s="39">
        <v>17.399999999999999</v>
      </c>
      <c r="K104" s="66"/>
      <c r="L104" s="56" t="s">
        <v>165</v>
      </c>
      <c r="M104" s="46"/>
      <c r="N104" s="42"/>
    </row>
    <row r="105" spans="1:14" ht="15.75" customHeight="1">
      <c r="A105" s="116" t="s">
        <v>232</v>
      </c>
      <c r="B105" s="122"/>
      <c r="C105" s="35">
        <v>5500</v>
      </c>
      <c r="D105" s="35">
        <v>5500</v>
      </c>
      <c r="E105" s="36">
        <v>4600</v>
      </c>
      <c r="F105" s="112">
        <f t="shared" si="9"/>
        <v>0</v>
      </c>
      <c r="G105" s="43">
        <f>C105/1000</f>
        <v>5.5</v>
      </c>
      <c r="H105" s="43">
        <f>D105/1000</f>
        <v>5.5</v>
      </c>
      <c r="I105" s="38">
        <f>E105/1000</f>
        <v>4.5999999999999996</v>
      </c>
      <c r="J105" s="39">
        <v>5.5</v>
      </c>
      <c r="K105" s="40"/>
      <c r="L105" s="41" t="s">
        <v>233</v>
      </c>
      <c r="M105" s="41"/>
      <c r="N105" s="42" t="s">
        <v>378</v>
      </c>
    </row>
    <row r="106" spans="1:14" ht="15.75" customHeight="1">
      <c r="A106" s="116" t="s">
        <v>234</v>
      </c>
      <c r="B106" s="122"/>
      <c r="C106" s="35"/>
      <c r="D106" s="35"/>
      <c r="E106" s="36"/>
      <c r="F106" s="112">
        <f t="shared" si="9"/>
        <v>0</v>
      </c>
      <c r="G106" s="37">
        <f t="shared" si="9"/>
        <v>0</v>
      </c>
      <c r="H106" s="37">
        <f t="shared" ref="H106:I113" si="10">D106/600</f>
        <v>0</v>
      </c>
      <c r="I106" s="38">
        <f t="shared" si="10"/>
        <v>0</v>
      </c>
      <c r="K106" s="40"/>
      <c r="L106" s="41"/>
      <c r="M106" s="41"/>
      <c r="N106" s="42"/>
    </row>
    <row r="107" spans="1:14" ht="15.75" customHeight="1">
      <c r="A107" s="116" t="s">
        <v>235</v>
      </c>
      <c r="B107" s="122">
        <v>22400</v>
      </c>
      <c r="C107" s="35">
        <v>15000</v>
      </c>
      <c r="D107" s="35"/>
      <c r="E107" s="36">
        <v>19000</v>
      </c>
      <c r="F107" s="112">
        <f t="shared" si="9"/>
        <v>44.8</v>
      </c>
      <c r="G107" s="37">
        <f t="shared" si="9"/>
        <v>30</v>
      </c>
      <c r="H107" s="37">
        <f t="shared" si="10"/>
        <v>0</v>
      </c>
      <c r="I107" s="38">
        <f t="shared" si="10"/>
        <v>31.666666666666668</v>
      </c>
      <c r="J107" s="39">
        <v>31.5</v>
      </c>
      <c r="K107" s="40"/>
      <c r="L107" s="41" t="s">
        <v>178</v>
      </c>
      <c r="M107" s="46"/>
      <c r="N107" s="42" t="s">
        <v>91</v>
      </c>
    </row>
    <row r="108" spans="1:14" ht="15" customHeight="1">
      <c r="A108" s="116" t="s">
        <v>236</v>
      </c>
      <c r="B108" s="122"/>
      <c r="C108" s="35">
        <v>15000</v>
      </c>
      <c r="D108" s="35">
        <v>20000</v>
      </c>
      <c r="E108" s="36"/>
      <c r="F108" s="112">
        <f t="shared" si="9"/>
        <v>0</v>
      </c>
      <c r="G108" s="37">
        <f t="shared" si="9"/>
        <v>30</v>
      </c>
      <c r="H108" s="37">
        <f t="shared" si="10"/>
        <v>33.333333333333336</v>
      </c>
      <c r="I108" s="38">
        <f t="shared" si="10"/>
        <v>0</v>
      </c>
      <c r="J108" s="39">
        <v>33.299999999999997</v>
      </c>
      <c r="K108" s="40"/>
      <c r="L108" s="41"/>
      <c r="M108" s="41"/>
      <c r="N108" s="42"/>
    </row>
    <row r="109" spans="1:14" ht="15" customHeight="1">
      <c r="A109" s="116" t="s">
        <v>237</v>
      </c>
      <c r="B109" s="122"/>
      <c r="C109" s="35">
        <v>66000</v>
      </c>
      <c r="D109" s="35"/>
      <c r="E109" s="36">
        <v>84500</v>
      </c>
      <c r="F109" s="112">
        <f t="shared" si="9"/>
        <v>0</v>
      </c>
      <c r="G109" s="43">
        <f t="shared" si="9"/>
        <v>132</v>
      </c>
      <c r="H109" s="37">
        <f t="shared" si="10"/>
        <v>0</v>
      </c>
      <c r="I109" s="38">
        <f t="shared" si="10"/>
        <v>140.83333333333334</v>
      </c>
      <c r="J109" s="39">
        <v>145.19999999999999</v>
      </c>
      <c r="K109" s="40"/>
      <c r="L109" s="56" t="s">
        <v>68</v>
      </c>
      <c r="M109" s="41"/>
      <c r="N109" s="42" t="s">
        <v>91</v>
      </c>
    </row>
    <row r="110" spans="1:14" ht="15" customHeight="1">
      <c r="A110" s="116" t="s">
        <v>238</v>
      </c>
      <c r="B110" s="122"/>
      <c r="C110" s="35">
        <v>3100</v>
      </c>
      <c r="D110" s="35">
        <v>5000</v>
      </c>
      <c r="E110" s="36">
        <v>3700</v>
      </c>
      <c r="F110" s="112">
        <f t="shared" si="9"/>
        <v>0</v>
      </c>
      <c r="G110" s="37">
        <f t="shared" si="9"/>
        <v>6.2</v>
      </c>
      <c r="H110" s="37">
        <f t="shared" si="10"/>
        <v>8.3333333333333339</v>
      </c>
      <c r="I110" s="38">
        <f t="shared" si="10"/>
        <v>6.166666666666667</v>
      </c>
      <c r="J110" s="39">
        <v>6.2</v>
      </c>
      <c r="K110" s="40"/>
      <c r="L110" s="41"/>
      <c r="M110" s="46"/>
      <c r="N110" s="42" t="s">
        <v>124</v>
      </c>
    </row>
    <row r="111" spans="1:14" ht="15" customHeight="1">
      <c r="A111" s="116" t="s">
        <v>239</v>
      </c>
      <c r="B111" s="122"/>
      <c r="C111" s="35">
        <v>5700</v>
      </c>
      <c r="D111" s="35">
        <v>7800</v>
      </c>
      <c r="E111" s="36">
        <v>4500</v>
      </c>
      <c r="F111" s="112">
        <f t="shared" si="9"/>
        <v>0</v>
      </c>
      <c r="G111" s="37">
        <f t="shared" si="9"/>
        <v>11.4</v>
      </c>
      <c r="H111" s="37">
        <f t="shared" si="10"/>
        <v>13</v>
      </c>
      <c r="I111" s="38">
        <f t="shared" si="10"/>
        <v>7.5</v>
      </c>
      <c r="J111" s="39">
        <v>7.5</v>
      </c>
      <c r="K111" s="40"/>
      <c r="L111" s="41"/>
      <c r="M111" s="46"/>
      <c r="N111" s="42"/>
    </row>
    <row r="112" spans="1:14" ht="15" customHeight="1">
      <c r="A112" s="116" t="s">
        <v>240</v>
      </c>
      <c r="B112" s="122"/>
      <c r="C112" s="35">
        <v>5800</v>
      </c>
      <c r="D112" s="35">
        <v>6000</v>
      </c>
      <c r="E112" s="36"/>
      <c r="F112" s="112">
        <f t="shared" si="9"/>
        <v>0</v>
      </c>
      <c r="G112" s="37">
        <f t="shared" si="9"/>
        <v>11.6</v>
      </c>
      <c r="H112" s="37">
        <f t="shared" si="10"/>
        <v>10</v>
      </c>
      <c r="I112" s="38">
        <f t="shared" si="10"/>
        <v>0</v>
      </c>
      <c r="J112" s="39">
        <v>10</v>
      </c>
      <c r="K112" s="40"/>
      <c r="L112" s="41"/>
      <c r="M112" s="41"/>
      <c r="N112" s="42"/>
    </row>
    <row r="113" spans="1:14" ht="15" customHeight="1">
      <c r="A113" s="116" t="s">
        <v>241</v>
      </c>
      <c r="B113" s="122"/>
      <c r="C113" s="35">
        <v>5700</v>
      </c>
      <c r="D113" s="35"/>
      <c r="E113" s="36">
        <v>7000</v>
      </c>
      <c r="F113" s="112">
        <f t="shared" si="9"/>
        <v>0</v>
      </c>
      <c r="G113" s="37">
        <f t="shared" si="9"/>
        <v>11.4</v>
      </c>
      <c r="H113" s="37">
        <f t="shared" si="10"/>
        <v>0</v>
      </c>
      <c r="I113" s="38">
        <f t="shared" si="10"/>
        <v>11.666666666666666</v>
      </c>
      <c r="J113" s="39">
        <v>11.7</v>
      </c>
      <c r="K113" s="40"/>
      <c r="L113" s="41" t="s">
        <v>101</v>
      </c>
      <c r="M113" s="46"/>
      <c r="N113" s="42" t="s">
        <v>52</v>
      </c>
    </row>
    <row r="114" spans="1:14" ht="15" customHeight="1">
      <c r="A114" s="116" t="s">
        <v>242</v>
      </c>
      <c r="B114" s="122"/>
      <c r="C114" s="35">
        <v>20000</v>
      </c>
      <c r="D114" s="35">
        <v>20000</v>
      </c>
      <c r="E114" s="36">
        <v>20000</v>
      </c>
      <c r="F114" s="112">
        <f t="shared" si="9"/>
        <v>0</v>
      </c>
      <c r="G114" s="43">
        <f>C114/1000</f>
        <v>20</v>
      </c>
      <c r="H114" s="43">
        <f>D114/1000</f>
        <v>20</v>
      </c>
      <c r="I114" s="47">
        <f>E114/1000</f>
        <v>20</v>
      </c>
      <c r="J114" s="39">
        <v>20</v>
      </c>
      <c r="K114" s="68"/>
      <c r="L114" s="57" t="s">
        <v>243</v>
      </c>
      <c r="M114" s="57" t="s">
        <v>243</v>
      </c>
      <c r="N114" s="69" t="s">
        <v>243</v>
      </c>
    </row>
    <row r="115" spans="1:14" ht="15" customHeight="1">
      <c r="A115" s="116" t="s">
        <v>244</v>
      </c>
      <c r="B115" s="122"/>
      <c r="C115" s="35">
        <v>15500</v>
      </c>
      <c r="D115" s="35"/>
      <c r="E115" s="36">
        <v>19200</v>
      </c>
      <c r="F115" s="112">
        <f t="shared" si="9"/>
        <v>0</v>
      </c>
      <c r="G115" s="37">
        <f>C115/500</f>
        <v>31</v>
      </c>
      <c r="H115" s="37">
        <f t="shared" ref="H115:I117" si="11">D115/600</f>
        <v>0</v>
      </c>
      <c r="I115" s="38">
        <f t="shared" si="11"/>
        <v>32</v>
      </c>
      <c r="J115" s="39">
        <v>31</v>
      </c>
      <c r="K115" s="68"/>
      <c r="L115" s="67" t="s">
        <v>68</v>
      </c>
      <c r="M115" s="67"/>
      <c r="N115" s="69" t="s">
        <v>91</v>
      </c>
    </row>
    <row r="116" spans="1:14" ht="15" customHeight="1">
      <c r="A116" s="116" t="s">
        <v>245</v>
      </c>
      <c r="B116" s="122"/>
      <c r="C116" s="35"/>
      <c r="D116" s="35"/>
      <c r="E116" s="36">
        <v>43600</v>
      </c>
      <c r="F116" s="112">
        <f t="shared" si="9"/>
        <v>0</v>
      </c>
      <c r="G116" s="37">
        <f>C116/500</f>
        <v>0</v>
      </c>
      <c r="H116" s="37">
        <f t="shared" si="11"/>
        <v>0</v>
      </c>
      <c r="I116" s="47">
        <f t="shared" si="11"/>
        <v>72.666666666666671</v>
      </c>
      <c r="J116" s="39">
        <v>72.7</v>
      </c>
      <c r="K116" s="68"/>
      <c r="L116" s="67"/>
      <c r="M116" s="67"/>
      <c r="N116" s="65" t="s">
        <v>246</v>
      </c>
    </row>
    <row r="117" spans="1:14" ht="15" customHeight="1">
      <c r="A117" s="116" t="s">
        <v>247</v>
      </c>
      <c r="B117" s="122">
        <v>29900</v>
      </c>
      <c r="C117" s="35">
        <v>7800</v>
      </c>
      <c r="D117" s="35">
        <v>10000</v>
      </c>
      <c r="E117" s="36">
        <v>8700</v>
      </c>
      <c r="F117" s="112">
        <f t="shared" si="9"/>
        <v>59.8</v>
      </c>
      <c r="G117" s="37">
        <f>C117/500</f>
        <v>15.6</v>
      </c>
      <c r="H117" s="37">
        <f t="shared" si="11"/>
        <v>16.666666666666668</v>
      </c>
      <c r="I117" s="38">
        <f t="shared" si="11"/>
        <v>14.5</v>
      </c>
      <c r="J117" s="39">
        <v>15.3</v>
      </c>
      <c r="K117" s="66"/>
      <c r="L117" s="67"/>
      <c r="M117" s="70" t="s">
        <v>160</v>
      </c>
      <c r="N117" s="65" t="s">
        <v>248</v>
      </c>
    </row>
    <row r="118" spans="1:14" ht="15" customHeight="1">
      <c r="A118" s="116" t="s">
        <v>249</v>
      </c>
      <c r="B118" s="122"/>
      <c r="C118" s="35">
        <v>8500</v>
      </c>
      <c r="D118" s="35">
        <v>8000</v>
      </c>
      <c r="E118" s="36">
        <v>8500</v>
      </c>
      <c r="F118" s="112">
        <f t="shared" si="9"/>
        <v>0</v>
      </c>
      <c r="G118" s="37">
        <f>C118/1000</f>
        <v>8.5</v>
      </c>
      <c r="H118" s="43">
        <f>D118/1000</f>
        <v>8</v>
      </c>
      <c r="I118" s="38">
        <f>E118/1000</f>
        <v>8.5</v>
      </c>
      <c r="J118" s="39">
        <v>8</v>
      </c>
      <c r="K118" s="40"/>
      <c r="L118" s="41" t="s">
        <v>250</v>
      </c>
      <c r="M118" s="46" t="s">
        <v>250</v>
      </c>
      <c r="N118" s="42" t="s">
        <v>251</v>
      </c>
    </row>
    <row r="119" spans="1:14" ht="15" customHeight="1" thickBot="1">
      <c r="A119" s="128" t="s">
        <v>252</v>
      </c>
      <c r="B119" s="123"/>
      <c r="C119" s="48">
        <v>18000</v>
      </c>
      <c r="D119" s="48">
        <v>15000</v>
      </c>
      <c r="E119" s="49">
        <v>24100</v>
      </c>
      <c r="F119" s="72">
        <f t="shared" si="9"/>
        <v>0</v>
      </c>
      <c r="G119" s="50">
        <f>C119/500</f>
        <v>36</v>
      </c>
      <c r="H119" s="50">
        <f>D119/600</f>
        <v>25</v>
      </c>
      <c r="I119" s="59">
        <f>E119/600</f>
        <v>40.166666666666664</v>
      </c>
      <c r="J119" s="51">
        <v>36</v>
      </c>
      <c r="K119" s="60"/>
      <c r="L119" s="52"/>
      <c r="M119" s="52"/>
      <c r="N119" s="61"/>
    </row>
    <row r="120" spans="1:14" ht="15" customHeight="1">
      <c r="A120" s="124" t="s">
        <v>253</v>
      </c>
      <c r="B120" s="125"/>
      <c r="C120" s="25">
        <v>8000</v>
      </c>
      <c r="D120" s="25"/>
      <c r="E120" s="26">
        <v>8000</v>
      </c>
      <c r="F120" s="27">
        <f t="shared" si="9"/>
        <v>0</v>
      </c>
      <c r="G120" s="54">
        <f>C120/300</f>
        <v>26.666666666666668</v>
      </c>
      <c r="H120" s="28">
        <f t="shared" ref="H120:I136" si="12">D120/600</f>
        <v>0</v>
      </c>
      <c r="I120" s="29">
        <f>E120/300</f>
        <v>26.666666666666668</v>
      </c>
      <c r="J120" s="30">
        <v>26.7</v>
      </c>
      <c r="K120" s="31"/>
      <c r="L120" s="32" t="s">
        <v>254</v>
      </c>
      <c r="M120" s="32"/>
      <c r="N120" s="34" t="s">
        <v>255</v>
      </c>
    </row>
    <row r="121" spans="1:14" ht="15" customHeight="1">
      <c r="A121" s="161" t="s">
        <v>414</v>
      </c>
      <c r="B121" s="162"/>
      <c r="C121" s="163"/>
      <c r="D121" s="163"/>
      <c r="E121" s="164"/>
      <c r="F121" s="165"/>
      <c r="G121" s="166"/>
      <c r="H121" s="167"/>
      <c r="I121" s="168"/>
      <c r="J121" s="84"/>
      <c r="K121" s="169"/>
      <c r="L121" s="170"/>
      <c r="M121" s="170"/>
      <c r="N121" s="171"/>
    </row>
    <row r="122" spans="1:14" ht="15" customHeight="1">
      <c r="A122" s="115" t="s">
        <v>256</v>
      </c>
      <c r="B122" s="122"/>
      <c r="C122" s="35">
        <v>2600</v>
      </c>
      <c r="D122" s="35">
        <v>4000</v>
      </c>
      <c r="E122" s="36"/>
      <c r="F122" s="112">
        <f t="shared" ref="F122:G155" si="13">B122/500</f>
        <v>0</v>
      </c>
      <c r="G122" s="37">
        <f t="shared" si="13"/>
        <v>5.2</v>
      </c>
      <c r="H122" s="37">
        <f t="shared" si="12"/>
        <v>6.666666666666667</v>
      </c>
      <c r="I122" s="38">
        <f t="shared" si="12"/>
        <v>0</v>
      </c>
      <c r="J122" s="39">
        <v>6.7</v>
      </c>
      <c r="K122" s="40"/>
      <c r="L122" s="41"/>
      <c r="M122" s="46"/>
      <c r="N122" s="42"/>
    </row>
    <row r="123" spans="1:14" ht="15" customHeight="1">
      <c r="A123" s="115" t="s">
        <v>257</v>
      </c>
      <c r="B123" s="122"/>
      <c r="C123" s="35">
        <v>13500</v>
      </c>
      <c r="D123" s="35">
        <v>38000</v>
      </c>
      <c r="E123" s="36">
        <v>23500</v>
      </c>
      <c r="F123" s="112">
        <f t="shared" si="13"/>
        <v>0</v>
      </c>
      <c r="G123" s="43">
        <f t="shared" si="13"/>
        <v>27</v>
      </c>
      <c r="H123" s="37">
        <f t="shared" si="12"/>
        <v>63.333333333333336</v>
      </c>
      <c r="I123" s="38">
        <f t="shared" si="12"/>
        <v>39.166666666666664</v>
      </c>
      <c r="J123" s="39">
        <v>28</v>
      </c>
      <c r="K123" s="40"/>
      <c r="L123" s="41" t="s">
        <v>52</v>
      </c>
      <c r="M123" s="46" t="s">
        <v>258</v>
      </c>
      <c r="N123" s="42" t="s">
        <v>91</v>
      </c>
    </row>
    <row r="124" spans="1:14" ht="15" customHeight="1">
      <c r="A124" s="115" t="s">
        <v>259</v>
      </c>
      <c r="B124" s="122"/>
      <c r="C124" s="35">
        <v>3700</v>
      </c>
      <c r="D124" s="35">
        <v>5500</v>
      </c>
      <c r="E124" s="36"/>
      <c r="F124" s="112">
        <f t="shared" si="13"/>
        <v>0</v>
      </c>
      <c r="G124" s="37">
        <f t="shared" si="13"/>
        <v>7.4</v>
      </c>
      <c r="H124" s="37">
        <f t="shared" si="12"/>
        <v>9.1666666666666661</v>
      </c>
      <c r="I124" s="38">
        <f t="shared" si="12"/>
        <v>0</v>
      </c>
      <c r="J124" s="39">
        <v>9.1999999999999993</v>
      </c>
      <c r="K124" s="40"/>
      <c r="L124" s="41"/>
      <c r="M124" s="46"/>
      <c r="N124" s="42"/>
    </row>
    <row r="125" spans="1:14" ht="15" customHeight="1">
      <c r="A125" s="115" t="s">
        <v>260</v>
      </c>
      <c r="B125" s="122"/>
      <c r="C125" s="35">
        <v>8200</v>
      </c>
      <c r="D125" s="35">
        <v>12000</v>
      </c>
      <c r="E125" s="36">
        <v>9900</v>
      </c>
      <c r="F125" s="112">
        <f t="shared" si="13"/>
        <v>0</v>
      </c>
      <c r="G125" s="37">
        <f t="shared" si="13"/>
        <v>16.399999999999999</v>
      </c>
      <c r="H125" s="37">
        <f t="shared" si="12"/>
        <v>20</v>
      </c>
      <c r="I125" s="38">
        <f t="shared" si="12"/>
        <v>16.5</v>
      </c>
      <c r="J125" s="39">
        <v>16.5</v>
      </c>
      <c r="K125" s="40"/>
      <c r="L125" s="41" t="s">
        <v>261</v>
      </c>
      <c r="M125" s="41"/>
      <c r="N125" s="42" t="s">
        <v>121</v>
      </c>
    </row>
    <row r="126" spans="1:14" ht="15" customHeight="1">
      <c r="A126" s="115" t="s">
        <v>262</v>
      </c>
      <c r="B126" s="122"/>
      <c r="C126" s="35"/>
      <c r="D126" s="35"/>
      <c r="E126" s="36"/>
      <c r="F126" s="112">
        <f t="shared" si="13"/>
        <v>0</v>
      </c>
      <c r="G126" s="37">
        <f t="shared" si="13"/>
        <v>0</v>
      </c>
      <c r="H126" s="37">
        <f t="shared" si="12"/>
        <v>0</v>
      </c>
      <c r="I126" s="38">
        <f t="shared" si="12"/>
        <v>0</v>
      </c>
      <c r="K126" s="40"/>
      <c r="L126" s="41"/>
      <c r="M126" s="41"/>
      <c r="N126" s="42"/>
    </row>
    <row r="127" spans="1:14" ht="15" customHeight="1">
      <c r="A127" s="115" t="s">
        <v>263</v>
      </c>
      <c r="B127" s="122"/>
      <c r="C127" s="35">
        <v>7200</v>
      </c>
      <c r="D127" s="35">
        <v>7000</v>
      </c>
      <c r="E127" s="36">
        <v>6400</v>
      </c>
      <c r="F127" s="112">
        <f t="shared" si="13"/>
        <v>0</v>
      </c>
      <c r="G127" s="37">
        <f t="shared" si="13"/>
        <v>14.4</v>
      </c>
      <c r="H127" s="37">
        <f t="shared" si="12"/>
        <v>11.666666666666666</v>
      </c>
      <c r="I127" s="47">
        <f t="shared" si="12"/>
        <v>10.666666666666666</v>
      </c>
      <c r="J127" s="39">
        <v>11.7</v>
      </c>
      <c r="K127" s="40"/>
      <c r="L127" s="41" t="s">
        <v>261</v>
      </c>
      <c r="M127" s="46"/>
      <c r="N127" s="42" t="s">
        <v>264</v>
      </c>
    </row>
    <row r="128" spans="1:14" ht="15" customHeight="1">
      <c r="A128" s="115" t="s">
        <v>265</v>
      </c>
      <c r="B128" s="122">
        <v>17900</v>
      </c>
      <c r="C128" s="35">
        <v>11000</v>
      </c>
      <c r="D128" s="35">
        <v>16000</v>
      </c>
      <c r="E128" s="36">
        <v>14100</v>
      </c>
      <c r="F128" s="112">
        <f t="shared" si="13"/>
        <v>35.799999999999997</v>
      </c>
      <c r="G128" s="43">
        <f t="shared" si="13"/>
        <v>22</v>
      </c>
      <c r="H128" s="37">
        <f t="shared" si="12"/>
        <v>26.666666666666668</v>
      </c>
      <c r="I128" s="38">
        <f t="shared" si="12"/>
        <v>23.5</v>
      </c>
      <c r="J128" s="39">
        <v>23.5</v>
      </c>
      <c r="K128" s="40"/>
      <c r="L128" s="41" t="s">
        <v>266</v>
      </c>
      <c r="M128" s="46"/>
      <c r="N128" s="42" t="s">
        <v>207</v>
      </c>
    </row>
    <row r="129" spans="1:14" ht="15" customHeight="1">
      <c r="A129" s="115" t="s">
        <v>267</v>
      </c>
      <c r="B129" s="122"/>
      <c r="C129" s="35"/>
      <c r="D129" s="35"/>
      <c r="E129" s="36"/>
      <c r="F129" s="112">
        <f t="shared" si="13"/>
        <v>0</v>
      </c>
      <c r="G129" s="37">
        <f t="shared" si="13"/>
        <v>0</v>
      </c>
      <c r="H129" s="37">
        <f t="shared" si="12"/>
        <v>0</v>
      </c>
      <c r="I129" s="38">
        <f t="shared" si="12"/>
        <v>0</v>
      </c>
      <c r="K129" s="40"/>
      <c r="L129" s="41"/>
      <c r="M129" s="41"/>
      <c r="N129" s="42"/>
    </row>
    <row r="130" spans="1:14" ht="15" customHeight="1">
      <c r="A130" s="115" t="s">
        <v>268</v>
      </c>
      <c r="B130" s="122"/>
      <c r="C130" s="35">
        <v>8400</v>
      </c>
      <c r="D130" s="35"/>
      <c r="E130" s="36"/>
      <c r="F130" s="112">
        <f t="shared" si="13"/>
        <v>0</v>
      </c>
      <c r="G130" s="37">
        <f t="shared" si="13"/>
        <v>16.8</v>
      </c>
      <c r="H130" s="37">
        <f t="shared" si="12"/>
        <v>0</v>
      </c>
      <c r="I130" s="38">
        <f t="shared" si="12"/>
        <v>0</v>
      </c>
      <c r="J130" s="39">
        <v>16.8</v>
      </c>
      <c r="K130" s="40"/>
      <c r="L130" s="41" t="s">
        <v>52</v>
      </c>
      <c r="M130" s="41"/>
      <c r="N130" s="42"/>
    </row>
    <row r="131" spans="1:14" ht="15" customHeight="1">
      <c r="A131" s="115" t="s">
        <v>269</v>
      </c>
      <c r="B131" s="122"/>
      <c r="C131" s="35">
        <v>4600</v>
      </c>
      <c r="D131" s="35">
        <v>7000</v>
      </c>
      <c r="E131" s="36">
        <v>5500</v>
      </c>
      <c r="F131" s="112">
        <f t="shared" si="13"/>
        <v>0</v>
      </c>
      <c r="G131" s="37">
        <f t="shared" si="13"/>
        <v>9.1999999999999993</v>
      </c>
      <c r="H131" s="37">
        <f t="shared" si="12"/>
        <v>11.666666666666666</v>
      </c>
      <c r="I131" s="47">
        <f t="shared" si="12"/>
        <v>9.1666666666666661</v>
      </c>
      <c r="J131" s="39">
        <v>9.1999999999999993</v>
      </c>
      <c r="K131" s="40"/>
      <c r="L131" s="41"/>
      <c r="M131" s="46"/>
      <c r="N131" s="42" t="s">
        <v>91</v>
      </c>
    </row>
    <row r="132" spans="1:14" ht="15" customHeight="1">
      <c r="A132" s="115" t="s">
        <v>270</v>
      </c>
      <c r="B132" s="122"/>
      <c r="C132" s="35">
        <v>14000</v>
      </c>
      <c r="D132" s="35">
        <v>15000</v>
      </c>
      <c r="E132" s="36">
        <v>14000</v>
      </c>
      <c r="F132" s="112">
        <f t="shared" si="13"/>
        <v>0</v>
      </c>
      <c r="G132" s="37">
        <f>C132/1000</f>
        <v>14</v>
      </c>
      <c r="H132" s="37">
        <f>D132/1000</f>
        <v>15</v>
      </c>
      <c r="I132" s="38">
        <f>E132/1000</f>
        <v>14</v>
      </c>
      <c r="J132" s="39">
        <v>14</v>
      </c>
      <c r="K132" s="40"/>
      <c r="L132" s="41" t="s">
        <v>233</v>
      </c>
      <c r="M132" s="46" t="s">
        <v>233</v>
      </c>
      <c r="N132" s="42" t="s">
        <v>271</v>
      </c>
    </row>
    <row r="133" spans="1:14" ht="15" customHeight="1">
      <c r="A133" s="115" t="s">
        <v>272</v>
      </c>
      <c r="B133" s="122"/>
      <c r="C133" s="35">
        <v>27500</v>
      </c>
      <c r="D133" s="35">
        <v>26000</v>
      </c>
      <c r="E133" s="36"/>
      <c r="F133" s="112">
        <f t="shared" si="13"/>
        <v>0</v>
      </c>
      <c r="G133" s="37">
        <f>C133/500</f>
        <v>55</v>
      </c>
      <c r="H133" s="37">
        <f t="shared" ref="H133:I149" si="14">D133/600</f>
        <v>43.333333333333336</v>
      </c>
      <c r="I133" s="38">
        <f t="shared" si="12"/>
        <v>0</v>
      </c>
      <c r="J133" s="39">
        <v>55</v>
      </c>
      <c r="K133" s="40"/>
      <c r="L133" s="41"/>
      <c r="M133" s="41" t="s">
        <v>273</v>
      </c>
      <c r="N133" s="42"/>
    </row>
    <row r="134" spans="1:14" ht="15" customHeight="1">
      <c r="A134" s="115" t="s">
        <v>274</v>
      </c>
      <c r="B134" s="122"/>
      <c r="C134" s="35">
        <v>7300</v>
      </c>
      <c r="D134" s="35">
        <v>8500</v>
      </c>
      <c r="E134" s="36">
        <v>6100</v>
      </c>
      <c r="F134" s="112">
        <f t="shared" si="13"/>
        <v>0</v>
      </c>
      <c r="G134" s="37">
        <f>C134/500</f>
        <v>14.6</v>
      </c>
      <c r="H134" s="37">
        <f t="shared" si="14"/>
        <v>14.166666666666666</v>
      </c>
      <c r="I134" s="38">
        <f t="shared" si="12"/>
        <v>10.166666666666666</v>
      </c>
      <c r="J134" s="39">
        <v>10.199999999999999</v>
      </c>
      <c r="K134" s="40"/>
      <c r="L134" s="41"/>
      <c r="M134" s="41"/>
      <c r="N134" s="42"/>
    </row>
    <row r="135" spans="1:14" ht="15" customHeight="1">
      <c r="A135" s="115" t="s">
        <v>275</v>
      </c>
      <c r="B135" s="122"/>
      <c r="C135" s="35">
        <v>5700</v>
      </c>
      <c r="D135" s="35">
        <v>9500</v>
      </c>
      <c r="E135" s="36">
        <v>6900</v>
      </c>
      <c r="F135" s="112">
        <f t="shared" si="13"/>
        <v>0</v>
      </c>
      <c r="G135" s="37">
        <f>C135/500</f>
        <v>11.4</v>
      </c>
      <c r="H135" s="37">
        <f t="shared" si="14"/>
        <v>15.833333333333334</v>
      </c>
      <c r="I135" s="38">
        <f t="shared" si="12"/>
        <v>11.5</v>
      </c>
      <c r="J135" s="39">
        <v>17.7</v>
      </c>
      <c r="K135" s="40"/>
      <c r="L135" s="41" t="s">
        <v>178</v>
      </c>
      <c r="M135" s="46" t="s">
        <v>276</v>
      </c>
      <c r="N135" s="42" t="s">
        <v>91</v>
      </c>
    </row>
    <row r="136" spans="1:14" ht="15" customHeight="1">
      <c r="A136" s="115" t="s">
        <v>277</v>
      </c>
      <c r="B136" s="122"/>
      <c r="C136" s="35">
        <v>12800</v>
      </c>
      <c r="D136" s="35">
        <v>13500</v>
      </c>
      <c r="E136" s="36">
        <v>12300</v>
      </c>
      <c r="F136" s="112">
        <f t="shared" si="13"/>
        <v>0</v>
      </c>
      <c r="G136" s="37">
        <f>C136/600</f>
        <v>21.333333333333332</v>
      </c>
      <c r="H136" s="37">
        <f t="shared" si="14"/>
        <v>22.5</v>
      </c>
      <c r="I136" s="38">
        <f t="shared" si="12"/>
        <v>20.5</v>
      </c>
      <c r="J136" s="39">
        <v>20.5</v>
      </c>
      <c r="K136" s="40"/>
      <c r="L136" s="56" t="s">
        <v>278</v>
      </c>
      <c r="M136" s="57"/>
      <c r="N136" s="42" t="s">
        <v>279</v>
      </c>
    </row>
    <row r="137" spans="1:14" ht="15" customHeight="1">
      <c r="A137" s="115" t="s">
        <v>280</v>
      </c>
      <c r="B137" s="122"/>
      <c r="C137" s="35">
        <v>46800</v>
      </c>
      <c r="D137" s="35"/>
      <c r="E137" s="36">
        <v>55900</v>
      </c>
      <c r="F137" s="112">
        <f t="shared" si="13"/>
        <v>0</v>
      </c>
      <c r="G137" s="37">
        <f>C137/500</f>
        <v>93.6</v>
      </c>
      <c r="H137" s="37">
        <f t="shared" si="14"/>
        <v>0</v>
      </c>
      <c r="I137" s="38">
        <f t="shared" si="14"/>
        <v>93.166666666666671</v>
      </c>
      <c r="J137" s="39">
        <v>68</v>
      </c>
      <c r="K137" s="40"/>
      <c r="L137" s="41" t="s">
        <v>52</v>
      </c>
      <c r="M137" s="41"/>
      <c r="N137" s="42" t="s">
        <v>91</v>
      </c>
    </row>
    <row r="138" spans="1:14" ht="15" customHeight="1">
      <c r="A138" s="115" t="s">
        <v>281</v>
      </c>
      <c r="B138" s="122"/>
      <c r="C138" s="35">
        <v>14500</v>
      </c>
      <c r="D138" s="35">
        <v>19000</v>
      </c>
      <c r="E138" s="36">
        <v>17700</v>
      </c>
      <c r="F138" s="112">
        <f t="shared" si="13"/>
        <v>0</v>
      </c>
      <c r="G138" s="37">
        <f>C138/500</f>
        <v>29</v>
      </c>
      <c r="H138" s="37">
        <f t="shared" si="14"/>
        <v>31.666666666666668</v>
      </c>
      <c r="I138" s="38">
        <f t="shared" si="14"/>
        <v>29.5</v>
      </c>
      <c r="J138" s="39">
        <v>29</v>
      </c>
      <c r="K138" s="40"/>
      <c r="L138" s="41"/>
      <c r="M138" s="41"/>
      <c r="N138" s="42"/>
    </row>
    <row r="139" spans="1:14" ht="15" customHeight="1">
      <c r="A139" s="115" t="s">
        <v>415</v>
      </c>
      <c r="B139" s="122"/>
      <c r="C139" s="35"/>
      <c r="D139" s="35"/>
      <c r="E139" s="36"/>
      <c r="F139" s="112"/>
      <c r="G139" s="37"/>
      <c r="H139" s="37"/>
      <c r="I139" s="38"/>
      <c r="K139" s="40"/>
      <c r="L139" s="41"/>
      <c r="M139" s="41"/>
      <c r="N139" s="42"/>
    </row>
    <row r="140" spans="1:14" ht="15" customHeight="1">
      <c r="A140" s="115" t="s">
        <v>282</v>
      </c>
      <c r="B140" s="122"/>
      <c r="C140" s="35"/>
      <c r="D140" s="35"/>
      <c r="E140" s="36">
        <v>8800</v>
      </c>
      <c r="F140" s="112">
        <f t="shared" si="13"/>
        <v>0</v>
      </c>
      <c r="G140" s="37">
        <f>C140/500</f>
        <v>0</v>
      </c>
      <c r="H140" s="37">
        <f t="shared" si="14"/>
        <v>0</v>
      </c>
      <c r="I140" s="38">
        <f t="shared" si="14"/>
        <v>14.666666666666666</v>
      </c>
      <c r="J140" s="39">
        <v>14.7</v>
      </c>
      <c r="K140" s="40"/>
      <c r="L140" s="41"/>
      <c r="M140" s="41"/>
      <c r="N140" s="42" t="s">
        <v>124</v>
      </c>
    </row>
    <row r="141" spans="1:14" ht="15" customHeight="1">
      <c r="A141" s="115" t="s">
        <v>283</v>
      </c>
      <c r="B141" s="122">
        <v>14800</v>
      </c>
      <c r="C141" s="35"/>
      <c r="D141" s="35"/>
      <c r="E141" s="36">
        <v>8600</v>
      </c>
      <c r="F141" s="112">
        <f t="shared" si="13"/>
        <v>29.6</v>
      </c>
      <c r="G141" s="37">
        <f>C141/500</f>
        <v>0</v>
      </c>
      <c r="H141" s="37">
        <f t="shared" si="14"/>
        <v>0</v>
      </c>
      <c r="I141" s="47">
        <f t="shared" si="14"/>
        <v>14.333333333333334</v>
      </c>
      <c r="J141" s="39">
        <v>14.8</v>
      </c>
      <c r="K141" s="66"/>
      <c r="L141" s="67"/>
      <c r="M141" s="70"/>
      <c r="N141" s="65" t="s">
        <v>284</v>
      </c>
    </row>
    <row r="142" spans="1:14" ht="15" customHeight="1">
      <c r="A142" s="115" t="s">
        <v>285</v>
      </c>
      <c r="B142" s="122"/>
      <c r="C142" s="35">
        <v>13800</v>
      </c>
      <c r="D142" s="35">
        <v>17500</v>
      </c>
      <c r="E142" s="36"/>
      <c r="F142" s="112">
        <f t="shared" si="13"/>
        <v>0</v>
      </c>
      <c r="G142" s="37">
        <f>C142/500</f>
        <v>27.6</v>
      </c>
      <c r="H142" s="37">
        <f t="shared" si="14"/>
        <v>29.166666666666668</v>
      </c>
      <c r="I142" s="38">
        <f t="shared" si="14"/>
        <v>0</v>
      </c>
      <c r="J142" s="39">
        <v>29.2</v>
      </c>
      <c r="K142" s="68"/>
      <c r="L142" s="67"/>
      <c r="M142" s="67"/>
      <c r="N142" s="69"/>
    </row>
    <row r="143" spans="1:14" ht="15" customHeight="1">
      <c r="A143" s="115" t="s">
        <v>286</v>
      </c>
      <c r="B143" s="122"/>
      <c r="C143" s="35">
        <v>13200</v>
      </c>
      <c r="D143" s="35">
        <v>14000</v>
      </c>
      <c r="E143" s="36">
        <v>13000</v>
      </c>
      <c r="F143" s="112">
        <f t="shared" si="13"/>
        <v>0</v>
      </c>
      <c r="G143" s="37">
        <f>C143/600</f>
        <v>22</v>
      </c>
      <c r="H143" s="37">
        <f t="shared" si="14"/>
        <v>23.333333333333332</v>
      </c>
      <c r="I143" s="38">
        <f>E143/500</f>
        <v>26</v>
      </c>
      <c r="J143" s="39">
        <v>22</v>
      </c>
      <c r="K143" s="68"/>
      <c r="L143" s="67" t="s">
        <v>113</v>
      </c>
      <c r="M143" s="67"/>
      <c r="N143" s="69" t="s">
        <v>405</v>
      </c>
    </row>
    <row r="144" spans="1:14" ht="15" customHeight="1">
      <c r="A144" s="115" t="s">
        <v>287</v>
      </c>
      <c r="B144" s="122"/>
      <c r="C144" s="35">
        <v>11900</v>
      </c>
      <c r="D144" s="35"/>
      <c r="E144" s="36"/>
      <c r="F144" s="112">
        <f t="shared" si="13"/>
        <v>0</v>
      </c>
      <c r="G144" s="37">
        <f>C144/500</f>
        <v>23.8</v>
      </c>
      <c r="H144" s="37">
        <f t="shared" si="14"/>
        <v>0</v>
      </c>
      <c r="I144" s="38">
        <f t="shared" si="14"/>
        <v>0</v>
      </c>
      <c r="J144" s="39">
        <v>23.8</v>
      </c>
      <c r="K144" s="68"/>
      <c r="L144" s="67" t="s">
        <v>178</v>
      </c>
      <c r="M144" s="67"/>
      <c r="N144" s="69"/>
    </row>
    <row r="145" spans="1:14" ht="15" customHeight="1">
      <c r="A145" s="115" t="s">
        <v>288</v>
      </c>
      <c r="B145" s="122"/>
      <c r="C145" s="35">
        <v>7900</v>
      </c>
      <c r="D145" s="35">
        <v>10000</v>
      </c>
      <c r="E145" s="36">
        <v>7900</v>
      </c>
      <c r="F145" s="112">
        <f t="shared" si="13"/>
        <v>0</v>
      </c>
      <c r="G145" s="37">
        <f>C145/500</f>
        <v>15.8</v>
      </c>
      <c r="H145" s="37">
        <f t="shared" si="14"/>
        <v>16.666666666666668</v>
      </c>
      <c r="I145" s="38">
        <f t="shared" si="14"/>
        <v>13.166666666666666</v>
      </c>
      <c r="J145" s="39">
        <v>15.8</v>
      </c>
      <c r="K145" s="68"/>
      <c r="L145" s="67" t="s">
        <v>289</v>
      </c>
      <c r="M145" s="70" t="s">
        <v>230</v>
      </c>
      <c r="N145" s="69" t="s">
        <v>165</v>
      </c>
    </row>
    <row r="146" spans="1:14" ht="15" customHeight="1">
      <c r="A146" s="115" t="s">
        <v>290</v>
      </c>
      <c r="B146" s="122"/>
      <c r="C146" s="35">
        <v>5800</v>
      </c>
      <c r="D146" s="35">
        <v>7500</v>
      </c>
      <c r="E146" s="36"/>
      <c r="F146" s="112">
        <f t="shared" si="13"/>
        <v>0</v>
      </c>
      <c r="G146" s="37">
        <f>C146/500</f>
        <v>11.6</v>
      </c>
      <c r="H146" s="37">
        <f t="shared" si="14"/>
        <v>12.5</v>
      </c>
      <c r="I146" s="38">
        <f t="shared" si="14"/>
        <v>0</v>
      </c>
      <c r="K146" s="68"/>
      <c r="L146" s="67"/>
      <c r="M146" s="67" t="s">
        <v>165</v>
      </c>
      <c r="N146" s="69"/>
    </row>
    <row r="147" spans="1:14" ht="15" customHeight="1">
      <c r="A147" s="115" t="s">
        <v>291</v>
      </c>
      <c r="B147" s="122"/>
      <c r="C147" s="35">
        <v>11600</v>
      </c>
      <c r="D147" s="35">
        <v>10500</v>
      </c>
      <c r="E147" s="36">
        <v>13700</v>
      </c>
      <c r="F147" s="112">
        <f t="shared" si="13"/>
        <v>0</v>
      </c>
      <c r="G147" s="37">
        <f>C147/500</f>
        <v>23.2</v>
      </c>
      <c r="H147" s="37">
        <f t="shared" si="14"/>
        <v>17.5</v>
      </c>
      <c r="I147" s="38">
        <f t="shared" si="14"/>
        <v>22.833333333333332</v>
      </c>
      <c r="J147" s="39">
        <v>22.8</v>
      </c>
      <c r="K147" s="68"/>
      <c r="L147" s="67" t="s">
        <v>292</v>
      </c>
      <c r="M147" s="67"/>
      <c r="N147" s="69" t="s">
        <v>121</v>
      </c>
    </row>
    <row r="148" spans="1:14" ht="15" customHeight="1">
      <c r="A148" s="115" t="s">
        <v>293</v>
      </c>
      <c r="B148" s="122"/>
      <c r="C148" s="35">
        <v>60000</v>
      </c>
      <c r="D148" s="35">
        <v>30000</v>
      </c>
      <c r="E148" s="36">
        <v>67500</v>
      </c>
      <c r="F148" s="112">
        <f t="shared" si="13"/>
        <v>0</v>
      </c>
      <c r="G148" s="43">
        <f>C148/600</f>
        <v>100</v>
      </c>
      <c r="H148" s="37">
        <f>D148/300</f>
        <v>100</v>
      </c>
      <c r="I148" s="38">
        <f t="shared" si="14"/>
        <v>112.5</v>
      </c>
      <c r="J148" s="39">
        <v>108.3</v>
      </c>
      <c r="K148" s="68"/>
      <c r="L148" s="56" t="s">
        <v>294</v>
      </c>
      <c r="M148" s="70" t="s">
        <v>295</v>
      </c>
      <c r="N148" s="69" t="s">
        <v>296</v>
      </c>
    </row>
    <row r="149" spans="1:14" ht="15" customHeight="1" thickBot="1">
      <c r="A149" s="126" t="s">
        <v>297</v>
      </c>
      <c r="B149" s="123"/>
      <c r="C149" s="48">
        <v>6000</v>
      </c>
      <c r="D149" s="48">
        <v>7500</v>
      </c>
      <c r="E149" s="49">
        <v>7200</v>
      </c>
      <c r="F149" s="72">
        <f t="shared" si="13"/>
        <v>0</v>
      </c>
      <c r="G149" s="50">
        <f>C149/500</f>
        <v>12</v>
      </c>
      <c r="H149" s="50">
        <f t="shared" ref="H149:I164" si="15">D149/600</f>
        <v>12.5</v>
      </c>
      <c r="I149" s="59">
        <f t="shared" si="14"/>
        <v>12</v>
      </c>
      <c r="J149" s="51">
        <v>12</v>
      </c>
      <c r="K149" s="60"/>
      <c r="L149" s="52"/>
      <c r="M149" s="52"/>
      <c r="N149" s="61" t="s">
        <v>46</v>
      </c>
    </row>
    <row r="150" spans="1:14" ht="15" customHeight="1">
      <c r="A150" s="127" t="s">
        <v>298</v>
      </c>
      <c r="B150" s="125"/>
      <c r="C150" s="25">
        <v>7500</v>
      </c>
      <c r="D150" s="25">
        <v>8500</v>
      </c>
      <c r="E150" s="26">
        <v>7200</v>
      </c>
      <c r="F150" s="27">
        <f t="shared" si="13"/>
        <v>0</v>
      </c>
      <c r="G150" s="28">
        <f>C150/500</f>
        <v>15</v>
      </c>
      <c r="H150" s="28">
        <f t="shared" si="15"/>
        <v>14.166666666666666</v>
      </c>
      <c r="I150" s="55">
        <f t="shared" si="15"/>
        <v>12</v>
      </c>
      <c r="J150" s="30">
        <v>12</v>
      </c>
      <c r="K150" s="31"/>
      <c r="L150" s="32" t="s">
        <v>46</v>
      </c>
      <c r="M150" s="33" t="s">
        <v>165</v>
      </c>
      <c r="N150" s="34" t="s">
        <v>207</v>
      </c>
    </row>
    <row r="151" spans="1:14" ht="15" customHeight="1">
      <c r="A151" s="116" t="s">
        <v>299</v>
      </c>
      <c r="B151" s="122"/>
      <c r="C151" s="35">
        <v>29000</v>
      </c>
      <c r="D151" s="35">
        <v>23000</v>
      </c>
      <c r="E151" s="36">
        <v>20700</v>
      </c>
      <c r="F151" s="112">
        <f t="shared" si="13"/>
        <v>0</v>
      </c>
      <c r="G151" s="37">
        <f>C151/600</f>
        <v>48.333333333333336</v>
      </c>
      <c r="H151" s="37">
        <f t="shared" si="15"/>
        <v>38.333333333333336</v>
      </c>
      <c r="I151" s="47">
        <f t="shared" si="15"/>
        <v>34.5</v>
      </c>
      <c r="J151" s="39">
        <v>38</v>
      </c>
      <c r="K151" s="40"/>
      <c r="L151" s="41" t="s">
        <v>113</v>
      </c>
      <c r="M151" s="41"/>
      <c r="N151" s="42" t="s">
        <v>147</v>
      </c>
    </row>
    <row r="152" spans="1:14" ht="15" customHeight="1">
      <c r="A152" s="116" t="s">
        <v>300</v>
      </c>
      <c r="B152" s="122"/>
      <c r="C152" s="35"/>
      <c r="D152" s="35"/>
      <c r="E152" s="36">
        <v>31200</v>
      </c>
      <c r="F152" s="112">
        <f t="shared" si="13"/>
        <v>0</v>
      </c>
      <c r="G152" s="37">
        <f>C152/600</f>
        <v>0</v>
      </c>
      <c r="H152" s="37">
        <f t="shared" si="15"/>
        <v>0</v>
      </c>
      <c r="I152" s="47">
        <f t="shared" si="15"/>
        <v>52</v>
      </c>
      <c r="J152" s="39">
        <v>52</v>
      </c>
      <c r="K152" s="40"/>
      <c r="L152" s="41"/>
      <c r="M152" s="41"/>
      <c r="N152" s="42"/>
    </row>
    <row r="153" spans="1:14" ht="15" customHeight="1">
      <c r="A153" s="116" t="s">
        <v>301</v>
      </c>
      <c r="B153" s="122"/>
      <c r="C153" s="35">
        <v>22500</v>
      </c>
      <c r="D153" s="35">
        <v>28000</v>
      </c>
      <c r="E153" s="36">
        <v>26900</v>
      </c>
      <c r="F153" s="112">
        <f t="shared" si="13"/>
        <v>0</v>
      </c>
      <c r="G153" s="37">
        <f>C153/500</f>
        <v>45</v>
      </c>
      <c r="H153" s="37">
        <f t="shared" si="15"/>
        <v>46.666666666666664</v>
      </c>
      <c r="I153" s="38">
        <f t="shared" si="15"/>
        <v>44.833333333333336</v>
      </c>
      <c r="J153" s="39">
        <v>46.7</v>
      </c>
      <c r="K153" s="40"/>
      <c r="L153" s="41"/>
      <c r="M153" s="41"/>
      <c r="N153" s="42"/>
    </row>
    <row r="154" spans="1:14" ht="15" customHeight="1">
      <c r="A154" s="116" t="s">
        <v>302</v>
      </c>
      <c r="B154" s="122"/>
      <c r="C154" s="35"/>
      <c r="D154" s="35">
        <v>9000</v>
      </c>
      <c r="E154" s="36"/>
      <c r="F154" s="112">
        <f t="shared" si="13"/>
        <v>0</v>
      </c>
      <c r="G154" s="37">
        <f>C154/500</f>
        <v>0</v>
      </c>
      <c r="H154" s="37">
        <f t="shared" si="15"/>
        <v>15</v>
      </c>
      <c r="I154" s="38">
        <f t="shared" si="15"/>
        <v>0</v>
      </c>
      <c r="J154" s="39">
        <v>15</v>
      </c>
      <c r="K154" s="40"/>
      <c r="L154" s="41"/>
      <c r="M154" s="46"/>
      <c r="N154" s="42"/>
    </row>
    <row r="155" spans="1:14" ht="15" customHeight="1">
      <c r="A155" s="116" t="s">
        <v>303</v>
      </c>
      <c r="B155" s="122"/>
      <c r="C155" s="35">
        <v>20000</v>
      </c>
      <c r="D155" s="35">
        <v>20000</v>
      </c>
      <c r="E155" s="36"/>
      <c r="F155" s="112">
        <f t="shared" si="13"/>
        <v>0</v>
      </c>
      <c r="G155" s="37">
        <f>C155/1000</f>
        <v>20</v>
      </c>
      <c r="H155" s="37">
        <f>D155/1000</f>
        <v>20</v>
      </c>
      <c r="I155" s="38">
        <f t="shared" si="15"/>
        <v>0</v>
      </c>
      <c r="J155" s="39">
        <v>20</v>
      </c>
      <c r="K155" s="40"/>
      <c r="L155" s="41" t="s">
        <v>304</v>
      </c>
      <c r="M155" s="46" t="s">
        <v>304</v>
      </c>
      <c r="N155" s="42"/>
    </row>
    <row r="156" spans="1:14" ht="15" customHeight="1">
      <c r="A156" s="116" t="s">
        <v>305</v>
      </c>
      <c r="B156" s="122"/>
      <c r="C156" s="35">
        <v>11500</v>
      </c>
      <c r="D156" s="35">
        <v>16000</v>
      </c>
      <c r="E156" s="36">
        <v>16500</v>
      </c>
      <c r="F156" s="112">
        <f t="shared" ref="F156:G188" si="16">B156/500</f>
        <v>0</v>
      </c>
      <c r="G156" s="37">
        <f>C156/500</f>
        <v>23</v>
      </c>
      <c r="H156" s="37">
        <f t="shared" ref="H156:I192" si="17">D156/600</f>
        <v>26.666666666666668</v>
      </c>
      <c r="I156" s="38">
        <f t="shared" si="15"/>
        <v>27.5</v>
      </c>
      <c r="J156" s="39">
        <v>23</v>
      </c>
      <c r="K156" s="40"/>
      <c r="L156" s="41" t="s">
        <v>68</v>
      </c>
      <c r="M156" s="41"/>
      <c r="N156" s="42" t="s">
        <v>306</v>
      </c>
    </row>
    <row r="157" spans="1:14" ht="15" customHeight="1">
      <c r="A157" s="117" t="s">
        <v>307</v>
      </c>
      <c r="B157" s="122"/>
      <c r="C157" s="35"/>
      <c r="D157" s="35"/>
      <c r="E157" s="36"/>
      <c r="F157" s="112">
        <f t="shared" si="16"/>
        <v>0</v>
      </c>
      <c r="G157" s="37">
        <f>C157/500</f>
        <v>0</v>
      </c>
      <c r="H157" s="37">
        <f t="shared" si="17"/>
        <v>0</v>
      </c>
      <c r="I157" s="38">
        <f t="shared" si="15"/>
        <v>0</v>
      </c>
      <c r="K157" s="40"/>
      <c r="L157" s="41"/>
      <c r="M157" s="41"/>
      <c r="N157" s="42"/>
    </row>
    <row r="158" spans="1:14" ht="15" customHeight="1">
      <c r="A158" s="117" t="s">
        <v>308</v>
      </c>
      <c r="B158" s="122"/>
      <c r="C158" s="35"/>
      <c r="D158" s="35"/>
      <c r="E158" s="36">
        <v>7800</v>
      </c>
      <c r="F158" s="112">
        <f t="shared" si="16"/>
        <v>0</v>
      </c>
      <c r="G158" s="37">
        <f>C158/500</f>
        <v>0</v>
      </c>
      <c r="H158" s="37">
        <f t="shared" si="17"/>
        <v>0</v>
      </c>
      <c r="I158" s="47">
        <f t="shared" si="15"/>
        <v>13</v>
      </c>
      <c r="J158" s="39">
        <v>13</v>
      </c>
      <c r="K158" s="40"/>
      <c r="L158" s="41"/>
      <c r="M158" s="41"/>
      <c r="N158" s="42"/>
    </row>
    <row r="159" spans="1:14" ht="15" customHeight="1">
      <c r="A159" s="117" t="s">
        <v>309</v>
      </c>
      <c r="B159" s="122"/>
      <c r="C159" s="35">
        <v>8600</v>
      </c>
      <c r="D159" s="35">
        <v>11000</v>
      </c>
      <c r="E159" s="36"/>
      <c r="F159" s="112">
        <f t="shared" si="16"/>
        <v>0</v>
      </c>
      <c r="G159" s="37">
        <f>C159/500</f>
        <v>17.2</v>
      </c>
      <c r="H159" s="37">
        <f t="shared" si="17"/>
        <v>18.333333333333332</v>
      </c>
      <c r="I159" s="38">
        <f t="shared" si="15"/>
        <v>0</v>
      </c>
      <c r="J159" s="39">
        <v>18.3</v>
      </c>
      <c r="K159" s="40"/>
      <c r="L159" s="41"/>
      <c r="M159" s="41"/>
      <c r="N159" s="42"/>
    </row>
    <row r="160" spans="1:14" ht="15" customHeight="1">
      <c r="A160" s="117" t="s">
        <v>310</v>
      </c>
      <c r="B160" s="122"/>
      <c r="C160" s="35">
        <v>8000</v>
      </c>
      <c r="D160" s="35"/>
      <c r="E160" s="36">
        <v>10200</v>
      </c>
      <c r="F160" s="112">
        <f t="shared" si="16"/>
        <v>0</v>
      </c>
      <c r="G160" s="43">
        <f>C160/500</f>
        <v>16</v>
      </c>
      <c r="H160" s="37">
        <f t="shared" si="17"/>
        <v>0</v>
      </c>
      <c r="I160" s="38">
        <f t="shared" si="15"/>
        <v>17</v>
      </c>
      <c r="J160" s="39">
        <v>15.4</v>
      </c>
      <c r="K160" s="40"/>
      <c r="L160" s="41" t="s">
        <v>59</v>
      </c>
      <c r="M160" s="41"/>
      <c r="N160" s="42"/>
    </row>
    <row r="161" spans="1:14" ht="15" customHeight="1">
      <c r="A161" s="116" t="s">
        <v>311</v>
      </c>
      <c r="B161" s="122"/>
      <c r="C161" s="35">
        <v>3500</v>
      </c>
      <c r="D161" s="35">
        <v>4500</v>
      </c>
      <c r="E161" s="36"/>
      <c r="F161" s="112">
        <f t="shared" si="16"/>
        <v>0</v>
      </c>
      <c r="G161" s="37">
        <f>C161/600</f>
        <v>5.833333333333333</v>
      </c>
      <c r="H161" s="37">
        <f t="shared" si="17"/>
        <v>7.5</v>
      </c>
      <c r="I161" s="38">
        <f t="shared" si="15"/>
        <v>0</v>
      </c>
      <c r="K161" s="40"/>
      <c r="L161" s="41" t="s">
        <v>51</v>
      </c>
      <c r="M161" s="41"/>
      <c r="N161" s="42"/>
    </row>
    <row r="162" spans="1:14" ht="15" customHeight="1">
      <c r="A162" s="117" t="s">
        <v>312</v>
      </c>
      <c r="B162" s="122"/>
      <c r="C162" s="35">
        <v>4500</v>
      </c>
      <c r="D162" s="35"/>
      <c r="E162" s="36"/>
      <c r="F162" s="112">
        <f t="shared" si="16"/>
        <v>0</v>
      </c>
      <c r="G162" s="37">
        <f>C162/600</f>
        <v>7.5</v>
      </c>
      <c r="H162" s="37">
        <f t="shared" si="17"/>
        <v>0</v>
      </c>
      <c r="I162" s="38">
        <f t="shared" si="15"/>
        <v>0</v>
      </c>
      <c r="J162" s="39">
        <v>7.5</v>
      </c>
      <c r="K162" s="40"/>
      <c r="L162" s="41" t="s">
        <v>313</v>
      </c>
      <c r="M162" s="41"/>
      <c r="N162" s="42"/>
    </row>
    <row r="163" spans="1:14" ht="15" customHeight="1">
      <c r="A163" s="117" t="s">
        <v>314</v>
      </c>
      <c r="B163" s="122"/>
      <c r="C163" s="35">
        <v>4800</v>
      </c>
      <c r="D163" s="35">
        <v>7000</v>
      </c>
      <c r="E163" s="36">
        <v>6000</v>
      </c>
      <c r="F163" s="112">
        <f t="shared" si="16"/>
        <v>0</v>
      </c>
      <c r="G163" s="37">
        <f t="shared" si="16"/>
        <v>9.6</v>
      </c>
      <c r="H163" s="37">
        <f t="shared" si="17"/>
        <v>11.666666666666666</v>
      </c>
      <c r="I163" s="38">
        <f t="shared" si="15"/>
        <v>10</v>
      </c>
      <c r="J163" s="39">
        <v>10</v>
      </c>
      <c r="K163" s="40"/>
      <c r="L163" s="41" t="s">
        <v>79</v>
      </c>
      <c r="M163" s="46" t="s">
        <v>160</v>
      </c>
      <c r="N163" s="42" t="s">
        <v>91</v>
      </c>
    </row>
    <row r="164" spans="1:14" ht="15" customHeight="1">
      <c r="A164" s="117" t="s">
        <v>315</v>
      </c>
      <c r="B164" s="122"/>
      <c r="C164" s="35">
        <v>10600</v>
      </c>
      <c r="D164" s="35">
        <v>14000</v>
      </c>
      <c r="E164" s="36">
        <v>14200</v>
      </c>
      <c r="F164" s="112">
        <f t="shared" si="16"/>
        <v>0</v>
      </c>
      <c r="G164" s="37">
        <f t="shared" si="16"/>
        <v>21.2</v>
      </c>
      <c r="H164" s="37">
        <f t="shared" si="17"/>
        <v>23.333333333333332</v>
      </c>
      <c r="I164" s="47">
        <f t="shared" si="15"/>
        <v>23.666666666666668</v>
      </c>
      <c r="J164" s="39">
        <v>21.7</v>
      </c>
      <c r="K164" s="40"/>
      <c r="L164" s="41"/>
      <c r="M164" s="41" t="s">
        <v>273</v>
      </c>
      <c r="N164" s="42" t="s">
        <v>91</v>
      </c>
    </row>
    <row r="165" spans="1:14" ht="15" customHeight="1">
      <c r="A165" s="117" t="s">
        <v>316</v>
      </c>
      <c r="B165" s="122"/>
      <c r="C165" s="35">
        <v>7800</v>
      </c>
      <c r="D165" s="35">
        <v>11000</v>
      </c>
      <c r="E165" s="36">
        <v>9600</v>
      </c>
      <c r="F165" s="112">
        <f t="shared" si="16"/>
        <v>0</v>
      </c>
      <c r="G165" s="37">
        <f t="shared" si="16"/>
        <v>15.6</v>
      </c>
      <c r="H165" s="37">
        <f t="shared" si="17"/>
        <v>18.333333333333332</v>
      </c>
      <c r="I165" s="38">
        <f t="shared" si="17"/>
        <v>16</v>
      </c>
      <c r="J165" s="39">
        <v>16.7</v>
      </c>
      <c r="K165" s="40"/>
      <c r="L165" s="41" t="s">
        <v>317</v>
      </c>
      <c r="M165" s="46"/>
      <c r="N165" s="42" t="s">
        <v>207</v>
      </c>
    </row>
    <row r="166" spans="1:14" ht="15" customHeight="1">
      <c r="A166" s="117" t="s">
        <v>318</v>
      </c>
      <c r="B166" s="122"/>
      <c r="C166" s="35"/>
      <c r="D166" s="35"/>
      <c r="E166" s="36">
        <v>5600</v>
      </c>
      <c r="F166" s="112">
        <f t="shared" si="16"/>
        <v>0</v>
      </c>
      <c r="G166" s="37">
        <f t="shared" si="16"/>
        <v>0</v>
      </c>
      <c r="H166" s="37">
        <f t="shared" si="17"/>
        <v>0</v>
      </c>
      <c r="I166" s="38">
        <f t="shared" si="17"/>
        <v>9.3333333333333339</v>
      </c>
      <c r="J166" s="39">
        <v>9.3000000000000007</v>
      </c>
      <c r="K166" s="40"/>
      <c r="L166" s="41"/>
      <c r="M166" s="41"/>
      <c r="N166" s="42"/>
    </row>
    <row r="167" spans="1:14" ht="15" customHeight="1">
      <c r="A167" s="117" t="s">
        <v>319</v>
      </c>
      <c r="B167" s="122"/>
      <c r="C167" s="35">
        <v>10000</v>
      </c>
      <c r="D167" s="35"/>
      <c r="E167" s="36">
        <v>10000</v>
      </c>
      <c r="F167" s="112">
        <f t="shared" si="16"/>
        <v>0</v>
      </c>
      <c r="G167" s="37">
        <f t="shared" si="16"/>
        <v>20</v>
      </c>
      <c r="H167" s="37">
        <f t="shared" si="17"/>
        <v>0</v>
      </c>
      <c r="I167" s="47">
        <f t="shared" si="17"/>
        <v>16.666666666666668</v>
      </c>
      <c r="J167" s="39">
        <v>16.7</v>
      </c>
      <c r="K167" s="40"/>
      <c r="L167" s="41" t="s">
        <v>266</v>
      </c>
      <c r="M167" s="41"/>
      <c r="N167" s="42" t="s">
        <v>320</v>
      </c>
    </row>
    <row r="168" spans="1:14" ht="15" customHeight="1">
      <c r="A168" s="117" t="s">
        <v>321</v>
      </c>
      <c r="B168" s="122"/>
      <c r="C168" s="35"/>
      <c r="D168" s="35"/>
      <c r="E168" s="36"/>
      <c r="F168" s="112">
        <f t="shared" si="16"/>
        <v>0</v>
      </c>
      <c r="G168" s="37">
        <f t="shared" si="16"/>
        <v>0</v>
      </c>
      <c r="H168" s="37">
        <f t="shared" si="17"/>
        <v>0</v>
      </c>
      <c r="I168" s="38">
        <f t="shared" si="17"/>
        <v>0</v>
      </c>
      <c r="K168" s="40"/>
      <c r="L168" s="41"/>
      <c r="M168" s="41"/>
      <c r="N168" s="42"/>
    </row>
    <row r="169" spans="1:14" ht="15" customHeight="1">
      <c r="A169" s="117" t="s">
        <v>322</v>
      </c>
      <c r="B169" s="122"/>
      <c r="C169" s="35">
        <v>9500</v>
      </c>
      <c r="D169" s="35">
        <v>14000</v>
      </c>
      <c r="E169" s="36"/>
      <c r="F169" s="112">
        <f t="shared" si="16"/>
        <v>0</v>
      </c>
      <c r="G169" s="37">
        <f t="shared" si="16"/>
        <v>19</v>
      </c>
      <c r="H169" s="37">
        <f t="shared" si="17"/>
        <v>23.333333333333332</v>
      </c>
      <c r="I169" s="38">
        <f t="shared" si="17"/>
        <v>0</v>
      </c>
      <c r="J169" s="39">
        <v>23.3</v>
      </c>
      <c r="K169" s="40"/>
      <c r="L169" s="41"/>
      <c r="M169" s="41"/>
      <c r="N169" s="42"/>
    </row>
    <row r="170" spans="1:14" ht="15" customHeight="1">
      <c r="A170" s="117" t="s">
        <v>323</v>
      </c>
      <c r="B170" s="122">
        <v>8800</v>
      </c>
      <c r="C170" s="35">
        <v>5100</v>
      </c>
      <c r="D170" s="35">
        <v>5800</v>
      </c>
      <c r="E170" s="36">
        <v>7000</v>
      </c>
      <c r="F170" s="112">
        <f t="shared" si="16"/>
        <v>17.600000000000001</v>
      </c>
      <c r="G170" s="37">
        <f t="shared" si="16"/>
        <v>10.199999999999999</v>
      </c>
      <c r="H170" s="37">
        <f t="shared" si="17"/>
        <v>9.6666666666666661</v>
      </c>
      <c r="I170" s="47">
        <f t="shared" si="17"/>
        <v>11.666666666666666</v>
      </c>
      <c r="J170" s="39">
        <v>17.600000000000001</v>
      </c>
      <c r="K170" s="66"/>
      <c r="L170" s="67" t="s">
        <v>324</v>
      </c>
      <c r="M170" s="57" t="s">
        <v>325</v>
      </c>
      <c r="N170" s="65" t="s">
        <v>326</v>
      </c>
    </row>
    <row r="171" spans="1:14" ht="15" customHeight="1">
      <c r="A171" s="117" t="s">
        <v>327</v>
      </c>
      <c r="B171" s="122">
        <v>22500</v>
      </c>
      <c r="C171" s="35"/>
      <c r="D171" s="35"/>
      <c r="E171" s="36"/>
      <c r="F171" s="112">
        <f t="shared" si="16"/>
        <v>45</v>
      </c>
      <c r="G171" s="37">
        <f t="shared" si="16"/>
        <v>0</v>
      </c>
      <c r="H171" s="37">
        <f t="shared" si="17"/>
        <v>0</v>
      </c>
      <c r="I171" s="38">
        <f t="shared" si="17"/>
        <v>0</v>
      </c>
      <c r="J171" s="39">
        <v>45</v>
      </c>
      <c r="K171" s="40"/>
      <c r="L171" s="41"/>
      <c r="M171" s="41"/>
      <c r="N171" s="42"/>
    </row>
    <row r="172" spans="1:14" ht="15" customHeight="1" thickBot="1">
      <c r="A172" s="119" t="s">
        <v>328</v>
      </c>
      <c r="B172" s="123"/>
      <c r="C172" s="48"/>
      <c r="D172" s="48"/>
      <c r="E172" s="49"/>
      <c r="F172" s="72">
        <f t="shared" si="16"/>
        <v>0</v>
      </c>
      <c r="G172" s="50">
        <f t="shared" si="16"/>
        <v>0</v>
      </c>
      <c r="H172" s="50">
        <f t="shared" si="17"/>
        <v>0</v>
      </c>
      <c r="I172" s="59">
        <f t="shared" si="17"/>
        <v>0</v>
      </c>
      <c r="J172" s="51"/>
      <c r="K172" s="60"/>
      <c r="L172" s="52"/>
      <c r="M172" s="52"/>
      <c r="N172" s="61"/>
    </row>
    <row r="173" spans="1:14" ht="15" customHeight="1">
      <c r="A173" s="129" t="s">
        <v>329</v>
      </c>
      <c r="B173" s="125"/>
      <c r="C173" s="25">
        <v>5300</v>
      </c>
      <c r="D173" s="25">
        <v>14000</v>
      </c>
      <c r="E173" s="26"/>
      <c r="F173" s="27">
        <f t="shared" si="16"/>
        <v>0</v>
      </c>
      <c r="G173" s="28">
        <f t="shared" si="16"/>
        <v>10.6</v>
      </c>
      <c r="H173" s="28">
        <f t="shared" si="17"/>
        <v>23.333333333333332</v>
      </c>
      <c r="I173" s="55">
        <f t="shared" si="17"/>
        <v>0</v>
      </c>
      <c r="J173" s="30">
        <v>23.3</v>
      </c>
      <c r="K173" s="31"/>
      <c r="L173" s="32"/>
      <c r="M173" s="33"/>
      <c r="N173" s="34"/>
    </row>
    <row r="174" spans="1:14" ht="15" customHeight="1">
      <c r="A174" s="118" t="s">
        <v>330</v>
      </c>
      <c r="B174" s="122"/>
      <c r="C174" s="35"/>
      <c r="D174" s="35"/>
      <c r="E174" s="36"/>
      <c r="F174" s="112">
        <f t="shared" si="16"/>
        <v>0</v>
      </c>
      <c r="G174" s="37">
        <f t="shared" si="16"/>
        <v>0</v>
      </c>
      <c r="H174" s="37">
        <f t="shared" si="17"/>
        <v>0</v>
      </c>
      <c r="I174" s="38">
        <f t="shared" si="17"/>
        <v>0</v>
      </c>
      <c r="K174" s="40"/>
      <c r="L174" s="41"/>
      <c r="M174" s="41"/>
      <c r="N174" s="42"/>
    </row>
    <row r="175" spans="1:14" ht="15" customHeight="1">
      <c r="A175" s="118" t="s">
        <v>331</v>
      </c>
      <c r="B175" s="122"/>
      <c r="C175" s="35">
        <v>11000</v>
      </c>
      <c r="D175" s="35"/>
      <c r="E175" s="36">
        <v>15000</v>
      </c>
      <c r="F175" s="112">
        <f t="shared" si="16"/>
        <v>0</v>
      </c>
      <c r="G175" s="71">
        <f t="shared" si="16"/>
        <v>22</v>
      </c>
      <c r="H175" s="37">
        <f t="shared" si="17"/>
        <v>0</v>
      </c>
      <c r="I175" s="143">
        <f t="shared" si="17"/>
        <v>25</v>
      </c>
      <c r="J175" s="39">
        <v>25</v>
      </c>
      <c r="K175" s="40"/>
      <c r="L175" s="56" t="s">
        <v>52</v>
      </c>
      <c r="M175" s="41"/>
      <c r="N175" s="42" t="s">
        <v>91</v>
      </c>
    </row>
    <row r="176" spans="1:14" ht="15" customHeight="1">
      <c r="A176" s="118" t="s">
        <v>332</v>
      </c>
      <c r="B176" s="122">
        <v>31900</v>
      </c>
      <c r="C176" s="35"/>
      <c r="D176" s="35">
        <v>17000</v>
      </c>
      <c r="E176" s="36">
        <v>25800</v>
      </c>
      <c r="F176" s="112">
        <f t="shared" si="16"/>
        <v>63.8</v>
      </c>
      <c r="G176" s="37">
        <f t="shared" si="16"/>
        <v>0</v>
      </c>
      <c r="H176" s="37">
        <f t="shared" si="17"/>
        <v>28.333333333333332</v>
      </c>
      <c r="I176" s="38">
        <f t="shared" si="17"/>
        <v>43</v>
      </c>
      <c r="J176" s="39">
        <v>43</v>
      </c>
      <c r="K176" s="40" t="s">
        <v>333</v>
      </c>
      <c r="L176" s="41"/>
      <c r="M176" s="46" t="s">
        <v>334</v>
      </c>
      <c r="N176" s="65" t="s">
        <v>335</v>
      </c>
    </row>
    <row r="177" spans="1:14" ht="15" customHeight="1">
      <c r="A177" s="118" t="s">
        <v>336</v>
      </c>
      <c r="B177" s="122"/>
      <c r="C177" s="35">
        <v>5200</v>
      </c>
      <c r="D177" s="35">
        <v>14000</v>
      </c>
      <c r="E177" s="36">
        <v>6500</v>
      </c>
      <c r="F177" s="112">
        <f t="shared" si="16"/>
        <v>0</v>
      </c>
      <c r="G177" s="37">
        <f>C177/500</f>
        <v>10.4</v>
      </c>
      <c r="H177" s="37">
        <f t="shared" si="17"/>
        <v>23.333333333333332</v>
      </c>
      <c r="I177" s="38">
        <f t="shared" si="17"/>
        <v>10.833333333333334</v>
      </c>
      <c r="J177" s="39">
        <v>10.8</v>
      </c>
      <c r="K177" s="40"/>
      <c r="L177" s="41" t="s">
        <v>337</v>
      </c>
      <c r="M177" s="41" t="s">
        <v>165</v>
      </c>
      <c r="N177" s="42" t="s">
        <v>91</v>
      </c>
    </row>
    <row r="178" spans="1:14" ht="15" customHeight="1">
      <c r="A178" s="115" t="s">
        <v>338</v>
      </c>
      <c r="B178" s="122"/>
      <c r="C178" s="35"/>
      <c r="D178" s="35"/>
      <c r="E178" s="36">
        <v>12500</v>
      </c>
      <c r="F178" s="112">
        <f t="shared" si="16"/>
        <v>0</v>
      </c>
      <c r="G178" s="37">
        <f t="shared" si="16"/>
        <v>0</v>
      </c>
      <c r="H178" s="37">
        <f t="shared" si="17"/>
        <v>0</v>
      </c>
      <c r="I178" s="38">
        <f t="shared" si="17"/>
        <v>20.833333333333332</v>
      </c>
      <c r="J178" s="39">
        <v>20.8</v>
      </c>
      <c r="K178" s="40"/>
      <c r="L178" s="41"/>
      <c r="M178" s="41"/>
      <c r="N178" s="42" t="s">
        <v>46</v>
      </c>
    </row>
    <row r="179" spans="1:14" ht="15" customHeight="1">
      <c r="A179" s="118" t="s">
        <v>339</v>
      </c>
      <c r="B179" s="122"/>
      <c r="C179" s="35">
        <v>5800</v>
      </c>
      <c r="D179" s="35"/>
      <c r="E179" s="36"/>
      <c r="F179" s="112">
        <f t="shared" si="16"/>
        <v>0</v>
      </c>
      <c r="G179" s="37">
        <f t="shared" si="16"/>
        <v>11.6</v>
      </c>
      <c r="H179" s="37">
        <f t="shared" si="17"/>
        <v>0</v>
      </c>
      <c r="I179" s="38">
        <f t="shared" si="17"/>
        <v>0</v>
      </c>
      <c r="J179" s="39">
        <v>11.6</v>
      </c>
      <c r="K179" s="40"/>
      <c r="L179" s="41" t="s">
        <v>340</v>
      </c>
      <c r="M179" s="41"/>
      <c r="N179" s="42"/>
    </row>
    <row r="180" spans="1:14" ht="15" customHeight="1">
      <c r="A180" s="118" t="s">
        <v>341</v>
      </c>
      <c r="B180" s="122"/>
      <c r="C180" s="35">
        <v>21900</v>
      </c>
      <c r="D180" s="35">
        <v>24000</v>
      </c>
      <c r="E180" s="36">
        <v>24300</v>
      </c>
      <c r="F180" s="112">
        <f t="shared" si="16"/>
        <v>0</v>
      </c>
      <c r="G180" s="37">
        <f t="shared" si="16"/>
        <v>43.8</v>
      </c>
      <c r="H180" s="37">
        <f t="shared" si="17"/>
        <v>40</v>
      </c>
      <c r="I180" s="38">
        <f t="shared" si="17"/>
        <v>40.5</v>
      </c>
      <c r="J180" s="39">
        <v>40</v>
      </c>
      <c r="K180" s="40"/>
      <c r="L180" s="41" t="s">
        <v>68</v>
      </c>
      <c r="M180" s="46"/>
      <c r="N180" s="42" t="s">
        <v>91</v>
      </c>
    </row>
    <row r="181" spans="1:14" ht="15" customHeight="1">
      <c r="A181" s="118" t="s">
        <v>342</v>
      </c>
      <c r="B181" s="122"/>
      <c r="C181" s="35">
        <v>13800</v>
      </c>
      <c r="D181" s="35"/>
      <c r="E181" s="36">
        <v>17900</v>
      </c>
      <c r="F181" s="112">
        <f t="shared" si="16"/>
        <v>0</v>
      </c>
      <c r="G181" s="37">
        <f t="shared" si="16"/>
        <v>27.6</v>
      </c>
      <c r="H181" s="37">
        <f t="shared" si="17"/>
        <v>0</v>
      </c>
      <c r="I181" s="38">
        <f t="shared" si="17"/>
        <v>29.833333333333332</v>
      </c>
      <c r="J181" s="39">
        <v>29.8</v>
      </c>
      <c r="K181" s="40"/>
      <c r="L181" s="41" t="s">
        <v>266</v>
      </c>
      <c r="M181" s="41"/>
      <c r="N181" s="42" t="s">
        <v>343</v>
      </c>
    </row>
    <row r="182" spans="1:14" ht="15" customHeight="1">
      <c r="A182" s="118" t="s">
        <v>344</v>
      </c>
      <c r="B182" s="122"/>
      <c r="C182" s="35">
        <v>11000</v>
      </c>
      <c r="D182" s="35"/>
      <c r="E182" s="36">
        <v>11000</v>
      </c>
      <c r="F182" s="112">
        <f t="shared" si="16"/>
        <v>0</v>
      </c>
      <c r="G182" s="37">
        <f t="shared" si="16"/>
        <v>22</v>
      </c>
      <c r="H182" s="37">
        <f t="shared" si="17"/>
        <v>0</v>
      </c>
      <c r="I182" s="38">
        <f>E182/500</f>
        <v>22</v>
      </c>
      <c r="J182" s="39">
        <v>22</v>
      </c>
      <c r="K182" s="40"/>
      <c r="L182" s="41" t="s">
        <v>345</v>
      </c>
      <c r="M182" s="41"/>
      <c r="N182" s="42" t="s">
        <v>346</v>
      </c>
    </row>
    <row r="183" spans="1:14" ht="15" customHeight="1">
      <c r="A183" s="118" t="s">
        <v>416</v>
      </c>
      <c r="B183" s="122"/>
      <c r="C183" s="35"/>
      <c r="D183" s="35"/>
      <c r="E183" s="36"/>
      <c r="F183" s="112"/>
      <c r="G183" s="37"/>
      <c r="H183" s="37"/>
      <c r="I183" s="38"/>
      <c r="K183" s="40"/>
      <c r="L183" s="41"/>
      <c r="M183" s="41"/>
      <c r="N183" s="42"/>
    </row>
    <row r="184" spans="1:14" ht="15" customHeight="1">
      <c r="A184" s="118" t="s">
        <v>347</v>
      </c>
      <c r="B184" s="122"/>
      <c r="C184" s="35">
        <v>11300</v>
      </c>
      <c r="D184" s="35"/>
      <c r="E184" s="36">
        <v>14200</v>
      </c>
      <c r="F184" s="112">
        <f t="shared" si="16"/>
        <v>0</v>
      </c>
      <c r="G184" s="37">
        <f t="shared" si="16"/>
        <v>22.6</v>
      </c>
      <c r="H184" s="37">
        <f t="shared" si="17"/>
        <v>0</v>
      </c>
      <c r="I184" s="38">
        <f t="shared" si="17"/>
        <v>23.666666666666668</v>
      </c>
      <c r="J184" s="39">
        <v>22.6</v>
      </c>
      <c r="K184" s="40"/>
      <c r="L184" s="41" t="s">
        <v>46</v>
      </c>
      <c r="M184" s="41"/>
      <c r="N184" s="42" t="s">
        <v>46</v>
      </c>
    </row>
    <row r="185" spans="1:14" ht="15" customHeight="1">
      <c r="A185" s="118" t="s">
        <v>348</v>
      </c>
      <c r="B185" s="122"/>
      <c r="C185" s="35"/>
      <c r="D185" s="35">
        <v>8500</v>
      </c>
      <c r="E185" s="36"/>
      <c r="F185" s="112">
        <f t="shared" si="16"/>
        <v>0</v>
      </c>
      <c r="G185" s="37">
        <f t="shared" si="16"/>
        <v>0</v>
      </c>
      <c r="H185" s="37">
        <f t="shared" si="17"/>
        <v>14.166666666666666</v>
      </c>
      <c r="I185" s="38">
        <f t="shared" si="17"/>
        <v>0</v>
      </c>
      <c r="J185" s="39">
        <v>14.2</v>
      </c>
      <c r="K185" s="40"/>
      <c r="L185" s="41"/>
      <c r="M185" s="41"/>
      <c r="N185" s="42"/>
    </row>
    <row r="186" spans="1:14" ht="15" customHeight="1">
      <c r="A186" s="118" t="s">
        <v>349</v>
      </c>
      <c r="B186" s="122"/>
      <c r="C186" s="35">
        <v>3300</v>
      </c>
      <c r="D186" s="35">
        <v>5800</v>
      </c>
      <c r="E186" s="36">
        <v>4400</v>
      </c>
      <c r="F186" s="112">
        <f t="shared" si="16"/>
        <v>0</v>
      </c>
      <c r="G186" s="37">
        <f t="shared" si="16"/>
        <v>6.6</v>
      </c>
      <c r="H186" s="37">
        <f t="shared" si="17"/>
        <v>9.6666666666666661</v>
      </c>
      <c r="I186" s="38">
        <f t="shared" si="17"/>
        <v>7.333333333333333</v>
      </c>
      <c r="J186" s="39">
        <v>7.3</v>
      </c>
      <c r="K186" s="40"/>
      <c r="L186" s="41"/>
      <c r="M186" s="41" t="s">
        <v>350</v>
      </c>
      <c r="N186" s="42" t="s">
        <v>91</v>
      </c>
    </row>
    <row r="187" spans="1:14" ht="15" customHeight="1">
      <c r="A187" s="118" t="s">
        <v>351</v>
      </c>
      <c r="B187" s="122"/>
      <c r="C187" s="35"/>
      <c r="D187" s="35"/>
      <c r="E187" s="36"/>
      <c r="F187" s="112">
        <f t="shared" si="16"/>
        <v>0</v>
      </c>
      <c r="G187" s="37">
        <f t="shared" si="16"/>
        <v>0</v>
      </c>
      <c r="H187" s="37">
        <f t="shared" si="17"/>
        <v>0</v>
      </c>
      <c r="I187" s="38">
        <f t="shared" si="17"/>
        <v>0</v>
      </c>
      <c r="K187" s="40"/>
      <c r="L187" s="41"/>
      <c r="M187" s="41"/>
      <c r="N187" s="42"/>
    </row>
    <row r="188" spans="1:14" ht="15" customHeight="1">
      <c r="A188" s="118" t="s">
        <v>352</v>
      </c>
      <c r="B188" s="122"/>
      <c r="C188" s="35"/>
      <c r="D188" s="35"/>
      <c r="E188" s="36"/>
      <c r="F188" s="112">
        <f t="shared" si="16"/>
        <v>0</v>
      </c>
      <c r="G188" s="37">
        <f t="shared" si="16"/>
        <v>0</v>
      </c>
      <c r="H188" s="37">
        <f t="shared" si="17"/>
        <v>0</v>
      </c>
      <c r="I188" s="38">
        <f t="shared" si="17"/>
        <v>0</v>
      </c>
      <c r="K188" s="40"/>
      <c r="L188" s="41"/>
      <c r="M188" s="41"/>
      <c r="N188" s="42"/>
    </row>
    <row r="189" spans="1:14" ht="15" customHeight="1">
      <c r="A189" s="118" t="s">
        <v>353</v>
      </c>
      <c r="B189" s="122"/>
      <c r="C189" s="35">
        <v>5800</v>
      </c>
      <c r="D189" s="35">
        <v>7000</v>
      </c>
      <c r="E189" s="36"/>
      <c r="F189" s="112">
        <f t="shared" ref="F189:G193" si="18">B189/500</f>
        <v>0</v>
      </c>
      <c r="G189" s="37">
        <f t="shared" si="18"/>
        <v>11.6</v>
      </c>
      <c r="H189" s="37">
        <f t="shared" si="17"/>
        <v>11.666666666666666</v>
      </c>
      <c r="I189" s="38">
        <f t="shared" si="17"/>
        <v>0</v>
      </c>
      <c r="J189" s="39">
        <v>11.7</v>
      </c>
      <c r="K189" s="40"/>
      <c r="L189" s="41" t="s">
        <v>292</v>
      </c>
      <c r="M189" s="41"/>
      <c r="N189" s="42"/>
    </row>
    <row r="190" spans="1:14" ht="15" customHeight="1">
      <c r="A190" s="118" t="s">
        <v>354</v>
      </c>
      <c r="B190" s="122"/>
      <c r="C190" s="35"/>
      <c r="D190" s="35"/>
      <c r="E190" s="36"/>
      <c r="F190" s="112">
        <f t="shared" si="18"/>
        <v>0</v>
      </c>
      <c r="G190" s="37">
        <f t="shared" si="18"/>
        <v>0</v>
      </c>
      <c r="H190" s="37">
        <f t="shared" si="17"/>
        <v>0</v>
      </c>
      <c r="I190" s="38">
        <f t="shared" si="17"/>
        <v>0</v>
      </c>
      <c r="K190" s="40"/>
      <c r="L190" s="41"/>
      <c r="M190" s="41"/>
      <c r="N190" s="42"/>
    </row>
    <row r="191" spans="1:14" ht="15" customHeight="1" thickBot="1">
      <c r="A191" s="130" t="s">
        <v>355</v>
      </c>
      <c r="B191" s="123">
        <v>10800</v>
      </c>
      <c r="C191" s="48">
        <v>9500</v>
      </c>
      <c r="D191" s="48">
        <v>7500</v>
      </c>
      <c r="E191" s="49">
        <v>12700</v>
      </c>
      <c r="F191" s="72">
        <f t="shared" si="18"/>
        <v>21.6</v>
      </c>
      <c r="G191" s="50">
        <f t="shared" si="18"/>
        <v>19</v>
      </c>
      <c r="H191" s="50">
        <f t="shared" si="17"/>
        <v>12.5</v>
      </c>
      <c r="I191" s="59">
        <f t="shared" si="17"/>
        <v>21.166666666666668</v>
      </c>
      <c r="J191" s="51">
        <v>26</v>
      </c>
      <c r="K191" s="139"/>
      <c r="L191" s="52" t="s">
        <v>46</v>
      </c>
      <c r="M191" s="53"/>
      <c r="N191" s="61" t="s">
        <v>207</v>
      </c>
    </row>
    <row r="192" spans="1:14" ht="15" customHeight="1">
      <c r="A192" s="131" t="s">
        <v>356</v>
      </c>
      <c r="B192" s="125"/>
      <c r="C192" s="25">
        <v>13200</v>
      </c>
      <c r="D192" s="25">
        <v>15000</v>
      </c>
      <c r="E192" s="26">
        <v>16300</v>
      </c>
      <c r="F192" s="27">
        <f t="shared" si="18"/>
        <v>0</v>
      </c>
      <c r="G192" s="28">
        <f t="shared" si="18"/>
        <v>26.4</v>
      </c>
      <c r="H192" s="28">
        <f t="shared" si="17"/>
        <v>25</v>
      </c>
      <c r="I192" s="55">
        <f t="shared" si="17"/>
        <v>27.166666666666668</v>
      </c>
      <c r="J192" s="30">
        <v>23.7</v>
      </c>
      <c r="K192" s="31"/>
      <c r="L192" s="140" t="s">
        <v>46</v>
      </c>
      <c r="M192" s="33" t="s">
        <v>65</v>
      </c>
      <c r="N192" s="34" t="s">
        <v>48</v>
      </c>
    </row>
    <row r="193" spans="1:14" ht="15" customHeight="1">
      <c r="A193" s="141" t="s">
        <v>357</v>
      </c>
      <c r="B193" s="122"/>
      <c r="C193" s="35">
        <v>5500</v>
      </c>
      <c r="D193" s="35"/>
      <c r="E193" s="36"/>
      <c r="F193" s="112"/>
      <c r="G193" s="37">
        <f t="shared" si="18"/>
        <v>11</v>
      </c>
      <c r="H193" s="37"/>
      <c r="I193" s="38"/>
      <c r="J193" s="39">
        <v>11</v>
      </c>
      <c r="K193" s="136"/>
      <c r="L193" s="41" t="s">
        <v>358</v>
      </c>
      <c r="M193" s="132"/>
      <c r="N193" s="142"/>
    </row>
    <row r="194" spans="1:14" ht="15" customHeight="1" thickBot="1">
      <c r="A194" s="119" t="s">
        <v>359</v>
      </c>
      <c r="B194" s="123"/>
      <c r="C194" s="48">
        <v>10000</v>
      </c>
      <c r="D194" s="48">
        <v>10000</v>
      </c>
      <c r="E194" s="49">
        <v>10300</v>
      </c>
      <c r="F194" s="72">
        <f t="shared" ref="F194:G214" si="19">B194/500</f>
        <v>0</v>
      </c>
      <c r="G194" s="50">
        <f t="shared" ref="G194:I202" si="20">C194/600</f>
        <v>16.666666666666668</v>
      </c>
      <c r="H194" s="50">
        <f t="shared" si="20"/>
        <v>16.666666666666668</v>
      </c>
      <c r="I194" s="59">
        <f t="shared" si="20"/>
        <v>17.166666666666668</v>
      </c>
      <c r="J194" s="51">
        <v>17.2</v>
      </c>
      <c r="K194" s="60"/>
      <c r="L194" s="52" t="s">
        <v>113</v>
      </c>
      <c r="M194" s="53" t="s">
        <v>360</v>
      </c>
      <c r="N194" s="61" t="s">
        <v>361</v>
      </c>
    </row>
    <row r="195" spans="1:14" ht="15" customHeight="1">
      <c r="A195" s="129" t="s">
        <v>362</v>
      </c>
      <c r="B195" s="125"/>
      <c r="C195" s="25">
        <v>4700</v>
      </c>
      <c r="D195" s="25">
        <v>5500</v>
      </c>
      <c r="E195" s="26">
        <v>4700</v>
      </c>
      <c r="F195" s="27">
        <f t="shared" si="19"/>
        <v>0</v>
      </c>
      <c r="G195" s="28">
        <f t="shared" si="20"/>
        <v>7.833333333333333</v>
      </c>
      <c r="H195" s="28">
        <f t="shared" si="20"/>
        <v>9.1666666666666661</v>
      </c>
      <c r="I195" s="55">
        <f t="shared" si="20"/>
        <v>7.833333333333333</v>
      </c>
      <c r="J195" s="30">
        <v>9.1999999999999993</v>
      </c>
      <c r="K195" s="31"/>
      <c r="L195" s="32" t="s">
        <v>363</v>
      </c>
      <c r="M195" s="33" t="s">
        <v>364</v>
      </c>
      <c r="N195" s="34" t="s">
        <v>365</v>
      </c>
    </row>
    <row r="196" spans="1:14" ht="15" customHeight="1">
      <c r="A196" s="118" t="s">
        <v>366</v>
      </c>
      <c r="B196" s="122"/>
      <c r="C196" s="35">
        <v>21000</v>
      </c>
      <c r="D196" s="35">
        <v>25500</v>
      </c>
      <c r="E196" s="36">
        <v>25400</v>
      </c>
      <c r="F196" s="112">
        <f t="shared" si="19"/>
        <v>0</v>
      </c>
      <c r="G196" s="43">
        <f t="shared" si="20"/>
        <v>35</v>
      </c>
      <c r="H196" s="37">
        <f t="shared" si="20"/>
        <v>42.5</v>
      </c>
      <c r="I196" s="38">
        <f t="shared" si="20"/>
        <v>42.333333333333336</v>
      </c>
      <c r="J196" s="39">
        <v>35</v>
      </c>
      <c r="K196" s="40"/>
      <c r="L196" s="41" t="s">
        <v>367</v>
      </c>
      <c r="M196" s="41"/>
      <c r="N196" s="42" t="s">
        <v>91</v>
      </c>
    </row>
    <row r="197" spans="1:14" ht="15" customHeight="1">
      <c r="A197" s="118" t="s">
        <v>368</v>
      </c>
      <c r="B197" s="122"/>
      <c r="C197" s="35">
        <v>19000</v>
      </c>
      <c r="D197" s="35">
        <v>19200</v>
      </c>
      <c r="E197" s="36">
        <v>19200</v>
      </c>
      <c r="F197" s="112">
        <f t="shared" si="19"/>
        <v>0</v>
      </c>
      <c r="G197" s="37">
        <f>C197/500</f>
        <v>38</v>
      </c>
      <c r="H197" s="37">
        <f t="shared" si="20"/>
        <v>32</v>
      </c>
      <c r="I197" s="38">
        <f t="shared" si="20"/>
        <v>32</v>
      </c>
      <c r="J197" s="39">
        <v>32</v>
      </c>
      <c r="K197" s="40"/>
      <c r="L197" s="41"/>
      <c r="M197" s="41"/>
      <c r="N197" s="42"/>
    </row>
    <row r="198" spans="1:14" ht="15" customHeight="1">
      <c r="A198" s="118" t="s">
        <v>369</v>
      </c>
      <c r="B198" s="122"/>
      <c r="C198" s="35"/>
      <c r="D198" s="35"/>
      <c r="E198" s="36"/>
      <c r="F198" s="112">
        <f t="shared" si="19"/>
        <v>0</v>
      </c>
      <c r="G198" s="37">
        <f>C198/500</f>
        <v>0</v>
      </c>
      <c r="H198" s="37">
        <f t="shared" si="20"/>
        <v>0</v>
      </c>
      <c r="I198" s="38">
        <f t="shared" si="20"/>
        <v>0</v>
      </c>
      <c r="K198" s="40"/>
      <c r="L198" s="41"/>
      <c r="M198" s="41"/>
      <c r="N198" s="42"/>
    </row>
    <row r="199" spans="1:14" ht="15" customHeight="1" thickBot="1">
      <c r="A199" s="130" t="s">
        <v>370</v>
      </c>
      <c r="B199" s="123"/>
      <c r="C199" s="48">
        <v>5200</v>
      </c>
      <c r="D199" s="48"/>
      <c r="E199" s="49">
        <v>5600</v>
      </c>
      <c r="F199" s="72">
        <f t="shared" si="19"/>
        <v>0</v>
      </c>
      <c r="G199" s="58">
        <f>C199/600</f>
        <v>8.6666666666666661</v>
      </c>
      <c r="H199" s="50">
        <f t="shared" si="20"/>
        <v>0</v>
      </c>
      <c r="I199" s="59">
        <f t="shared" si="20"/>
        <v>9.3333333333333339</v>
      </c>
      <c r="J199" s="51">
        <v>8.6999999999999993</v>
      </c>
      <c r="K199" s="60"/>
      <c r="L199" s="52" t="s">
        <v>75</v>
      </c>
      <c r="M199" s="52"/>
      <c r="N199" s="61" t="s">
        <v>52</v>
      </c>
    </row>
    <row r="200" spans="1:14" ht="15" customHeight="1">
      <c r="A200" s="131" t="s">
        <v>371</v>
      </c>
      <c r="B200" s="125"/>
      <c r="C200" s="25">
        <v>4000</v>
      </c>
      <c r="D200" s="25">
        <v>5500</v>
      </c>
      <c r="E200" s="26">
        <v>5100</v>
      </c>
      <c r="F200" s="27">
        <f t="shared" si="19"/>
        <v>0</v>
      </c>
      <c r="G200" s="28">
        <f t="shared" si="19"/>
        <v>8</v>
      </c>
      <c r="H200" s="28">
        <f t="shared" si="20"/>
        <v>9.1666666666666661</v>
      </c>
      <c r="I200" s="55">
        <f t="shared" si="20"/>
        <v>8.5</v>
      </c>
      <c r="J200" s="30">
        <v>8</v>
      </c>
      <c r="K200" s="31"/>
      <c r="L200" s="32" t="s">
        <v>52</v>
      </c>
      <c r="M200" s="32"/>
      <c r="N200" s="34"/>
    </row>
    <row r="201" spans="1:14" ht="15" customHeight="1">
      <c r="A201" s="117" t="s">
        <v>372</v>
      </c>
      <c r="B201" s="122"/>
      <c r="C201" s="35">
        <v>5900</v>
      </c>
      <c r="D201" s="35">
        <v>6500</v>
      </c>
      <c r="E201" s="36">
        <v>6900</v>
      </c>
      <c r="F201" s="112">
        <f t="shared" si="19"/>
        <v>0</v>
      </c>
      <c r="G201" s="37">
        <f t="shared" si="19"/>
        <v>11.8</v>
      </c>
      <c r="H201" s="37">
        <f t="shared" si="20"/>
        <v>10.833333333333334</v>
      </c>
      <c r="I201" s="38">
        <f t="shared" si="20"/>
        <v>11.5</v>
      </c>
      <c r="J201" s="39">
        <v>12</v>
      </c>
      <c r="K201" s="40"/>
      <c r="L201" s="41"/>
      <c r="M201" s="46" t="s">
        <v>373</v>
      </c>
      <c r="N201" s="42" t="s">
        <v>374</v>
      </c>
    </row>
    <row r="202" spans="1:14" ht="15" customHeight="1">
      <c r="A202" s="117" t="s">
        <v>375</v>
      </c>
      <c r="B202" s="122"/>
      <c r="C202" s="35">
        <v>7200</v>
      </c>
      <c r="D202" s="35">
        <v>9500</v>
      </c>
      <c r="E202" s="36">
        <v>8600</v>
      </c>
      <c r="F202" s="112">
        <f t="shared" si="19"/>
        <v>0</v>
      </c>
      <c r="G202" s="37">
        <f t="shared" si="19"/>
        <v>14.4</v>
      </c>
      <c r="H202" s="37">
        <f t="shared" si="20"/>
        <v>15.833333333333334</v>
      </c>
      <c r="I202" s="95">
        <f t="shared" si="20"/>
        <v>14.333333333333334</v>
      </c>
      <c r="J202" s="39">
        <v>14.7</v>
      </c>
      <c r="K202" s="40"/>
      <c r="L202" s="110" t="s">
        <v>46</v>
      </c>
      <c r="M202" s="46" t="s">
        <v>376</v>
      </c>
      <c r="N202" s="42" t="s">
        <v>46</v>
      </c>
    </row>
    <row r="203" spans="1:14" ht="15" customHeight="1">
      <c r="A203" s="117" t="s">
        <v>377</v>
      </c>
      <c r="B203" s="122"/>
      <c r="C203" s="35"/>
      <c r="D203" s="35"/>
      <c r="E203" s="36">
        <v>39000</v>
      </c>
      <c r="F203" s="112">
        <f t="shared" si="19"/>
        <v>0</v>
      </c>
      <c r="G203" s="37">
        <f t="shared" si="19"/>
        <v>0</v>
      </c>
      <c r="H203" s="37">
        <f>D203/600</f>
        <v>0</v>
      </c>
      <c r="I203" s="38">
        <f>E203/1000</f>
        <v>39</v>
      </c>
      <c r="J203" s="39">
        <v>39</v>
      </c>
      <c r="K203" s="40"/>
      <c r="L203" s="41"/>
      <c r="M203" s="41"/>
      <c r="N203" s="42" t="s">
        <v>378</v>
      </c>
    </row>
    <row r="204" spans="1:14" ht="15" customHeight="1">
      <c r="A204" s="117" t="s">
        <v>379</v>
      </c>
      <c r="B204" s="122"/>
      <c r="C204" s="35">
        <v>12000</v>
      </c>
      <c r="D204" s="35">
        <v>6000</v>
      </c>
      <c r="E204" s="36">
        <v>15300</v>
      </c>
      <c r="F204" s="112">
        <f t="shared" si="19"/>
        <v>0</v>
      </c>
      <c r="G204" s="37">
        <f t="shared" si="19"/>
        <v>24</v>
      </c>
      <c r="H204" s="37">
        <f>D204/600</f>
        <v>10</v>
      </c>
      <c r="I204" s="38">
        <f t="shared" ref="I204:I214" si="21">E204/600</f>
        <v>25.5</v>
      </c>
      <c r="J204" s="39">
        <v>24</v>
      </c>
      <c r="K204" s="40"/>
      <c r="L204" s="41" t="s">
        <v>380</v>
      </c>
      <c r="M204" s="41" t="s">
        <v>273</v>
      </c>
      <c r="N204" s="42" t="s">
        <v>77</v>
      </c>
    </row>
    <row r="205" spans="1:14" ht="15" customHeight="1">
      <c r="A205" s="117" t="s">
        <v>381</v>
      </c>
      <c r="B205" s="122"/>
      <c r="C205" s="35">
        <v>14500</v>
      </c>
      <c r="D205" s="35">
        <v>37000</v>
      </c>
      <c r="E205" s="36">
        <v>35800</v>
      </c>
      <c r="F205" s="112">
        <f t="shared" si="19"/>
        <v>0</v>
      </c>
      <c r="G205" s="37">
        <f>C205/600</f>
        <v>24.166666666666668</v>
      </c>
      <c r="H205" s="37">
        <f>D205/600</f>
        <v>61.666666666666664</v>
      </c>
      <c r="I205" s="38">
        <f t="shared" si="21"/>
        <v>59.666666666666664</v>
      </c>
      <c r="J205" s="39">
        <v>59.7</v>
      </c>
      <c r="K205" s="40"/>
      <c r="L205" s="41"/>
      <c r="M205" s="46"/>
      <c r="N205" s="42"/>
    </row>
    <row r="206" spans="1:14" ht="15" customHeight="1">
      <c r="A206" s="117" t="s">
        <v>382</v>
      </c>
      <c r="B206" s="122"/>
      <c r="C206" s="35">
        <v>8800</v>
      </c>
      <c r="D206" s="35"/>
      <c r="E206" s="36">
        <v>10500</v>
      </c>
      <c r="F206" s="112">
        <f t="shared" si="19"/>
        <v>0</v>
      </c>
      <c r="G206" s="37">
        <f t="shared" si="19"/>
        <v>17.600000000000001</v>
      </c>
      <c r="H206" s="37">
        <f>D206/600</f>
        <v>0</v>
      </c>
      <c r="I206" s="38">
        <f t="shared" si="21"/>
        <v>17.5</v>
      </c>
      <c r="J206" s="39">
        <v>17.600000000000001</v>
      </c>
      <c r="K206" s="40"/>
      <c r="L206" s="41" t="s">
        <v>317</v>
      </c>
      <c r="M206" s="41"/>
      <c r="N206" s="42" t="s">
        <v>121</v>
      </c>
    </row>
    <row r="207" spans="1:14" ht="15" customHeight="1">
      <c r="A207" s="117" t="s">
        <v>383</v>
      </c>
      <c r="B207" s="122"/>
      <c r="C207" s="35">
        <v>19500</v>
      </c>
      <c r="D207" s="35">
        <v>30000</v>
      </c>
      <c r="E207" s="36">
        <v>26000</v>
      </c>
      <c r="F207" s="112">
        <f t="shared" si="19"/>
        <v>0</v>
      </c>
      <c r="G207" s="37">
        <f t="shared" si="19"/>
        <v>39</v>
      </c>
      <c r="H207" s="37">
        <f>D207/600</f>
        <v>50</v>
      </c>
      <c r="I207" s="38">
        <f t="shared" si="21"/>
        <v>43.333333333333336</v>
      </c>
      <c r="J207" s="39">
        <v>44.2</v>
      </c>
      <c r="K207" s="40"/>
      <c r="L207" s="41" t="s">
        <v>384</v>
      </c>
      <c r="M207" s="46" t="s">
        <v>385</v>
      </c>
      <c r="N207" s="42" t="s">
        <v>68</v>
      </c>
    </row>
    <row r="208" spans="1:14" ht="15" customHeight="1">
      <c r="A208" s="117" t="s">
        <v>386</v>
      </c>
      <c r="B208" s="122"/>
      <c r="C208" s="35"/>
      <c r="D208" s="35">
        <v>8500</v>
      </c>
      <c r="E208" s="36"/>
      <c r="F208" s="112">
        <f t="shared" si="19"/>
        <v>0</v>
      </c>
      <c r="G208" s="37">
        <f t="shared" si="19"/>
        <v>0</v>
      </c>
      <c r="H208" s="37">
        <f>D208/1000</f>
        <v>8.5</v>
      </c>
      <c r="I208" s="38">
        <f t="shared" si="21"/>
        <v>0</v>
      </c>
      <c r="J208" s="39">
        <v>8.5</v>
      </c>
      <c r="K208" s="40"/>
      <c r="L208" s="41"/>
      <c r="M208" s="46" t="s">
        <v>387</v>
      </c>
      <c r="N208" s="42"/>
    </row>
    <row r="209" spans="1:14" ht="15" customHeight="1">
      <c r="A209" s="117" t="s">
        <v>388</v>
      </c>
      <c r="B209" s="122"/>
      <c r="C209" s="35">
        <v>9000</v>
      </c>
      <c r="D209" s="35">
        <v>9000</v>
      </c>
      <c r="E209" s="36">
        <v>13500</v>
      </c>
      <c r="F209" s="112">
        <f t="shared" si="19"/>
        <v>0</v>
      </c>
      <c r="G209" s="37">
        <f t="shared" si="19"/>
        <v>18</v>
      </c>
      <c r="H209" s="37">
        <f t="shared" ref="H209:H214" si="22">D209/600</f>
        <v>15</v>
      </c>
      <c r="I209" s="47">
        <f t="shared" si="21"/>
        <v>22.5</v>
      </c>
      <c r="J209" s="39">
        <v>22.5</v>
      </c>
      <c r="K209" s="40"/>
      <c r="L209" s="41"/>
      <c r="M209" s="46"/>
      <c r="N209" s="42" t="s">
        <v>389</v>
      </c>
    </row>
    <row r="210" spans="1:14" ht="15" customHeight="1">
      <c r="A210" s="117" t="s">
        <v>390</v>
      </c>
      <c r="B210" s="122"/>
      <c r="C210" s="35">
        <v>11000</v>
      </c>
      <c r="D210" s="35">
        <v>24000</v>
      </c>
      <c r="E210" s="36">
        <v>13400</v>
      </c>
      <c r="F210" s="112">
        <f t="shared" si="19"/>
        <v>0</v>
      </c>
      <c r="G210" s="43">
        <f t="shared" si="19"/>
        <v>22</v>
      </c>
      <c r="H210" s="37">
        <f t="shared" si="22"/>
        <v>40</v>
      </c>
      <c r="I210" s="47">
        <f t="shared" si="21"/>
        <v>22.333333333333332</v>
      </c>
      <c r="J210" s="39">
        <v>22</v>
      </c>
      <c r="K210" s="40"/>
      <c r="L210" s="110" t="s">
        <v>391</v>
      </c>
      <c r="M210" s="46" t="s">
        <v>392</v>
      </c>
      <c r="N210" s="42" t="s">
        <v>393</v>
      </c>
    </row>
    <row r="211" spans="1:14" ht="15" customHeight="1">
      <c r="A211" s="117" t="s">
        <v>394</v>
      </c>
      <c r="B211" s="122"/>
      <c r="C211" s="35">
        <v>68400</v>
      </c>
      <c r="D211" s="35">
        <v>85000</v>
      </c>
      <c r="E211" s="36">
        <v>84800</v>
      </c>
      <c r="F211" s="112">
        <f t="shared" si="19"/>
        <v>0</v>
      </c>
      <c r="G211" s="37">
        <f t="shared" si="19"/>
        <v>136.80000000000001</v>
      </c>
      <c r="H211" s="43">
        <f t="shared" si="22"/>
        <v>141.66666666666666</v>
      </c>
      <c r="I211" s="38">
        <f t="shared" si="21"/>
        <v>141.33333333333334</v>
      </c>
      <c r="J211" s="39">
        <v>136.80000000000001</v>
      </c>
      <c r="K211" s="40"/>
      <c r="L211" s="41" t="s">
        <v>395</v>
      </c>
      <c r="M211" s="57" t="s">
        <v>396</v>
      </c>
      <c r="N211" s="42" t="s">
        <v>261</v>
      </c>
    </row>
    <row r="212" spans="1:14" ht="15" customHeight="1">
      <c r="A212" s="117" t="s">
        <v>397</v>
      </c>
      <c r="B212" s="122"/>
      <c r="C212" s="35">
        <v>12800</v>
      </c>
      <c r="D212" s="35">
        <v>9500</v>
      </c>
      <c r="E212" s="36">
        <v>16600</v>
      </c>
      <c r="F212" s="112">
        <f t="shared" si="19"/>
        <v>0</v>
      </c>
      <c r="G212" s="37">
        <f t="shared" si="19"/>
        <v>25.6</v>
      </c>
      <c r="H212" s="37">
        <f t="shared" si="22"/>
        <v>15.833333333333334</v>
      </c>
      <c r="I212" s="38">
        <f t="shared" si="21"/>
        <v>27.666666666666668</v>
      </c>
      <c r="J212" s="39">
        <v>27.7</v>
      </c>
      <c r="K212" s="40"/>
      <c r="L212" s="41"/>
      <c r="M212" s="46" t="s">
        <v>398</v>
      </c>
      <c r="N212" s="42" t="s">
        <v>399</v>
      </c>
    </row>
    <row r="213" spans="1:14" ht="15" customHeight="1">
      <c r="A213" s="117" t="s">
        <v>400</v>
      </c>
      <c r="B213" s="122"/>
      <c r="C213" s="35"/>
      <c r="D213" s="35">
        <v>9500</v>
      </c>
      <c r="E213" s="36"/>
      <c r="F213" s="112">
        <f t="shared" si="19"/>
        <v>0</v>
      </c>
      <c r="G213" s="37">
        <f t="shared" si="19"/>
        <v>0</v>
      </c>
      <c r="H213" s="37">
        <f t="shared" si="22"/>
        <v>15.833333333333334</v>
      </c>
      <c r="I213" s="38">
        <f t="shared" si="21"/>
        <v>0</v>
      </c>
      <c r="K213" s="40"/>
      <c r="L213" s="41"/>
      <c r="M213" s="41"/>
      <c r="N213" s="42"/>
    </row>
    <row r="214" spans="1:14" ht="15" customHeight="1" thickBot="1">
      <c r="A214" s="119" t="s">
        <v>401</v>
      </c>
      <c r="B214" s="123"/>
      <c r="C214" s="48">
        <v>4500</v>
      </c>
      <c r="D214" s="48">
        <v>4500</v>
      </c>
      <c r="E214" s="49">
        <v>5400</v>
      </c>
      <c r="F214" s="72">
        <f t="shared" si="19"/>
        <v>0</v>
      </c>
      <c r="G214" s="50">
        <f t="shared" si="19"/>
        <v>9</v>
      </c>
      <c r="H214" s="50">
        <f t="shared" si="22"/>
        <v>7.5</v>
      </c>
      <c r="I214" s="73">
        <f t="shared" si="21"/>
        <v>9</v>
      </c>
      <c r="J214" s="51">
        <v>9</v>
      </c>
      <c r="K214" s="60"/>
      <c r="L214" s="52" t="s">
        <v>402</v>
      </c>
      <c r="M214" s="53" t="s">
        <v>403</v>
      </c>
      <c r="N214" s="61" t="s">
        <v>404</v>
      </c>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A2373" s="74"/>
      <c r="B2373" s="75"/>
      <c r="C2373" s="75"/>
      <c r="D2373" s="75"/>
      <c r="E2373" s="75"/>
      <c r="F2373" s="76"/>
      <c r="G2373" s="76"/>
      <c r="H2373" s="76"/>
      <c r="I2373" s="76"/>
      <c r="J2373" s="77"/>
      <c r="K2373" s="78"/>
      <c r="L2373" s="78"/>
      <c r="M2373" s="78"/>
      <c r="N2373" s="78"/>
    </row>
    <row r="2374" spans="1:14" ht="15" customHeight="1">
      <c r="A2374" s="74"/>
      <c r="B2374" s="75"/>
      <c r="C2374" s="75"/>
      <c r="D2374" s="75"/>
      <c r="E2374" s="75"/>
      <c r="F2374" s="76"/>
      <c r="G2374" s="76"/>
      <c r="H2374" s="76"/>
      <c r="I2374" s="76"/>
      <c r="J2374" s="77"/>
      <c r="K2374" s="78"/>
      <c r="L2374" s="78"/>
      <c r="M2374" s="78"/>
      <c r="N2374" s="78"/>
    </row>
    <row r="2375" spans="1:14" ht="15" customHeight="1">
      <c r="A2375" s="74"/>
      <c r="B2375" s="75"/>
      <c r="C2375" s="75"/>
      <c r="D2375" s="75"/>
      <c r="E2375" s="75"/>
      <c r="F2375" s="76"/>
      <c r="G2375" s="76"/>
      <c r="H2375" s="76"/>
      <c r="I2375" s="76"/>
      <c r="J2375" s="77"/>
      <c r="K2375" s="78"/>
      <c r="L2375" s="78"/>
      <c r="M2375" s="78"/>
      <c r="N2375" s="78"/>
    </row>
    <row r="2376" spans="1:14" ht="15" customHeight="1">
      <c r="A2376" s="74"/>
      <c r="B2376" s="75"/>
      <c r="C2376" s="75"/>
      <c r="D2376" s="75"/>
      <c r="E2376" s="75"/>
      <c r="F2376" s="76"/>
      <c r="G2376" s="76"/>
      <c r="H2376" s="76"/>
      <c r="I2376" s="76"/>
      <c r="J2376" s="77"/>
      <c r="K2376" s="78"/>
      <c r="L2376" s="78"/>
      <c r="M2376" s="78"/>
      <c r="N2376" s="78"/>
    </row>
    <row r="2377" spans="1:14" ht="15" customHeight="1">
      <c r="A2377" s="74"/>
      <c r="B2377" s="75"/>
      <c r="C2377" s="75"/>
      <c r="D2377" s="75"/>
      <c r="E2377" s="75"/>
      <c r="F2377" s="76"/>
      <c r="G2377" s="76"/>
      <c r="H2377" s="76"/>
      <c r="I2377" s="76"/>
      <c r="J2377" s="77"/>
      <c r="K2377" s="78"/>
      <c r="L2377" s="78"/>
      <c r="M2377" s="78"/>
      <c r="N2377" s="78"/>
    </row>
    <row r="2378" spans="1:14" ht="15" customHeight="1">
      <c r="A2378" s="74"/>
      <c r="B2378" s="75"/>
      <c r="C2378" s="75"/>
      <c r="D2378" s="75"/>
      <c r="E2378" s="75"/>
      <c r="F2378" s="76"/>
      <c r="G2378" s="76"/>
      <c r="H2378" s="76"/>
      <c r="I2378" s="76"/>
      <c r="J2378" s="77"/>
      <c r="K2378" s="78"/>
      <c r="L2378" s="78"/>
      <c r="M2378" s="78"/>
      <c r="N2378" s="78"/>
    </row>
    <row r="2379" spans="1:14" ht="15" customHeight="1">
      <c r="J2379"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처방전양식 (2)</vt: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2025-09-22T00:59:20Z</cp:lastPrinted>
  <dcterms:created xsi:type="dcterms:W3CDTF">2024-09-12T16:35:01Z</dcterms:created>
  <dcterms:modified xsi:type="dcterms:W3CDTF">2025-09-22T01:56:39Z</dcterms:modified>
  <cp:category/>
  <cp:contentStatus/>
</cp:coreProperties>
</file>