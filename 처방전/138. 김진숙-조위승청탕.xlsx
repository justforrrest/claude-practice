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033" documentId="8_{6EB8DC0A-AB56-415F-A9F3-EA1534264548}" xr6:coauthVersionLast="47" xr6:coauthVersionMax="47" xr10:uidLastSave="{2D0D6006-B7C3-43E9-973F-E027006BAA96}"/>
  <bookViews>
    <workbookView xWindow="13155" yWindow="885"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4" l="1"/>
  <c r="G16" i="4"/>
  <c r="G6" i="4"/>
  <c r="G7" i="4"/>
  <c r="G8" i="4"/>
  <c r="G9" i="4"/>
  <c r="G10" i="4"/>
  <c r="G11" i="4"/>
  <c r="G12" i="4"/>
  <c r="G13" i="4"/>
  <c r="G14" i="4"/>
  <c r="G15" i="4"/>
  <c r="G2" i="4"/>
  <c r="G80" i="5"/>
  <c r="I79" i="5"/>
  <c r="H79" i="5"/>
  <c r="G79" i="5"/>
  <c r="F79" i="5"/>
  <c r="I101" i="5"/>
  <c r="I137" i="5"/>
  <c r="H56" i="5"/>
  <c r="I86" i="5"/>
  <c r="I52" i="5"/>
  <c r="I53" i="5"/>
  <c r="I127" i="5"/>
  <c r="G142" i="5"/>
  <c r="I145" i="5"/>
  <c r="H145" i="5"/>
  <c r="G145" i="5"/>
  <c r="F145" i="5"/>
  <c r="G171" i="5"/>
  <c r="G3" i="4"/>
  <c r="G4" i="4"/>
  <c r="G5"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<sst xmlns="http://schemas.openxmlformats.org/spreadsheetml/2006/main" count="596" uniqueCount="431">
  <si>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</si>
  <si>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</si>
  <si>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</si>
  <si>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</si>
  <si>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</si>
  <si>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</si>
  <si>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</si>
  <si>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</si>
  <si>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</si>
  <si>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</si>
  <si>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</si>
  <si>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</si>
  <si>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</si>
  <si>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</si>
  <si>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</si>
  <si>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</si>
  <si>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</si>
  <si>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</si>
  <si>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</si>
  <si>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</si>
  <si>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</si>
  <si>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</si>
  <si>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</si>
  <si>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</si>
  <si>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</si>
  <si>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</si>
  <si>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</si>
  <si>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</si>
  <si>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</si>
  <si>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</si>
  <si>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</si>
  <si>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</si>
  <si>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</si>
  <si>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</si>
  <si>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</si>
  <si>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</si>
  <si>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</si>
  <si>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</si>
  <si>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</si>
  <si>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</si>
  <si>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</si>
  <si>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</si>
  <si>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</si>
  <si>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</si>
  <si>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</si>
  <si>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</si>
  <si>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</si>
  <si>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</si>
  <si>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</si>
  <si>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</si>
  <si>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</si>
  <si>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</si>
  <si>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</si>
  <si>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</si>
  <si>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</si>
  <si>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</si>
  <si>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</si>
  <si>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</si>
  <si>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</si>
  <si>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</si>
  <si>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</si>
  <si>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</si>
  <si>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</si>
  <si>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</si>
  <si>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</si>
  <si>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</si>
  <si>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</si>
  <si>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</si>
  <si>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</si>
  <si>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</si>
  <si>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</si>
  <si>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</si>
  <si>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</si>
  <si>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</si>
  <si>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</si>
  <si>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</si>
  <si>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</si>
  <si>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</si>
  <si>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</si>
  <si>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</si>
  <si>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</si>
  <si>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</si>
  <si>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</si>
  <si>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</si>
  <si>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</si>
  <si>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</si>
  <si>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</si>
  <si>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</si>
  <si>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</si>
  <si>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</si>
  <si>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</si>
  <si>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</si>
  <si>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</si>
  <si>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</si>
  <si>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</si>
  <si>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</si>
  <si>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</si>
  <si>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</si>
  <si>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</si>
  <si>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</si>
  <si>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</si>
  <si>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</si>
  <si>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</si>
  <si>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</si>
  <si>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</si>
  <si>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</si>
  <si>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</si>
  <si>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</si>
  <si>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</si>
  <si>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</si>
  <si>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</si>
  <si>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</si>
  <si>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</si>
  <si>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</si>
  <si>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</si>
  <si>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</si>
  <si>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</si>
  <si>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</si>
  <si>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</si>
  <si>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</si>
  <si>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</si>
  <si>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</si>
  <si>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</si>
  <si>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</si>
  <si>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</si>
  <si>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</si>
  <si>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</si>
  <si>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</si>
  <si>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</si>
  <si>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</si>
  <si>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</si>
  <si>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</si>
  <si>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</si>
  <si>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</si>
  <si>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</si>
  <si>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</si>
  <si>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</si>
  <si>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</si>
  <si>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</si>
  <si>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</si>
  <si>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</si>
  <si>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</si>
  <si>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</si>
  <si>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</si>
  <si>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</si>
  <si>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</si>
  <si>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</si>
  <si>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</si>
  <si>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</si>
  <si>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</si>
  <si>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</si>
  <si>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</si>
  <si>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</si>
  <si>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</si>
  <si>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</si>
  <si>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</si>
  <si>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</si>
  <si>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</si>
  <si>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</si>
  <si>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</si>
  <si>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</si>
  <si>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</si>
  <si>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</si>
  <si>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</si>
  <si>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</si>
  <si>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</si>
  <si>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</si>
  <si>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</si>
  <si>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</si>
  <si>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</si>
  <si>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</si>
  <si>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</si>
  <si>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</si>
  <si>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</si>
  <si>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</si>
  <si>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</si>
  <si>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</si>
  <si>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</si>
  <si>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</si>
  <si>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</si>
  <si>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</si>
  <si>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</si>
  <si>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</si>
  <si>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</si>
  <si>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</si>
  <si>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</si>
  <si>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</si>
  <si>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</si>
  <si>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</si>
  <si>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</si>
  <si>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</si>
  <si>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</si>
  <si>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</si>
  <si>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</si>
  <si>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</si>
  <si>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</si>
  <si>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</si>
  <si>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</si>
  <si>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</si>
  <si>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</si>
  <si>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</si>
  <si>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</si>
  <si>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</si>
  <si>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</si>
  <si>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</si>
  <si>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</si>
  <si>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</si>
  <si>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</si>
  <si>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</si>
  <si>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</si>
  <si>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</si>
  <si>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</si>
  <si>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</si>
  <si>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</si>
  <si>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</si>
  <si>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</si>
  <si>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</si>
  <si>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</si>
  <si>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</si>
  <si>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</si>
  <si>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</si>
  <si>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</si>
  <si>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</si>
  <si>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</si>
  <si>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</si>
  <si>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</si>
  <si>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</si>
  <si>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</si>
  <si>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</si>
  <si>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</si>
  <si>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</si>
  <si>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</si>
  <si>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</si>
  <si>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</si>
  <si>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</si>
  <si>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</si>
  <si>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</si>
  <si>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</si>
  <si>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</si>
  <si>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</si>
  <si>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</si>
  <si>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</si>
  <si>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</si>
  <si>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</si>
  <si>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</si>
  <si>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</si>
  <si>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</si>
  <si>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</si>
  <si>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</si>
  <si>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</si>
  <si>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</si>
  <si>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</si>
  <si>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</si>
  <si>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</si>
  <si>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</si>
  <si>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</si>
  <si>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</si>
  <si>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</si>
  <si>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</si>
  <si>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</si>
  <si>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</si>
  <si>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</si>
  <si>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</si>
  <si>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</si>
  <si>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</si>
  <si>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</si>
  <si>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</si>
  <si>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</si>
  <si>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</si>
  <si>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</si>
  <si>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</si>
  <si>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</si>
  <si>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</si>
  <si>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</si>
  <si>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</si>
  <si>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</si>
  <si>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</si>
  <si>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</si>
  <si>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</si>
  <si>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</si>
  <si>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</si>
  <si>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</si>
  <si>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</si>
  <si>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</si>
  <si>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</si>
  <si>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</si>
  <si>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</si>
  <si>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</si>
  <si>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</si>
  <si>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</si>
  <si>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</si>
  <si>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</si>
  <si>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</si>
  <si>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</si>
  <si>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</si>
  <si>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</si>
  <si>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</si>
  <si>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</si>
  <si>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</si>
  <si>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</si>
  <si>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</si>
  <si>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</si>
  <si>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</si>
  <si>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</si>
  <si>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</si>
  <si>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</si>
  <si>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</si>
  <si>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</si>
  <si>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</si>
  <si>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</si>
  <si>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</si>
  <si>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</si>
  <si>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</si>
  <si>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</si>
  <si>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</si>
  <si>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</si>
  <si>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</si>
  <si>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</si>
  <si>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</si>
  <si>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</si>
  <si>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</si>
  <si>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</si>
  <si>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</si>
  <si>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</si>
  <si>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</si>
  <si>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</si>
  <si>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</si>
  <si>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</si>
  <si>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</si>
  <si>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</si>
  <si>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</si>
  <si>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</si>
  <si>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</si>
  <si>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</si>
  <si>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</si>
  <si>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</si>
  <si>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</si>
  <si>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</si>
  <si>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</si>
  <si>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</si>
  <si>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</si>
  <si>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</si>
  <si>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</si>
  <si>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</si>
  <si>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</si>
  <si>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</si>
  <si>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</si>
  <si>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</si>
  <si>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</si>
  <si>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</si>
  <si>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</si>
  <si>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</si>
  <si>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</si>
  <si>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</si>
  <si>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</si>
  <si>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</si>
  <si>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</si>
  <si>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</si>
  <si>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</si>
  <si>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</si>
  <si>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</si>
  <si>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</si>
  <si>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</si>
  <si>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</si>
  <si>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</si>
  <si>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</si>
  <si>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</si>
  <si>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</si>
  <si>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</si>
  <si>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</si>
  <si>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</si>
  <si>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</si>
  <si>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</si>
  <si>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</si>
  <si>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</si>
  <si>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</si>
  <si>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</si>
  <si>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</si>
  <si>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</si>
  <si>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</si>
  <si>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</si>
  <si>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</si>
  <si>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</si>
  <si>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</si>
  <si>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</si>
  <si>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</si>
  <si>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</si>
  <si>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</si>
  <si>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</si>
  <si>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</si>
  <si>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</si>
  <si>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</si>
  <si>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</si>
  <si>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</si>
  <si>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</si>
  <si>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</si>
  <si>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</si>
  <si>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</si>
  <si>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</si>
  <si>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</si>
  <si>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</si>
  <si>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</si>
  <si>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</si>
  <si>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</si>
  <si>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</si>
  <si>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</si>
  <si>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</si>
  <si>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</si>
  <si>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</si>
  <si>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</si>
  <si>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F</t>
    <phoneticPr fontId="5" type="noConversion"/>
  </si>
  <si>
    <t>마황</t>
    <phoneticPr fontId="5" type="noConversion"/>
  </si>
  <si>
    <t>조위승청탕</t>
    <phoneticPr fontId="5" type="noConversion"/>
  </si>
  <si>
    <t>김진숙</t>
    <phoneticPr fontId="5" type="noConversion"/>
  </si>
  <si>
    <t>건율</t>
    <phoneticPr fontId="5" type="noConversion"/>
  </si>
  <si>
    <t>길경</t>
    <phoneticPr fontId="5" type="noConversion"/>
  </si>
  <si>
    <t>나복자</t>
    <phoneticPr fontId="5" type="noConversion"/>
  </si>
  <si>
    <t>맥문동</t>
    <phoneticPr fontId="5" type="noConversion"/>
  </si>
  <si>
    <t>원육</t>
    <phoneticPr fontId="5" type="noConversion"/>
  </si>
  <si>
    <t>석창포</t>
    <phoneticPr fontId="5" type="noConversion"/>
  </si>
  <si>
    <t>오미자</t>
    <phoneticPr fontId="5" type="noConversion"/>
  </si>
  <si>
    <t>원지</t>
    <phoneticPr fontId="5" type="noConversion"/>
  </si>
  <si>
    <t>의이인</t>
    <phoneticPr fontId="5" type="noConversion"/>
  </si>
  <si>
    <t>천문동</t>
    <phoneticPr fontId="5" type="noConversion"/>
  </si>
  <si>
    <t>백자인</t>
    <phoneticPr fontId="5" type="noConversion"/>
  </si>
  <si>
    <t>신곡</t>
    <phoneticPr fontId="5" type="noConversion"/>
  </si>
  <si>
    <t>초</t>
    <phoneticPr fontId="5" type="noConversion"/>
  </si>
  <si>
    <t>사인</t>
    <phoneticPr fontId="5" type="noConversion"/>
  </si>
  <si>
    <t>산약</t>
    <phoneticPr fontId="5" type="noConversion"/>
  </si>
  <si>
    <t>녹용</t>
    <phoneticPr fontId="5" type="noConversion"/>
  </si>
  <si>
    <t>조위승청탕 - 산조인, 마황 감량 + 백자인, 신곡 산약 사인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</si>
</sst>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16" sqref="L1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414</v>
      </c>
      <c r="D2" s="3"/>
      <c r="E2" s="87">
        <v>12</v>
      </c>
      <c r="F2" s="98">
        <f>E2*$L$15</f>
        <v>240</v>
      </c>
      <c r="G2">
        <f>VLOOKUP($C2,약재관리!A:J,10,FALSE)</f>
        <v>34.700000000000003</v>
      </c>
      <c r="H2" s="4">
        <f>G2*E2</f>
        <v>416.40000000000003</v>
      </c>
      <c r="I2" s="89">
        <f>G2*F2</f>
        <v>8328</v>
      </c>
      <c r="K2" s="6" t="s">
        <v>6</v>
      </c>
      <c r="L2" s="154">
        <v>137</v>
      </c>
      <c r="M2" s="155"/>
    </row>
    <row r="3" spans="2:13">
      <c r="B3" s="2">
        <v>2</v>
      </c>
      <c r="C3" t="s">
        <v>415</v>
      </c>
      <c r="D3" s="3"/>
      <c r="E3" s="87">
        <v>4</v>
      </c>
      <c r="F3" s="98">
        <f t="shared" ref="F3:F31" si="0">E3*$L$15</f>
        <v>80</v>
      </c>
      <c r="G3">
        <f>VLOOKUP($C3,약재관리!A:J,10,FALSE)</f>
        <v>11.5</v>
      </c>
      <c r="H3" s="4">
        <f t="shared" ref="H3:H31" si="1">G3*E3</f>
        <v>46</v>
      </c>
      <c r="I3" s="5">
        <f t="shared" ref="I3:I31" si="2">G3*F3</f>
        <v>920</v>
      </c>
      <c r="K3" s="7" t="s">
        <v>7</v>
      </c>
      <c r="L3" s="149" t="s">
        <v>412</v>
      </c>
      <c r="M3" s="150"/>
    </row>
    <row r="4" spans="2:13">
      <c r="B4" s="2">
        <v>3</v>
      </c>
      <c r="C4" t="s">
        <v>416</v>
      </c>
      <c r="D4" s="3"/>
      <c r="E4" s="87">
        <v>6</v>
      </c>
      <c r="F4" s="98">
        <f t="shared" si="0"/>
        <v>120</v>
      </c>
      <c r="G4">
        <f>VLOOKUP($C4,약재관리!A:J,10,FALSE)</f>
        <v>6</v>
      </c>
      <c r="H4" s="4">
        <f t="shared" si="1"/>
        <v>36</v>
      </c>
      <c r="I4" s="5">
        <f t="shared" si="2"/>
        <v>720</v>
      </c>
      <c r="K4" s="7" t="s">
        <v>8</v>
      </c>
      <c r="L4" s="156">
        <v>45902</v>
      </c>
      <c r="M4" s="150"/>
    </row>
    <row r="5" spans="2:13">
      <c r="B5" s="2">
        <v>4</v>
      </c>
      <c r="C5" t="s">
        <v>424</v>
      </c>
      <c r="D5" s="3"/>
      <c r="E5" s="87">
        <v>4</v>
      </c>
      <c r="F5" s="98">
        <f t="shared" si="0"/>
        <v>80</v>
      </c>
      <c r="G5">
        <f>VLOOKUP($C5,약재관리!A:J,10,FALSE)</f>
        <v>43</v>
      </c>
      <c r="H5" s="4">
        <f t="shared" si="1"/>
        <v>172</v>
      </c>
      <c r="I5" s="5">
        <f t="shared" si="2"/>
        <v>3440</v>
      </c>
      <c r="K5" s="7" t="s">
        <v>9</v>
      </c>
      <c r="L5" s="149" t="s">
        <v>413</v>
      </c>
      <c r="M5" s="150"/>
    </row>
    <row r="6" spans="2:13">
      <c r="B6" s="2">
        <v>5</v>
      </c>
      <c r="C6" t="s">
        <v>417</v>
      </c>
      <c r="D6" s="3"/>
      <c r="E6" s="87">
        <v>4</v>
      </c>
      <c r="F6" s="98">
        <f t="shared" si="0"/>
        <v>80</v>
      </c>
      <c r="G6">
        <f>VLOOKUP($C6,약재관리!A:J,10,FALSE)</f>
        <v>44.3</v>
      </c>
      <c r="H6" s="4">
        <f t="shared" si="1"/>
        <v>177.2</v>
      </c>
      <c r="I6" s="5">
        <f t="shared" si="2"/>
        <v>3544</v>
      </c>
      <c r="K6" s="7" t="s">
        <v>10</v>
      </c>
      <c r="L6" s="149">
        <v>75</v>
      </c>
      <c r="M6" s="150"/>
    </row>
    <row r="7" spans="2:13" ht="17.25" thickBot="1">
      <c r="B7" s="2">
        <v>6</v>
      </c>
      <c r="C7" t="s">
        <v>418</v>
      </c>
      <c r="D7" s="3"/>
      <c r="E7" s="87">
        <v>6</v>
      </c>
      <c r="F7" s="98">
        <f t="shared" si="0"/>
        <v>120</v>
      </c>
      <c r="G7">
        <f>VLOOKUP($C7,약재관리!A:J,10,FALSE)</f>
        <v>20.5</v>
      </c>
      <c r="H7" s="4">
        <f t="shared" si="1"/>
        <v>123</v>
      </c>
      <c r="I7" s="5">
        <f t="shared" si="2"/>
        <v>2460</v>
      </c>
      <c r="K7" s="7" t="s">
        <v>11</v>
      </c>
      <c r="L7" s="157" t="s">
        <v>410</v>
      </c>
      <c r="M7" s="158"/>
    </row>
    <row r="8" spans="2:13" ht="17.25" thickBot="1">
      <c r="B8" s="2">
        <v>7</v>
      </c>
      <c r="C8" t="s">
        <v>419</v>
      </c>
      <c r="D8" s="3"/>
      <c r="E8" s="87">
        <v>4</v>
      </c>
      <c r="F8" s="98">
        <f t="shared" si="0"/>
        <v>80</v>
      </c>
      <c r="G8">
        <f>VLOOKUP($C8,약재관리!A:J,10,FALSE)</f>
        <v>31.5</v>
      </c>
      <c r="H8" s="4">
        <f t="shared" si="1"/>
        <v>126</v>
      </c>
      <c r="I8" s="5">
        <f t="shared" si="2"/>
        <v>2520</v>
      </c>
      <c r="K8" s="151" t="s">
        <v>12</v>
      </c>
      <c r="L8" s="152"/>
      <c r="M8" s="153"/>
    </row>
    <row r="9" spans="2:13">
      <c r="B9" s="2">
        <v>8</v>
      </c>
      <c r="C9" t="s">
        <v>420</v>
      </c>
      <c r="D9" s="3"/>
      <c r="E9" s="87">
        <v>4</v>
      </c>
      <c r="F9" s="98">
        <f t="shared" si="0"/>
        <v>80</v>
      </c>
      <c r="G9">
        <f>VLOOKUP($C9,약재관리!A:J,10,FALSE)</f>
        <v>23.5</v>
      </c>
      <c r="H9" s="4">
        <f t="shared" si="1"/>
        <v>94</v>
      </c>
      <c r="I9" s="5">
        <f t="shared" si="2"/>
        <v>1880</v>
      </c>
      <c r="K9" s="159" t="s">
        <v>430</v>
      </c>
      <c r="L9" s="160"/>
      <c r="M9" s="161"/>
    </row>
    <row r="10" spans="2:13">
      <c r="B10" s="2">
        <v>9</v>
      </c>
      <c r="C10" t="s">
        <v>421</v>
      </c>
      <c r="D10" s="3"/>
      <c r="E10" s="87">
        <v>3</v>
      </c>
      <c r="F10" s="98">
        <f t="shared" si="0"/>
        <v>60</v>
      </c>
      <c r="G10">
        <f>VLOOKUP($C10,약재관리!A:J,10,FALSE)</f>
        <v>68</v>
      </c>
      <c r="H10" s="4">
        <f t="shared" si="1"/>
        <v>204</v>
      </c>
      <c r="I10" s="5">
        <f t="shared" si="2"/>
        <v>4080</v>
      </c>
      <c r="K10" s="162"/>
      <c r="L10" s="163"/>
      <c r="M10" s="164"/>
    </row>
    <row r="11" spans="2:13">
      <c r="B11" s="2">
        <v>10</v>
      </c>
      <c r="C11" t="s">
        <v>422</v>
      </c>
      <c r="D11" s="3"/>
      <c r="E11" s="87">
        <v>12</v>
      </c>
      <c r="F11" s="98">
        <f t="shared" si="0"/>
        <v>240</v>
      </c>
      <c r="G11">
        <f>VLOOKUP($C11,약재관리!A:J,10,FALSE)</f>
        <v>15.8</v>
      </c>
      <c r="H11" s="4">
        <f t="shared" si="1"/>
        <v>189.60000000000002</v>
      </c>
      <c r="I11" s="5">
        <f t="shared" si="2"/>
        <v>3792</v>
      </c>
      <c r="K11" s="162"/>
      <c r="L11" s="163"/>
      <c r="M11" s="164"/>
    </row>
    <row r="12" spans="2:13">
      <c r="B12" s="2">
        <v>11</v>
      </c>
      <c r="C12" t="s">
        <v>423</v>
      </c>
      <c r="D12" s="3"/>
      <c r="E12" s="87">
        <v>4</v>
      </c>
      <c r="F12" s="98">
        <f t="shared" si="0"/>
        <v>80</v>
      </c>
      <c r="G12">
        <f>VLOOKUP($C12,약재관리!A:J,10,FALSE)</f>
        <v>28.5</v>
      </c>
      <c r="H12" s="4">
        <f t="shared" si="1"/>
        <v>114</v>
      </c>
      <c r="I12" s="5">
        <f t="shared" si="2"/>
        <v>2280</v>
      </c>
      <c r="K12" s="162"/>
      <c r="L12" s="163"/>
      <c r="M12" s="164"/>
    </row>
    <row r="13" spans="2:13" ht="17.25" thickBot="1">
      <c r="B13" s="2">
        <v>12</v>
      </c>
      <c r="C13" t="s">
        <v>425</v>
      </c>
      <c r="D13" s="3" t="s">
        <v>426</v>
      </c>
      <c r="E13" s="87">
        <v>4</v>
      </c>
      <c r="F13" s="98">
        <f t="shared" si="0"/>
        <v>80</v>
      </c>
      <c r="G13">
        <f>VLOOKUP($C13,약재관리!A:J,10,FALSE)</f>
        <v>8</v>
      </c>
      <c r="H13" s="4">
        <f t="shared" si="1"/>
        <v>32</v>
      </c>
      <c r="I13" s="5">
        <f t="shared" si="2"/>
        <v>640</v>
      </c>
      <c r="K13" s="165"/>
      <c r="L13" s="166"/>
      <c r="M13" s="167"/>
    </row>
    <row r="14" spans="2:13">
      <c r="B14" s="2">
        <v>13</v>
      </c>
      <c r="C14" t="s">
        <v>411</v>
      </c>
      <c r="D14" s="3"/>
      <c r="E14" s="87">
        <v>2</v>
      </c>
      <c r="F14" s="98">
        <f t="shared" si="0"/>
        <v>40</v>
      </c>
      <c r="G14">
        <f>VLOOKUP($C14,약재관리!A:J,10,FALSE)</f>
        <v>8.5</v>
      </c>
      <c r="H14" s="4">
        <f t="shared" si="1"/>
        <v>17</v>
      </c>
      <c r="I14" s="5">
        <f t="shared" si="2"/>
        <v>340</v>
      </c>
      <c r="K14" s="91" t="s">
        <v>13</v>
      </c>
      <c r="L14" s="8">
        <v>15</v>
      </c>
      <c r="M14" s="9" t="s">
        <v>14</v>
      </c>
    </row>
    <row r="15" spans="2:13">
      <c r="B15" s="2">
        <v>14</v>
      </c>
      <c r="C15" t="s">
        <v>428</v>
      </c>
      <c r="D15" s="3"/>
      <c r="E15" s="87">
        <v>4</v>
      </c>
      <c r="F15" s="98">
        <f t="shared" si="0"/>
        <v>80</v>
      </c>
      <c r="G15">
        <f>VLOOKUP($C15,약재관리!A:J,10,FALSE)</f>
        <v>18.3</v>
      </c>
      <c r="H15" s="4">
        <f t="shared" si="1"/>
        <v>73.2</v>
      </c>
      <c r="I15" s="5">
        <f t="shared" si="2"/>
        <v>1464</v>
      </c>
      <c r="K15" s="90" t="s">
        <v>15</v>
      </c>
      <c r="L15">
        <v>20</v>
      </c>
      <c r="M15" s="3" t="s">
        <v>16</v>
      </c>
    </row>
    <row r="16" spans="2:13">
      <c r="B16" s="2">
        <v>15</v>
      </c>
      <c r="C16" t="s">
        <v>429</v>
      </c>
      <c r="D16" s="3"/>
      <c r="E16" s="87">
        <v>2</v>
      </c>
      <c r="F16" s="98">
        <f t="shared" si="0"/>
        <v>40</v>
      </c>
      <c r="G16">
        <f>VLOOKUP($C16,약재관리!A:J,10,FALSE)</f>
        <v>463.3</v>
      </c>
      <c r="H16" s="4">
        <f t="shared" si="1"/>
        <v>926.6</v>
      </c>
      <c r="I16" s="5">
        <f t="shared" si="2"/>
        <v>18532</v>
      </c>
      <c r="K16" s="90" t="s">
        <v>17</v>
      </c>
      <c r="L16">
        <v>45</v>
      </c>
      <c r="M16" s="3" t="s">
        <v>18</v>
      </c>
    </row>
    <row r="17" spans="2:13" ht="17.25" thickBot="1">
      <c r="B17" s="2">
        <v>16</v>
      </c>
      <c r="C17" t="s">
        <v>427</v>
      </c>
      <c r="D17" s="3"/>
      <c r="E17" s="87">
        <v>2</v>
      </c>
      <c r="F17" s="98">
        <f t="shared" si="0"/>
        <v>40</v>
      </c>
      <c r="G17">
        <f>VLOOKUP($C17,약재관리!A:J,10,FALSE)</f>
        <v>21.8</v>
      </c>
      <c r="H17" s="4">
        <f t="shared" si="1"/>
        <v>43.6</v>
      </c>
      <c r="I17" s="5">
        <f t="shared" si="2"/>
        <v>872</v>
      </c>
      <c r="K17" s="13" t="s">
        <v>19</v>
      </c>
      <c r="L17" s="10">
        <v>110</v>
      </c>
      <c r="M17" s="11" t="s">
        <v>20</v>
      </c>
    </row>
    <row r="18" spans="2:13">
      <c r="B18" s="2">
        <v>17</v>
      </c>
      <c r="D18" s="3"/>
      <c r="F18" s="98">
        <f t="shared" si="0"/>
        <v>0</v>
      </c>
      <c r="H18" s="4">
        <f t="shared" si="1"/>
        <v>0</v>
      </c>
      <c r="I18" s="5">
        <f t="shared" si="2"/>
        <v>0</v>
      </c>
      <c r="K18" s="91" t="s">
        <v>21</v>
      </c>
      <c r="L18" s="8">
        <f>SUM(E2:E31)</f>
        <v>77</v>
      </c>
      <c r="M18" s="9" t="s">
        <v>22</v>
      </c>
    </row>
    <row r="19" spans="2:13">
      <c r="B19" s="2">
        <v>18</v>
      </c>
      <c r="D19" s="3"/>
      <c r="F19" s="98">
        <f t="shared" si="0"/>
        <v>0</v>
      </c>
      <c r="H19" s="4">
        <f t="shared" si="1"/>
        <v>0</v>
      </c>
      <c r="I19" s="5">
        <f t="shared" si="2"/>
        <v>0</v>
      </c>
      <c r="K19" s="90" t="s">
        <v>23</v>
      </c>
      <c r="L19">
        <f>L15*L18</f>
        <v>1540</v>
      </c>
      <c r="M19" s="3" t="s">
        <v>22</v>
      </c>
    </row>
    <row r="20" spans="2:13" ht="17.25" thickBot="1">
      <c r="B20" s="2">
        <v>19</v>
      </c>
      <c r="D20" s="3"/>
      <c r="F20" s="98">
        <f t="shared" si="0"/>
        <v>0</v>
      </c>
      <c r="H20" s="4">
        <f t="shared" si="1"/>
        <v>0</v>
      </c>
      <c r="I20" s="5">
        <f t="shared" si="2"/>
        <v>0</v>
      </c>
      <c r="K20" s="13" t="s">
        <v>24</v>
      </c>
      <c r="L20" s="10">
        <f>L16*L17+L19</f>
        <v>6490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1540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2790.6000000000004</v>
      </c>
      <c r="M30" s="3" t="s">
        <v>33</v>
      </c>
    </row>
    <row r="31" spans="2:13" ht="17.25" thickBot="1">
      <c r="B31" s="12">
        <v>30</v>
      </c>
      <c r="C31" s="13"/>
      <c r="D31" s="11"/>
      <c r="E31" s="94"/>
      <c r="F31" s="99">
        <f t="shared" si="0"/>
        <v>0</v>
      </c>
      <c r="G31" s="10"/>
      <c r="H31" s="14">
        <f t="shared" si="1"/>
        <v>0</v>
      </c>
      <c r="I31" s="15">
        <f t="shared" si="2"/>
        <v>0</v>
      </c>
      <c r="K31" s="13" t="s">
        <v>34</v>
      </c>
      <c r="L31" s="14">
        <f>SUM(I2:I31)</f>
        <v>55812</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J188" sqref="J18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45766</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409</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70</v>
      </c>
      <c r="B14" s="122"/>
      <c r="C14" s="35"/>
      <c r="D14" s="35"/>
      <c r="E14" s="36"/>
      <c r="F14" s="112">
        <f t="shared" si="0"/>
        <v>0</v>
      </c>
      <c r="G14" s="37">
        <f t="shared" si="0"/>
        <v>0</v>
      </c>
      <c r="H14" s="37">
        <f t="shared" si="1"/>
        <v>0</v>
      </c>
      <c r="I14" s="38">
        <f t="shared" si="1"/>
        <v>0</v>
      </c>
      <c r="K14" s="40"/>
      <c r="L14" s="41"/>
      <c r="M14" s="41"/>
      <c r="N14" s="42"/>
    </row>
    <row r="15" spans="1:14" ht="15.75" customHeight="1">
      <c r="A15" s="115" t="s">
        <v>71</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72</v>
      </c>
      <c r="M15" s="46" t="s">
        <v>73</v>
      </c>
      <c r="N15" s="42" t="s">
        <v>74</v>
      </c>
    </row>
    <row r="16" spans="1:14" ht="15.75" customHeight="1">
      <c r="A16" s="115" t="s">
        <v>75</v>
      </c>
      <c r="B16" s="122"/>
      <c r="C16" s="35">
        <v>10200</v>
      </c>
      <c r="D16" s="35"/>
      <c r="E16" s="36">
        <v>11100</v>
      </c>
      <c r="F16" s="112">
        <f t="shared" si="0"/>
        <v>0</v>
      </c>
      <c r="G16" s="37">
        <f>C16/600</f>
        <v>17</v>
      </c>
      <c r="H16" s="37">
        <f t="shared" si="1"/>
        <v>0</v>
      </c>
      <c r="I16" s="38">
        <f t="shared" si="1"/>
        <v>18.5</v>
      </c>
      <c r="J16" s="39">
        <v>17</v>
      </c>
      <c r="K16" s="40"/>
      <c r="L16" s="41" t="s">
        <v>76</v>
      </c>
      <c r="M16" s="41"/>
      <c r="N16" s="42" t="s">
        <v>52</v>
      </c>
    </row>
    <row r="17" spans="1:14" ht="15.75" customHeight="1">
      <c r="A17" s="115" t="s">
        <v>77</v>
      </c>
      <c r="B17" s="122"/>
      <c r="C17" s="35">
        <v>32000</v>
      </c>
      <c r="D17" s="35"/>
      <c r="E17" s="36">
        <v>41600</v>
      </c>
      <c r="F17" s="112">
        <f t="shared" si="0"/>
        <v>0</v>
      </c>
      <c r="G17" s="37">
        <f t="shared" si="0"/>
        <v>64</v>
      </c>
      <c r="H17" s="37">
        <f t="shared" si="1"/>
        <v>0</v>
      </c>
      <c r="I17" s="38">
        <f t="shared" si="1"/>
        <v>69.333333333333329</v>
      </c>
      <c r="J17" s="39">
        <v>64</v>
      </c>
      <c r="K17" s="40"/>
      <c r="L17" s="41" t="s">
        <v>78</v>
      </c>
      <c r="M17" s="41"/>
      <c r="N17" s="42" t="s">
        <v>48</v>
      </c>
    </row>
    <row r="18" spans="1:14" ht="15.75" customHeight="1">
      <c r="A18" s="115" t="s">
        <v>79</v>
      </c>
      <c r="B18" s="122"/>
      <c r="C18" s="35">
        <v>4500</v>
      </c>
      <c r="D18" s="35"/>
      <c r="E18" s="36"/>
      <c r="F18" s="112">
        <f t="shared" ref="F18:G49" si="2">B18/500</f>
        <v>0</v>
      </c>
      <c r="G18" s="37">
        <f t="shared" si="2"/>
        <v>9</v>
      </c>
      <c r="H18" s="37">
        <f t="shared" si="1"/>
        <v>0</v>
      </c>
      <c r="I18" s="38">
        <f t="shared" si="1"/>
        <v>0</v>
      </c>
      <c r="J18" s="39">
        <v>9</v>
      </c>
      <c r="K18" s="40"/>
      <c r="L18" s="41" t="s">
        <v>80</v>
      </c>
      <c r="M18" s="41"/>
      <c r="N18" s="42"/>
    </row>
    <row r="19" spans="1:14" ht="15.75" customHeight="1">
      <c r="A19" s="115" t="s">
        <v>81</v>
      </c>
      <c r="B19" s="122"/>
      <c r="C19" s="35"/>
      <c r="D19" s="35"/>
      <c r="E19" s="36"/>
      <c r="F19" s="112">
        <f t="shared" si="2"/>
        <v>0</v>
      </c>
      <c r="G19" s="37">
        <f t="shared" si="2"/>
        <v>0</v>
      </c>
      <c r="H19" s="37">
        <f t="shared" si="1"/>
        <v>0</v>
      </c>
      <c r="I19" s="38">
        <f t="shared" si="1"/>
        <v>0</v>
      </c>
      <c r="K19" s="40"/>
      <c r="L19" s="41"/>
      <c r="M19" s="41"/>
      <c r="N19" s="42"/>
    </row>
    <row r="20" spans="1:14" ht="15.75" customHeight="1">
      <c r="A20" s="115" t="s">
        <v>82</v>
      </c>
      <c r="B20" s="122"/>
      <c r="C20" s="35">
        <v>3500</v>
      </c>
      <c r="D20" s="35">
        <v>6500</v>
      </c>
      <c r="E20" s="36"/>
      <c r="F20" s="112">
        <f t="shared" si="2"/>
        <v>0</v>
      </c>
      <c r="G20" s="37">
        <f t="shared" si="2"/>
        <v>7</v>
      </c>
      <c r="H20" s="37">
        <f t="shared" si="1"/>
        <v>10.833333333333334</v>
      </c>
      <c r="I20" s="38">
        <f t="shared" si="1"/>
        <v>0</v>
      </c>
      <c r="J20" s="39">
        <v>10.8</v>
      </c>
      <c r="K20" s="40"/>
      <c r="L20" s="41"/>
      <c r="M20" s="46" t="s">
        <v>83</v>
      </c>
      <c r="N20" s="42"/>
    </row>
    <row r="21" spans="1:14" ht="15.75" customHeight="1">
      <c r="A21" s="115" t="s">
        <v>84</v>
      </c>
      <c r="B21" s="122">
        <v>6900</v>
      </c>
      <c r="C21" s="35">
        <v>5600</v>
      </c>
      <c r="D21" s="35"/>
      <c r="E21" s="36">
        <v>6900</v>
      </c>
      <c r="F21" s="148">
        <f t="shared" si="2"/>
        <v>13.8</v>
      </c>
      <c r="G21" s="37">
        <f t="shared" si="2"/>
        <v>11.2</v>
      </c>
      <c r="H21" s="37">
        <f t="shared" si="1"/>
        <v>0</v>
      </c>
      <c r="I21" s="38">
        <f t="shared" si="1"/>
        <v>11.5</v>
      </c>
      <c r="J21" s="39">
        <v>13.8</v>
      </c>
      <c r="K21" s="40"/>
      <c r="L21" s="41" t="s">
        <v>78</v>
      </c>
      <c r="M21" s="41"/>
      <c r="N21" s="42" t="s">
        <v>85</v>
      </c>
    </row>
    <row r="22" spans="1:14" ht="15.75" customHeight="1">
      <c r="A22" s="115" t="s">
        <v>86</v>
      </c>
      <c r="B22" s="122">
        <v>4600</v>
      </c>
      <c r="C22" s="35">
        <v>3500</v>
      </c>
      <c r="D22" s="35"/>
      <c r="E22" s="36">
        <v>4800</v>
      </c>
      <c r="F22" s="112">
        <f t="shared" si="2"/>
        <v>9.1999999999999993</v>
      </c>
      <c r="G22" s="37">
        <f t="shared" si="2"/>
        <v>7</v>
      </c>
      <c r="H22" s="37">
        <f t="shared" si="1"/>
        <v>0</v>
      </c>
      <c r="I22" s="38">
        <f t="shared" si="1"/>
        <v>8</v>
      </c>
      <c r="J22" s="39">
        <v>7</v>
      </c>
      <c r="K22" s="40" t="s">
        <v>87</v>
      </c>
      <c r="L22" s="41" t="s">
        <v>88</v>
      </c>
      <c r="M22" s="41"/>
      <c r="N22" s="42" t="s">
        <v>89</v>
      </c>
    </row>
    <row r="23" spans="1:14" ht="15.75" customHeight="1">
      <c r="A23" s="115" t="s">
        <v>90</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91</v>
      </c>
      <c r="M23" s="41"/>
      <c r="N23" s="42" t="s">
        <v>92</v>
      </c>
    </row>
    <row r="24" spans="1:14" ht="15.75" customHeight="1">
      <c r="A24" s="115" t="s">
        <v>93</v>
      </c>
      <c r="B24" s="122"/>
      <c r="C24" s="35"/>
      <c r="D24" s="35"/>
      <c r="E24" s="36"/>
      <c r="F24" s="112">
        <f t="shared" si="2"/>
        <v>0</v>
      </c>
      <c r="G24" s="37">
        <f>C24/500</f>
        <v>0</v>
      </c>
      <c r="H24" s="37">
        <f t="shared" si="1"/>
        <v>0</v>
      </c>
      <c r="I24" s="38">
        <f t="shared" si="1"/>
        <v>0</v>
      </c>
      <c r="K24" s="40"/>
      <c r="L24" s="41"/>
      <c r="M24" s="41"/>
      <c r="N24" s="42"/>
    </row>
    <row r="25" spans="1:14" ht="15.75" customHeight="1">
      <c r="A25" s="115" t="s">
        <v>94</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95</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96</v>
      </c>
    </row>
    <row r="27" spans="1:14" ht="15.75" customHeight="1">
      <c r="A27" s="115" t="s">
        <v>97</v>
      </c>
      <c r="B27" s="122"/>
      <c r="C27" s="35"/>
      <c r="D27" s="35"/>
      <c r="E27" s="36"/>
      <c r="F27" s="112">
        <f t="shared" si="2"/>
        <v>0</v>
      </c>
      <c r="G27" s="37">
        <f>C27/500</f>
        <v>0</v>
      </c>
      <c r="H27" s="37">
        <f t="shared" si="1"/>
        <v>0</v>
      </c>
      <c r="I27" s="38">
        <f t="shared" si="1"/>
        <v>0</v>
      </c>
      <c r="K27" s="40"/>
      <c r="L27" s="41"/>
      <c r="M27" s="41"/>
      <c r="N27" s="42"/>
    </row>
    <row r="28" spans="1:14" ht="15.75" customHeight="1">
      <c r="A28" s="115" t="s">
        <v>98</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99</v>
      </c>
      <c r="B29" s="122"/>
      <c r="C29" s="35">
        <v>20500</v>
      </c>
      <c r="D29" s="35">
        <v>19000</v>
      </c>
      <c r="E29" s="36"/>
      <c r="F29" s="112">
        <f t="shared" si="2"/>
        <v>0</v>
      </c>
      <c r="G29" s="37">
        <f>C29/600</f>
        <v>34.166666666666664</v>
      </c>
      <c r="H29" s="37">
        <f t="shared" si="1"/>
        <v>31.666666666666668</v>
      </c>
      <c r="I29" s="38">
        <f t="shared" si="1"/>
        <v>0</v>
      </c>
      <c r="J29" s="39">
        <v>31.7</v>
      </c>
      <c r="K29" s="40"/>
      <c r="L29" s="41" t="s">
        <v>100</v>
      </c>
      <c r="M29" s="41"/>
      <c r="N29" s="42"/>
    </row>
    <row r="30" spans="1:14" ht="15.75" customHeight="1">
      <c r="A30" s="115" t="s">
        <v>101</v>
      </c>
      <c r="B30" s="122"/>
      <c r="C30" s="35">
        <v>21500</v>
      </c>
      <c r="D30" s="35"/>
      <c r="E30" s="36">
        <v>30800</v>
      </c>
      <c r="F30" s="112">
        <f t="shared" si="2"/>
        <v>0</v>
      </c>
      <c r="G30" s="37">
        <f>C30/500</f>
        <v>43</v>
      </c>
      <c r="H30" s="37">
        <f t="shared" si="1"/>
        <v>0</v>
      </c>
      <c r="I30" s="38">
        <f t="shared" si="1"/>
        <v>51.333333333333336</v>
      </c>
      <c r="J30" s="39">
        <v>43</v>
      </c>
      <c r="K30" s="40"/>
      <c r="L30" s="41" t="s">
        <v>102</v>
      </c>
      <c r="M30" s="41"/>
      <c r="N30" s="42" t="s">
        <v>92</v>
      </c>
    </row>
    <row r="31" spans="1:14" ht="15.75" customHeight="1" thickBot="1">
      <c r="A31" s="126" t="s">
        <v>103</v>
      </c>
      <c r="B31" s="123">
        <v>11500</v>
      </c>
      <c r="C31" s="48">
        <v>12900</v>
      </c>
      <c r="D31" s="48">
        <v>7500</v>
      </c>
      <c r="E31" s="49">
        <v>6900</v>
      </c>
      <c r="F31" s="72">
        <f t="shared" si="2"/>
        <v>23</v>
      </c>
      <c r="G31" s="50">
        <f>C31/500</f>
        <v>25.8</v>
      </c>
      <c r="H31" s="50">
        <f t="shared" si="1"/>
        <v>12.5</v>
      </c>
      <c r="I31" s="135">
        <f t="shared" si="1"/>
        <v>11.5</v>
      </c>
      <c r="J31" s="51">
        <v>11.5</v>
      </c>
      <c r="K31" s="134" t="s">
        <v>104</v>
      </c>
      <c r="L31" s="52" t="s">
        <v>46</v>
      </c>
      <c r="M31" s="53" t="s">
        <v>105</v>
      </c>
      <c r="N31" s="133" t="s">
        <v>106</v>
      </c>
    </row>
    <row r="32" spans="1:14" ht="15.75" customHeight="1">
      <c r="A32" s="127" t="s">
        <v>107</v>
      </c>
      <c r="B32" s="125"/>
      <c r="C32" s="25">
        <v>3000</v>
      </c>
      <c r="D32" s="25">
        <v>4000</v>
      </c>
      <c r="E32" s="26">
        <v>4000</v>
      </c>
      <c r="F32" s="27">
        <f t="shared" si="2"/>
        <v>0</v>
      </c>
      <c r="G32" s="28">
        <f>C32/500</f>
        <v>6</v>
      </c>
      <c r="H32" s="144">
        <f t="shared" si="1"/>
        <v>6.666666666666667</v>
      </c>
      <c r="I32" s="55">
        <f t="shared" si="1"/>
        <v>6.666666666666667</v>
      </c>
      <c r="J32" s="30">
        <v>6</v>
      </c>
      <c r="K32" s="31"/>
      <c r="L32" s="32" t="s">
        <v>108</v>
      </c>
      <c r="M32" s="137" t="s">
        <v>109</v>
      </c>
      <c r="N32" s="34"/>
    </row>
    <row r="33" spans="1:14" ht="15.75" customHeight="1">
      <c r="A33" s="116" t="s">
        <v>110</v>
      </c>
      <c r="B33" s="122"/>
      <c r="C33" s="35">
        <v>13000</v>
      </c>
      <c r="D33" s="35">
        <v>13000</v>
      </c>
      <c r="E33" s="36"/>
      <c r="F33" s="112">
        <f t="shared" si="2"/>
        <v>0</v>
      </c>
      <c r="G33" s="43">
        <f>C33/500</f>
        <v>26</v>
      </c>
      <c r="H33" s="43">
        <f>D33/500</f>
        <v>26</v>
      </c>
      <c r="I33" s="38">
        <f t="shared" ref="I33:I47" si="3">E33/600</f>
        <v>0</v>
      </c>
      <c r="J33" s="39">
        <v>26</v>
      </c>
      <c r="K33" s="40"/>
      <c r="L33" s="56" t="s">
        <v>111</v>
      </c>
      <c r="M33" s="57" t="s">
        <v>112</v>
      </c>
      <c r="N33" s="42"/>
    </row>
    <row r="34" spans="1:14" ht="15.75" customHeight="1" thickBot="1">
      <c r="A34" s="128" t="s">
        <v>113</v>
      </c>
      <c r="B34" s="123"/>
      <c r="C34" s="48">
        <v>278000</v>
      </c>
      <c r="D34" s="48"/>
      <c r="E34" s="49"/>
      <c r="F34" s="72">
        <f t="shared" si="2"/>
        <v>0</v>
      </c>
      <c r="G34" s="58">
        <f>C34/600</f>
        <v>463.33333333333331</v>
      </c>
      <c r="H34" s="50">
        <f>D34/600</f>
        <v>0</v>
      </c>
      <c r="I34" s="59">
        <f t="shared" si="3"/>
        <v>0</v>
      </c>
      <c r="J34" s="51">
        <v>463.3</v>
      </c>
      <c r="K34" s="60"/>
      <c r="L34" s="138" t="s">
        <v>114</v>
      </c>
      <c r="M34" s="52"/>
      <c r="N34" s="61"/>
    </row>
    <row r="35" spans="1:14" ht="15.75" customHeight="1">
      <c r="A35" s="124" t="s">
        <v>115</v>
      </c>
      <c r="B35" s="125"/>
      <c r="C35" s="25">
        <v>6600</v>
      </c>
      <c r="D35" s="25"/>
      <c r="E35" s="26">
        <v>8900</v>
      </c>
      <c r="F35" s="27">
        <f t="shared" si="2"/>
        <v>0</v>
      </c>
      <c r="G35" s="28">
        <f>C35/500</f>
        <v>13.2</v>
      </c>
      <c r="H35" s="28">
        <f t="shared" ref="H35:H47" si="4">D35/600</f>
        <v>0</v>
      </c>
      <c r="I35" s="29">
        <f t="shared" si="3"/>
        <v>14.833333333333334</v>
      </c>
      <c r="J35" s="30">
        <v>14.8</v>
      </c>
      <c r="K35" s="31"/>
      <c r="L35" s="32" t="s">
        <v>116</v>
      </c>
      <c r="M35" s="32"/>
      <c r="N35" s="34" t="s">
        <v>92</v>
      </c>
    </row>
    <row r="36" spans="1:14" ht="15.75" customHeight="1">
      <c r="A36" s="115" t="s">
        <v>117</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118</v>
      </c>
      <c r="B37" s="122">
        <v>14900</v>
      </c>
      <c r="C37" s="35">
        <v>12700</v>
      </c>
      <c r="D37" s="35">
        <v>15000</v>
      </c>
      <c r="E37" s="36">
        <v>16300</v>
      </c>
      <c r="F37" s="112">
        <f t="shared" si="2"/>
        <v>29.8</v>
      </c>
      <c r="G37" s="37">
        <f>C37/500</f>
        <v>25.4</v>
      </c>
      <c r="H37" s="37">
        <f t="shared" si="4"/>
        <v>25</v>
      </c>
      <c r="I37" s="47">
        <f t="shared" si="3"/>
        <v>27.166666666666668</v>
      </c>
      <c r="J37" s="39">
        <v>27.2</v>
      </c>
      <c r="K37" s="40"/>
      <c r="L37" s="41" t="s">
        <v>46</v>
      </c>
      <c r="M37" s="41"/>
      <c r="N37" s="62" t="s">
        <v>46</v>
      </c>
    </row>
    <row r="38" spans="1:14" ht="15.75" customHeight="1">
      <c r="A38" s="115" t="s">
        <v>119</v>
      </c>
      <c r="B38" s="122"/>
      <c r="C38" s="35">
        <v>12700</v>
      </c>
      <c r="D38" s="35"/>
      <c r="E38" s="36">
        <v>13800</v>
      </c>
      <c r="F38" s="112">
        <f t="shared" si="2"/>
        <v>0</v>
      </c>
      <c r="G38" s="37">
        <f>C38/500</f>
        <v>25.4</v>
      </c>
      <c r="H38" s="37">
        <f t="shared" si="4"/>
        <v>0</v>
      </c>
      <c r="I38" s="47">
        <f t="shared" si="3"/>
        <v>23</v>
      </c>
      <c r="J38" s="39">
        <v>23</v>
      </c>
      <c r="K38" s="40"/>
      <c r="L38" s="41" t="s">
        <v>46</v>
      </c>
      <c r="M38" s="41"/>
      <c r="N38" s="42" t="s">
        <v>46</v>
      </c>
    </row>
    <row r="39" spans="1:14" ht="15.75" customHeight="1">
      <c r="A39" s="115" t="s">
        <v>120</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121</v>
      </c>
      <c r="M39" s="46"/>
      <c r="N39" s="42" t="s">
        <v>122</v>
      </c>
    </row>
    <row r="40" spans="1:14" ht="15.75" customHeight="1">
      <c r="A40" s="115" t="s">
        <v>123</v>
      </c>
      <c r="B40" s="122"/>
      <c r="C40" s="35">
        <v>13000</v>
      </c>
      <c r="D40" s="35"/>
      <c r="E40" s="36">
        <v>15800</v>
      </c>
      <c r="F40" s="112">
        <f t="shared" si="2"/>
        <v>0</v>
      </c>
      <c r="G40" s="43">
        <f t="shared" si="2"/>
        <v>26</v>
      </c>
      <c r="H40" s="37">
        <f t="shared" si="4"/>
        <v>0</v>
      </c>
      <c r="I40" s="38">
        <f t="shared" si="3"/>
        <v>26.333333333333332</v>
      </c>
      <c r="J40" s="39">
        <v>26</v>
      </c>
      <c r="K40" s="40"/>
      <c r="L40" s="41" t="s">
        <v>52</v>
      </c>
      <c r="M40" s="41"/>
      <c r="N40" s="42" t="s">
        <v>52</v>
      </c>
    </row>
    <row r="41" spans="1:14" ht="15.75" customHeight="1">
      <c r="A41" s="115" t="s">
        <v>124</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125</v>
      </c>
    </row>
    <row r="42" spans="1:14" ht="15.75" customHeight="1">
      <c r="A42" s="115" t="s">
        <v>126</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127</v>
      </c>
      <c r="M42" s="46" t="s">
        <v>65</v>
      </c>
      <c r="N42" s="42" t="s">
        <v>128</v>
      </c>
    </row>
    <row r="43" spans="1:14" ht="15.75" customHeight="1">
      <c r="A43" s="115" t="s">
        <v>129</v>
      </c>
      <c r="B43" s="122"/>
      <c r="C43" s="35">
        <v>4500</v>
      </c>
      <c r="D43" s="35">
        <v>9500</v>
      </c>
      <c r="E43" s="36">
        <v>7800</v>
      </c>
      <c r="F43" s="112">
        <f t="shared" si="2"/>
        <v>0</v>
      </c>
      <c r="G43" s="37">
        <f t="shared" si="2"/>
        <v>9</v>
      </c>
      <c r="H43" s="37">
        <f t="shared" si="4"/>
        <v>15.833333333333334</v>
      </c>
      <c r="I43" s="47">
        <f t="shared" si="3"/>
        <v>13</v>
      </c>
      <c r="J43" s="39">
        <v>13</v>
      </c>
      <c r="K43" s="40"/>
      <c r="L43" s="41"/>
      <c r="M43" s="46" t="s">
        <v>130</v>
      </c>
      <c r="N43" s="42" t="s">
        <v>131</v>
      </c>
    </row>
    <row r="44" spans="1:14" ht="15.75" customHeight="1">
      <c r="A44" s="115" t="s">
        <v>132</v>
      </c>
      <c r="B44" s="122"/>
      <c r="C44" s="35">
        <v>6200</v>
      </c>
      <c r="D44" s="35">
        <v>8000</v>
      </c>
      <c r="E44" s="36"/>
      <c r="F44" s="112">
        <f t="shared" si="2"/>
        <v>0</v>
      </c>
      <c r="G44" s="37">
        <f t="shared" si="2"/>
        <v>12.4</v>
      </c>
      <c r="H44" s="37">
        <f t="shared" si="4"/>
        <v>13.333333333333334</v>
      </c>
      <c r="I44" s="38">
        <f t="shared" si="3"/>
        <v>0</v>
      </c>
      <c r="J44" s="39">
        <v>13.3</v>
      </c>
      <c r="K44" s="40"/>
      <c r="L44" s="41"/>
      <c r="M44" s="46" t="s">
        <v>105</v>
      </c>
      <c r="N44" s="42"/>
    </row>
    <row r="45" spans="1:14" ht="15.75" customHeight="1">
      <c r="A45" s="115" t="s">
        <v>133</v>
      </c>
      <c r="B45" s="122"/>
      <c r="C45" s="35">
        <v>15600</v>
      </c>
      <c r="D45" s="35">
        <v>19000</v>
      </c>
      <c r="E45" s="36">
        <v>18000</v>
      </c>
      <c r="F45" s="112">
        <f t="shared" si="2"/>
        <v>0</v>
      </c>
      <c r="G45" s="43">
        <f t="shared" si="2"/>
        <v>31.2</v>
      </c>
      <c r="H45" s="37">
        <f t="shared" si="4"/>
        <v>31.666666666666668</v>
      </c>
      <c r="I45" s="38">
        <f t="shared" si="3"/>
        <v>30</v>
      </c>
      <c r="J45" s="39">
        <v>31.2</v>
      </c>
      <c r="K45" s="40"/>
      <c r="L45" s="41" t="s">
        <v>46</v>
      </c>
      <c r="M45" s="41" t="s">
        <v>65</v>
      </c>
      <c r="N45" s="42"/>
    </row>
    <row r="46" spans="1:14" ht="15.75" customHeight="1">
      <c r="A46" s="115" t="s">
        <v>134</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135</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408</v>
      </c>
      <c r="L47" s="41" t="s">
        <v>136</v>
      </c>
      <c r="M47" s="41" t="s">
        <v>137</v>
      </c>
      <c r="N47" s="42" t="s">
        <v>138</v>
      </c>
    </row>
    <row r="48" spans="1:14" ht="15.75" customHeight="1" thickBot="1">
      <c r="A48" s="126" t="s">
        <v>139</v>
      </c>
      <c r="B48" s="123"/>
      <c r="C48" s="48">
        <v>6500</v>
      </c>
      <c r="D48" s="48">
        <v>7000</v>
      </c>
      <c r="E48" s="49">
        <v>6700</v>
      </c>
      <c r="F48" s="72">
        <f t="shared" si="2"/>
        <v>0</v>
      </c>
      <c r="G48" s="58">
        <f>C48/100</f>
        <v>65</v>
      </c>
      <c r="H48" s="50">
        <f>D48/100</f>
        <v>70</v>
      </c>
      <c r="I48" s="59">
        <f>E48/100</f>
        <v>67</v>
      </c>
      <c r="J48" s="51">
        <v>65</v>
      </c>
      <c r="K48" s="60"/>
      <c r="L48" s="52" t="s">
        <v>140</v>
      </c>
      <c r="M48" s="53" t="s">
        <v>141</v>
      </c>
      <c r="N48" s="61" t="s">
        <v>142</v>
      </c>
    </row>
    <row r="49" spans="1:14" ht="15.75" customHeight="1">
      <c r="A49" s="127" t="s">
        <v>143</v>
      </c>
      <c r="B49" s="125"/>
      <c r="C49" s="25">
        <v>4000</v>
      </c>
      <c r="D49" s="25"/>
      <c r="E49" s="26">
        <v>5100</v>
      </c>
      <c r="F49" s="27">
        <f t="shared" si="2"/>
        <v>0</v>
      </c>
      <c r="G49" s="54">
        <f>C49/500</f>
        <v>8</v>
      </c>
      <c r="H49" s="28">
        <f t="shared" ref="H49:I53" si="5">D49/600</f>
        <v>0</v>
      </c>
      <c r="I49" s="55">
        <f t="shared" si="5"/>
        <v>8.5</v>
      </c>
      <c r="J49" s="30">
        <v>8</v>
      </c>
      <c r="K49" s="31"/>
      <c r="L49" s="32" t="s">
        <v>52</v>
      </c>
      <c r="M49" s="32"/>
      <c r="N49" s="34" t="s">
        <v>92</v>
      </c>
    </row>
    <row r="50" spans="1:14" ht="15.75" customHeight="1">
      <c r="A50" s="116" t="s">
        <v>144</v>
      </c>
      <c r="B50" s="122"/>
      <c r="C50" s="35">
        <v>4200</v>
      </c>
      <c r="D50" s="35">
        <v>7500</v>
      </c>
      <c r="E50" s="36">
        <v>5000</v>
      </c>
      <c r="F50" s="112">
        <f t="shared" ref="F50:G82" si="6">B50/500</f>
        <v>0</v>
      </c>
      <c r="G50" s="37">
        <f>C50/500</f>
        <v>8.4</v>
      </c>
      <c r="H50" s="37">
        <f t="shared" si="5"/>
        <v>12.5</v>
      </c>
      <c r="I50" s="47">
        <f t="shared" si="5"/>
        <v>8.3333333333333339</v>
      </c>
      <c r="J50" s="39">
        <v>8.5</v>
      </c>
      <c r="K50" s="40"/>
      <c r="L50" s="41" t="s">
        <v>52</v>
      </c>
      <c r="M50" s="46"/>
      <c r="N50" s="42" t="s">
        <v>145</v>
      </c>
    </row>
    <row r="51" spans="1:14" ht="15.75" customHeight="1">
      <c r="A51" s="116" t="s">
        <v>146</v>
      </c>
      <c r="B51" s="122"/>
      <c r="C51" s="35">
        <v>13200</v>
      </c>
      <c r="D51" s="35"/>
      <c r="E51" s="36">
        <v>15800</v>
      </c>
      <c r="F51" s="112">
        <f t="shared" si="6"/>
        <v>0</v>
      </c>
      <c r="G51" s="37">
        <f>C51/500</f>
        <v>26.4</v>
      </c>
      <c r="H51" s="37">
        <f t="shared" si="5"/>
        <v>0</v>
      </c>
      <c r="I51" s="38">
        <f t="shared" si="5"/>
        <v>26.333333333333332</v>
      </c>
      <c r="J51" s="39">
        <v>26.3</v>
      </c>
      <c r="K51" s="40"/>
      <c r="L51" s="41" t="s">
        <v>147</v>
      </c>
      <c r="M51" s="41"/>
      <c r="N51" s="42" t="s">
        <v>148</v>
      </c>
    </row>
    <row r="52" spans="1:14" ht="15.75" customHeight="1">
      <c r="A52" s="116" t="s">
        <v>149</v>
      </c>
      <c r="B52" s="122"/>
      <c r="C52" s="35">
        <v>3000</v>
      </c>
      <c r="D52" s="35">
        <v>4000</v>
      </c>
      <c r="E52" s="36"/>
      <c r="F52" s="112">
        <f t="shared" si="6"/>
        <v>0</v>
      </c>
      <c r="G52" s="37">
        <f>C52/600</f>
        <v>5</v>
      </c>
      <c r="H52" s="37">
        <f t="shared" si="5"/>
        <v>6.666666666666667</v>
      </c>
      <c r="I52" s="38">
        <f t="shared" si="5"/>
        <v>0</v>
      </c>
      <c r="J52" s="39">
        <v>5</v>
      </c>
      <c r="K52" s="40"/>
      <c r="L52" s="41" t="s">
        <v>150</v>
      </c>
      <c r="M52" s="41"/>
      <c r="N52" s="42"/>
    </row>
    <row r="53" spans="1:14" ht="15.75" customHeight="1">
      <c r="A53" s="116" t="s">
        <v>151</v>
      </c>
      <c r="B53" s="122"/>
      <c r="C53" s="35">
        <v>19600</v>
      </c>
      <c r="D53" s="35">
        <v>39000</v>
      </c>
      <c r="E53" s="36">
        <v>23500</v>
      </c>
      <c r="F53" s="112">
        <f t="shared" si="6"/>
        <v>0</v>
      </c>
      <c r="G53" s="37">
        <f>C53/500</f>
        <v>39.200000000000003</v>
      </c>
      <c r="H53" s="37">
        <f t="shared" si="5"/>
        <v>65</v>
      </c>
      <c r="I53" s="38">
        <f t="shared" si="5"/>
        <v>39.166666666666664</v>
      </c>
      <c r="J53" s="39">
        <v>44.3</v>
      </c>
      <c r="K53" s="40"/>
      <c r="L53" s="41" t="s">
        <v>152</v>
      </c>
      <c r="M53" s="46" t="s">
        <v>65</v>
      </c>
      <c r="N53" s="44" t="s">
        <v>153</v>
      </c>
    </row>
    <row r="54" spans="1:14" ht="15.75" customHeight="1">
      <c r="A54" s="116" t="s">
        <v>154</v>
      </c>
      <c r="B54" s="122"/>
      <c r="C54" s="35">
        <v>8000</v>
      </c>
      <c r="D54" s="35">
        <v>7500</v>
      </c>
      <c r="F54" s="112">
        <f t="shared" si="6"/>
        <v>0</v>
      </c>
      <c r="G54" s="37">
        <f>C54/1000</f>
        <v>8</v>
      </c>
      <c r="H54" s="43">
        <f>D54/1000</f>
        <v>7.5</v>
      </c>
      <c r="I54" s="38">
        <f>E53/1000</f>
        <v>23.5</v>
      </c>
      <c r="J54" s="39">
        <v>7.5</v>
      </c>
      <c r="K54" s="40"/>
      <c r="L54" s="41" t="s">
        <v>155</v>
      </c>
      <c r="M54" s="46" t="s">
        <v>155</v>
      </c>
      <c r="N54" s="44" t="s">
        <v>156</v>
      </c>
    </row>
    <row r="55" spans="1:14" ht="15.75" customHeight="1">
      <c r="A55" s="116" t="s">
        <v>157</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158</v>
      </c>
      <c r="B56" s="122"/>
      <c r="C56" s="35">
        <v>8000</v>
      </c>
      <c r="D56" s="35">
        <v>8000</v>
      </c>
      <c r="E56" s="36"/>
      <c r="F56" s="112">
        <f t="shared" si="6"/>
        <v>0</v>
      </c>
      <c r="G56" s="37">
        <f>C56/1000</f>
        <v>8</v>
      </c>
      <c r="H56" s="37">
        <f>D56/1000</f>
        <v>8</v>
      </c>
      <c r="I56" s="38">
        <f t="shared" si="7"/>
        <v>0</v>
      </c>
      <c r="J56" s="39">
        <v>8</v>
      </c>
      <c r="K56" s="40"/>
      <c r="L56" s="41" t="s">
        <v>156</v>
      </c>
      <c r="M56" s="41"/>
      <c r="N56" s="42"/>
    </row>
    <row r="57" spans="1:14" ht="15.75" customHeight="1">
      <c r="A57" s="116" t="s">
        <v>159</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80</v>
      </c>
      <c r="M57" s="46"/>
      <c r="N57" s="42" t="s">
        <v>92</v>
      </c>
    </row>
    <row r="58" spans="1:14" ht="15.75" customHeight="1">
      <c r="A58" s="116" t="s">
        <v>160</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161</v>
      </c>
      <c r="N58" s="62" t="s">
        <v>162</v>
      </c>
    </row>
    <row r="59" spans="1:14" ht="15.75" customHeight="1">
      <c r="A59" s="116" t="s">
        <v>163</v>
      </c>
      <c r="B59" s="122"/>
      <c r="C59" s="35">
        <v>6000</v>
      </c>
      <c r="D59" s="35">
        <v>8500</v>
      </c>
      <c r="E59" s="36">
        <v>7300</v>
      </c>
      <c r="F59" s="112">
        <f t="shared" si="6"/>
        <v>0</v>
      </c>
      <c r="G59" s="37">
        <f>C59/600</f>
        <v>10</v>
      </c>
      <c r="H59" s="37">
        <f t="shared" si="7"/>
        <v>14.166666666666666</v>
      </c>
      <c r="I59" s="47">
        <f t="shared" si="7"/>
        <v>12.166666666666666</v>
      </c>
      <c r="J59" s="39">
        <v>12.2</v>
      </c>
      <c r="K59" s="40"/>
      <c r="L59" s="41" t="s">
        <v>114</v>
      </c>
      <c r="M59" s="46" t="s">
        <v>161</v>
      </c>
      <c r="N59" s="42" t="s">
        <v>92</v>
      </c>
    </row>
    <row r="60" spans="1:14" ht="15.75" customHeight="1" thickBot="1">
      <c r="A60" s="128" t="s">
        <v>164</v>
      </c>
      <c r="B60" s="123"/>
      <c r="C60" s="48"/>
      <c r="D60" s="48"/>
      <c r="E60" s="49">
        <v>10500</v>
      </c>
      <c r="F60" s="72">
        <f t="shared" si="6"/>
        <v>0</v>
      </c>
      <c r="G60" s="50">
        <f t="shared" si="6"/>
        <v>0</v>
      </c>
      <c r="H60" s="50">
        <f t="shared" si="7"/>
        <v>0</v>
      </c>
      <c r="I60" s="59">
        <f t="shared" si="7"/>
        <v>17.5</v>
      </c>
      <c r="J60" s="51">
        <v>17.5</v>
      </c>
      <c r="K60" s="60"/>
      <c r="L60" s="52"/>
      <c r="M60" s="52"/>
      <c r="N60" s="61" t="s">
        <v>92</v>
      </c>
    </row>
    <row r="61" spans="1:14" ht="15.75" customHeight="1">
      <c r="A61" s="124" t="s">
        <v>165</v>
      </c>
      <c r="B61" s="125"/>
      <c r="C61" s="25">
        <v>8500</v>
      </c>
      <c r="D61" s="25"/>
      <c r="E61" s="26">
        <v>10800</v>
      </c>
      <c r="F61" s="27">
        <f t="shared" si="6"/>
        <v>0</v>
      </c>
      <c r="G61" s="54">
        <f t="shared" si="6"/>
        <v>17</v>
      </c>
      <c r="H61" s="28">
        <f t="shared" si="7"/>
        <v>0</v>
      </c>
      <c r="I61" s="55">
        <f t="shared" si="7"/>
        <v>18</v>
      </c>
      <c r="J61" s="30">
        <v>21.8</v>
      </c>
      <c r="K61" s="31"/>
      <c r="L61" s="32" t="s">
        <v>46</v>
      </c>
      <c r="M61" s="32"/>
      <c r="N61" s="34" t="s">
        <v>166</v>
      </c>
    </row>
    <row r="62" spans="1:14" ht="15.75" customHeight="1">
      <c r="A62" s="115" t="s">
        <v>167</v>
      </c>
      <c r="B62" s="122"/>
      <c r="C62" s="35">
        <v>20500</v>
      </c>
      <c r="D62" s="35">
        <v>26500</v>
      </c>
      <c r="E62" s="36">
        <v>20500</v>
      </c>
      <c r="F62" s="112">
        <f t="shared" si="6"/>
        <v>0</v>
      </c>
      <c r="G62" s="71">
        <f t="shared" si="6"/>
        <v>41</v>
      </c>
      <c r="H62" s="71">
        <f>D62/500</f>
        <v>53</v>
      </c>
      <c r="I62" s="38">
        <f>E62/500</f>
        <v>41</v>
      </c>
      <c r="J62" s="39">
        <v>41</v>
      </c>
      <c r="K62" s="40"/>
      <c r="L62" s="110" t="s">
        <v>168</v>
      </c>
      <c r="M62" s="110" t="s">
        <v>169</v>
      </c>
      <c r="N62" s="42" t="s">
        <v>170</v>
      </c>
    </row>
    <row r="63" spans="1:14" ht="15.75" customHeight="1">
      <c r="A63" s="115" t="s">
        <v>171</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172</v>
      </c>
    </row>
    <row r="64" spans="1:14" ht="15.75" customHeight="1">
      <c r="A64" s="115" t="s">
        <v>173</v>
      </c>
      <c r="B64" s="122"/>
      <c r="C64" s="35">
        <v>3000</v>
      </c>
      <c r="D64" s="35"/>
      <c r="E64" s="36">
        <v>3500</v>
      </c>
      <c r="F64" s="112">
        <f t="shared" si="6"/>
        <v>0</v>
      </c>
      <c r="G64" s="37">
        <f t="shared" si="6"/>
        <v>6</v>
      </c>
      <c r="H64" s="37">
        <f t="shared" si="8"/>
        <v>0</v>
      </c>
      <c r="I64" s="47">
        <f t="shared" si="8"/>
        <v>5.833333333333333</v>
      </c>
      <c r="J64" s="39">
        <v>5.8</v>
      </c>
      <c r="K64" s="40"/>
      <c r="L64" s="56" t="s">
        <v>52</v>
      </c>
      <c r="M64" s="41"/>
      <c r="N64" s="42" t="s">
        <v>52</v>
      </c>
    </row>
    <row r="65" spans="1:14" ht="15.75" customHeight="1">
      <c r="A65" s="115" t="s">
        <v>174</v>
      </c>
      <c r="B65" s="122"/>
      <c r="C65" s="35"/>
      <c r="D65" s="35"/>
      <c r="E65" s="36"/>
      <c r="F65" s="112">
        <f t="shared" si="6"/>
        <v>0</v>
      </c>
      <c r="G65" s="37">
        <f t="shared" si="6"/>
        <v>0</v>
      </c>
      <c r="H65" s="37">
        <f t="shared" si="8"/>
        <v>0</v>
      </c>
      <c r="I65" s="63">
        <f t="shared" si="8"/>
        <v>0</v>
      </c>
      <c r="K65" s="40"/>
      <c r="L65" s="41"/>
      <c r="M65" s="41"/>
      <c r="N65" s="42"/>
    </row>
    <row r="66" spans="1:14" ht="15.75" customHeight="1">
      <c r="A66" s="115" t="s">
        <v>175</v>
      </c>
      <c r="B66" s="122"/>
      <c r="C66" s="35">
        <v>5900</v>
      </c>
      <c r="D66" s="35"/>
      <c r="E66" s="36">
        <v>7000</v>
      </c>
      <c r="F66" s="112">
        <f t="shared" si="6"/>
        <v>0</v>
      </c>
      <c r="G66" s="37">
        <f t="shared" si="6"/>
        <v>11.8</v>
      </c>
      <c r="H66" s="37">
        <f t="shared" si="8"/>
        <v>0</v>
      </c>
      <c r="I66" s="47">
        <f t="shared" si="8"/>
        <v>11.666666666666666</v>
      </c>
      <c r="J66" s="39">
        <v>13.2</v>
      </c>
      <c r="K66" s="40"/>
      <c r="L66" s="41"/>
      <c r="M66" s="41"/>
      <c r="N66" s="42" t="s">
        <v>92</v>
      </c>
    </row>
    <row r="67" spans="1:14" ht="15.75" customHeight="1">
      <c r="A67" s="115" t="s">
        <v>176</v>
      </c>
      <c r="B67" s="122"/>
      <c r="C67" s="35">
        <v>11300</v>
      </c>
      <c r="D67" s="35">
        <v>14000</v>
      </c>
      <c r="E67" s="36"/>
      <c r="F67" s="112">
        <f t="shared" si="6"/>
        <v>0</v>
      </c>
      <c r="G67" s="37">
        <f t="shared" si="6"/>
        <v>22.6</v>
      </c>
      <c r="H67" s="37">
        <f t="shared" si="8"/>
        <v>23.333333333333332</v>
      </c>
      <c r="I67" s="38">
        <f t="shared" si="8"/>
        <v>0</v>
      </c>
      <c r="J67" s="39">
        <v>22.6</v>
      </c>
      <c r="K67" s="40"/>
      <c r="L67" s="41" t="s">
        <v>46</v>
      </c>
      <c r="M67" s="46"/>
      <c r="N67" s="42"/>
    </row>
    <row r="68" spans="1:14" ht="15.75" customHeight="1">
      <c r="A68" s="115" t="s">
        <v>177</v>
      </c>
      <c r="B68" s="122"/>
      <c r="C68" s="35">
        <v>14000</v>
      </c>
      <c r="D68" s="35"/>
      <c r="E68" s="36"/>
      <c r="F68" s="112">
        <f t="shared" si="6"/>
        <v>0</v>
      </c>
      <c r="G68" s="37">
        <f t="shared" si="6"/>
        <v>28</v>
      </c>
      <c r="H68" s="37">
        <f t="shared" si="8"/>
        <v>0</v>
      </c>
      <c r="I68" s="38">
        <f t="shared" si="8"/>
        <v>0</v>
      </c>
      <c r="J68" s="39">
        <v>28</v>
      </c>
      <c r="K68" s="40"/>
      <c r="L68" s="41" t="s">
        <v>68</v>
      </c>
      <c r="M68" s="41"/>
      <c r="N68" s="42"/>
    </row>
    <row r="69" spans="1:14" ht="15.75" customHeight="1">
      <c r="A69" s="115" t="s">
        <v>178</v>
      </c>
      <c r="B69" s="122"/>
      <c r="C69" s="35">
        <v>3600</v>
      </c>
      <c r="D69" s="35"/>
      <c r="E69" s="36">
        <v>3800</v>
      </c>
      <c r="F69" s="112">
        <f t="shared" si="6"/>
        <v>0</v>
      </c>
      <c r="G69" s="37">
        <f t="shared" si="6"/>
        <v>7.2</v>
      </c>
      <c r="H69" s="37">
        <f t="shared" si="8"/>
        <v>0</v>
      </c>
      <c r="I69" s="38">
        <f t="shared" si="8"/>
        <v>6.333333333333333</v>
      </c>
      <c r="J69" s="39">
        <v>6.3</v>
      </c>
      <c r="K69" s="40"/>
      <c r="L69" s="41" t="s">
        <v>179</v>
      </c>
      <c r="M69" s="41"/>
      <c r="N69" s="42"/>
    </row>
    <row r="70" spans="1:14" ht="15.75" customHeight="1">
      <c r="A70" s="115" t="s">
        <v>180</v>
      </c>
      <c r="B70" s="122"/>
      <c r="C70" s="35">
        <v>10500</v>
      </c>
      <c r="D70" s="35"/>
      <c r="E70" s="36">
        <v>12600</v>
      </c>
      <c r="F70" s="112">
        <f t="shared" si="6"/>
        <v>0</v>
      </c>
      <c r="G70" s="37">
        <f t="shared" si="6"/>
        <v>21</v>
      </c>
      <c r="H70" s="37">
        <f t="shared" si="8"/>
        <v>0</v>
      </c>
      <c r="I70" s="38">
        <f t="shared" si="8"/>
        <v>21</v>
      </c>
      <c r="J70" s="39">
        <v>21</v>
      </c>
      <c r="K70" s="40"/>
      <c r="L70" s="41" t="s">
        <v>181</v>
      </c>
      <c r="M70" s="41"/>
      <c r="N70" s="42" t="s">
        <v>182</v>
      </c>
    </row>
    <row r="71" spans="1:14" ht="15.75" customHeight="1">
      <c r="A71" s="115" t="s">
        <v>183</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184</v>
      </c>
      <c r="B72" s="122"/>
      <c r="C72" s="35"/>
      <c r="D72" s="35"/>
      <c r="E72" s="36"/>
      <c r="F72" s="112">
        <f t="shared" si="6"/>
        <v>0</v>
      </c>
      <c r="G72" s="37">
        <f t="shared" si="6"/>
        <v>0</v>
      </c>
      <c r="H72" s="37">
        <f t="shared" si="8"/>
        <v>0</v>
      </c>
      <c r="I72" s="38">
        <f t="shared" si="8"/>
        <v>0</v>
      </c>
      <c r="K72" s="40"/>
      <c r="L72" s="41"/>
      <c r="M72" s="41"/>
      <c r="N72" s="42"/>
    </row>
    <row r="73" spans="1:14" ht="15.75" customHeight="1">
      <c r="A73" s="115" t="s">
        <v>185</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186</v>
      </c>
      <c r="M73" s="46"/>
      <c r="N73" s="42"/>
    </row>
    <row r="74" spans="1:14" ht="15.75" customHeight="1">
      <c r="A74" s="115" t="s">
        <v>187</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188</v>
      </c>
      <c r="L74" s="41" t="s">
        <v>189</v>
      </c>
      <c r="M74" s="41"/>
      <c r="N74" s="42" t="s">
        <v>48</v>
      </c>
    </row>
    <row r="75" spans="1:14" ht="15.75" customHeight="1">
      <c r="A75" s="115" t="s">
        <v>190</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78</v>
      </c>
      <c r="M75" s="41" t="s">
        <v>65</v>
      </c>
      <c r="N75" s="42" t="s">
        <v>46</v>
      </c>
    </row>
    <row r="76" spans="1:14" ht="15.75" customHeight="1">
      <c r="A76" s="115" t="s">
        <v>191</v>
      </c>
      <c r="B76" s="122"/>
      <c r="C76" s="35"/>
      <c r="D76" s="35"/>
      <c r="E76" s="36"/>
      <c r="F76" s="112">
        <f t="shared" si="6"/>
        <v>0</v>
      </c>
      <c r="G76" s="37">
        <f t="shared" si="6"/>
        <v>0</v>
      </c>
      <c r="H76" s="37">
        <f t="shared" si="8"/>
        <v>0</v>
      </c>
      <c r="I76" s="38">
        <f t="shared" si="8"/>
        <v>0</v>
      </c>
      <c r="K76" s="40"/>
      <c r="L76" s="41"/>
      <c r="M76" s="41"/>
      <c r="N76" s="42"/>
    </row>
    <row r="77" spans="1:14" ht="15.75" customHeight="1">
      <c r="A77" s="115" t="s">
        <v>192</v>
      </c>
      <c r="B77" s="122"/>
      <c r="C77" s="35">
        <v>14000</v>
      </c>
      <c r="D77" s="35"/>
      <c r="E77" s="36">
        <v>18200</v>
      </c>
      <c r="F77" s="112">
        <f t="shared" si="6"/>
        <v>0</v>
      </c>
      <c r="G77" s="37">
        <f t="shared" si="6"/>
        <v>28</v>
      </c>
      <c r="H77" s="37">
        <f t="shared" si="8"/>
        <v>0</v>
      </c>
      <c r="I77" s="38">
        <f t="shared" si="8"/>
        <v>30.333333333333332</v>
      </c>
      <c r="J77" s="39">
        <v>30.3</v>
      </c>
      <c r="K77" s="40"/>
      <c r="L77" s="41"/>
      <c r="M77" s="41"/>
      <c r="N77" s="42" t="s">
        <v>92</v>
      </c>
    </row>
    <row r="78" spans="1:14" ht="15.75" customHeight="1">
      <c r="A78" s="115" t="s">
        <v>193</v>
      </c>
      <c r="B78" s="122"/>
      <c r="C78" s="35">
        <v>6300</v>
      </c>
      <c r="D78" s="35"/>
      <c r="E78" s="36"/>
      <c r="F78" s="112">
        <f t="shared" si="6"/>
        <v>0</v>
      </c>
      <c r="G78" s="37">
        <f>C78/600</f>
        <v>10.5</v>
      </c>
      <c r="H78" s="37">
        <f t="shared" si="8"/>
        <v>0</v>
      </c>
      <c r="I78" s="38">
        <f t="shared" si="8"/>
        <v>0</v>
      </c>
      <c r="J78" s="39">
        <v>10.5</v>
      </c>
      <c r="K78" s="40"/>
      <c r="L78" s="41" t="s">
        <v>194</v>
      </c>
      <c r="M78" s="41"/>
      <c r="N78" s="42"/>
    </row>
    <row r="79" spans="1:14" ht="15.75" customHeight="1">
      <c r="A79" s="115" t="s">
        <v>195</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46</v>
      </c>
      <c r="M79" s="41"/>
      <c r="N79" s="42" t="s">
        <v>196</v>
      </c>
    </row>
    <row r="80" spans="1:14" ht="15.75" customHeight="1">
      <c r="A80" s="115" t="s">
        <v>407</v>
      </c>
      <c r="B80" s="122"/>
      <c r="C80" s="35">
        <v>10000</v>
      </c>
      <c r="D80" s="35"/>
      <c r="E80" s="36"/>
      <c r="F80" s="112">
        <f t="shared" si="6"/>
        <v>0</v>
      </c>
      <c r="G80" s="43">
        <f>C80/600</f>
        <v>16.666666666666668</v>
      </c>
      <c r="H80" s="37">
        <f t="shared" si="8"/>
        <v>0</v>
      </c>
      <c r="I80" s="38">
        <f t="shared" si="8"/>
        <v>0</v>
      </c>
      <c r="J80" s="39">
        <v>16.7</v>
      </c>
      <c r="K80" s="40"/>
      <c r="L80" s="41" t="s">
        <v>262</v>
      </c>
      <c r="M80" s="41"/>
      <c r="N80" s="42"/>
    </row>
    <row r="81" spans="1:14" ht="15.75" customHeight="1">
      <c r="A81" s="115" t="s">
        <v>197</v>
      </c>
      <c r="B81" s="122"/>
      <c r="C81" s="35">
        <v>20500</v>
      </c>
      <c r="D81" s="35"/>
      <c r="E81" s="36">
        <v>16600</v>
      </c>
      <c r="F81" s="112">
        <f t="shared" si="6"/>
        <v>0</v>
      </c>
      <c r="G81" s="37">
        <f>C81/600</f>
        <v>34.166666666666664</v>
      </c>
      <c r="H81" s="37">
        <f t="shared" si="8"/>
        <v>0</v>
      </c>
      <c r="I81" s="38">
        <f t="shared" si="8"/>
        <v>27.666666666666668</v>
      </c>
      <c r="K81" s="40"/>
      <c r="L81" s="41" t="s">
        <v>198</v>
      </c>
      <c r="M81" s="41"/>
      <c r="N81" s="42" t="s">
        <v>61</v>
      </c>
    </row>
    <row r="82" spans="1:14" ht="15.75" customHeight="1">
      <c r="A82" s="115" t="s">
        <v>199</v>
      </c>
      <c r="B82" s="122">
        <v>9900</v>
      </c>
      <c r="C82" s="35">
        <v>4400</v>
      </c>
      <c r="D82" s="35">
        <v>7000</v>
      </c>
      <c r="E82" s="36">
        <v>5400</v>
      </c>
      <c r="F82" s="112">
        <f t="shared" si="6"/>
        <v>19.8</v>
      </c>
      <c r="G82" s="37">
        <f t="shared" si="6"/>
        <v>8.8000000000000007</v>
      </c>
      <c r="H82" s="37">
        <f t="shared" si="8"/>
        <v>11.666666666666666</v>
      </c>
      <c r="I82" s="47">
        <f t="shared" si="8"/>
        <v>9</v>
      </c>
      <c r="J82" s="39">
        <v>9</v>
      </c>
      <c r="K82" s="88" t="s">
        <v>200</v>
      </c>
      <c r="L82" s="46"/>
      <c r="M82" s="41"/>
      <c r="N82" s="44" t="s">
        <v>92</v>
      </c>
    </row>
    <row r="83" spans="1:14" ht="15.75" customHeight="1">
      <c r="A83" s="115" t="s">
        <v>201</v>
      </c>
      <c r="B83" s="122"/>
      <c r="C83" s="35">
        <v>5200</v>
      </c>
      <c r="D83" s="35"/>
      <c r="E83" s="36"/>
      <c r="F83" s="112">
        <f t="shared" ref="F83:G115" si="12">B83/500</f>
        <v>0</v>
      </c>
      <c r="G83" s="37">
        <f t="shared" si="12"/>
        <v>10.4</v>
      </c>
      <c r="H83" s="37">
        <f t="shared" si="8"/>
        <v>0</v>
      </c>
      <c r="I83" s="38">
        <f t="shared" si="8"/>
        <v>0</v>
      </c>
      <c r="J83" s="39">
        <v>10.4</v>
      </c>
      <c r="K83" s="40"/>
      <c r="L83" s="41" t="s">
        <v>202</v>
      </c>
      <c r="M83" s="41"/>
      <c r="N83" s="42"/>
    </row>
    <row r="84" spans="1:14" ht="15.75" customHeight="1">
      <c r="A84" s="115" t="s">
        <v>203</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204</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52</v>
      </c>
      <c r="M85" s="41"/>
      <c r="N85" s="42" t="s">
        <v>68</v>
      </c>
    </row>
    <row r="86" spans="1:14" ht="15.75" customHeight="1">
      <c r="A86" s="115" t="s">
        <v>205</v>
      </c>
      <c r="B86" s="122"/>
      <c r="C86" s="35"/>
      <c r="D86" s="35"/>
      <c r="E86" s="36">
        <v>6200</v>
      </c>
      <c r="F86" s="112"/>
      <c r="G86" s="37"/>
      <c r="H86" s="37"/>
      <c r="I86" s="38">
        <f t="shared" si="8"/>
        <v>10.333333333333334</v>
      </c>
      <c r="J86" s="39">
        <v>10.3</v>
      </c>
      <c r="K86" s="40"/>
      <c r="L86" s="41"/>
      <c r="M86" s="41"/>
      <c r="N86" s="42"/>
    </row>
    <row r="87" spans="1:14" ht="15.75" customHeight="1">
      <c r="A87" s="115" t="s">
        <v>206</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207</v>
      </c>
      <c r="N87" s="42" t="s">
        <v>208</v>
      </c>
    </row>
    <row r="88" spans="1:14" ht="15.75" customHeight="1" thickBot="1">
      <c r="A88" s="126" t="s">
        <v>209</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125</v>
      </c>
    </row>
    <row r="89" spans="1:14" ht="15.75" customHeight="1">
      <c r="A89" s="127" t="s">
        <v>210</v>
      </c>
      <c r="B89" s="125"/>
      <c r="C89" s="25">
        <v>10500</v>
      </c>
      <c r="D89" s="25">
        <v>16500</v>
      </c>
      <c r="E89" s="26">
        <v>12600</v>
      </c>
      <c r="F89" s="27">
        <f t="shared" si="12"/>
        <v>0</v>
      </c>
      <c r="G89" s="28">
        <f t="shared" si="12"/>
        <v>21</v>
      </c>
      <c r="H89" s="28">
        <f t="shared" si="8"/>
        <v>27.5</v>
      </c>
      <c r="I89" s="55">
        <f t="shared" si="8"/>
        <v>21</v>
      </c>
      <c r="J89" s="30">
        <v>27.2</v>
      </c>
      <c r="K89" s="31"/>
      <c r="L89" s="32"/>
      <c r="M89" s="32"/>
      <c r="N89" s="34" t="s">
        <v>92</v>
      </c>
    </row>
    <row r="90" spans="1:14" ht="15.75" customHeight="1">
      <c r="A90" s="116" t="s">
        <v>211</v>
      </c>
      <c r="B90" s="122"/>
      <c r="C90" s="35">
        <v>13200</v>
      </c>
      <c r="D90" s="35">
        <v>15000</v>
      </c>
      <c r="E90" s="36">
        <v>13100</v>
      </c>
      <c r="F90" s="112">
        <f t="shared" si="12"/>
        <v>0</v>
      </c>
      <c r="G90" s="37">
        <f t="shared" si="12"/>
        <v>26.4</v>
      </c>
      <c r="H90" s="37">
        <f t="shared" si="8"/>
        <v>25</v>
      </c>
      <c r="I90" s="47">
        <f t="shared" si="8"/>
        <v>21.833333333333332</v>
      </c>
      <c r="J90" s="39">
        <v>21.8</v>
      </c>
      <c r="K90" s="40"/>
      <c r="L90" s="41" t="s">
        <v>212</v>
      </c>
      <c r="M90" s="46" t="s">
        <v>212</v>
      </c>
      <c r="N90" s="65" t="s">
        <v>213</v>
      </c>
    </row>
    <row r="91" spans="1:14" ht="15.75" customHeight="1">
      <c r="A91" s="116" t="s">
        <v>214</v>
      </c>
      <c r="B91" s="122"/>
      <c r="C91" s="35">
        <v>3500</v>
      </c>
      <c r="D91" s="35">
        <v>4500</v>
      </c>
      <c r="E91" s="36">
        <v>5000</v>
      </c>
      <c r="F91" s="112">
        <f t="shared" si="12"/>
        <v>0</v>
      </c>
      <c r="G91" s="43">
        <f t="shared" si="12"/>
        <v>7</v>
      </c>
      <c r="H91" s="37">
        <f t="shared" si="8"/>
        <v>7.5</v>
      </c>
      <c r="I91" s="38">
        <f t="shared" si="8"/>
        <v>8.3333333333333339</v>
      </c>
      <c r="J91" s="39">
        <v>7</v>
      </c>
      <c r="K91" s="40"/>
      <c r="L91" s="41" t="s">
        <v>179</v>
      </c>
      <c r="M91" s="46"/>
      <c r="N91" s="44" t="s">
        <v>92</v>
      </c>
    </row>
    <row r="92" spans="1:14" ht="15.75" customHeight="1">
      <c r="A92" s="116" t="s">
        <v>215</v>
      </c>
      <c r="B92" s="122"/>
      <c r="C92" s="35">
        <v>12500</v>
      </c>
      <c r="D92" s="35">
        <v>24000</v>
      </c>
      <c r="E92" s="36">
        <v>15600</v>
      </c>
      <c r="F92" s="112">
        <f t="shared" si="12"/>
        <v>0</v>
      </c>
      <c r="G92" s="43">
        <f t="shared" si="12"/>
        <v>25</v>
      </c>
      <c r="H92" s="37">
        <f t="shared" si="8"/>
        <v>40</v>
      </c>
      <c r="I92" s="38">
        <f t="shared" si="8"/>
        <v>26</v>
      </c>
      <c r="J92" s="39">
        <v>27.7</v>
      </c>
      <c r="K92" s="40"/>
      <c r="L92" s="41" t="s">
        <v>216</v>
      </c>
      <c r="M92" s="46" t="s">
        <v>217</v>
      </c>
      <c r="N92" s="42" t="s">
        <v>218</v>
      </c>
    </row>
    <row r="93" spans="1:14" ht="15.75" customHeight="1">
      <c r="A93" s="116" t="s">
        <v>219</v>
      </c>
      <c r="B93" s="122"/>
      <c r="C93" s="35">
        <v>10400</v>
      </c>
      <c r="D93" s="35">
        <v>11000</v>
      </c>
      <c r="E93" s="36">
        <v>24600</v>
      </c>
      <c r="F93" s="112">
        <f t="shared" si="12"/>
        <v>0</v>
      </c>
      <c r="G93" s="37">
        <f t="shared" si="12"/>
        <v>20.8</v>
      </c>
      <c r="H93" s="43">
        <f t="shared" si="8"/>
        <v>18.333333333333332</v>
      </c>
      <c r="I93" s="38">
        <f t="shared" si="8"/>
        <v>41</v>
      </c>
      <c r="J93" s="39">
        <v>18.3</v>
      </c>
      <c r="K93" s="40"/>
      <c r="L93" s="41" t="s">
        <v>220</v>
      </c>
      <c r="M93" s="57" t="s">
        <v>221</v>
      </c>
      <c r="N93" s="42" t="s">
        <v>222</v>
      </c>
    </row>
    <row r="94" spans="1:14" ht="15.75" customHeight="1">
      <c r="A94" s="116" t="s">
        <v>223</v>
      </c>
      <c r="B94" s="122"/>
      <c r="C94" s="35">
        <v>125800</v>
      </c>
      <c r="D94" s="35"/>
      <c r="E94" s="36">
        <v>169000</v>
      </c>
      <c r="F94" s="112">
        <f t="shared" si="12"/>
        <v>0</v>
      </c>
      <c r="G94" s="37">
        <f t="shared" si="12"/>
        <v>251.6</v>
      </c>
      <c r="H94" s="37">
        <f t="shared" si="8"/>
        <v>0</v>
      </c>
      <c r="I94" s="38">
        <f t="shared" si="8"/>
        <v>281.66666666666669</v>
      </c>
      <c r="K94" s="40"/>
      <c r="L94" s="110" t="s">
        <v>224</v>
      </c>
      <c r="M94" s="41"/>
      <c r="N94" s="42" t="s">
        <v>225</v>
      </c>
    </row>
    <row r="95" spans="1:14" ht="15.75" customHeight="1">
      <c r="A95" s="116" t="s">
        <v>226</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68</v>
      </c>
      <c r="M95" s="41"/>
      <c r="N95" s="42" t="s">
        <v>92</v>
      </c>
    </row>
    <row r="96" spans="1:14" ht="15.75" customHeight="1">
      <c r="A96" s="116" t="s">
        <v>227</v>
      </c>
      <c r="B96" s="122"/>
      <c r="C96" s="35"/>
      <c r="D96" s="35"/>
      <c r="E96" s="36"/>
      <c r="F96" s="112">
        <f t="shared" si="12"/>
        <v>0</v>
      </c>
      <c r="G96" s="37">
        <f t="shared" si="12"/>
        <v>0</v>
      </c>
      <c r="H96" s="37">
        <f t="shared" si="8"/>
        <v>0</v>
      </c>
      <c r="I96" s="38">
        <f t="shared" si="8"/>
        <v>0</v>
      </c>
      <c r="K96" s="40"/>
      <c r="L96" s="41"/>
      <c r="M96" s="41"/>
      <c r="N96" s="42"/>
    </row>
    <row r="97" spans="1:14" ht="15.75" customHeight="1">
      <c r="A97" s="116" t="s">
        <v>228</v>
      </c>
      <c r="B97" s="122"/>
      <c r="C97" s="35">
        <v>17500</v>
      </c>
      <c r="D97" s="35"/>
      <c r="E97" s="36">
        <v>20100</v>
      </c>
      <c r="F97" s="112">
        <f t="shared" si="12"/>
        <v>0</v>
      </c>
      <c r="G97" s="37">
        <f t="shared" si="12"/>
        <v>35</v>
      </c>
      <c r="H97" s="37">
        <f t="shared" si="8"/>
        <v>0</v>
      </c>
      <c r="I97" s="38">
        <f t="shared" si="8"/>
        <v>33.5</v>
      </c>
      <c r="J97" s="39">
        <v>35</v>
      </c>
      <c r="K97" s="40"/>
      <c r="L97" s="41" t="s">
        <v>46</v>
      </c>
      <c r="M97" s="41"/>
      <c r="N97" s="42" t="s">
        <v>46</v>
      </c>
    </row>
    <row r="98" spans="1:14" ht="15.75" customHeight="1">
      <c r="A98" s="116" t="s">
        <v>229</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230</v>
      </c>
      <c r="B99" s="122">
        <v>7500</v>
      </c>
      <c r="C99" s="35">
        <v>7000</v>
      </c>
      <c r="D99" s="35">
        <v>9000</v>
      </c>
      <c r="E99" s="36"/>
      <c r="F99" s="112">
        <f t="shared" si="12"/>
        <v>15</v>
      </c>
      <c r="G99" s="43">
        <f t="shared" si="12"/>
        <v>14</v>
      </c>
      <c r="H99" s="37">
        <f t="shared" si="8"/>
        <v>15</v>
      </c>
      <c r="I99" s="38">
        <f t="shared" si="8"/>
        <v>0</v>
      </c>
      <c r="J99" s="39">
        <v>15</v>
      </c>
      <c r="K99" s="66"/>
      <c r="L99" s="67" t="s">
        <v>166</v>
      </c>
      <c r="M99" s="46" t="s">
        <v>231</v>
      </c>
      <c r="N99" s="42"/>
    </row>
    <row r="100" spans="1:14" ht="15.75" customHeight="1">
      <c r="A100" s="116" t="s">
        <v>232</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166</v>
      </c>
      <c r="M100" s="46"/>
      <c r="N100" s="42"/>
    </row>
    <row r="101" spans="1:14" ht="15.75" customHeight="1">
      <c r="A101" s="116" t="s">
        <v>233</v>
      </c>
      <c r="B101" s="122"/>
      <c r="C101" s="35">
        <v>5500</v>
      </c>
      <c r="D101" s="35">
        <v>5500</v>
      </c>
      <c r="E101" s="36">
        <v>4600</v>
      </c>
      <c r="F101" s="112">
        <f t="shared" si="12"/>
        <v>0</v>
      </c>
      <c r="G101" s="43">
        <f>C101/1000</f>
        <v>5.5</v>
      </c>
      <c r="H101" s="43">
        <f>D101/1000</f>
        <v>5.5</v>
      </c>
      <c r="I101" s="38">
        <f>E101/1000</f>
        <v>4.5999999999999996</v>
      </c>
      <c r="J101" s="39">
        <v>5.5</v>
      </c>
      <c r="K101" s="40"/>
      <c r="L101" s="41" t="s">
        <v>234</v>
      </c>
      <c r="M101" s="41"/>
      <c r="N101" s="42" t="s">
        <v>379</v>
      </c>
    </row>
    <row r="102" spans="1:14" ht="15.75" customHeight="1">
      <c r="A102" s="116" t="s">
        <v>235</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236</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179</v>
      </c>
      <c r="M103" s="46"/>
      <c r="N103" s="42" t="s">
        <v>92</v>
      </c>
    </row>
    <row r="104" spans="1:14" ht="15" customHeight="1">
      <c r="A104" s="116" t="s">
        <v>237</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238</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68</v>
      </c>
      <c r="M105" s="41"/>
      <c r="N105" s="42" t="s">
        <v>92</v>
      </c>
    </row>
    <row r="106" spans="1:14" ht="15" customHeight="1">
      <c r="A106" s="116" t="s">
        <v>239</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125</v>
      </c>
    </row>
    <row r="107" spans="1:14" ht="15" customHeight="1">
      <c r="A107" s="116" t="s">
        <v>240</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241</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242</v>
      </c>
      <c r="B109" s="122"/>
      <c r="C109" s="35">
        <v>5700</v>
      </c>
      <c r="D109" s="35"/>
      <c r="E109" s="36">
        <v>7000</v>
      </c>
      <c r="F109" s="112">
        <f t="shared" si="12"/>
        <v>0</v>
      </c>
      <c r="G109" s="37">
        <f t="shared" si="12"/>
        <v>11.4</v>
      </c>
      <c r="H109" s="37">
        <f t="shared" si="13"/>
        <v>0</v>
      </c>
      <c r="I109" s="38">
        <f t="shared" si="13"/>
        <v>11.666666666666666</v>
      </c>
      <c r="J109" s="39">
        <v>11.7</v>
      </c>
      <c r="K109" s="40"/>
      <c r="L109" s="41" t="s">
        <v>102</v>
      </c>
      <c r="M109" s="46"/>
      <c r="N109" s="42" t="s">
        <v>52</v>
      </c>
    </row>
    <row r="110" spans="1:14" ht="15" customHeight="1">
      <c r="A110" s="116" t="s">
        <v>243</v>
      </c>
      <c r="B110" s="122"/>
      <c r="C110" s="35">
        <v>20000</v>
      </c>
      <c r="D110" s="35">
        <v>20000</v>
      </c>
      <c r="E110" s="36">
        <v>20000</v>
      </c>
      <c r="F110" s="112">
        <f t="shared" si="12"/>
        <v>0</v>
      </c>
      <c r="G110" s="43">
        <f>C110/1000</f>
        <v>20</v>
      </c>
      <c r="H110" s="43">
        <f>D110/1000</f>
        <v>20</v>
      </c>
      <c r="I110" s="47">
        <f>E110/1000</f>
        <v>20</v>
      </c>
      <c r="J110" s="39">
        <v>20</v>
      </c>
      <c r="K110" s="68"/>
      <c r="L110" s="57" t="s">
        <v>244</v>
      </c>
      <c r="M110" s="57" t="s">
        <v>244</v>
      </c>
      <c r="N110" s="69" t="s">
        <v>244</v>
      </c>
    </row>
    <row r="111" spans="1:14" ht="15" customHeight="1">
      <c r="A111" s="116" t="s">
        <v>245</v>
      </c>
      <c r="B111" s="122"/>
      <c r="C111" s="35">
        <v>15500</v>
      </c>
      <c r="D111" s="35"/>
      <c r="E111" s="36">
        <v>19200</v>
      </c>
      <c r="F111" s="112">
        <f t="shared" si="12"/>
        <v>0</v>
      </c>
      <c r="G111" s="37">
        <f>C111/500</f>
        <v>31</v>
      </c>
      <c r="H111" s="37">
        <f t="shared" ref="H111:I113" si="14">D111/600</f>
        <v>0</v>
      </c>
      <c r="I111" s="38">
        <f t="shared" si="14"/>
        <v>32</v>
      </c>
      <c r="J111" s="39">
        <v>31</v>
      </c>
      <c r="K111" s="68"/>
      <c r="L111" s="67" t="s">
        <v>68</v>
      </c>
      <c r="M111" s="67"/>
      <c r="N111" s="69" t="s">
        <v>92</v>
      </c>
    </row>
    <row r="112" spans="1:14" ht="15" customHeight="1">
      <c r="A112" s="116" t="s">
        <v>246</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247</v>
      </c>
    </row>
    <row r="113" spans="1:14" ht="15" customHeight="1">
      <c r="A113" s="116" t="s">
        <v>248</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161</v>
      </c>
      <c r="N113" s="65" t="s">
        <v>249</v>
      </c>
    </row>
    <row r="114" spans="1:14" ht="15" customHeight="1">
      <c r="A114" s="116" t="s">
        <v>250</v>
      </c>
      <c r="B114" s="122"/>
      <c r="C114" s="35">
        <v>8500</v>
      </c>
      <c r="D114" s="35">
        <v>8000</v>
      </c>
      <c r="E114" s="36">
        <v>8500</v>
      </c>
      <c r="F114" s="112">
        <f t="shared" si="12"/>
        <v>0</v>
      </c>
      <c r="G114" s="37">
        <f>C114/1000</f>
        <v>8.5</v>
      </c>
      <c r="H114" s="43">
        <f>D114/1000</f>
        <v>8</v>
      </c>
      <c r="I114" s="38">
        <f>E114/1000</f>
        <v>8.5</v>
      </c>
      <c r="J114" s="39">
        <v>8</v>
      </c>
      <c r="K114" s="40"/>
      <c r="L114" s="41" t="s">
        <v>251</v>
      </c>
      <c r="M114" s="46" t="s">
        <v>251</v>
      </c>
      <c r="N114" s="42" t="s">
        <v>252</v>
      </c>
    </row>
    <row r="115" spans="1:14" ht="15" customHeight="1" thickBot="1">
      <c r="A115" s="128" t="s">
        <v>253</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254</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255</v>
      </c>
      <c r="M116" s="32"/>
      <c r="N116" s="34" t="s">
        <v>256</v>
      </c>
    </row>
    <row r="117" spans="1:14" ht="15" customHeight="1">
      <c r="A117" s="115" t="s">
        <v>257</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258</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52</v>
      </c>
      <c r="M118" s="46" t="s">
        <v>259</v>
      </c>
      <c r="N118" s="42" t="s">
        <v>92</v>
      </c>
    </row>
    <row r="119" spans="1:14" ht="15" customHeight="1">
      <c r="A119" s="115" t="s">
        <v>260</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261</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262</v>
      </c>
      <c r="M120" s="41"/>
      <c r="N120" s="42" t="s">
        <v>122</v>
      </c>
    </row>
    <row r="121" spans="1:14" ht="15" customHeight="1">
      <c r="A121" s="115" t="s">
        <v>263</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264</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262</v>
      </c>
      <c r="M122" s="46"/>
      <c r="N122" s="42" t="s">
        <v>265</v>
      </c>
    </row>
    <row r="123" spans="1:14" ht="15" customHeight="1">
      <c r="A123" s="115" t="s">
        <v>266</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267</v>
      </c>
      <c r="M123" s="46"/>
      <c r="N123" s="42" t="s">
        <v>208</v>
      </c>
    </row>
    <row r="124" spans="1:14" ht="15" customHeight="1">
      <c r="A124" s="115" t="s">
        <v>268</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269</v>
      </c>
      <c r="B125" s="122"/>
      <c r="C125" s="35">
        <v>8400</v>
      </c>
      <c r="D125" s="35"/>
      <c r="E125" s="36"/>
      <c r="F125" s="112">
        <f t="shared" si="15"/>
        <v>0</v>
      </c>
      <c r="G125" s="37">
        <f t="shared" si="15"/>
        <v>16.8</v>
      </c>
      <c r="H125" s="37">
        <f t="shared" si="16"/>
        <v>0</v>
      </c>
      <c r="I125" s="38">
        <f t="shared" si="16"/>
        <v>0</v>
      </c>
      <c r="J125" s="39">
        <v>16.8</v>
      </c>
      <c r="K125" s="40"/>
      <c r="L125" s="41" t="s">
        <v>52</v>
      </c>
      <c r="M125" s="41"/>
      <c r="N125" s="42"/>
    </row>
    <row r="126" spans="1:14" ht="15" customHeight="1">
      <c r="A126" s="115" t="s">
        <v>270</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92</v>
      </c>
    </row>
    <row r="127" spans="1:14" ht="15" customHeight="1">
      <c r="A127" s="115" t="s">
        <v>271</v>
      </c>
      <c r="B127" s="122"/>
      <c r="C127" s="35">
        <v>14000</v>
      </c>
      <c r="D127" s="35">
        <v>15000</v>
      </c>
      <c r="E127" s="36">
        <v>14000</v>
      </c>
      <c r="F127" s="112">
        <f t="shared" si="15"/>
        <v>0</v>
      </c>
      <c r="G127" s="37">
        <f>C127/1000</f>
        <v>14</v>
      </c>
      <c r="H127" s="37">
        <f>D127/1000</f>
        <v>15</v>
      </c>
      <c r="I127" s="38">
        <f>E127/1000</f>
        <v>14</v>
      </c>
      <c r="J127" s="39">
        <v>14</v>
      </c>
      <c r="K127" s="40"/>
      <c r="L127" s="41" t="s">
        <v>234</v>
      </c>
      <c r="M127" s="46" t="s">
        <v>234</v>
      </c>
      <c r="N127" s="42" t="s">
        <v>272</v>
      </c>
    </row>
    <row r="128" spans="1:14" ht="15" customHeight="1">
      <c r="A128" s="115" t="s">
        <v>273</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274</v>
      </c>
      <c r="N128" s="42"/>
    </row>
    <row r="129" spans="1:14" ht="15" customHeight="1">
      <c r="A129" s="115" t="s">
        <v>275</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276</v>
      </c>
      <c r="B130" s="122"/>
      <c r="C130" s="35">
        <v>5700</v>
      </c>
      <c r="D130" s="35">
        <v>9500</v>
      </c>
      <c r="E130" s="36">
        <v>6900</v>
      </c>
      <c r="F130" s="112">
        <f t="shared" si="15"/>
        <v>0</v>
      </c>
      <c r="G130" s="37">
        <f>C130/500</f>
        <v>11.4</v>
      </c>
      <c r="H130" s="37">
        <f t="shared" si="17"/>
        <v>15.833333333333334</v>
      </c>
      <c r="I130" s="38">
        <f t="shared" si="16"/>
        <v>11.5</v>
      </c>
      <c r="J130" s="39">
        <v>17.7</v>
      </c>
      <c r="K130" s="40"/>
      <c r="L130" s="41" t="s">
        <v>179</v>
      </c>
      <c r="M130" s="46" t="s">
        <v>277</v>
      </c>
      <c r="N130" s="42" t="s">
        <v>92</v>
      </c>
    </row>
    <row r="131" spans="1:14" ht="15" customHeight="1">
      <c r="A131" s="115" t="s">
        <v>278</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279</v>
      </c>
      <c r="M131" s="57"/>
      <c r="N131" s="42" t="s">
        <v>280</v>
      </c>
    </row>
    <row r="132" spans="1:14" ht="15" customHeight="1">
      <c r="A132" s="115" t="s">
        <v>281</v>
      </c>
      <c r="B132" s="122"/>
      <c r="C132" s="35">
        <v>46800</v>
      </c>
      <c r="D132" s="35"/>
      <c r="E132" s="36">
        <v>55900</v>
      </c>
      <c r="F132" s="112">
        <f t="shared" si="15"/>
        <v>0</v>
      </c>
      <c r="G132" s="37">
        <f>C132/500</f>
        <v>93.6</v>
      </c>
      <c r="H132" s="37">
        <f t="shared" si="17"/>
        <v>0</v>
      </c>
      <c r="I132" s="38">
        <f t="shared" si="17"/>
        <v>93.166666666666671</v>
      </c>
      <c r="J132" s="39">
        <v>68</v>
      </c>
      <c r="K132" s="40"/>
      <c r="L132" s="41" t="s">
        <v>52</v>
      </c>
      <c r="M132" s="41"/>
      <c r="N132" s="42" t="s">
        <v>92</v>
      </c>
    </row>
    <row r="133" spans="1:14" ht="15" customHeight="1">
      <c r="A133" s="115" t="s">
        <v>282</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283</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125</v>
      </c>
    </row>
    <row r="135" spans="1:14" ht="15" customHeight="1">
      <c r="A135" s="115" t="s">
        <v>284</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285</v>
      </c>
    </row>
    <row r="136" spans="1:14" ht="15" customHeight="1">
      <c r="A136" s="115" t="s">
        <v>286</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287</v>
      </c>
      <c r="B137" s="122"/>
      <c r="C137" s="35">
        <v>13200</v>
      </c>
      <c r="D137" s="35">
        <v>14000</v>
      </c>
      <c r="E137" s="36">
        <v>13000</v>
      </c>
      <c r="F137" s="112">
        <f t="shared" si="15"/>
        <v>0</v>
      </c>
      <c r="G137" s="37">
        <f>C137/600</f>
        <v>22</v>
      </c>
      <c r="H137" s="37">
        <f t="shared" si="17"/>
        <v>23.333333333333332</v>
      </c>
      <c r="I137" s="38">
        <f>E137/500</f>
        <v>26</v>
      </c>
      <c r="J137" s="39">
        <v>22</v>
      </c>
      <c r="K137" s="68"/>
      <c r="L137" s="67" t="s">
        <v>114</v>
      </c>
      <c r="M137" s="67"/>
      <c r="N137" s="69" t="s">
        <v>406</v>
      </c>
    </row>
    <row r="138" spans="1:14" ht="15" customHeight="1">
      <c r="A138" s="115" t="s">
        <v>288</v>
      </c>
      <c r="B138" s="122"/>
      <c r="C138" s="35">
        <v>11900</v>
      </c>
      <c r="D138" s="35"/>
      <c r="E138" s="36"/>
      <c r="F138" s="112">
        <f t="shared" si="15"/>
        <v>0</v>
      </c>
      <c r="G138" s="37">
        <f>C138/500</f>
        <v>23.8</v>
      </c>
      <c r="H138" s="37">
        <f t="shared" si="17"/>
        <v>0</v>
      </c>
      <c r="I138" s="38">
        <f t="shared" si="17"/>
        <v>0</v>
      </c>
      <c r="J138" s="39">
        <v>23.8</v>
      </c>
      <c r="K138" s="68"/>
      <c r="L138" s="67" t="s">
        <v>179</v>
      </c>
      <c r="M138" s="67"/>
      <c r="N138" s="69"/>
    </row>
    <row r="139" spans="1:14" ht="15" customHeight="1">
      <c r="A139" s="115" t="s">
        <v>289</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290</v>
      </c>
      <c r="M139" s="70" t="s">
        <v>231</v>
      </c>
      <c r="N139" s="69" t="s">
        <v>166</v>
      </c>
    </row>
    <row r="140" spans="1:14" ht="15" customHeight="1">
      <c r="A140" s="115" t="s">
        <v>291</v>
      </c>
      <c r="B140" s="122"/>
      <c r="C140" s="35">
        <v>5800</v>
      </c>
      <c r="D140" s="35">
        <v>7500</v>
      </c>
      <c r="E140" s="36"/>
      <c r="F140" s="112">
        <f t="shared" si="15"/>
        <v>0</v>
      </c>
      <c r="G140" s="37">
        <f>C140/500</f>
        <v>11.6</v>
      </c>
      <c r="H140" s="37">
        <f t="shared" si="17"/>
        <v>12.5</v>
      </c>
      <c r="I140" s="38">
        <f t="shared" si="17"/>
        <v>0</v>
      </c>
      <c r="K140" s="68"/>
      <c r="L140" s="67"/>
      <c r="M140" s="67" t="s">
        <v>166</v>
      </c>
      <c r="N140" s="69"/>
    </row>
    <row r="141" spans="1:14" ht="15" customHeight="1">
      <c r="A141" s="115" t="s">
        <v>292</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293</v>
      </c>
      <c r="M141" s="67"/>
      <c r="N141" s="69" t="s">
        <v>122</v>
      </c>
    </row>
    <row r="142" spans="1:14" ht="15" customHeight="1">
      <c r="A142" s="115" t="s">
        <v>294</v>
      </c>
      <c r="B142" s="122"/>
      <c r="C142" s="35">
        <v>60000</v>
      </c>
      <c r="D142" s="35">
        <v>30000</v>
      </c>
      <c r="E142" s="36">
        <v>67500</v>
      </c>
      <c r="F142" s="112">
        <f t="shared" si="15"/>
        <v>0</v>
      </c>
      <c r="G142" s="43">
        <f>C142/600</f>
        <v>100</v>
      </c>
      <c r="H142" s="37">
        <f>D142/300</f>
        <v>100</v>
      </c>
      <c r="I142" s="38">
        <f t="shared" si="17"/>
        <v>112.5</v>
      </c>
      <c r="J142" s="39">
        <v>108.3</v>
      </c>
      <c r="K142" s="68"/>
      <c r="L142" s="56" t="s">
        <v>295</v>
      </c>
      <c r="M142" s="70" t="s">
        <v>296</v>
      </c>
      <c r="N142" s="69" t="s">
        <v>297</v>
      </c>
    </row>
    <row r="143" spans="1:14" ht="15" customHeight="1" thickBot="1">
      <c r="A143" s="126" t="s">
        <v>298</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46</v>
      </c>
    </row>
    <row r="144" spans="1:14" ht="15" customHeight="1">
      <c r="A144" s="127" t="s">
        <v>299</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46</v>
      </c>
      <c r="M144" s="33" t="s">
        <v>166</v>
      </c>
      <c r="N144" s="34" t="s">
        <v>208</v>
      </c>
    </row>
    <row r="145" spans="1:14" ht="15" customHeight="1">
      <c r="A145" s="116" t="s">
        <v>300</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114</v>
      </c>
      <c r="M145" s="41"/>
      <c r="N145" s="42" t="s">
        <v>148</v>
      </c>
    </row>
    <row r="146" spans="1:14" ht="15" customHeight="1">
      <c r="A146" s="116" t="s">
        <v>301</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302</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303</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304</v>
      </c>
      <c r="B149" s="122"/>
      <c r="C149" s="35">
        <v>20000</v>
      </c>
      <c r="D149" s="35">
        <v>20000</v>
      </c>
      <c r="E149" s="36"/>
      <c r="F149" s="112">
        <f t="shared" ref="F149:G180" si="22">B149/500</f>
        <v>0</v>
      </c>
      <c r="G149" s="37">
        <f>C149/1000</f>
        <v>20</v>
      </c>
      <c r="H149" s="37">
        <f>D149/1000</f>
        <v>20</v>
      </c>
      <c r="I149" s="38">
        <f t="shared" si="19"/>
        <v>0</v>
      </c>
      <c r="J149" s="39">
        <v>20</v>
      </c>
      <c r="K149" s="40"/>
      <c r="L149" s="41" t="s">
        <v>305</v>
      </c>
      <c r="M149" s="46" t="s">
        <v>305</v>
      </c>
      <c r="N149" s="42"/>
    </row>
    <row r="150" spans="1:14" ht="15" customHeight="1">
      <c r="A150" s="116" t="s">
        <v>306</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68</v>
      </c>
      <c r="M150" s="41"/>
      <c r="N150" s="42" t="s">
        <v>307</v>
      </c>
    </row>
    <row r="151" spans="1:14" ht="15" customHeight="1">
      <c r="A151" s="117" t="s">
        <v>308</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309</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310</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311</v>
      </c>
      <c r="B154" s="122"/>
      <c r="C154" s="35">
        <v>8000</v>
      </c>
      <c r="D154" s="35"/>
      <c r="E154" s="36">
        <v>10200</v>
      </c>
      <c r="F154" s="112">
        <f t="shared" si="22"/>
        <v>0</v>
      </c>
      <c r="G154" s="43">
        <f>C154/500</f>
        <v>16</v>
      </c>
      <c r="H154" s="37">
        <f t="shared" si="23"/>
        <v>0</v>
      </c>
      <c r="I154" s="38">
        <f t="shared" si="19"/>
        <v>17</v>
      </c>
      <c r="J154" s="39">
        <v>15.4</v>
      </c>
      <c r="K154" s="40"/>
      <c r="L154" s="41" t="s">
        <v>59</v>
      </c>
      <c r="M154" s="41"/>
      <c r="N154" s="42"/>
    </row>
    <row r="155" spans="1:14" ht="15" customHeight="1">
      <c r="A155" s="116" t="s">
        <v>312</v>
      </c>
      <c r="B155" s="122"/>
      <c r="C155" s="35">
        <v>3500</v>
      </c>
      <c r="D155" s="35">
        <v>4500</v>
      </c>
      <c r="E155" s="36"/>
      <c r="F155" s="112">
        <f t="shared" si="22"/>
        <v>0</v>
      </c>
      <c r="G155" s="37">
        <f>C155/600</f>
        <v>5.833333333333333</v>
      </c>
      <c r="H155" s="37">
        <f t="shared" si="23"/>
        <v>7.5</v>
      </c>
      <c r="I155" s="38">
        <f t="shared" si="19"/>
        <v>0</v>
      </c>
      <c r="K155" s="40"/>
      <c r="L155" s="41" t="s">
        <v>51</v>
      </c>
      <c r="M155" s="41"/>
      <c r="N155" s="42"/>
    </row>
    <row r="156" spans="1:14" ht="15" customHeight="1">
      <c r="A156" s="117" t="s">
        <v>313</v>
      </c>
      <c r="B156" s="122"/>
      <c r="C156" s="35">
        <v>4500</v>
      </c>
      <c r="D156" s="35"/>
      <c r="E156" s="36"/>
      <c r="F156" s="112">
        <f t="shared" si="22"/>
        <v>0</v>
      </c>
      <c r="G156" s="37">
        <f>C156/600</f>
        <v>7.5</v>
      </c>
      <c r="H156" s="37">
        <f t="shared" si="23"/>
        <v>0</v>
      </c>
      <c r="I156" s="38">
        <f t="shared" si="19"/>
        <v>0</v>
      </c>
      <c r="J156" s="39">
        <v>7.5</v>
      </c>
      <c r="K156" s="40"/>
      <c r="L156" s="41" t="s">
        <v>314</v>
      </c>
      <c r="M156" s="41"/>
      <c r="N156" s="42"/>
    </row>
    <row r="157" spans="1:14" ht="15" customHeight="1">
      <c r="A157" s="117" t="s">
        <v>315</v>
      </c>
      <c r="B157" s="122"/>
      <c r="C157" s="35">
        <v>4800</v>
      </c>
      <c r="D157" s="35">
        <v>7000</v>
      </c>
      <c r="E157" s="36">
        <v>6000</v>
      </c>
      <c r="F157" s="112">
        <f t="shared" si="22"/>
        <v>0</v>
      </c>
      <c r="G157" s="37">
        <f t="shared" si="22"/>
        <v>9.6</v>
      </c>
      <c r="H157" s="37">
        <f t="shared" si="23"/>
        <v>11.666666666666666</v>
      </c>
      <c r="I157" s="38">
        <f t="shared" si="19"/>
        <v>10</v>
      </c>
      <c r="J157" s="39">
        <v>10</v>
      </c>
      <c r="K157" s="40"/>
      <c r="L157" s="41" t="s">
        <v>80</v>
      </c>
      <c r="M157" s="46" t="s">
        <v>161</v>
      </c>
      <c r="N157" s="42" t="s">
        <v>92</v>
      </c>
    </row>
    <row r="158" spans="1:14" ht="15" customHeight="1">
      <c r="A158" s="117" t="s">
        <v>316</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274</v>
      </c>
      <c r="N158" s="42" t="s">
        <v>92</v>
      </c>
    </row>
    <row r="159" spans="1:14" ht="15" customHeight="1">
      <c r="A159" s="117" t="s">
        <v>317</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318</v>
      </c>
      <c r="M159" s="46"/>
      <c r="N159" s="42" t="s">
        <v>208</v>
      </c>
    </row>
    <row r="160" spans="1:14" ht="15" customHeight="1">
      <c r="A160" s="117" t="s">
        <v>319</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320</v>
      </c>
      <c r="B161" s="122"/>
      <c r="C161" s="35">
        <v>10000</v>
      </c>
      <c r="D161" s="35"/>
      <c r="E161" s="36">
        <v>10000</v>
      </c>
      <c r="F161" s="112">
        <f t="shared" si="22"/>
        <v>0</v>
      </c>
      <c r="G161" s="37">
        <f t="shared" si="22"/>
        <v>20</v>
      </c>
      <c r="H161" s="37">
        <f t="shared" si="23"/>
        <v>0</v>
      </c>
      <c r="I161" s="47">
        <f t="shared" si="19"/>
        <v>16.666666666666668</v>
      </c>
      <c r="J161" s="39">
        <v>16.7</v>
      </c>
      <c r="K161" s="40"/>
      <c r="L161" s="41" t="s">
        <v>267</v>
      </c>
      <c r="M161" s="41"/>
      <c r="N161" s="42" t="s">
        <v>321</v>
      </c>
    </row>
    <row r="162" spans="1:14" ht="15" customHeight="1">
      <c r="A162" s="117" t="s">
        <v>322</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323</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324</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325</v>
      </c>
      <c r="M164" s="57" t="s">
        <v>326</v>
      </c>
      <c r="N164" s="65" t="s">
        <v>327</v>
      </c>
    </row>
    <row r="165" spans="1:14" ht="15" customHeight="1">
      <c r="A165" s="117" t="s">
        <v>328</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329</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330</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331</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332</v>
      </c>
      <c r="B169" s="122"/>
      <c r="C169" s="35">
        <v>11000</v>
      </c>
      <c r="D169" s="35"/>
      <c r="E169" s="36">
        <v>15000</v>
      </c>
      <c r="F169" s="112">
        <f t="shared" si="22"/>
        <v>0</v>
      </c>
      <c r="G169" s="71">
        <f t="shared" si="22"/>
        <v>22</v>
      </c>
      <c r="H169" s="37">
        <f t="shared" si="23"/>
        <v>0</v>
      </c>
      <c r="I169" s="143">
        <f t="shared" si="19"/>
        <v>25</v>
      </c>
      <c r="J169" s="39">
        <v>25</v>
      </c>
      <c r="K169" s="40"/>
      <c r="L169" s="56" t="s">
        <v>52</v>
      </c>
      <c r="M169" s="41"/>
      <c r="N169" s="42" t="s">
        <v>92</v>
      </c>
    </row>
    <row r="170" spans="1:14" ht="15" customHeight="1">
      <c r="A170" s="118" t="s">
        <v>333</v>
      </c>
      <c r="B170" s="122">
        <v>31900</v>
      </c>
      <c r="C170" s="35"/>
      <c r="D170" s="35">
        <v>17000</v>
      </c>
      <c r="E170" s="36">
        <v>25800</v>
      </c>
      <c r="F170" s="112">
        <f t="shared" si="22"/>
        <v>63.8</v>
      </c>
      <c r="G170" s="37">
        <f t="shared" si="22"/>
        <v>0</v>
      </c>
      <c r="H170" s="37">
        <f t="shared" si="23"/>
        <v>28.333333333333332</v>
      </c>
      <c r="I170" s="38">
        <f t="shared" si="19"/>
        <v>43</v>
      </c>
      <c r="J170" s="39">
        <v>43</v>
      </c>
      <c r="K170" s="40" t="s">
        <v>334</v>
      </c>
      <c r="L170" s="41"/>
      <c r="M170" s="46" t="s">
        <v>335</v>
      </c>
      <c r="N170" s="65" t="s">
        <v>336</v>
      </c>
    </row>
    <row r="171" spans="1:14" ht="15" customHeight="1">
      <c r="A171" s="118" t="s">
        <v>337</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338</v>
      </c>
      <c r="M171" s="41" t="s">
        <v>166</v>
      </c>
      <c r="N171" s="42" t="s">
        <v>92</v>
      </c>
    </row>
    <row r="172" spans="1:14" ht="15" customHeight="1">
      <c r="A172" s="115" t="s">
        <v>339</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46</v>
      </c>
    </row>
    <row r="173" spans="1:14" ht="15" customHeight="1">
      <c r="A173" s="118" t="s">
        <v>340</v>
      </c>
      <c r="B173" s="122"/>
      <c r="C173" s="35">
        <v>5800</v>
      </c>
      <c r="D173" s="35"/>
      <c r="E173" s="36"/>
      <c r="F173" s="112">
        <f t="shared" si="22"/>
        <v>0</v>
      </c>
      <c r="G173" s="37">
        <f t="shared" si="22"/>
        <v>11.6</v>
      </c>
      <c r="H173" s="37">
        <f t="shared" si="23"/>
        <v>0</v>
      </c>
      <c r="I173" s="38">
        <f t="shared" si="19"/>
        <v>0</v>
      </c>
      <c r="J173" s="39">
        <v>11.6</v>
      </c>
      <c r="K173" s="40"/>
      <c r="L173" s="41" t="s">
        <v>341</v>
      </c>
      <c r="M173" s="41"/>
      <c r="N173" s="42"/>
    </row>
    <row r="174" spans="1:14" ht="15" customHeight="1">
      <c r="A174" s="118" t="s">
        <v>342</v>
      </c>
      <c r="B174" s="122"/>
      <c r="C174" s="35">
        <v>21900</v>
      </c>
      <c r="D174" s="35">
        <v>24000</v>
      </c>
      <c r="E174" s="36">
        <v>24300</v>
      </c>
      <c r="F174" s="112">
        <f t="shared" si="22"/>
        <v>0</v>
      </c>
      <c r="G174" s="37">
        <f t="shared" si="22"/>
        <v>43.8</v>
      </c>
      <c r="H174" s="37">
        <f t="shared" si="23"/>
        <v>40</v>
      </c>
      <c r="I174" s="38">
        <f t="shared" si="19"/>
        <v>40.5</v>
      </c>
      <c r="J174" s="39">
        <v>40</v>
      </c>
      <c r="K174" s="40"/>
      <c r="L174" s="41" t="s">
        <v>68</v>
      </c>
      <c r="M174" s="46"/>
      <c r="N174" s="42" t="s">
        <v>92</v>
      </c>
    </row>
    <row r="175" spans="1:14" ht="15" customHeight="1">
      <c r="A175" s="118" t="s">
        <v>343</v>
      </c>
      <c r="B175" s="122"/>
      <c r="C175" s="35">
        <v>13800</v>
      </c>
      <c r="D175" s="35"/>
      <c r="E175" s="36">
        <v>17600</v>
      </c>
      <c r="F175" s="112">
        <f t="shared" si="22"/>
        <v>0</v>
      </c>
      <c r="G175" s="37">
        <f t="shared" si="22"/>
        <v>27.6</v>
      </c>
      <c r="H175" s="37">
        <f t="shared" si="23"/>
        <v>0</v>
      </c>
      <c r="I175" s="38">
        <f t="shared" si="19"/>
        <v>29.333333333333332</v>
      </c>
      <c r="J175" s="39">
        <v>28.5</v>
      </c>
      <c r="K175" s="40"/>
      <c r="L175" s="41" t="s">
        <v>267</v>
      </c>
      <c r="M175" s="41"/>
      <c r="N175" s="42" t="s">
        <v>344</v>
      </c>
    </row>
    <row r="176" spans="1:14" ht="15" customHeight="1">
      <c r="A176" s="118" t="s">
        <v>345</v>
      </c>
      <c r="B176" s="122"/>
      <c r="C176" s="35">
        <v>11000</v>
      </c>
      <c r="D176" s="35"/>
      <c r="E176" s="36">
        <v>11000</v>
      </c>
      <c r="F176" s="112">
        <f t="shared" si="22"/>
        <v>0</v>
      </c>
      <c r="G176" s="37">
        <f t="shared" si="22"/>
        <v>22</v>
      </c>
      <c r="H176" s="37">
        <f t="shared" si="23"/>
        <v>0</v>
      </c>
      <c r="I176" s="38">
        <f>E176/500</f>
        <v>22</v>
      </c>
      <c r="J176" s="39">
        <v>22</v>
      </c>
      <c r="K176" s="40"/>
      <c r="L176" s="41" t="s">
        <v>346</v>
      </c>
      <c r="M176" s="41"/>
      <c r="N176" s="42" t="s">
        <v>347</v>
      </c>
    </row>
    <row r="177" spans="1:14" ht="15" customHeight="1">
      <c r="A177" s="118" t="s">
        <v>348</v>
      </c>
      <c r="B177" s="122"/>
      <c r="C177" s="35">
        <v>11300</v>
      </c>
      <c r="D177" s="35"/>
      <c r="E177" s="36">
        <v>14200</v>
      </c>
      <c r="F177" s="112">
        <f t="shared" si="22"/>
        <v>0</v>
      </c>
      <c r="G177" s="37">
        <f t="shared" si="22"/>
        <v>22.6</v>
      </c>
      <c r="H177" s="37">
        <f t="shared" si="23"/>
        <v>0</v>
      </c>
      <c r="I177" s="38">
        <f t="shared" si="23"/>
        <v>23.666666666666668</v>
      </c>
      <c r="J177" s="39">
        <v>22.6</v>
      </c>
      <c r="K177" s="40"/>
      <c r="L177" s="41" t="s">
        <v>46</v>
      </c>
      <c r="M177" s="41"/>
      <c r="N177" s="42" t="s">
        <v>46</v>
      </c>
    </row>
    <row r="178" spans="1:14" ht="15" customHeight="1">
      <c r="A178" s="118" t="s">
        <v>349</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350</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351</v>
      </c>
      <c r="N179" s="42" t="s">
        <v>92</v>
      </c>
    </row>
    <row r="180" spans="1:14" ht="15" customHeight="1">
      <c r="A180" s="118" t="s">
        <v>352</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353</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354</v>
      </c>
      <c r="B182" s="122"/>
      <c r="C182" s="35">
        <v>5800</v>
      </c>
      <c r="D182" s="35">
        <v>7000</v>
      </c>
      <c r="E182" s="36"/>
      <c r="F182" s="112">
        <f t="shared" si="24"/>
        <v>0</v>
      </c>
      <c r="G182" s="37">
        <f t="shared" si="24"/>
        <v>11.6</v>
      </c>
      <c r="H182" s="37">
        <f t="shared" si="23"/>
        <v>11.666666666666666</v>
      </c>
      <c r="I182" s="38">
        <f t="shared" si="23"/>
        <v>0</v>
      </c>
      <c r="J182" s="39">
        <v>11.7</v>
      </c>
      <c r="K182" s="40"/>
      <c r="L182" s="41" t="s">
        <v>293</v>
      </c>
      <c r="M182" s="41"/>
      <c r="N182" s="42"/>
    </row>
    <row r="183" spans="1:14" ht="15" customHeight="1">
      <c r="A183" s="118" t="s">
        <v>355</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356</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46</v>
      </c>
      <c r="M184" s="53"/>
      <c r="N184" s="61" t="s">
        <v>208</v>
      </c>
    </row>
    <row r="185" spans="1:14" ht="15" customHeight="1">
      <c r="A185" s="131" t="s">
        <v>357</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46</v>
      </c>
      <c r="M185" s="33" t="s">
        <v>65</v>
      </c>
      <c r="N185" s="34" t="s">
        <v>48</v>
      </c>
    </row>
    <row r="186" spans="1:14" ht="15" customHeight="1">
      <c r="A186" s="141" t="s">
        <v>358</v>
      </c>
      <c r="B186" s="122"/>
      <c r="C186" s="35">
        <v>5500</v>
      </c>
      <c r="D186" s="35"/>
      <c r="E186" s="36"/>
      <c r="F186" s="112"/>
      <c r="G186" s="37">
        <f t="shared" si="24"/>
        <v>11</v>
      </c>
      <c r="H186" s="37"/>
      <c r="I186" s="38"/>
      <c r="J186" s="39">
        <v>11</v>
      </c>
      <c r="K186" s="136"/>
      <c r="L186" s="41" t="s">
        <v>359</v>
      </c>
      <c r="M186" s="132"/>
      <c r="N186" s="142"/>
    </row>
    <row r="187" spans="1:14" ht="15" customHeight="1" thickBot="1">
      <c r="A187" s="119" t="s">
        <v>360</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v>17.2</v>
      </c>
      <c r="K187" s="60"/>
      <c r="L187" s="52" t="s">
        <v>114</v>
      </c>
      <c r="M187" s="53" t="s">
        <v>361</v>
      </c>
      <c r="N187" s="61" t="s">
        <v>362</v>
      </c>
    </row>
    <row r="188" spans="1:14" ht="15" customHeight="1">
      <c r="A188" s="129" t="s">
        <v>363</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364</v>
      </c>
      <c r="M188" s="33" t="s">
        <v>365</v>
      </c>
      <c r="N188" s="34" t="s">
        <v>366</v>
      </c>
    </row>
    <row r="189" spans="1:14" ht="15" customHeight="1">
      <c r="A189" s="118" t="s">
        <v>367</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368</v>
      </c>
      <c r="M189" s="41"/>
      <c r="N189" s="42" t="s">
        <v>92</v>
      </c>
    </row>
    <row r="190" spans="1:14" ht="15" customHeight="1">
      <c r="A190" s="118" t="s">
        <v>369</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370</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371</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76</v>
      </c>
      <c r="M192" s="52"/>
      <c r="N192" s="61" t="s">
        <v>52</v>
      </c>
    </row>
    <row r="193" spans="1:14" ht="15" customHeight="1">
      <c r="A193" s="131" t="s">
        <v>372</v>
      </c>
      <c r="B193" s="125"/>
      <c r="C193" s="25">
        <v>4000</v>
      </c>
      <c r="D193" s="25">
        <v>5500</v>
      </c>
      <c r="E193" s="26">
        <v>5100</v>
      </c>
      <c r="F193" s="27">
        <f t="shared" si="25"/>
        <v>0</v>
      </c>
      <c r="G193" s="28">
        <f t="shared" si="25"/>
        <v>8</v>
      </c>
      <c r="H193" s="28">
        <f t="shared" si="26"/>
        <v>9.1666666666666661</v>
      </c>
      <c r="I193" s="55">
        <f t="shared" si="26"/>
        <v>8.5</v>
      </c>
      <c r="J193" s="30">
        <v>8</v>
      </c>
      <c r="K193" s="31"/>
      <c r="L193" s="32" t="s">
        <v>52</v>
      </c>
      <c r="M193" s="32"/>
      <c r="N193" s="34"/>
    </row>
    <row r="194" spans="1:14" ht="15" customHeight="1">
      <c r="A194" s="117" t="s">
        <v>373</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374</v>
      </c>
      <c r="N194" s="42" t="s">
        <v>375</v>
      </c>
    </row>
    <row r="195" spans="1:14" ht="15" customHeight="1">
      <c r="A195" s="117" t="s">
        <v>376</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46</v>
      </c>
      <c r="M195" s="46" t="s">
        <v>377</v>
      </c>
      <c r="N195" s="42" t="s">
        <v>46</v>
      </c>
    </row>
    <row r="196" spans="1:14" ht="15" customHeight="1">
      <c r="A196" s="117" t="s">
        <v>378</v>
      </c>
      <c r="B196" s="122"/>
      <c r="C196" s="35"/>
      <c r="D196" s="35"/>
      <c r="E196" s="36">
        <v>39000</v>
      </c>
      <c r="F196" s="112">
        <f t="shared" si="25"/>
        <v>0</v>
      </c>
      <c r="G196" s="37">
        <f t="shared" si="25"/>
        <v>0</v>
      </c>
      <c r="H196" s="37">
        <f>D196/600</f>
        <v>0</v>
      </c>
      <c r="I196" s="38">
        <f>E196/1000</f>
        <v>39</v>
      </c>
      <c r="J196" s="39">
        <v>39</v>
      </c>
      <c r="K196" s="40"/>
      <c r="L196" s="41"/>
      <c r="M196" s="41"/>
      <c r="N196" s="42" t="s">
        <v>379</v>
      </c>
    </row>
    <row r="197" spans="1:14" ht="15" customHeight="1">
      <c r="A197" s="117" t="s">
        <v>380</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381</v>
      </c>
      <c r="M197" s="41" t="s">
        <v>274</v>
      </c>
      <c r="N197" s="42" t="s">
        <v>78</v>
      </c>
    </row>
    <row r="198" spans="1:14" ht="15" customHeight="1">
      <c r="A198" s="117" t="s">
        <v>382</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383</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318</v>
      </c>
      <c r="M199" s="41"/>
      <c r="N199" s="42" t="s">
        <v>122</v>
      </c>
    </row>
    <row r="200" spans="1:14" ht="15" customHeight="1">
      <c r="A200" s="117" t="s">
        <v>384</v>
      </c>
      <c r="B200" s="122"/>
      <c r="C200" s="35">
        <v>19500</v>
      </c>
      <c r="D200" s="35">
        <v>30000</v>
      </c>
      <c r="E200" s="36">
        <v>26000</v>
      </c>
      <c r="F200" s="112">
        <f t="shared" si="25"/>
        <v>0</v>
      </c>
      <c r="G200" s="37">
        <f t="shared" si="25"/>
        <v>39</v>
      </c>
      <c r="H200" s="37">
        <f>D200/600</f>
        <v>50</v>
      </c>
      <c r="I200" s="38">
        <f t="shared" si="27"/>
        <v>43.333333333333336</v>
      </c>
      <c r="J200" s="39">
        <v>44.2</v>
      </c>
      <c r="K200" s="40"/>
      <c r="L200" s="41" t="s">
        <v>385</v>
      </c>
      <c r="M200" s="46" t="s">
        <v>386</v>
      </c>
      <c r="N200" s="42" t="s">
        <v>68</v>
      </c>
    </row>
    <row r="201" spans="1:14" ht="15" customHeight="1">
      <c r="A201" s="117" t="s">
        <v>387</v>
      </c>
      <c r="B201" s="122"/>
      <c r="C201" s="35"/>
      <c r="D201" s="35">
        <v>8500</v>
      </c>
      <c r="E201" s="36"/>
      <c r="F201" s="112">
        <f t="shared" si="25"/>
        <v>0</v>
      </c>
      <c r="G201" s="37">
        <f t="shared" si="25"/>
        <v>0</v>
      </c>
      <c r="H201" s="37">
        <f>D201/1000</f>
        <v>8.5</v>
      </c>
      <c r="I201" s="38">
        <f t="shared" si="27"/>
        <v>0</v>
      </c>
      <c r="K201" s="40"/>
      <c r="L201" s="41"/>
      <c r="M201" s="46" t="s">
        <v>388</v>
      </c>
      <c r="N201" s="42"/>
    </row>
    <row r="202" spans="1:14" ht="15" customHeight="1">
      <c r="A202" s="117" t="s">
        <v>389</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390</v>
      </c>
    </row>
    <row r="203" spans="1:14" ht="15" customHeight="1">
      <c r="A203" s="117" t="s">
        <v>391</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392</v>
      </c>
      <c r="M203" s="46" t="s">
        <v>393</v>
      </c>
      <c r="N203" s="42" t="s">
        <v>394</v>
      </c>
    </row>
    <row r="204" spans="1:14" ht="15" customHeight="1">
      <c r="A204" s="117" t="s">
        <v>395</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396</v>
      </c>
      <c r="M204" s="57" t="s">
        <v>397</v>
      </c>
      <c r="N204" s="42" t="s">
        <v>262</v>
      </c>
    </row>
    <row r="205" spans="1:14" ht="15" customHeight="1">
      <c r="A205" s="117" t="s">
        <v>398</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399</v>
      </c>
      <c r="N205" s="42" t="s">
        <v>400</v>
      </c>
    </row>
    <row r="206" spans="1:14" ht="15" customHeight="1">
      <c r="A206" s="117" t="s">
        <v>401</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402</v>
      </c>
      <c r="B207" s="123"/>
      <c r="C207" s="48">
        <v>4500</v>
      </c>
      <c r="D207" s="48">
        <v>4500</v>
      </c>
      <c r="E207" s="49">
        <v>5400</v>
      </c>
      <c r="F207" s="72">
        <f t="shared" si="25"/>
        <v>0</v>
      </c>
      <c r="G207" s="50">
        <f t="shared" si="25"/>
        <v>9</v>
      </c>
      <c r="H207" s="50">
        <f t="shared" si="28"/>
        <v>7.5</v>
      </c>
      <c r="I207" s="73">
        <f t="shared" si="27"/>
        <v>9</v>
      </c>
      <c r="J207" s="51">
        <v>9</v>
      </c>
      <c r="K207" s="60"/>
      <c r="L207" s="52" t="s">
        <v>403</v>
      </c>
      <c r="M207" s="53" t="s">
        <v>404</v>
      </c>
      <c r="N207" s="61" t="s">
        <v>405</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2025-09-02T03:33:49Z</cp:lastPrinted>
  <dcterms:created xsi:type="dcterms:W3CDTF">2024-09-12T16:35:01Z</dcterms:created>
  <dcterms:modified xsi:type="dcterms:W3CDTF">2025-09-02T03:35:08Z</dcterms:modified>
  <cp:category/>
  <cp:contentStatus/>
</cp:coreProperties>
</file>