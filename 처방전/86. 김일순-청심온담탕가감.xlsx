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 documentId="13_ncr:1_{91347110-9C2B-4A39-9D89-5C9E9AEB9761}" xr6:coauthVersionLast="47" xr6:coauthVersionMax="47" xr10:uidLastSave="{71011C60-A2BF-427C-AD93-889B16C10098}"/>
  <bookViews>
    <workbookView xWindow="11910" yWindow="30" windowWidth="16890" windowHeight="15450" xr2:uid="{8B9F1886-173A-4475-B0CF-D9F36CE30773}"/>
  </bookViews>
  <sheets>
    <sheet name="처방전양식 (3)" sheetId="7" r:id="rId1"/>
    <sheet name="처방전양식 (2)" sheetId="6" r:id="rId2"/>
    <sheet name="처방전양식" sheetId="4" r:id="rId3"/>
    <sheet name="약재관리"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7" l="1"/>
  <c r="F31" i="7"/>
  <c r="I31" i="7" s="1"/>
  <c r="H30" i="7"/>
  <c r="F30" i="7"/>
  <c r="I30" i="7" s="1"/>
  <c r="H29" i="7"/>
  <c r="F29" i="7"/>
  <c r="I29" i="7" s="1"/>
  <c r="H28" i="7"/>
  <c r="F28" i="7"/>
  <c r="I28" i="7" s="1"/>
  <c r="H27" i="7"/>
  <c r="F27" i="7"/>
  <c r="I27" i="7" s="1"/>
  <c r="H26" i="7"/>
  <c r="F26" i="7"/>
  <c r="I26" i="7" s="1"/>
  <c r="H25" i="7"/>
  <c r="F25" i="7"/>
  <c r="I25" i="7" s="1"/>
  <c r="H24" i="7"/>
  <c r="F24" i="7"/>
  <c r="I24" i="7" s="1"/>
  <c r="H23" i="7"/>
  <c r="F23" i="7"/>
  <c r="I23" i="7" s="1"/>
  <c r="H22" i="7"/>
  <c r="F22" i="7"/>
  <c r="I22" i="7" s="1"/>
  <c r="F21" i="7"/>
  <c r="G20" i="7"/>
  <c r="F20" i="7"/>
  <c r="G19" i="7"/>
  <c r="F19" i="7"/>
  <c r="L18" i="7"/>
  <c r="L19" i="7" s="1"/>
  <c r="L20" i="7" s="1"/>
  <c r="G18" i="7"/>
  <c r="F18" i="7"/>
  <c r="G17" i="7"/>
  <c r="F17" i="7"/>
  <c r="G16" i="7"/>
  <c r="F16" i="7"/>
  <c r="G15" i="7"/>
  <c r="F15" i="7"/>
  <c r="G14" i="7"/>
  <c r="F14" i="7"/>
  <c r="G13" i="7"/>
  <c r="F13" i="7"/>
  <c r="G12" i="7"/>
  <c r="F12" i="7"/>
  <c r="G11" i="7"/>
  <c r="F11" i="7"/>
  <c r="G10" i="7"/>
  <c r="F10" i="7"/>
  <c r="G9" i="7"/>
  <c r="F9" i="7"/>
  <c r="G8" i="7"/>
  <c r="F8" i="7"/>
  <c r="G7" i="7"/>
  <c r="F7" i="7"/>
  <c r="G6" i="7"/>
  <c r="F6" i="7"/>
  <c r="G5" i="7"/>
  <c r="F5" i="7"/>
  <c r="G4" i="7"/>
  <c r="F4" i="7"/>
  <c r="G3" i="7"/>
  <c r="F3" i="7"/>
  <c r="G2" i="7"/>
  <c r="F2" i="7"/>
  <c r="H22" i="6"/>
  <c r="G21" i="6"/>
  <c r="H21" i="6" s="1"/>
  <c r="G20" i="6"/>
  <c r="H20" i="6" s="1"/>
  <c r="I31" i="6"/>
  <c r="H31" i="6"/>
  <c r="F31" i="6"/>
  <c r="H30" i="6"/>
  <c r="F30" i="6"/>
  <c r="I30" i="6" s="1"/>
  <c r="H29" i="6"/>
  <c r="F29" i="6"/>
  <c r="I29" i="6" s="1"/>
  <c r="I28" i="6"/>
  <c r="H28" i="6"/>
  <c r="F28" i="6"/>
  <c r="H27" i="6"/>
  <c r="F27" i="6"/>
  <c r="I27" i="6" s="1"/>
  <c r="H26" i="6"/>
  <c r="F26" i="6"/>
  <c r="I26" i="6" s="1"/>
  <c r="H25" i="6"/>
  <c r="F25" i="6"/>
  <c r="I25" i="6" s="1"/>
  <c r="I24" i="6"/>
  <c r="H24" i="6"/>
  <c r="F24" i="6"/>
  <c r="I23" i="6"/>
  <c r="H23" i="6"/>
  <c r="F23" i="6"/>
  <c r="F22" i="6"/>
  <c r="F21" i="6"/>
  <c r="F20" i="6"/>
  <c r="G19" i="6"/>
  <c r="F19" i="6"/>
  <c r="L18" i="6"/>
  <c r="L19" i="6" s="1"/>
  <c r="L20" i="6" s="1"/>
  <c r="G18" i="6"/>
  <c r="F18" i="6"/>
  <c r="G17" i="6"/>
  <c r="F17" i="6"/>
  <c r="G16" i="6"/>
  <c r="I16" i="6" s="1"/>
  <c r="F16" i="6"/>
  <c r="G15" i="6"/>
  <c r="F15" i="6"/>
  <c r="G14" i="6"/>
  <c r="I14" i="6" s="1"/>
  <c r="F14" i="6"/>
  <c r="G13" i="6"/>
  <c r="H13" i="6" s="1"/>
  <c r="F13" i="6"/>
  <c r="G12" i="6"/>
  <c r="I12" i="6" s="1"/>
  <c r="F12" i="6"/>
  <c r="G11" i="6"/>
  <c r="I11" i="6" s="1"/>
  <c r="F11" i="6"/>
  <c r="G10" i="6"/>
  <c r="H10" i="6" s="1"/>
  <c r="F10" i="6"/>
  <c r="G9" i="6"/>
  <c r="I9" i="6" s="1"/>
  <c r="F9" i="6"/>
  <c r="G8" i="6"/>
  <c r="I8" i="6" s="1"/>
  <c r="F8" i="6"/>
  <c r="G7" i="6"/>
  <c r="H7" i="6" s="1"/>
  <c r="F7" i="6"/>
  <c r="G6" i="6"/>
  <c r="I6" i="6" s="1"/>
  <c r="F6" i="6"/>
  <c r="G5" i="6"/>
  <c r="I5" i="6" s="1"/>
  <c r="F5" i="6"/>
  <c r="G4" i="6"/>
  <c r="H4" i="6" s="1"/>
  <c r="F4" i="6"/>
  <c r="G3" i="6"/>
  <c r="I3" i="6" s="1"/>
  <c r="F3" i="6"/>
  <c r="G2" i="6"/>
  <c r="I2" i="6" s="1"/>
  <c r="F2" i="6"/>
  <c r="I126" i="5"/>
  <c r="G141" i="5"/>
  <c r="I144" i="5"/>
  <c r="H144" i="5"/>
  <c r="G144" i="5"/>
  <c r="F144" i="5"/>
  <c r="G170" i="5"/>
  <c r="G3" i="4"/>
  <c r="G4" i="4"/>
  <c r="G5" i="4"/>
  <c r="G6" i="4"/>
  <c r="G7" i="4"/>
  <c r="G8" i="4"/>
  <c r="G9" i="4"/>
  <c r="G10" i="4"/>
  <c r="G11" i="4"/>
  <c r="G12" i="4"/>
  <c r="G13" i="4"/>
  <c r="G14" i="4"/>
  <c r="G15" i="4"/>
  <c r="G16" i="4"/>
  <c r="G17" i="4"/>
  <c r="G18" i="4"/>
  <c r="G19"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23" i="7" l="1"/>
  <c r="H21" i="7"/>
  <c r="I21" i="7"/>
  <c r="H20" i="7"/>
  <c r="I20" i="7"/>
  <c r="I19" i="7"/>
  <c r="H19" i="7"/>
  <c r="H18" i="7"/>
  <c r="I18" i="7"/>
  <c r="I17" i="7"/>
  <c r="H17" i="7"/>
  <c r="I16" i="7"/>
  <c r="H16" i="7"/>
  <c r="H15" i="7"/>
  <c r="I15" i="7"/>
  <c r="I14" i="7"/>
  <c r="H14" i="7"/>
  <c r="H13" i="7"/>
  <c r="I13" i="7"/>
  <c r="H12" i="7"/>
  <c r="I12" i="7"/>
  <c r="H11" i="7"/>
  <c r="I11" i="7"/>
  <c r="H10" i="7"/>
  <c r="I10" i="7"/>
  <c r="I9" i="7"/>
  <c r="H9" i="7"/>
  <c r="H8" i="7"/>
  <c r="I8" i="7"/>
  <c r="I7" i="7"/>
  <c r="H7" i="7"/>
  <c r="I6" i="7"/>
  <c r="H6" i="7"/>
  <c r="H5" i="7"/>
  <c r="I5" i="7"/>
  <c r="I4" i="7"/>
  <c r="H4" i="7"/>
  <c r="H3" i="7"/>
  <c r="I3" i="7"/>
  <c r="I2" i="7"/>
  <c r="H2" i="7"/>
  <c r="I22" i="6"/>
  <c r="I20" i="6"/>
  <c r="I21" i="6"/>
  <c r="I18" i="6"/>
  <c r="I17" i="6"/>
  <c r="I15" i="6"/>
  <c r="I19" i="6"/>
  <c r="L23" i="6"/>
  <c r="H12" i="6"/>
  <c r="H3" i="6"/>
  <c r="H6" i="6"/>
  <c r="H9" i="6"/>
  <c r="H15" i="6"/>
  <c r="H18" i="6"/>
  <c r="H16" i="6"/>
  <c r="I4" i="6"/>
  <c r="I7" i="6"/>
  <c r="I10" i="6"/>
  <c r="I13" i="6"/>
  <c r="H19" i="6"/>
  <c r="H2" i="6"/>
  <c r="H5" i="6"/>
  <c r="H8" i="6"/>
  <c r="H11" i="6"/>
  <c r="H14" i="6"/>
  <c r="H17" i="6"/>
  <c r="F2" i="4"/>
  <c r="L31" i="7" l="1"/>
  <c r="L30" i="7"/>
  <c r="L31" i="6"/>
  <c r="L30" i="6"/>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<sst xmlns="http://schemas.openxmlformats.org/spreadsheetml/2006/main" count="746" uniqueCount="443">
  <si>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</si>
  <si>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</si>
  <si>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</si>
  <si>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</si>
  <si>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</si>
  <si>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</si>
  <si>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</si>
  <si>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</si>
  <si>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</si>
  <si>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</si>
  <si>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</si>
  <si>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</si>
  <si>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</si>
  <si>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</si>
  <si>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</si>
  <si>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</si>
  <si>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</si>
  <si>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</si>
  <si>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</si>
  <si>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</si>
  <si>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</si>
  <si>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</si>
  <si>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</si>
  <si>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</si>
  <si>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</si>
  <si>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</si>
  <si>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</si>
  <si>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</si>
  <si>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</si>
  <si>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</si>
  <si>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</si>
  <si>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</si>
  <si>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</si>
  <si>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</si>
  <si>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</si>
  <si>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</si>
  <si>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</si>
  <si>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</si>
  <si>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</si>
  <si>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</si>
  <si>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</si>
  <si>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</si>
  <si>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</si>
  <si>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</si>
  <si>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</si>
  <si>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</si>
  <si>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</si>
  <si>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</si>
  <si>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</si>
  <si>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</si>
  <si>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</si>
  <si>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</si>
  <si>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</si>
  <si>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</si>
  <si>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</si>
  <si>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</si>
  <si>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</si>
  <si>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</si>
  <si>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</si>
  <si>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</si>
  <si>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</si>
  <si>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</si>
  <si>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</si>
  <si>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</si>
  <si>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</si>
  <si>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</si>
  <si>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</si>
  <si>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</si>
  <si>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</si>
  <si>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</si>
  <si>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</si>
  <si>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</si>
  <si>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</si>
  <si>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</si>
  <si>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</si>
  <si>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</si>
  <si>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</si>
  <si>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</si>
  <si>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</si>
  <si>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</si>
  <si>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</si>
  <si>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</si>
  <si>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</si>
  <si>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</si>
  <si>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</si>
  <si>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</si>
  <si>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</si>
  <si>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</si>
  <si>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</si>
  <si>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</si>
  <si>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</si>
  <si>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</si>
  <si>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</si>
  <si>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</si>
  <si>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</si>
  <si>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</si>
  <si>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</si>
  <si>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</si>
  <si>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</si>
  <si>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</si>
  <si>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</si>
  <si>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</si>
  <si>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</si>
  <si>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</si>
  <si>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</si>
  <si>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</si>
  <si>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</si>
  <si>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</si>
  <si>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</si>
  <si>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</si>
  <si>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</si>
  <si>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</si>
  <si>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</si>
  <si>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</si>
  <si>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</si>
  <si>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</si>
  <si>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</si>
  <si>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</si>
  <si>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</si>
  <si>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</si>
  <si>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</si>
  <si>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</si>
  <si>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</si>
  <si>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</si>
  <si>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</si>
  <si>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</si>
  <si>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</si>
  <si>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</si>
  <si>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</si>
  <si>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</si>
  <si>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</si>
  <si>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</si>
  <si>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</si>
  <si>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</si>
  <si>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</si>
  <si>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</si>
  <si>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</si>
  <si>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</si>
  <si>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</si>
  <si>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</si>
  <si>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</si>
  <si>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</si>
  <si>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</si>
  <si>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</si>
  <si>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</si>
  <si>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</si>
  <si>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</si>
  <si>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</si>
  <si>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</si>
  <si>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</si>
  <si>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</si>
  <si>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</si>
  <si>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</si>
  <si>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</si>
  <si>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</si>
  <si>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</si>
  <si>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</si>
  <si>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</si>
  <si>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</si>
  <si>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</si>
  <si>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</si>
  <si>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</si>
  <si>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</si>
  <si>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</si>
  <si>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</si>
  <si>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</si>
  <si>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</si>
  <si>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</si>
  <si>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</si>
  <si>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</si>
  <si>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</si>
  <si>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</si>
  <si>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</si>
  <si>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</si>
  <si>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</si>
  <si>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</si>
  <si>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</si>
  <si>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</si>
  <si>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</si>
  <si>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</si>
  <si>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</si>
  <si>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</si>
  <si>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</si>
  <si>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</si>
  <si>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</si>
  <si>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</si>
  <si>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</si>
  <si>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</si>
  <si>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</si>
  <si>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</si>
  <si>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</si>
  <si>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</si>
  <si>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</si>
  <si>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</si>
  <si>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</si>
  <si>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</si>
  <si>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</si>
  <si>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</si>
  <si>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</si>
  <si>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</si>
  <si>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</si>
  <si>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</si>
  <si>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</si>
  <si>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</si>
  <si>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</si>
  <si>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</si>
  <si>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</si>
  <si>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</si>
  <si>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</si>
  <si>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</si>
  <si>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</si>
  <si>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</si>
  <si>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</si>
  <si>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</si>
  <si>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</si>
  <si>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</si>
  <si>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</si>
  <si>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</si>
  <si>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</si>
  <si>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</si>
  <si>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</si>
  <si>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</si>
  <si>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</si>
  <si>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</si>
  <si>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</si>
  <si>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</si>
  <si>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</si>
  <si>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</si>
  <si>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</si>
  <si>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</si>
  <si>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</si>
  <si>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</si>
  <si>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</si>
  <si>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</si>
  <si>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</si>
  <si>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</si>
  <si>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</si>
  <si>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</si>
  <si>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</si>
  <si>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</si>
  <si>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</si>
  <si>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</si>
  <si>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</si>
  <si>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</si>
  <si>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</si>
  <si>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</si>
  <si>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</si>
  <si>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</si>
  <si>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</si>
  <si>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</si>
  <si>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</si>
  <si>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</si>
  <si>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</si>
  <si>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</si>
  <si>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</si>
  <si>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</si>
  <si>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</si>
  <si>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</si>
  <si>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</si>
  <si>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</si>
  <si>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</si>
  <si>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</si>
  <si>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</si>
  <si>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</si>
  <si>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</si>
  <si>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</si>
  <si>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</si>
  <si>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</si>
  <si>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</si>
  <si>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</si>
  <si>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</si>
  <si>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</si>
  <si>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</si>
  <si>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</si>
  <si>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</si>
  <si>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</si>
  <si>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</si>
  <si>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</si>
  <si>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</si>
  <si>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</si>
  <si>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</si>
  <si>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</si>
  <si>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</si>
  <si>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</si>
  <si>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</si>
  <si>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</si>
  <si>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</si>
  <si>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</si>
  <si>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</si>
  <si>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</si>
  <si>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</si>
  <si>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</si>
  <si>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</si>
  <si>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</si>
  <si>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</si>
  <si>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</si>
  <si>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</si>
  <si>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</si>
  <si>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</si>
  <si>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</si>
  <si>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</si>
  <si>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</si>
  <si>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</si>
  <si>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</si>
  <si>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</si>
  <si>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</si>
  <si>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</si>
  <si>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</si>
  <si>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</si>
  <si>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</si>
  <si>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</si>
  <si>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</si>
  <si>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</si>
  <si>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</si>
  <si>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</si>
  <si>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</si>
  <si>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</si>
  <si>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</si>
  <si>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</si>
  <si>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</si>
  <si>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</si>
  <si>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</si>
  <si>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</si>
  <si>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</si>
  <si>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</si>
  <si>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</si>
  <si>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</si>
  <si>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</si>
  <si>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</si>
  <si>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</si>
  <si>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</si>
  <si>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</si>
  <si>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</si>
  <si>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</si>
  <si>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</si>
  <si>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</si>
  <si>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</si>
  <si>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</si>
  <si>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</si>
  <si>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</si>
  <si>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</si>
  <si>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</si>
  <si>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</si>
  <si>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</si>
  <si>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</si>
  <si>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</si>
  <si>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</si>
  <si>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</si>
  <si>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</si>
  <si>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</si>
  <si>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</si>
  <si>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</si>
  <si>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</si>
  <si>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</si>
  <si>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</si>
  <si>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</si>
  <si>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</si>
  <si>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</si>
  <si>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</si>
  <si>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</si>
  <si>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</si>
  <si>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</si>
  <si>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</si>
  <si>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</si>
  <si>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</si>
  <si>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</si>
  <si>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</si>
  <si>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</si>
  <si>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</si>
  <si>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</si>
  <si>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</si>
  <si>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</si>
  <si>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</si>
  <si>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</si>
  <si>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</si>
  <si>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</si>
  <si>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</si>
  <si>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</si>
  <si>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</si>
  <si>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</si>
  <si>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</si>
  <si>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</si>
  <si>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</si>
  <si>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</si>
  <si>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</si>
  <si>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</si>
  <si>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</si>
  <si>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</si>
  <si>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</si>
  <si>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</si>
  <si>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</si>
  <si>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</si>
  <si>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</si>
  <si>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</si>
  <si>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</si>
  <si>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</si>
  <si>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</si>
  <si>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</si>
  <si>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</si>
  <si>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</si>
  <si>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</si>
  <si>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</si>
  <si>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</si>
  <si>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</si>
  <si>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</si>
  <si>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</si>
  <si>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</si>
  <si>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</si>
  <si>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</si>
  <si>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</si>
  <si>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</si>
  <si>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향부자</t>
    <phoneticPr fontId="5" type="noConversion"/>
  </si>
  <si>
    <t>반하</t>
    <phoneticPr fontId="5" type="noConversion"/>
  </si>
  <si>
    <t>복령</t>
    <phoneticPr fontId="5" type="noConversion"/>
  </si>
  <si>
    <t>진피1</t>
    <phoneticPr fontId="5" type="noConversion"/>
  </si>
  <si>
    <t>지실</t>
    <phoneticPr fontId="5" type="noConversion"/>
  </si>
  <si>
    <t>황금</t>
    <phoneticPr fontId="5" type="noConversion"/>
  </si>
  <si>
    <t>감초</t>
    <phoneticPr fontId="5" type="noConversion"/>
  </si>
  <si>
    <t>생강</t>
    <phoneticPr fontId="5" type="noConversion"/>
  </si>
  <si>
    <t>죽여1</t>
    <phoneticPr fontId="5" type="noConversion"/>
  </si>
  <si>
    <t>연교</t>
    <phoneticPr fontId="5" type="noConversion"/>
  </si>
  <si>
    <t>신곡</t>
    <phoneticPr fontId="5" type="noConversion"/>
  </si>
  <si>
    <t>초</t>
    <phoneticPr fontId="5" type="noConversion"/>
  </si>
  <si>
    <t>황련</t>
    <phoneticPr fontId="5" type="noConversion"/>
  </si>
  <si>
    <t>주초</t>
    <phoneticPr fontId="5" type="noConversion"/>
  </si>
  <si>
    <t>원육</t>
    <phoneticPr fontId="5" type="noConversion"/>
  </si>
  <si>
    <t>사인</t>
    <phoneticPr fontId="5" type="noConversion"/>
  </si>
  <si>
    <t>치자</t>
    <phoneticPr fontId="5" type="noConversion"/>
  </si>
  <si>
    <t>목향</t>
    <phoneticPr fontId="5" type="noConversion"/>
  </si>
  <si>
    <t>당귀1</t>
    <phoneticPr fontId="5" type="noConversion"/>
  </si>
  <si>
    <t>청심온담탕</t>
    <phoneticPr fontId="5" type="noConversion"/>
  </si>
  <si>
    <t>김일순</t>
    <phoneticPr fontId="5" type="noConversion"/>
  </si>
  <si>
    <t>F</t>
    <phoneticPr fontId="5" type="noConversion"/>
  </si>
  <si>
    <t>백출</t>
    <phoneticPr fontId="5" type="noConversion"/>
  </si>
  <si>
    <t xml:space="preserve">청심온담탕+목향 신곡 사인 연교 황련 치자 당귀 원육
</t>
    <phoneticPr fontId="5" type="noConversion"/>
  </si>
  <si>
    <t>산사</t>
    <phoneticPr fontId="5" type="noConversion"/>
  </si>
  <si>
    <t>석창포</t>
    <phoneticPr fontId="5" type="noConversion"/>
  </si>
  <si>
    <t>원지</t>
    <phoneticPr fontId="5" type="noConversion"/>
  </si>
  <si>
    <t xml:space="preserve">청심온담탕+목향 신곡 연교 산사 황련 치자 원지 석창포 당귀 원육
</t>
    <phoneticPr fontId="5" type="noConversion"/>
  </si>
  <si>
    <t>인삼</t>
    <phoneticPr fontId="5" type="noConversion"/>
  </si>
  <si>
    <t>맥문동</t>
    <phoneticPr fontId="5" type="noConversion"/>
  </si>
  <si>
    <t>녹용</t>
    <phoneticPr fontId="5" type="noConversion"/>
  </si>
  <si>
    <t xml:space="preserve">청심온담탕+ 대추 대 원육 + 인삼 목향 원지 석창포 당귀 맥문동 황련 녹용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</si>
</sst>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65183-A8A2-42E2-BC40-7087B306BBCF}">
  <sheetPr>
    <pageSetUpPr fitToPage="1"/>
  </sheetPr>
  <dimension ref="B1:M31"/>
  <sheetViews>
    <sheetView tabSelected="1" workbookViewId="0">
      <selection activeCell="L18" sqref="L1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10</v>
      </c>
      <c r="F2" s="101">
        <f>E2*$L$15</f>
        <v>200</v>
      </c>
      <c r="G2">
        <f>VLOOKUP($C2,약재관리!A:J,10,FALSE)</f>
        <v>14.7</v>
      </c>
      <c r="H2" s="5">
        <f>G2*E2</f>
        <v>147</v>
      </c>
      <c r="I2" s="90">
        <f>G2*F2</f>
        <v>2940</v>
      </c>
      <c r="K2" s="7" t="s">
        <v>9</v>
      </c>
      <c r="L2" s="161">
        <v>86</v>
      </c>
      <c r="M2" s="162"/>
    </row>
    <row r="3" spans="2:13">
      <c r="B3" s="3">
        <v>2</v>
      </c>
      <c r="C3" t="s">
        <v>414</v>
      </c>
      <c r="D3" s="4"/>
      <c r="E3" s="88">
        <v>6</v>
      </c>
      <c r="F3" s="101">
        <f t="shared" ref="F3:F31" si="0">E3*$L$15</f>
        <v>120</v>
      </c>
      <c r="G3">
        <f>VLOOKUP($C3,약재관리!A:J,10,FALSE)</f>
        <v>17.600000000000001</v>
      </c>
      <c r="H3" s="5">
        <f t="shared" ref="H3:H31" si="1">G3*E3</f>
        <v>105.60000000000001</v>
      </c>
      <c r="I3" s="6">
        <f t="shared" ref="I3:I31" si="2">G3*F3</f>
        <v>2112</v>
      </c>
      <c r="K3" s="8" t="s">
        <v>10</v>
      </c>
      <c r="L3" s="163" t="s">
        <v>430</v>
      </c>
      <c r="M3" s="164"/>
    </row>
    <row r="4" spans="2:13">
      <c r="B4" s="3">
        <v>3</v>
      </c>
      <c r="C4" t="s">
        <v>412</v>
      </c>
      <c r="D4" s="4"/>
      <c r="E4" s="88">
        <v>6</v>
      </c>
      <c r="F4" s="101">
        <f t="shared" si="0"/>
        <v>120</v>
      </c>
      <c r="G4">
        <f>VLOOKUP($C4,약재관리!A:J,10,FALSE)</f>
        <v>47</v>
      </c>
      <c r="H4" s="5">
        <f t="shared" si="1"/>
        <v>282</v>
      </c>
      <c r="I4" s="6">
        <f t="shared" si="2"/>
        <v>5640</v>
      </c>
      <c r="K4" s="8" t="s">
        <v>11</v>
      </c>
      <c r="L4" s="165">
        <v>46028</v>
      </c>
      <c r="M4" s="164"/>
    </row>
    <row r="5" spans="2:13">
      <c r="B5" s="3">
        <v>4</v>
      </c>
      <c r="C5" t="s">
        <v>413</v>
      </c>
      <c r="D5" s="4"/>
      <c r="E5" s="88">
        <v>6</v>
      </c>
      <c r="F5" s="101">
        <f t="shared" si="0"/>
        <v>120</v>
      </c>
      <c r="G5">
        <f>VLOOKUP($C5,약재관리!A:J,10,FALSE)</f>
        <v>11</v>
      </c>
      <c r="H5" s="5">
        <f t="shared" si="1"/>
        <v>66</v>
      </c>
      <c r="I5" s="6">
        <f t="shared" si="2"/>
        <v>1320</v>
      </c>
      <c r="K5" s="8" t="s">
        <v>12</v>
      </c>
      <c r="L5" s="163" t="s">
        <v>431</v>
      </c>
      <c r="M5" s="164"/>
    </row>
    <row r="6" spans="2:13">
      <c r="B6" s="3">
        <v>5</v>
      </c>
      <c r="C6" t="s">
        <v>433</v>
      </c>
      <c r="D6" s="4"/>
      <c r="E6" s="88">
        <v>4</v>
      </c>
      <c r="F6" s="101">
        <f t="shared" si="0"/>
        <v>80</v>
      </c>
      <c r="G6">
        <f>VLOOKUP($C6,약재관리!A:J,10,FALSE)</f>
        <v>30.3</v>
      </c>
      <c r="H6" s="5">
        <f t="shared" si="1"/>
        <v>121.2</v>
      </c>
      <c r="I6" s="6">
        <f t="shared" si="2"/>
        <v>2424</v>
      </c>
      <c r="K6" s="8" t="s">
        <v>13</v>
      </c>
      <c r="L6" s="163">
        <v>66</v>
      </c>
      <c r="M6" s="164"/>
    </row>
    <row r="7" spans="2:13" ht="17.25" thickBot="1">
      <c r="B7" s="3">
        <v>6</v>
      </c>
      <c r="C7" t="s">
        <v>415</v>
      </c>
      <c r="D7" s="4"/>
      <c r="E7" s="88">
        <v>4</v>
      </c>
      <c r="F7" s="101">
        <f t="shared" si="0"/>
        <v>80</v>
      </c>
      <c r="G7">
        <f>VLOOKUP($C7,약재관리!A:J,10,FALSE)</f>
        <v>16.7</v>
      </c>
      <c r="H7" s="5">
        <f t="shared" si="1"/>
        <v>66.8</v>
      </c>
      <c r="I7" s="6">
        <f t="shared" si="2"/>
        <v>1336</v>
      </c>
      <c r="K7" s="8" t="s">
        <v>14</v>
      </c>
      <c r="L7" s="147" t="s">
        <v>432</v>
      </c>
      <c r="M7" s="148"/>
    </row>
    <row r="8" spans="2:13" ht="17.25" thickBot="1">
      <c r="B8" s="3">
        <v>7</v>
      </c>
      <c r="C8" t="s">
        <v>419</v>
      </c>
      <c r="D8" s="4"/>
      <c r="E8" s="88">
        <v>4</v>
      </c>
      <c r="F8" s="101">
        <f t="shared" si="0"/>
        <v>80</v>
      </c>
      <c r="G8">
        <f>VLOOKUP($C8,약재관리!A:J,10,FALSE)</f>
        <v>15.4</v>
      </c>
      <c r="H8" s="5">
        <f t="shared" si="1"/>
        <v>61.6</v>
      </c>
      <c r="I8" s="6">
        <f t="shared" si="2"/>
        <v>1232</v>
      </c>
      <c r="K8" s="149" t="s">
        <v>15</v>
      </c>
      <c r="L8" s="150"/>
      <c r="M8" s="151"/>
    </row>
    <row r="9" spans="2:13">
      <c r="B9" s="3">
        <v>8</v>
      </c>
      <c r="C9" t="s">
        <v>416</v>
      </c>
      <c r="D9" s="4" t="s">
        <v>424</v>
      </c>
      <c r="E9" s="88">
        <v>2</v>
      </c>
      <c r="F9" s="101">
        <f t="shared" si="0"/>
        <v>40</v>
      </c>
      <c r="G9">
        <f>VLOOKUP($C9,약재관리!A:J,10,FALSE)</f>
        <v>22.5</v>
      </c>
      <c r="H9" s="5">
        <f t="shared" si="1"/>
        <v>45</v>
      </c>
      <c r="I9" s="6">
        <f t="shared" si="2"/>
        <v>900</v>
      </c>
      <c r="K9" s="152" t="s">
        <v>442</v>
      </c>
      <c r="L9" s="153"/>
      <c r="M9" s="154"/>
    </row>
    <row r="10" spans="2:13">
      <c r="B10" s="3">
        <v>9</v>
      </c>
      <c r="C10" t="s">
        <v>417</v>
      </c>
      <c r="D10" s="4"/>
      <c r="E10" s="88">
        <v>2</v>
      </c>
      <c r="F10" s="101">
        <f t="shared" si="0"/>
        <v>40</v>
      </c>
      <c r="G10">
        <f>VLOOKUP($C10,약재관리!A:J,10,FALSE)</f>
        <v>28.3</v>
      </c>
      <c r="H10" s="5">
        <f t="shared" si="1"/>
        <v>56.6</v>
      </c>
      <c r="I10" s="6">
        <f t="shared" si="2"/>
        <v>1132</v>
      </c>
      <c r="K10" s="155"/>
      <c r="L10" s="156"/>
      <c r="M10" s="157"/>
    </row>
    <row r="11" spans="2:13">
      <c r="B11" s="3">
        <v>10</v>
      </c>
      <c r="C11" t="s">
        <v>418</v>
      </c>
      <c r="D11" s="4"/>
      <c r="E11" s="88">
        <v>4</v>
      </c>
      <c r="F11" s="101">
        <f t="shared" si="0"/>
        <v>80</v>
      </c>
      <c r="G11">
        <f>VLOOKUP($C11,약재관리!A:J,10,FALSE)</f>
        <v>15</v>
      </c>
      <c r="H11" s="5">
        <f t="shared" si="1"/>
        <v>60</v>
      </c>
      <c r="I11" s="6">
        <f t="shared" si="2"/>
        <v>1200</v>
      </c>
      <c r="K11" s="155"/>
      <c r="L11" s="156"/>
      <c r="M11" s="157"/>
    </row>
    <row r="12" spans="2:13">
      <c r="B12" s="3">
        <v>11</v>
      </c>
      <c r="C12" t="s">
        <v>425</v>
      </c>
      <c r="D12" s="4"/>
      <c r="E12" s="88">
        <v>4</v>
      </c>
      <c r="F12" s="101">
        <f t="shared" si="0"/>
        <v>80</v>
      </c>
      <c r="G12">
        <f>VLOOKUP($C12,약재관리!A:J,10,FALSE)</f>
        <v>19.2</v>
      </c>
      <c r="H12" s="5">
        <f t="shared" si="1"/>
        <v>76.8</v>
      </c>
      <c r="I12" s="6">
        <f t="shared" si="2"/>
        <v>1536</v>
      </c>
      <c r="K12" s="155"/>
      <c r="L12" s="156"/>
      <c r="M12" s="157"/>
    </row>
    <row r="13" spans="2:13" ht="17.25" thickBot="1">
      <c r="B13" s="3">
        <v>12</v>
      </c>
      <c r="C13" t="s">
        <v>439</v>
      </c>
      <c r="D13" s="4"/>
      <c r="E13" s="88">
        <v>4</v>
      </c>
      <c r="F13" s="101">
        <f t="shared" si="0"/>
        <v>80</v>
      </c>
      <c r="G13">
        <f>VLOOKUP($C13,약재관리!A:J,10,FALSE)</f>
        <v>106.7</v>
      </c>
      <c r="H13" s="5">
        <f t="shared" si="1"/>
        <v>426.8</v>
      </c>
      <c r="I13" s="6">
        <f t="shared" si="2"/>
        <v>8536</v>
      </c>
      <c r="K13" s="158"/>
      <c r="L13" s="159"/>
      <c r="M13" s="160"/>
    </row>
    <row r="14" spans="2:13">
      <c r="B14" s="3">
        <v>13</v>
      </c>
      <c r="C14" t="s">
        <v>428</v>
      </c>
      <c r="D14" s="4"/>
      <c r="E14" s="88">
        <v>3</v>
      </c>
      <c r="F14" s="101">
        <f t="shared" si="0"/>
        <v>60</v>
      </c>
      <c r="G14">
        <f>VLOOKUP($C14,약재관리!A:J,10,FALSE)</f>
        <v>12.2</v>
      </c>
      <c r="H14" s="5">
        <f t="shared" si="1"/>
        <v>36.599999999999994</v>
      </c>
      <c r="I14" s="6">
        <f t="shared" si="2"/>
        <v>732</v>
      </c>
      <c r="K14" s="92" t="s">
        <v>16</v>
      </c>
      <c r="L14" s="9">
        <v>20</v>
      </c>
      <c r="M14" s="10" t="s">
        <v>17</v>
      </c>
    </row>
    <row r="15" spans="2:13">
      <c r="B15" s="3">
        <v>14</v>
      </c>
      <c r="C15" t="s">
        <v>436</v>
      </c>
      <c r="D15" s="4"/>
      <c r="E15" s="88">
        <v>4</v>
      </c>
      <c r="F15" s="101">
        <f t="shared" si="0"/>
        <v>80</v>
      </c>
      <c r="G15">
        <f>VLOOKUP($C15,약재관리!A:J,10,FALSE)</f>
        <v>31.5</v>
      </c>
      <c r="H15" s="5">
        <f t="shared" si="1"/>
        <v>126</v>
      </c>
      <c r="I15" s="6">
        <f t="shared" si="2"/>
        <v>2520</v>
      </c>
      <c r="K15" s="91" t="s">
        <v>18</v>
      </c>
      <c r="L15">
        <v>20</v>
      </c>
      <c r="M15" s="4" t="s">
        <v>19</v>
      </c>
    </row>
    <row r="16" spans="2:13">
      <c r="B16" s="3">
        <v>15</v>
      </c>
      <c r="C16" t="s">
        <v>437</v>
      </c>
      <c r="D16" s="4"/>
      <c r="E16" s="88">
        <v>2</v>
      </c>
      <c r="F16" s="101">
        <f t="shared" si="0"/>
        <v>40</v>
      </c>
      <c r="G16">
        <f>VLOOKUP($C16,약재관리!A:J,10,FALSE)</f>
        <v>68</v>
      </c>
      <c r="H16" s="5">
        <f t="shared" si="1"/>
        <v>136</v>
      </c>
      <c r="I16" s="6">
        <f t="shared" si="2"/>
        <v>2720</v>
      </c>
      <c r="K16" s="91" t="s">
        <v>20</v>
      </c>
      <c r="L16">
        <v>45</v>
      </c>
      <c r="M16" s="4" t="s">
        <v>21</v>
      </c>
    </row>
    <row r="17" spans="2:13" ht="17.25" thickBot="1">
      <c r="B17" s="3">
        <v>16</v>
      </c>
      <c r="C17" t="s">
        <v>429</v>
      </c>
      <c r="D17" s="4"/>
      <c r="E17" s="88">
        <v>6</v>
      </c>
      <c r="F17" s="101">
        <f t="shared" si="0"/>
        <v>120</v>
      </c>
      <c r="G17">
        <f>VLOOKUP($C17,약재관리!A:J,10,FALSE)</f>
        <v>25.3</v>
      </c>
      <c r="H17" s="5">
        <f t="shared" si="1"/>
        <v>151.80000000000001</v>
      </c>
      <c r="I17" s="6">
        <f t="shared" si="2"/>
        <v>3036</v>
      </c>
      <c r="K17" s="14" t="s">
        <v>22</v>
      </c>
      <c r="L17" s="11">
        <v>110</v>
      </c>
      <c r="M17" s="12" t="s">
        <v>23</v>
      </c>
    </row>
    <row r="18" spans="2:13">
      <c r="B18" s="3">
        <v>17</v>
      </c>
      <c r="C18" t="s">
        <v>440</v>
      </c>
      <c r="D18" s="4"/>
      <c r="E18" s="88">
        <v>6</v>
      </c>
      <c r="F18" s="101">
        <f t="shared" si="0"/>
        <v>120</v>
      </c>
      <c r="G18">
        <f>VLOOKUP($C18,약재관리!A:J,10,FALSE)</f>
        <v>44.3</v>
      </c>
      <c r="H18" s="5">
        <f t="shared" si="1"/>
        <v>265.79999999999995</v>
      </c>
      <c r="I18" s="6">
        <f t="shared" si="2"/>
        <v>5316</v>
      </c>
      <c r="K18" s="92" t="s">
        <v>24</v>
      </c>
      <c r="L18" s="9">
        <f>SUM(E2:E31)</f>
        <v>81</v>
      </c>
      <c r="M18" s="10" t="s">
        <v>25</v>
      </c>
    </row>
    <row r="19" spans="2:13">
      <c r="B19" s="3">
        <v>18</v>
      </c>
      <c r="C19" t="s">
        <v>423</v>
      </c>
      <c r="D19" s="4" t="s">
        <v>424</v>
      </c>
      <c r="E19" s="88">
        <v>2</v>
      </c>
      <c r="F19" s="101">
        <f t="shared" si="0"/>
        <v>40</v>
      </c>
      <c r="G19">
        <f>VLOOKUP($C19,약재관리!A:J,10,FALSE)</f>
        <v>136.80000000000001</v>
      </c>
      <c r="H19" s="5">
        <f t="shared" si="1"/>
        <v>273.60000000000002</v>
      </c>
      <c r="I19" s="6">
        <f t="shared" si="2"/>
        <v>5472</v>
      </c>
      <c r="K19" s="91" t="s">
        <v>26</v>
      </c>
      <c r="L19">
        <f>L15*L18</f>
        <v>1620</v>
      </c>
      <c r="M19" s="4" t="s">
        <v>25</v>
      </c>
    </row>
    <row r="20" spans="2:13" ht="17.25" thickBot="1">
      <c r="B20" s="3">
        <v>19</v>
      </c>
      <c r="C20" t="s">
        <v>441</v>
      </c>
      <c r="D20" s="4"/>
      <c r="E20" s="88">
        <v>2</v>
      </c>
      <c r="F20" s="101">
        <f t="shared" si="0"/>
        <v>40</v>
      </c>
      <c r="G20">
        <f>VLOOKUP($C20,약재관리!A:J,10,FALSE)</f>
        <v>463.3</v>
      </c>
      <c r="H20" s="5">
        <f t="shared" si="1"/>
        <v>926.6</v>
      </c>
      <c r="I20" s="6">
        <f t="shared" si="2"/>
        <v>18532</v>
      </c>
      <c r="K20" s="14" t="s">
        <v>27</v>
      </c>
      <c r="L20" s="11">
        <f>L16*L17+L19</f>
        <v>6570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1620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3431.7999999999997</v>
      </c>
      <c r="M30" s="4" t="s">
        <v>384</v>
      </c>
    </row>
    <row r="31" spans="2:13" ht="17.25" thickBot="1">
      <c r="B31" s="13">
        <v>30</v>
      </c>
      <c r="C31" s="14"/>
      <c r="D31" s="12"/>
      <c r="E31" s="95"/>
      <c r="F31" s="102">
        <f t="shared" si="0"/>
        <v>0</v>
      </c>
      <c r="H31" s="15">
        <f t="shared" si="1"/>
        <v>0</v>
      </c>
      <c r="I31" s="16">
        <f t="shared" si="2"/>
        <v>0</v>
      </c>
      <c r="K31" s="14" t="s">
        <v>383</v>
      </c>
      <c r="L31" s="15">
        <f>SUM(I2:I31)</f>
        <v>68636</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A3148-DFB4-4682-AC30-2FDFD8DBE769}">
  <sheetPr>
    <pageSetUpPr fitToPage="1"/>
  </sheetPr>
  <dimension ref="B1:M31"/>
  <sheetViews>
    <sheetView workbookViewId="0">
      <selection activeCell="E20" sqref="E20"/>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10</v>
      </c>
      <c r="F2" s="101">
        <f>E2*$L$15</f>
        <v>200</v>
      </c>
      <c r="G2">
        <f>VLOOKUP($C2,약재관리!A:J,10,FALSE)</f>
        <v>14.7</v>
      </c>
      <c r="H2" s="5">
        <f>G2*E2</f>
        <v>147</v>
      </c>
      <c r="I2" s="90">
        <f>G2*F2</f>
        <v>2940</v>
      </c>
      <c r="K2" s="7" t="s">
        <v>9</v>
      </c>
      <c r="L2" s="161">
        <v>86</v>
      </c>
      <c r="M2" s="162"/>
    </row>
    <row r="3" spans="2:13">
      <c r="B3" s="3">
        <v>2</v>
      </c>
      <c r="C3" t="s">
        <v>414</v>
      </c>
      <c r="D3" s="4"/>
      <c r="E3" s="88">
        <v>6</v>
      </c>
      <c r="F3" s="101">
        <f t="shared" ref="F3:F31" si="0">E3*$L$15</f>
        <v>120</v>
      </c>
      <c r="G3">
        <f>VLOOKUP($C3,약재관리!A:J,10,FALSE)</f>
        <v>17.600000000000001</v>
      </c>
      <c r="H3" s="5">
        <f t="shared" ref="H3:H31" si="1">G3*E3</f>
        <v>105.60000000000001</v>
      </c>
      <c r="I3" s="6">
        <f t="shared" ref="I3:I31" si="2">G3*F3</f>
        <v>2112</v>
      </c>
      <c r="K3" s="8" t="s">
        <v>10</v>
      </c>
      <c r="L3" s="163" t="s">
        <v>430</v>
      </c>
      <c r="M3" s="164"/>
    </row>
    <row r="4" spans="2:13">
      <c r="B4" s="3">
        <v>3</v>
      </c>
      <c r="C4" t="s">
        <v>412</v>
      </c>
      <c r="D4" s="4"/>
      <c r="E4" s="88">
        <v>6</v>
      </c>
      <c r="F4" s="101">
        <f t="shared" si="0"/>
        <v>120</v>
      </c>
      <c r="G4">
        <f>VLOOKUP($C4,약재관리!A:J,10,FALSE)</f>
        <v>47</v>
      </c>
      <c r="H4" s="5">
        <f t="shared" si="1"/>
        <v>282</v>
      </c>
      <c r="I4" s="6">
        <f t="shared" si="2"/>
        <v>5640</v>
      </c>
      <c r="K4" s="8" t="s">
        <v>11</v>
      </c>
      <c r="L4" s="165">
        <v>45756</v>
      </c>
      <c r="M4" s="164"/>
    </row>
    <row r="5" spans="2:13">
      <c r="B5" s="3">
        <v>4</v>
      </c>
      <c r="C5" t="s">
        <v>413</v>
      </c>
      <c r="D5" s="4"/>
      <c r="E5" s="88">
        <v>4</v>
      </c>
      <c r="F5" s="101">
        <f t="shared" si="0"/>
        <v>80</v>
      </c>
      <c r="G5">
        <f>VLOOKUP($C5,약재관리!A:J,10,FALSE)</f>
        <v>11</v>
      </c>
      <c r="H5" s="5">
        <f t="shared" si="1"/>
        <v>44</v>
      </c>
      <c r="I5" s="6">
        <f t="shared" si="2"/>
        <v>880</v>
      </c>
      <c r="K5" s="8" t="s">
        <v>12</v>
      </c>
      <c r="L5" s="163" t="s">
        <v>431</v>
      </c>
      <c r="M5" s="164"/>
    </row>
    <row r="6" spans="2:13">
      <c r="B6" s="3">
        <v>5</v>
      </c>
      <c r="C6" t="s">
        <v>433</v>
      </c>
      <c r="D6" s="4"/>
      <c r="E6" s="88">
        <v>4</v>
      </c>
      <c r="F6" s="101">
        <f t="shared" si="0"/>
        <v>80</v>
      </c>
      <c r="G6">
        <f>VLOOKUP($C6,약재관리!A:J,10,FALSE)</f>
        <v>30.3</v>
      </c>
      <c r="H6" s="5">
        <f t="shared" si="1"/>
        <v>121.2</v>
      </c>
      <c r="I6" s="6">
        <f t="shared" si="2"/>
        <v>2424</v>
      </c>
      <c r="K6" s="8" t="s">
        <v>13</v>
      </c>
      <c r="L6" s="163">
        <v>65</v>
      </c>
      <c r="M6" s="164"/>
    </row>
    <row r="7" spans="2:13" ht="17.25" thickBot="1">
      <c r="B7" s="3">
        <v>6</v>
      </c>
      <c r="C7" t="s">
        <v>415</v>
      </c>
      <c r="D7" s="4"/>
      <c r="E7" s="88">
        <v>4</v>
      </c>
      <c r="F7" s="101">
        <f t="shared" si="0"/>
        <v>80</v>
      </c>
      <c r="G7">
        <f>VLOOKUP($C7,약재관리!A:J,10,FALSE)</f>
        <v>16.7</v>
      </c>
      <c r="H7" s="5">
        <f t="shared" si="1"/>
        <v>66.8</v>
      </c>
      <c r="I7" s="6">
        <f t="shared" si="2"/>
        <v>1336</v>
      </c>
      <c r="K7" s="8" t="s">
        <v>14</v>
      </c>
      <c r="L7" s="147" t="s">
        <v>432</v>
      </c>
      <c r="M7" s="148"/>
    </row>
    <row r="8" spans="2:13" ht="17.25" thickBot="1">
      <c r="B8" s="3">
        <v>7</v>
      </c>
      <c r="C8" t="s">
        <v>419</v>
      </c>
      <c r="D8" s="4"/>
      <c r="E8" s="88">
        <v>4</v>
      </c>
      <c r="F8" s="101">
        <f t="shared" si="0"/>
        <v>80</v>
      </c>
      <c r="G8">
        <f>VLOOKUP($C8,약재관리!A:J,10,FALSE)</f>
        <v>15.4</v>
      </c>
      <c r="H8" s="5">
        <f t="shared" si="1"/>
        <v>61.6</v>
      </c>
      <c r="I8" s="6">
        <f t="shared" si="2"/>
        <v>1232</v>
      </c>
      <c r="K8" s="149" t="s">
        <v>15</v>
      </c>
      <c r="L8" s="150"/>
      <c r="M8" s="151"/>
    </row>
    <row r="9" spans="2:13">
      <c r="B9" s="3">
        <v>8</v>
      </c>
      <c r="C9" t="s">
        <v>416</v>
      </c>
      <c r="D9" s="4" t="s">
        <v>424</v>
      </c>
      <c r="E9" s="88">
        <v>2</v>
      </c>
      <c r="F9" s="101">
        <f t="shared" si="0"/>
        <v>40</v>
      </c>
      <c r="G9">
        <f>VLOOKUP($C9,약재관리!A:J,10,FALSE)</f>
        <v>22.5</v>
      </c>
      <c r="H9" s="5">
        <f t="shared" si="1"/>
        <v>45</v>
      </c>
      <c r="I9" s="6">
        <f t="shared" si="2"/>
        <v>900</v>
      </c>
      <c r="K9" s="152" t="s">
        <v>438</v>
      </c>
      <c r="L9" s="153"/>
      <c r="M9" s="154"/>
    </row>
    <row r="10" spans="2:13">
      <c r="B10" s="3">
        <v>9</v>
      </c>
      <c r="C10" t="s">
        <v>417</v>
      </c>
      <c r="D10" s="4"/>
      <c r="E10" s="88">
        <v>2</v>
      </c>
      <c r="F10" s="101">
        <f t="shared" si="0"/>
        <v>40</v>
      </c>
      <c r="G10">
        <f>VLOOKUP($C10,약재관리!A:J,10,FALSE)</f>
        <v>28.3</v>
      </c>
      <c r="H10" s="5">
        <f t="shared" si="1"/>
        <v>56.6</v>
      </c>
      <c r="I10" s="6">
        <f t="shared" si="2"/>
        <v>1132</v>
      </c>
      <c r="K10" s="155"/>
      <c r="L10" s="156"/>
      <c r="M10" s="157"/>
    </row>
    <row r="11" spans="2:13">
      <c r="B11" s="3">
        <v>10</v>
      </c>
      <c r="C11" t="s">
        <v>418</v>
      </c>
      <c r="D11" s="4"/>
      <c r="E11" s="88">
        <v>4</v>
      </c>
      <c r="F11" s="101">
        <f t="shared" si="0"/>
        <v>80</v>
      </c>
      <c r="G11">
        <f>VLOOKUP($C11,약재관리!A:J,10,FALSE)</f>
        <v>15</v>
      </c>
      <c r="H11" s="5">
        <f t="shared" si="1"/>
        <v>60</v>
      </c>
      <c r="I11" s="6">
        <f t="shared" si="2"/>
        <v>1200</v>
      </c>
      <c r="K11" s="155"/>
      <c r="L11" s="156"/>
      <c r="M11" s="157"/>
    </row>
    <row r="12" spans="2:13">
      <c r="B12" s="3">
        <v>11</v>
      </c>
      <c r="C12" t="s">
        <v>428</v>
      </c>
      <c r="D12" s="4"/>
      <c r="E12" s="88">
        <v>3</v>
      </c>
      <c r="F12" s="101">
        <f t="shared" si="0"/>
        <v>60</v>
      </c>
      <c r="G12">
        <f>VLOOKUP($C12,약재관리!A:J,10,FALSE)</f>
        <v>12.2</v>
      </c>
      <c r="H12" s="5">
        <f t="shared" si="1"/>
        <v>36.599999999999994</v>
      </c>
      <c r="I12" s="6">
        <f t="shared" si="2"/>
        <v>732</v>
      </c>
      <c r="K12" s="155"/>
      <c r="L12" s="156"/>
      <c r="M12" s="157"/>
    </row>
    <row r="13" spans="2:13" ht="17.25" thickBot="1">
      <c r="B13" s="3">
        <v>12</v>
      </c>
      <c r="C13" t="s">
        <v>420</v>
      </c>
      <c r="D13" s="4"/>
      <c r="E13" s="88">
        <v>4</v>
      </c>
      <c r="F13" s="101">
        <f t="shared" si="0"/>
        <v>80</v>
      </c>
      <c r="G13">
        <f>VLOOKUP($C13,약재관리!A:J,10,FALSE)</f>
        <v>28</v>
      </c>
      <c r="H13" s="5">
        <f t="shared" si="1"/>
        <v>112</v>
      </c>
      <c r="I13" s="6">
        <f t="shared" si="2"/>
        <v>2240</v>
      </c>
      <c r="K13" s="158"/>
      <c r="L13" s="159"/>
      <c r="M13" s="160"/>
    </row>
    <row r="14" spans="2:13">
      <c r="B14" s="3">
        <v>13</v>
      </c>
      <c r="C14" t="s">
        <v>421</v>
      </c>
      <c r="D14" s="4" t="s">
        <v>422</v>
      </c>
      <c r="E14" s="88">
        <v>4</v>
      </c>
      <c r="F14" s="101">
        <f t="shared" si="0"/>
        <v>80</v>
      </c>
      <c r="G14">
        <f>VLOOKUP($C14,약재관리!A:J,10,FALSE)</f>
        <v>8</v>
      </c>
      <c r="H14" s="5">
        <f t="shared" si="1"/>
        <v>32</v>
      </c>
      <c r="I14" s="6">
        <f t="shared" si="2"/>
        <v>640</v>
      </c>
      <c r="K14" s="92" t="s">
        <v>16</v>
      </c>
      <c r="L14" s="9">
        <v>15</v>
      </c>
      <c r="M14" s="10" t="s">
        <v>17</v>
      </c>
    </row>
    <row r="15" spans="2:13">
      <c r="B15" s="3">
        <v>14</v>
      </c>
      <c r="C15" t="s">
        <v>423</v>
      </c>
      <c r="D15" s="4" t="s">
        <v>424</v>
      </c>
      <c r="E15" s="88">
        <v>2</v>
      </c>
      <c r="F15" s="101">
        <f t="shared" si="0"/>
        <v>40</v>
      </c>
      <c r="G15">
        <f>VLOOKUP($C15,약재관리!A:J,10,FALSE)</f>
        <v>136.80000000000001</v>
      </c>
      <c r="H15" s="5">
        <f t="shared" si="1"/>
        <v>273.60000000000002</v>
      </c>
      <c r="I15" s="6">
        <f t="shared" si="2"/>
        <v>5472</v>
      </c>
      <c r="K15" s="91" t="s">
        <v>18</v>
      </c>
      <c r="L15">
        <v>20</v>
      </c>
      <c r="M15" s="4" t="s">
        <v>19</v>
      </c>
    </row>
    <row r="16" spans="2:13">
      <c r="B16" s="3">
        <v>15</v>
      </c>
      <c r="C16" t="s">
        <v>429</v>
      </c>
      <c r="D16" s="4"/>
      <c r="E16" s="88">
        <v>4</v>
      </c>
      <c r="F16" s="101">
        <f t="shared" si="0"/>
        <v>80</v>
      </c>
      <c r="G16">
        <f>VLOOKUP($C16,약재관리!A:J,10,FALSE)</f>
        <v>25.3</v>
      </c>
      <c r="H16" s="5">
        <f t="shared" si="1"/>
        <v>101.2</v>
      </c>
      <c r="I16" s="6">
        <f t="shared" si="2"/>
        <v>2024</v>
      </c>
      <c r="K16" s="91" t="s">
        <v>20</v>
      </c>
      <c r="L16">
        <v>45</v>
      </c>
      <c r="M16" s="4" t="s">
        <v>21</v>
      </c>
    </row>
    <row r="17" spans="2:13" ht="17.25" thickBot="1">
      <c r="B17" s="3">
        <v>16</v>
      </c>
      <c r="C17" t="s">
        <v>437</v>
      </c>
      <c r="D17" s="4"/>
      <c r="E17" s="88">
        <v>2</v>
      </c>
      <c r="F17" s="101">
        <f t="shared" si="0"/>
        <v>40</v>
      </c>
      <c r="G17">
        <f>VLOOKUP($C17,약재관리!A:J,10,FALSE)</f>
        <v>68</v>
      </c>
      <c r="H17" s="5">
        <f t="shared" si="1"/>
        <v>136</v>
      </c>
      <c r="I17" s="6">
        <f t="shared" si="2"/>
        <v>2720</v>
      </c>
      <c r="K17" s="14" t="s">
        <v>22</v>
      </c>
      <c r="L17" s="11">
        <v>100</v>
      </c>
      <c r="M17" s="12" t="s">
        <v>23</v>
      </c>
    </row>
    <row r="18" spans="2:13">
      <c r="B18" s="3">
        <v>17</v>
      </c>
      <c r="C18" t="s">
        <v>436</v>
      </c>
      <c r="D18" s="4"/>
      <c r="E18" s="88">
        <v>4</v>
      </c>
      <c r="F18" s="101">
        <f t="shared" si="0"/>
        <v>80</v>
      </c>
      <c r="G18">
        <f>VLOOKUP($C18,약재관리!A:J,10,FALSE)</f>
        <v>31.5</v>
      </c>
      <c r="H18" s="5">
        <f t="shared" si="1"/>
        <v>126</v>
      </c>
      <c r="I18" s="6">
        <f t="shared" si="2"/>
        <v>2520</v>
      </c>
      <c r="K18" s="92" t="s">
        <v>24</v>
      </c>
      <c r="L18" s="9">
        <f>SUM(E2:E31)</f>
        <v>81</v>
      </c>
      <c r="M18" s="10" t="s">
        <v>25</v>
      </c>
    </row>
    <row r="19" spans="2:13">
      <c r="B19" s="3">
        <v>18</v>
      </c>
      <c r="C19" t="s">
        <v>427</v>
      </c>
      <c r="D19" s="4" t="s">
        <v>422</v>
      </c>
      <c r="E19" s="88">
        <v>4</v>
      </c>
      <c r="F19" s="101">
        <f t="shared" si="0"/>
        <v>80</v>
      </c>
      <c r="G19">
        <f>VLOOKUP($C19,약재관리!A:J,10,FALSE)</f>
        <v>26</v>
      </c>
      <c r="H19" s="5">
        <f t="shared" si="1"/>
        <v>104</v>
      </c>
      <c r="I19" s="6">
        <f t="shared" si="2"/>
        <v>2080</v>
      </c>
      <c r="K19" s="91" t="s">
        <v>26</v>
      </c>
      <c r="L19">
        <f>L15*L18</f>
        <v>1620</v>
      </c>
      <c r="M19" s="4" t="s">
        <v>25</v>
      </c>
    </row>
    <row r="20" spans="2:13" ht="17.25" thickBot="1">
      <c r="B20" s="3">
        <v>19</v>
      </c>
      <c r="C20" t="s">
        <v>425</v>
      </c>
      <c r="D20" s="4"/>
      <c r="E20" s="88">
        <v>4</v>
      </c>
      <c r="F20" s="101">
        <f t="shared" si="0"/>
        <v>80</v>
      </c>
      <c r="G20">
        <f>VLOOKUP($C20,약재관리!A:J,10,FALSE)</f>
        <v>19.2</v>
      </c>
      <c r="H20" s="5">
        <f t="shared" si="1"/>
        <v>76.8</v>
      </c>
      <c r="I20" s="6">
        <f t="shared" si="2"/>
        <v>1536</v>
      </c>
      <c r="K20" s="14" t="s">
        <v>27</v>
      </c>
      <c r="L20" s="11">
        <f>L16*L17+L19</f>
        <v>6120</v>
      </c>
      <c r="M20" s="12" t="s">
        <v>23</v>
      </c>
    </row>
    <row r="21" spans="2:13" ht="17.25" thickBot="1">
      <c r="B21" s="3">
        <v>20</v>
      </c>
      <c r="C21" t="s">
        <v>435</v>
      </c>
      <c r="D21" s="4"/>
      <c r="E21" s="88">
        <v>4</v>
      </c>
      <c r="F21" s="101">
        <f t="shared" si="0"/>
        <v>80</v>
      </c>
      <c r="G21">
        <f>VLOOKUP($C21,약재관리!A:J,10,FALSE)</f>
        <v>7</v>
      </c>
      <c r="H21" s="5">
        <f t="shared" si="1"/>
        <v>28</v>
      </c>
      <c r="I21" s="6">
        <f t="shared" si="2"/>
        <v>560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1620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2016</v>
      </c>
      <c r="M30" s="4" t="s">
        <v>384</v>
      </c>
    </row>
    <row r="31" spans="2:13" ht="17.25" thickBot="1">
      <c r="B31" s="13">
        <v>30</v>
      </c>
      <c r="C31" s="14"/>
      <c r="D31" s="12"/>
      <c r="E31" s="95"/>
      <c r="F31" s="102">
        <f t="shared" si="0"/>
        <v>0</v>
      </c>
      <c r="H31" s="15">
        <f t="shared" si="1"/>
        <v>0</v>
      </c>
      <c r="I31" s="16">
        <f t="shared" si="2"/>
        <v>0</v>
      </c>
      <c r="K31" s="14" t="s">
        <v>383</v>
      </c>
      <c r="L31" s="15">
        <f>SUM(I2:I31)</f>
        <v>40320</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10</v>
      </c>
      <c r="F2" s="101">
        <f>E2*$L$15</f>
        <v>200</v>
      </c>
      <c r="G2">
        <f>VLOOKUP($C2,약재관리!A:J,10,FALSE)</f>
        <v>14.7</v>
      </c>
      <c r="H2" s="5">
        <f>G2*E2</f>
        <v>147</v>
      </c>
      <c r="I2" s="90">
        <f>G2*F2</f>
        <v>2940</v>
      </c>
      <c r="K2" s="7" t="s">
        <v>9</v>
      </c>
      <c r="L2" s="161">
        <v>86</v>
      </c>
      <c r="M2" s="162"/>
    </row>
    <row r="3" spans="2:13">
      <c r="B3" s="3">
        <v>2</v>
      </c>
      <c r="C3" t="s">
        <v>414</v>
      </c>
      <c r="D3" s="4"/>
      <c r="E3" s="88">
        <v>6</v>
      </c>
      <c r="F3" s="101">
        <f t="shared" ref="F3:F31" si="0">E3*$L$15</f>
        <v>120</v>
      </c>
      <c r="G3">
        <f>VLOOKUP($C3,약재관리!A:J,10,FALSE)</f>
        <v>17.600000000000001</v>
      </c>
      <c r="H3" s="5">
        <f t="shared" ref="H3:H31" si="1">G3*E3</f>
        <v>105.60000000000001</v>
      </c>
      <c r="I3" s="6">
        <f t="shared" ref="I3:I31" si="2">G3*F3</f>
        <v>2112</v>
      </c>
      <c r="K3" s="8" t="s">
        <v>10</v>
      </c>
      <c r="L3" s="163" t="s">
        <v>430</v>
      </c>
      <c r="M3" s="164"/>
    </row>
    <row r="4" spans="2:13">
      <c r="B4" s="3">
        <v>3</v>
      </c>
      <c r="C4" t="s">
        <v>412</v>
      </c>
      <c r="D4" s="4"/>
      <c r="E4" s="88">
        <v>6</v>
      </c>
      <c r="F4" s="101">
        <f t="shared" si="0"/>
        <v>120</v>
      </c>
      <c r="G4">
        <f>VLOOKUP($C4,약재관리!A:J,10,FALSE)</f>
        <v>47</v>
      </c>
      <c r="H4" s="5">
        <f t="shared" si="1"/>
        <v>282</v>
      </c>
      <c r="I4" s="6">
        <f t="shared" si="2"/>
        <v>5640</v>
      </c>
      <c r="K4" s="8" t="s">
        <v>11</v>
      </c>
      <c r="L4" s="165">
        <v>45720</v>
      </c>
      <c r="M4" s="164"/>
    </row>
    <row r="5" spans="2:13">
      <c r="B5" s="3">
        <v>4</v>
      </c>
      <c r="C5" t="s">
        <v>413</v>
      </c>
      <c r="D5" s="4"/>
      <c r="E5" s="88">
        <v>4</v>
      </c>
      <c r="F5" s="101">
        <f t="shared" si="0"/>
        <v>80</v>
      </c>
      <c r="G5">
        <f>VLOOKUP($C5,약재관리!A:J,10,FALSE)</f>
        <v>11</v>
      </c>
      <c r="H5" s="5">
        <f t="shared" si="1"/>
        <v>44</v>
      </c>
      <c r="I5" s="6">
        <f t="shared" si="2"/>
        <v>880</v>
      </c>
      <c r="K5" s="8" t="s">
        <v>12</v>
      </c>
      <c r="L5" s="163" t="s">
        <v>431</v>
      </c>
      <c r="M5" s="164"/>
    </row>
    <row r="6" spans="2:13">
      <c r="B6" s="3">
        <v>5</v>
      </c>
      <c r="C6" t="s">
        <v>433</v>
      </c>
      <c r="D6" s="4"/>
      <c r="E6" s="88">
        <v>4</v>
      </c>
      <c r="F6" s="101">
        <f t="shared" si="0"/>
        <v>80</v>
      </c>
      <c r="G6">
        <f>VLOOKUP($C6,약재관리!A:J,10,FALSE)</f>
        <v>30.3</v>
      </c>
      <c r="H6" s="5">
        <f t="shared" si="1"/>
        <v>121.2</v>
      </c>
      <c r="I6" s="6">
        <f t="shared" si="2"/>
        <v>2424</v>
      </c>
      <c r="K6" s="8" t="s">
        <v>13</v>
      </c>
      <c r="L6" s="163">
        <v>65</v>
      </c>
      <c r="M6" s="164"/>
    </row>
    <row r="7" spans="2:13" ht="17.25" thickBot="1">
      <c r="B7" s="3">
        <v>6</v>
      </c>
      <c r="C7" t="s">
        <v>415</v>
      </c>
      <c r="D7" s="4"/>
      <c r="E7" s="88">
        <v>4</v>
      </c>
      <c r="F7" s="101">
        <f t="shared" si="0"/>
        <v>80</v>
      </c>
      <c r="G7">
        <f>VLOOKUP($C7,약재관리!A:J,10,FALSE)</f>
        <v>16.7</v>
      </c>
      <c r="H7" s="5">
        <f t="shared" si="1"/>
        <v>66.8</v>
      </c>
      <c r="I7" s="6">
        <f t="shared" si="2"/>
        <v>1336</v>
      </c>
      <c r="K7" s="8" t="s">
        <v>14</v>
      </c>
      <c r="L7" s="147" t="s">
        <v>432</v>
      </c>
      <c r="M7" s="148"/>
    </row>
    <row r="8" spans="2:13" ht="17.25" thickBot="1">
      <c r="B8" s="3">
        <v>7</v>
      </c>
      <c r="C8" t="s">
        <v>419</v>
      </c>
      <c r="D8" s="4"/>
      <c r="E8" s="88">
        <v>4</v>
      </c>
      <c r="F8" s="101">
        <f t="shared" si="0"/>
        <v>80</v>
      </c>
      <c r="G8">
        <f>VLOOKUP($C8,약재관리!A:J,10,FALSE)</f>
        <v>15.4</v>
      </c>
      <c r="H8" s="5">
        <f t="shared" si="1"/>
        <v>61.6</v>
      </c>
      <c r="I8" s="6">
        <f t="shared" si="2"/>
        <v>1232</v>
      </c>
      <c r="K8" s="149" t="s">
        <v>15</v>
      </c>
      <c r="L8" s="150"/>
      <c r="M8" s="151"/>
    </row>
    <row r="9" spans="2:13">
      <c r="B9" s="3">
        <v>8</v>
      </c>
      <c r="C9" t="s">
        <v>416</v>
      </c>
      <c r="D9" s="4"/>
      <c r="E9" s="88">
        <v>2</v>
      </c>
      <c r="F9" s="101">
        <f t="shared" si="0"/>
        <v>40</v>
      </c>
      <c r="G9">
        <f>VLOOKUP($C9,약재관리!A:J,10,FALSE)</f>
        <v>22.5</v>
      </c>
      <c r="H9" s="5">
        <f t="shared" si="1"/>
        <v>45</v>
      </c>
      <c r="I9" s="6">
        <f t="shared" si="2"/>
        <v>900</v>
      </c>
      <c r="K9" s="152" t="s">
        <v>434</v>
      </c>
      <c r="L9" s="153"/>
      <c r="M9" s="154"/>
    </row>
    <row r="10" spans="2:13">
      <c r="B10" s="3">
        <v>9</v>
      </c>
      <c r="C10" t="s">
        <v>417</v>
      </c>
      <c r="D10" s="4"/>
      <c r="E10" s="88">
        <v>2</v>
      </c>
      <c r="F10" s="101">
        <f t="shared" si="0"/>
        <v>40</v>
      </c>
      <c r="G10">
        <f>VLOOKUP($C10,약재관리!A:J,10,FALSE)</f>
        <v>28.3</v>
      </c>
      <c r="H10" s="5">
        <f t="shared" si="1"/>
        <v>56.6</v>
      </c>
      <c r="I10" s="6">
        <f t="shared" si="2"/>
        <v>1132</v>
      </c>
      <c r="K10" s="155"/>
      <c r="L10" s="156"/>
      <c r="M10" s="157"/>
    </row>
    <row r="11" spans="2:13">
      <c r="B11" s="3">
        <v>10</v>
      </c>
      <c r="C11" t="s">
        <v>418</v>
      </c>
      <c r="D11" s="4"/>
      <c r="E11" s="88">
        <v>4</v>
      </c>
      <c r="F11" s="101">
        <f t="shared" si="0"/>
        <v>80</v>
      </c>
      <c r="G11">
        <f>VLOOKUP($C11,약재관리!A:J,10,FALSE)</f>
        <v>15</v>
      </c>
      <c r="H11" s="5">
        <f t="shared" si="1"/>
        <v>60</v>
      </c>
      <c r="I11" s="6">
        <f t="shared" si="2"/>
        <v>1200</v>
      </c>
      <c r="K11" s="155"/>
      <c r="L11" s="156"/>
      <c r="M11" s="157"/>
    </row>
    <row r="12" spans="2:13">
      <c r="B12" s="3">
        <v>11</v>
      </c>
      <c r="C12" t="s">
        <v>428</v>
      </c>
      <c r="D12" s="4"/>
      <c r="E12" s="88">
        <v>3</v>
      </c>
      <c r="F12" s="101">
        <f t="shared" si="0"/>
        <v>60</v>
      </c>
      <c r="G12">
        <f>VLOOKUP($C12,약재관리!A:J,10,FALSE)</f>
        <v>12.2</v>
      </c>
      <c r="H12" s="5">
        <f t="shared" si="1"/>
        <v>36.599999999999994</v>
      </c>
      <c r="I12" s="6">
        <f t="shared" si="2"/>
        <v>732</v>
      </c>
      <c r="K12" s="155"/>
      <c r="L12" s="156"/>
      <c r="M12" s="157"/>
    </row>
    <row r="13" spans="2:13" ht="17.25" thickBot="1">
      <c r="B13" s="3">
        <v>12</v>
      </c>
      <c r="C13" t="s">
        <v>420</v>
      </c>
      <c r="D13" s="4"/>
      <c r="E13" s="88">
        <v>4</v>
      </c>
      <c r="F13" s="101">
        <f t="shared" si="0"/>
        <v>80</v>
      </c>
      <c r="G13">
        <f>VLOOKUP($C13,약재관리!A:J,10,FALSE)</f>
        <v>28</v>
      </c>
      <c r="H13" s="5">
        <f t="shared" si="1"/>
        <v>112</v>
      </c>
      <c r="I13" s="6">
        <f t="shared" si="2"/>
        <v>2240</v>
      </c>
      <c r="K13" s="158"/>
      <c r="L13" s="159"/>
      <c r="M13" s="160"/>
    </row>
    <row r="14" spans="2:13">
      <c r="B14" s="3">
        <v>13</v>
      </c>
      <c r="C14" t="s">
        <v>421</v>
      </c>
      <c r="D14" s="4" t="s">
        <v>422</v>
      </c>
      <c r="E14" s="88">
        <v>4</v>
      </c>
      <c r="F14" s="101">
        <f t="shared" si="0"/>
        <v>80</v>
      </c>
      <c r="G14">
        <f>VLOOKUP($C14,약재관리!A:J,10,FALSE)</f>
        <v>8</v>
      </c>
      <c r="H14" s="5">
        <f t="shared" si="1"/>
        <v>32</v>
      </c>
      <c r="I14" s="6">
        <f t="shared" si="2"/>
        <v>640</v>
      </c>
      <c r="K14" s="92" t="s">
        <v>16</v>
      </c>
      <c r="L14" s="9">
        <v>15</v>
      </c>
      <c r="M14" s="10" t="s">
        <v>17</v>
      </c>
    </row>
    <row r="15" spans="2:13">
      <c r="B15" s="3">
        <v>14</v>
      </c>
      <c r="C15" t="s">
        <v>423</v>
      </c>
      <c r="D15" s="4" t="s">
        <v>424</v>
      </c>
      <c r="E15" s="88">
        <v>3</v>
      </c>
      <c r="F15" s="101">
        <f t="shared" si="0"/>
        <v>60</v>
      </c>
      <c r="G15">
        <f>VLOOKUP($C15,약재관리!A:J,10,FALSE)</f>
        <v>136.80000000000001</v>
      </c>
      <c r="H15" s="5">
        <f t="shared" si="1"/>
        <v>410.40000000000003</v>
      </c>
      <c r="I15" s="6">
        <f t="shared" si="2"/>
        <v>8208</v>
      </c>
      <c r="K15" s="91" t="s">
        <v>18</v>
      </c>
      <c r="L15">
        <v>20</v>
      </c>
      <c r="M15" s="4" t="s">
        <v>19</v>
      </c>
    </row>
    <row r="16" spans="2:13">
      <c r="B16" s="3">
        <v>15</v>
      </c>
      <c r="C16" t="s">
        <v>429</v>
      </c>
      <c r="D16" s="4"/>
      <c r="E16" s="88">
        <v>4</v>
      </c>
      <c r="F16" s="101">
        <f t="shared" si="0"/>
        <v>80</v>
      </c>
      <c r="G16">
        <f>VLOOKUP($C16,약재관리!A:J,10,FALSE)</f>
        <v>25.3</v>
      </c>
      <c r="H16" s="5">
        <f t="shared" si="1"/>
        <v>101.2</v>
      </c>
      <c r="I16" s="6">
        <f t="shared" si="2"/>
        <v>2024</v>
      </c>
      <c r="K16" s="91" t="s">
        <v>20</v>
      </c>
      <c r="L16">
        <v>45</v>
      </c>
      <c r="M16" s="4" t="s">
        <v>21</v>
      </c>
    </row>
    <row r="17" spans="2:13" ht="17.25" thickBot="1">
      <c r="B17" s="3">
        <v>16</v>
      </c>
      <c r="C17" t="s">
        <v>425</v>
      </c>
      <c r="D17" s="4"/>
      <c r="E17" s="88">
        <v>6</v>
      </c>
      <c r="F17" s="101">
        <f t="shared" si="0"/>
        <v>120</v>
      </c>
      <c r="G17">
        <f>VLOOKUP($C17,약재관리!A:J,10,FALSE)</f>
        <v>19.2</v>
      </c>
      <c r="H17" s="5">
        <f t="shared" si="1"/>
        <v>115.19999999999999</v>
      </c>
      <c r="I17" s="6">
        <f t="shared" si="2"/>
        <v>2304</v>
      </c>
      <c r="K17" s="14" t="s">
        <v>22</v>
      </c>
      <c r="L17" s="11">
        <v>100</v>
      </c>
      <c r="M17" s="12" t="s">
        <v>23</v>
      </c>
    </row>
    <row r="18" spans="2:13">
      <c r="B18" s="3">
        <v>17</v>
      </c>
      <c r="C18" t="s">
        <v>426</v>
      </c>
      <c r="D18" s="4"/>
      <c r="E18" s="88">
        <v>2</v>
      </c>
      <c r="F18" s="101">
        <f t="shared" si="0"/>
        <v>40</v>
      </c>
      <c r="G18">
        <f>VLOOKUP($C18,약재관리!A:J,10,FALSE)</f>
        <v>21.8</v>
      </c>
      <c r="H18" s="5">
        <f t="shared" si="1"/>
        <v>43.6</v>
      </c>
      <c r="I18" s="6">
        <f t="shared" si="2"/>
        <v>872</v>
      </c>
      <c r="K18" s="92" t="s">
        <v>24</v>
      </c>
      <c r="L18" s="9">
        <f>SUM(E2:E31)</f>
        <v>76</v>
      </c>
      <c r="M18" s="10" t="s">
        <v>25</v>
      </c>
    </row>
    <row r="19" spans="2:13">
      <c r="B19" s="3">
        <v>18</v>
      </c>
      <c r="C19" t="s">
        <v>427</v>
      </c>
      <c r="D19" s="4" t="s">
        <v>422</v>
      </c>
      <c r="E19" s="88">
        <v>4</v>
      </c>
      <c r="F19" s="101">
        <f t="shared" si="0"/>
        <v>80</v>
      </c>
      <c r="G19">
        <f>VLOOKUP($C19,약재관리!A:J,10,FALSE)</f>
        <v>26</v>
      </c>
      <c r="H19" s="5">
        <f t="shared" si="1"/>
        <v>104</v>
      </c>
      <c r="I19" s="6">
        <f t="shared" si="2"/>
        <v>2080</v>
      </c>
      <c r="K19" s="91" t="s">
        <v>26</v>
      </c>
      <c r="L19">
        <f>L15*L18</f>
        <v>1520</v>
      </c>
      <c r="M19" s="4" t="s">
        <v>25</v>
      </c>
    </row>
    <row r="20" spans="2:13" ht="17.25" thickBot="1">
      <c r="B20" s="3">
        <v>19</v>
      </c>
      <c r="D20" s="4"/>
      <c r="F20" s="101">
        <f t="shared" si="0"/>
        <v>0</v>
      </c>
      <c r="H20" s="5">
        <f t="shared" si="1"/>
        <v>0</v>
      </c>
      <c r="I20" s="6">
        <f t="shared" si="2"/>
        <v>0</v>
      </c>
      <c r="K20" s="14" t="s">
        <v>27</v>
      </c>
      <c r="L20" s="11">
        <f>L16*L17+L19</f>
        <v>6020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1520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1944.8000000000002</v>
      </c>
      <c r="M30" s="4" t="s">
        <v>384</v>
      </c>
    </row>
    <row r="31" spans="2:13" ht="17.25" thickBot="1">
      <c r="B31" s="13">
        <v>30</v>
      </c>
      <c r="C31" s="14"/>
      <c r="D31" s="12"/>
      <c r="E31" s="95"/>
      <c r="F31" s="102">
        <f t="shared" si="0"/>
        <v>0</v>
      </c>
      <c r="H31" s="15">
        <f t="shared" si="1"/>
        <v>0</v>
      </c>
      <c r="I31" s="16">
        <f t="shared" si="2"/>
        <v>0</v>
      </c>
      <c r="K31" s="14" t="s">
        <v>383</v>
      </c>
      <c r="L31" s="15">
        <f>SUM(I2:I31)</f>
        <v>38896</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zoomScaleNormal="100" workbookViewId="0">
      <selection activeCell="J62" sqref="J62"/>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18000</v>
      </c>
      <c r="D114" s="49">
        <v>15000</v>
      </c>
      <c r="E114" s="50">
        <v>24100</v>
      </c>
      <c r="F114" s="73">
        <f t="shared" si="9"/>
        <v>0</v>
      </c>
      <c r="G114" s="51">
        <f>C114/500</f>
        <v>36</v>
      </c>
      <c r="H114" s="51">
        <f>D114/600</f>
        <v>25</v>
      </c>
      <c r="I114" s="60">
        <f>E114/600</f>
        <v>40.166666666666664</v>
      </c>
      <c r="J114" s="52">
        <v>36</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2025-04-09T00:43:28Z</cp:lastPrinted>
  <dcterms:created xsi:type="dcterms:W3CDTF">2024-09-12T16:35:01Z</dcterms:created>
  <dcterms:modified xsi:type="dcterms:W3CDTF">2026-01-05T01:38:59Z</dcterms:modified>
</cp:coreProperties>
</file>