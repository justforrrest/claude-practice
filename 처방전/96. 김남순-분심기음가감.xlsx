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901" documentId="8_{6EB8DC0A-AB56-415F-A9F3-EA1534264548}" xr6:coauthVersionLast="47" xr6:coauthVersionMax="47" xr10:uidLastSave="{B37514E3-2967-44D3-B60A-B215796389A3}"/>
  <bookViews>
    <workbookView xWindow="-120" yWindow="15" windowWidth="15270" windowHeight="15450" xr2:uid="{8B9F1886-173A-4475-B0CF-D9F36CE30773}"/>
  </bookViews>
  <sheets>
    <sheet name="처방전양식 (6)" sheetId="10" r:id="rId1"/>
    <sheet name="처방전양식 (5)" sheetId="9" r:id="rId2"/>
    <sheet name="처방전양식 (4)" sheetId="8" r:id="rId3"/>
    <sheet name="처방전양식 (3)" sheetId="7" r:id="rId4"/>
    <sheet name="처방전양식 (2)" sheetId="6" r:id="rId5"/>
    <sheet name="처방전양식" sheetId="4" r:id="rId6"/>
    <sheet name="약재관리"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0" l="1"/>
  <c r="H24" i="10" s="1"/>
  <c r="G23" i="10"/>
  <c r="H23" i="10" s="1"/>
  <c r="H25" i="10"/>
  <c r="H31" i="10"/>
  <c r="F31" i="10"/>
  <c r="I31" i="10" s="1"/>
  <c r="I30" i="10"/>
  <c r="H30" i="10"/>
  <c r="F30" i="10"/>
  <c r="H29" i="10"/>
  <c r="F29" i="10"/>
  <c r="I29" i="10" s="1"/>
  <c r="H28" i="10"/>
  <c r="F28" i="10"/>
  <c r="I28" i="10" s="1"/>
  <c r="H27" i="10"/>
  <c r="F27" i="10"/>
  <c r="I27" i="10" s="1"/>
  <c r="H26" i="10"/>
  <c r="F26" i="10"/>
  <c r="I26" i="10" s="1"/>
  <c r="F25" i="10"/>
  <c r="F24" i="10"/>
  <c r="F23" i="10"/>
  <c r="G22" i="10"/>
  <c r="F22" i="10"/>
  <c r="G21" i="10"/>
  <c r="F21" i="10"/>
  <c r="G20" i="10"/>
  <c r="I20" i="10" s="1"/>
  <c r="F20" i="10"/>
  <c r="G19" i="10"/>
  <c r="H19" i="10" s="1"/>
  <c r="F19" i="10"/>
  <c r="L18" i="10"/>
  <c r="L19" i="10" s="1"/>
  <c r="L20" i="10" s="1"/>
  <c r="G18" i="10"/>
  <c r="F18" i="10"/>
  <c r="G17" i="10"/>
  <c r="F17" i="10"/>
  <c r="G16" i="10"/>
  <c r="F16" i="10"/>
  <c r="G15" i="10"/>
  <c r="F15" i="10"/>
  <c r="G14" i="10"/>
  <c r="F14" i="10"/>
  <c r="G13" i="10"/>
  <c r="F13" i="10"/>
  <c r="G12" i="10"/>
  <c r="F12" i="10"/>
  <c r="G11" i="10"/>
  <c r="F11" i="10"/>
  <c r="G10" i="10"/>
  <c r="F10" i="10"/>
  <c r="G9" i="10"/>
  <c r="F9" i="10"/>
  <c r="G8" i="10"/>
  <c r="F8" i="10"/>
  <c r="G7" i="10"/>
  <c r="F7" i="10"/>
  <c r="G6" i="10"/>
  <c r="F6" i="10"/>
  <c r="G5" i="10"/>
  <c r="F5" i="10"/>
  <c r="G4" i="10"/>
  <c r="F4" i="10"/>
  <c r="G3" i="10"/>
  <c r="F3" i="10"/>
  <c r="G2" i="10"/>
  <c r="F2" i="10"/>
  <c r="G22" i="9"/>
  <c r="H22" i="9" s="1"/>
  <c r="H23" i="9"/>
  <c r="H31" i="9"/>
  <c r="F31" i="9"/>
  <c r="I31" i="9" s="1"/>
  <c r="H30" i="9"/>
  <c r="F30" i="9"/>
  <c r="I30" i="9" s="1"/>
  <c r="H29" i="9"/>
  <c r="F29" i="9"/>
  <c r="I29" i="9" s="1"/>
  <c r="H28" i="9"/>
  <c r="F28" i="9"/>
  <c r="I28" i="9" s="1"/>
  <c r="H27" i="9"/>
  <c r="F27" i="9"/>
  <c r="I27" i="9" s="1"/>
  <c r="H26" i="9"/>
  <c r="F26" i="9"/>
  <c r="I26" i="9" s="1"/>
  <c r="H25" i="9"/>
  <c r="F25" i="9"/>
  <c r="I25" i="9" s="1"/>
  <c r="I24" i="9"/>
  <c r="H24" i="9"/>
  <c r="F24" i="9"/>
  <c r="F23" i="9"/>
  <c r="F22" i="9"/>
  <c r="G21" i="9"/>
  <c r="F21" i="9"/>
  <c r="G20" i="9"/>
  <c r="F20" i="9"/>
  <c r="G19" i="9"/>
  <c r="I19" i="9" s="1"/>
  <c r="F19" i="9"/>
  <c r="L18" i="9"/>
  <c r="L19" i="9" s="1"/>
  <c r="L20" i="9" s="1"/>
  <c r="G18" i="9"/>
  <c r="F18" i="9"/>
  <c r="G17" i="9"/>
  <c r="I17" i="9" s="1"/>
  <c r="F17" i="9"/>
  <c r="G16" i="9"/>
  <c r="I16" i="9" s="1"/>
  <c r="F16" i="9"/>
  <c r="G15" i="9"/>
  <c r="I15" i="9" s="1"/>
  <c r="F15" i="9"/>
  <c r="G14" i="9"/>
  <c r="F14" i="9"/>
  <c r="G13" i="9"/>
  <c r="H13" i="9" s="1"/>
  <c r="F13" i="9"/>
  <c r="G12" i="9"/>
  <c r="I12" i="9" s="1"/>
  <c r="F12" i="9"/>
  <c r="G11" i="9"/>
  <c r="I11" i="9" s="1"/>
  <c r="F11" i="9"/>
  <c r="G10" i="9"/>
  <c r="F10" i="9"/>
  <c r="G9" i="9"/>
  <c r="I9" i="9" s="1"/>
  <c r="F9" i="9"/>
  <c r="G8" i="9"/>
  <c r="F8" i="9"/>
  <c r="G7" i="9"/>
  <c r="I7" i="9" s="1"/>
  <c r="F7" i="9"/>
  <c r="G6" i="9"/>
  <c r="I6" i="9" s="1"/>
  <c r="F6" i="9"/>
  <c r="G5" i="9"/>
  <c r="I5" i="9" s="1"/>
  <c r="F5" i="9"/>
  <c r="G4" i="9"/>
  <c r="H4" i="9" s="1"/>
  <c r="F4" i="9"/>
  <c r="G3" i="9"/>
  <c r="I3" i="9" s="1"/>
  <c r="F3" i="9"/>
  <c r="G2" i="9"/>
  <c r="I2" i="9" s="1"/>
  <c r="F2" i="9"/>
  <c r="F3" i="8"/>
  <c r="F4" i="8"/>
  <c r="F5" i="8"/>
  <c r="F6" i="8"/>
  <c r="F7" i="8"/>
  <c r="F8" i="8"/>
  <c r="F9" i="8"/>
  <c r="F10" i="8"/>
  <c r="F11" i="8"/>
  <c r="F12" i="8"/>
  <c r="F13" i="8"/>
  <c r="F14" i="8"/>
  <c r="F15" i="8"/>
  <c r="F16" i="8"/>
  <c r="F17" i="8"/>
  <c r="F18" i="8"/>
  <c r="F19" i="8"/>
  <c r="F20" i="8"/>
  <c r="F21" i="8"/>
  <c r="F2" i="8"/>
  <c r="G21" i="8"/>
  <c r="H31" i="8"/>
  <c r="F31" i="8"/>
  <c r="I31" i="8" s="1"/>
  <c r="H30" i="8"/>
  <c r="F30" i="8"/>
  <c r="I30" i="8" s="1"/>
  <c r="H29" i="8"/>
  <c r="F29" i="8"/>
  <c r="I29" i="8" s="1"/>
  <c r="H28" i="8"/>
  <c r="F28" i="8"/>
  <c r="I28" i="8" s="1"/>
  <c r="H27" i="8"/>
  <c r="F27" i="8"/>
  <c r="I27" i="8" s="1"/>
  <c r="I26" i="8"/>
  <c r="H26" i="8"/>
  <c r="F26" i="8"/>
  <c r="I25" i="8"/>
  <c r="H25" i="8"/>
  <c r="F25" i="8"/>
  <c r="I24" i="8"/>
  <c r="H24" i="8"/>
  <c r="F24" i="8"/>
  <c r="I23" i="8"/>
  <c r="H23" i="8"/>
  <c r="F23" i="8"/>
  <c r="H22" i="8"/>
  <c r="F22" i="8"/>
  <c r="I22" i="8" s="1"/>
  <c r="G20" i="8"/>
  <c r="I20" i="8" s="1"/>
  <c r="G19" i="8"/>
  <c r="I19" i="8" s="1"/>
  <c r="L18" i="8"/>
  <c r="L19" i="8" s="1"/>
  <c r="L20" i="8" s="1"/>
  <c r="G18" i="8"/>
  <c r="I18" i="8" s="1"/>
  <c r="G17" i="8"/>
  <c r="I17" i="8" s="1"/>
  <c r="G16" i="8"/>
  <c r="I16" i="8" s="1"/>
  <c r="G15" i="8"/>
  <c r="I15" i="8" s="1"/>
  <c r="G14" i="8"/>
  <c r="G13" i="8"/>
  <c r="H13" i="8" s="1"/>
  <c r="G12" i="8"/>
  <c r="I12" i="8" s="1"/>
  <c r="G11" i="8"/>
  <c r="G10" i="8"/>
  <c r="H10" i="8" s="1"/>
  <c r="G9" i="8"/>
  <c r="I9" i="8" s="1"/>
  <c r="G8" i="8"/>
  <c r="I8" i="8" s="1"/>
  <c r="G7" i="8"/>
  <c r="H7" i="8" s="1"/>
  <c r="G6" i="8"/>
  <c r="I6" i="8" s="1"/>
  <c r="G5" i="8"/>
  <c r="I5" i="8" s="1"/>
  <c r="G4" i="8"/>
  <c r="I4" i="8" s="1"/>
  <c r="G3" i="8"/>
  <c r="I3" i="8" s="1"/>
  <c r="G2" i="8"/>
  <c r="I2" i="8" s="1"/>
  <c r="G21" i="7"/>
  <c r="H21" i="7" s="1"/>
  <c r="H31" i="7"/>
  <c r="F31" i="7"/>
  <c r="I31" i="7" s="1"/>
  <c r="H30" i="7"/>
  <c r="F30" i="7"/>
  <c r="I30" i="7" s="1"/>
  <c r="I29" i="7"/>
  <c r="H29" i="7"/>
  <c r="F29" i="7"/>
  <c r="H28" i="7"/>
  <c r="F28" i="7"/>
  <c r="I28" i="7" s="1"/>
  <c r="H27" i="7"/>
  <c r="F27" i="7"/>
  <c r="I27" i="7" s="1"/>
  <c r="I26" i="7"/>
  <c r="H26" i="7"/>
  <c r="F26" i="7"/>
  <c r="I25" i="7"/>
  <c r="H25" i="7"/>
  <c r="F25" i="7"/>
  <c r="I24" i="7"/>
  <c r="H24" i="7"/>
  <c r="F24" i="7"/>
  <c r="H23" i="7"/>
  <c r="F23" i="7"/>
  <c r="I23" i="7" s="1"/>
  <c r="H22" i="7"/>
  <c r="F22" i="7"/>
  <c r="I22" i="7" s="1"/>
  <c r="F21" i="7"/>
  <c r="G20" i="7"/>
  <c r="H20" i="7" s="1"/>
  <c r="F20" i="7"/>
  <c r="I19" i="7"/>
  <c r="G19" i="7"/>
  <c r="H19" i="7" s="1"/>
  <c r="F19" i="7"/>
  <c r="L18" i="7"/>
  <c r="L19" i="7" s="1"/>
  <c r="L20" i="7" s="1"/>
  <c r="G18" i="7"/>
  <c r="H18" i="7" s="1"/>
  <c r="F18" i="7"/>
  <c r="G17" i="7"/>
  <c r="I17" i="7" s="1"/>
  <c r="F17" i="7"/>
  <c r="G16" i="7"/>
  <c r="I16" i="7" s="1"/>
  <c r="F16" i="7"/>
  <c r="G15" i="7"/>
  <c r="H15" i="7" s="1"/>
  <c r="F15" i="7"/>
  <c r="G14" i="7"/>
  <c r="I14" i="7" s="1"/>
  <c r="F14" i="7"/>
  <c r="G13" i="7"/>
  <c r="F13" i="7"/>
  <c r="G12" i="7"/>
  <c r="H12" i="7" s="1"/>
  <c r="F12" i="7"/>
  <c r="G11" i="7"/>
  <c r="I11" i="7" s="1"/>
  <c r="F11" i="7"/>
  <c r="G10" i="7"/>
  <c r="I10" i="7" s="1"/>
  <c r="F10" i="7"/>
  <c r="G9" i="7"/>
  <c r="H9" i="7" s="1"/>
  <c r="F9" i="7"/>
  <c r="G8" i="7"/>
  <c r="I8" i="7" s="1"/>
  <c r="F8" i="7"/>
  <c r="G7" i="7"/>
  <c r="I7" i="7" s="1"/>
  <c r="F7" i="7"/>
  <c r="G6" i="7"/>
  <c r="H6" i="7" s="1"/>
  <c r="F6" i="7"/>
  <c r="G5" i="7"/>
  <c r="I5" i="7" s="1"/>
  <c r="F5" i="7"/>
  <c r="G4" i="7"/>
  <c r="I4" i="7" s="1"/>
  <c r="F4" i="7"/>
  <c r="G3" i="7"/>
  <c r="H3" i="7" s="1"/>
  <c r="F3" i="7"/>
  <c r="G2" i="7"/>
  <c r="I2" i="7" s="1"/>
  <c r="F2" i="7"/>
  <c r="H31" i="6"/>
  <c r="F31" i="6"/>
  <c r="I31" i="6" s="1"/>
  <c r="H30" i="6"/>
  <c r="F30" i="6"/>
  <c r="I30" i="6" s="1"/>
  <c r="H29" i="6"/>
  <c r="F29" i="6"/>
  <c r="I29" i="6" s="1"/>
  <c r="I28" i="6"/>
  <c r="H28" i="6"/>
  <c r="F28" i="6"/>
  <c r="H27" i="6"/>
  <c r="F27" i="6"/>
  <c r="I27" i="6" s="1"/>
  <c r="H26" i="6"/>
  <c r="F26" i="6"/>
  <c r="I26" i="6" s="1"/>
  <c r="H25" i="6"/>
  <c r="F25" i="6"/>
  <c r="I25" i="6" s="1"/>
  <c r="I24" i="6"/>
  <c r="H24" i="6"/>
  <c r="F24" i="6"/>
  <c r="H23" i="6"/>
  <c r="F23" i="6"/>
  <c r="I23" i="6" s="1"/>
  <c r="H22" i="6"/>
  <c r="F22" i="6"/>
  <c r="I22" i="6" s="1"/>
  <c r="H21" i="6"/>
  <c r="F21" i="6"/>
  <c r="I21" i="6" s="1"/>
  <c r="G20" i="6"/>
  <c r="I20" i="6" s="1"/>
  <c r="F20" i="6"/>
  <c r="G19" i="6"/>
  <c r="I19" i="6" s="1"/>
  <c r="F19" i="6"/>
  <c r="L18" i="6"/>
  <c r="L19" i="6" s="1"/>
  <c r="L20" i="6" s="1"/>
  <c r="G18" i="6"/>
  <c r="H18" i="6" s="1"/>
  <c r="F18" i="6"/>
  <c r="G17" i="6"/>
  <c r="I17" i="6" s="1"/>
  <c r="F17" i="6"/>
  <c r="G16" i="6"/>
  <c r="I16" i="6" s="1"/>
  <c r="F16" i="6"/>
  <c r="G15" i="6"/>
  <c r="H15" i="6" s="1"/>
  <c r="F15" i="6"/>
  <c r="G14" i="6"/>
  <c r="I14" i="6" s="1"/>
  <c r="F14" i="6"/>
  <c r="G13" i="6"/>
  <c r="I13" i="6" s="1"/>
  <c r="F13" i="6"/>
  <c r="G12" i="6"/>
  <c r="H12" i="6" s="1"/>
  <c r="F12" i="6"/>
  <c r="G11" i="6"/>
  <c r="I11" i="6" s="1"/>
  <c r="F11" i="6"/>
  <c r="G10" i="6"/>
  <c r="I10" i="6" s="1"/>
  <c r="F10" i="6"/>
  <c r="G9" i="6"/>
  <c r="H9" i="6" s="1"/>
  <c r="F9" i="6"/>
  <c r="G8" i="6"/>
  <c r="I8" i="6" s="1"/>
  <c r="F8" i="6"/>
  <c r="G7" i="6"/>
  <c r="I7" i="6" s="1"/>
  <c r="F7" i="6"/>
  <c r="G6" i="6"/>
  <c r="H6" i="6" s="1"/>
  <c r="F6" i="6"/>
  <c r="G5" i="6"/>
  <c r="I5" i="6" s="1"/>
  <c r="F5" i="6"/>
  <c r="G4" i="6"/>
  <c r="I4" i="6" s="1"/>
  <c r="F4" i="6"/>
  <c r="G3" i="6"/>
  <c r="H3" i="6" s="1"/>
  <c r="F3" i="6"/>
  <c r="G2" i="6"/>
  <c r="I2" i="6" s="1"/>
  <c r="F2" i="6"/>
  <c r="L23" i="6" s="1"/>
  <c r="G20" i="4"/>
  <c r="I86" i="5"/>
  <c r="I53" i="5"/>
  <c r="I54" i="5"/>
  <c r="I127" i="5"/>
  <c r="G142" i="5"/>
  <c r="I145" i="5"/>
  <c r="H145" i="5"/>
  <c r="G145" i="5"/>
  <c r="F145" i="5"/>
  <c r="G171" i="5"/>
  <c r="G3" i="4"/>
  <c r="G4" i="4"/>
  <c r="G5" i="4"/>
  <c r="G6" i="4"/>
  <c r="G7" i="4"/>
  <c r="G8" i="4"/>
  <c r="G9" i="4"/>
  <c r="G10" i="4"/>
  <c r="G11" i="4"/>
  <c r="G12" i="4"/>
  <c r="G13" i="4"/>
  <c r="G14" i="4"/>
  <c r="G15" i="4"/>
  <c r="G16" i="4"/>
  <c r="G17" i="4"/>
  <c r="G18" i="4"/>
  <c r="G19"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23" i="10" l="1"/>
  <c r="I24" i="10"/>
  <c r="I25" i="10"/>
  <c r="I22" i="10"/>
  <c r="I21" i="10"/>
  <c r="I18" i="10"/>
  <c r="I17" i="10"/>
  <c r="I16" i="10"/>
  <c r="I15" i="10"/>
  <c r="I13" i="10"/>
  <c r="I12" i="10"/>
  <c r="I11" i="10"/>
  <c r="I10" i="10"/>
  <c r="I9" i="10"/>
  <c r="I7" i="10"/>
  <c r="I6" i="10"/>
  <c r="I5" i="10"/>
  <c r="I4" i="10"/>
  <c r="I3" i="10"/>
  <c r="L23" i="10"/>
  <c r="I2" i="10"/>
  <c r="I14" i="10"/>
  <c r="I19" i="10"/>
  <c r="I8" i="10"/>
  <c r="I10" i="9"/>
  <c r="I20" i="9"/>
  <c r="H21" i="10"/>
  <c r="H4" i="10"/>
  <c r="H7" i="10"/>
  <c r="H10" i="10"/>
  <c r="H13" i="10"/>
  <c r="H16" i="10"/>
  <c r="H22" i="10"/>
  <c r="H2" i="10"/>
  <c r="H5" i="10"/>
  <c r="H8" i="10"/>
  <c r="H11" i="10"/>
  <c r="H14" i="10"/>
  <c r="H17" i="10"/>
  <c r="H20" i="10"/>
  <c r="H3" i="10"/>
  <c r="H6" i="10"/>
  <c r="H9" i="10"/>
  <c r="H12" i="10"/>
  <c r="H15" i="10"/>
  <c r="H18" i="10"/>
  <c r="I18" i="9"/>
  <c r="I8" i="9"/>
  <c r="I22" i="9"/>
  <c r="I23" i="9"/>
  <c r="I21" i="9"/>
  <c r="I14" i="9"/>
  <c r="L23" i="9"/>
  <c r="H21" i="9"/>
  <c r="H7" i="9"/>
  <c r="H10" i="9"/>
  <c r="H16" i="9"/>
  <c r="I4" i="9"/>
  <c r="I13" i="9"/>
  <c r="H19" i="9"/>
  <c r="H2" i="9"/>
  <c r="H5" i="9"/>
  <c r="H8" i="9"/>
  <c r="H11" i="9"/>
  <c r="H14" i="9"/>
  <c r="H17" i="9"/>
  <c r="H20" i="9"/>
  <c r="H3" i="9"/>
  <c r="H6" i="9"/>
  <c r="H9" i="9"/>
  <c r="H12" i="9"/>
  <c r="H15" i="9"/>
  <c r="H18" i="9"/>
  <c r="L23" i="8"/>
  <c r="I21" i="8"/>
  <c r="I11" i="8"/>
  <c r="I14" i="8"/>
  <c r="H21" i="8"/>
  <c r="H4" i="8"/>
  <c r="H16" i="8"/>
  <c r="I7" i="8"/>
  <c r="I10" i="8"/>
  <c r="I13" i="8"/>
  <c r="H19" i="8"/>
  <c r="H2" i="8"/>
  <c r="H5" i="8"/>
  <c r="H8" i="8"/>
  <c r="H11" i="8"/>
  <c r="H14" i="8"/>
  <c r="H17" i="8"/>
  <c r="H20" i="8"/>
  <c r="H3" i="8"/>
  <c r="H6" i="8"/>
  <c r="H9" i="8"/>
  <c r="H12" i="8"/>
  <c r="H15" i="8"/>
  <c r="H18" i="8"/>
  <c r="I13" i="7"/>
  <c r="I21" i="7"/>
  <c r="I20" i="7"/>
  <c r="L23" i="7"/>
  <c r="I3" i="7"/>
  <c r="I6" i="7"/>
  <c r="I9" i="7"/>
  <c r="I12" i="7"/>
  <c r="I15" i="7"/>
  <c r="I18" i="7"/>
  <c r="H4" i="7"/>
  <c r="H7" i="7"/>
  <c r="H10" i="7"/>
  <c r="H13" i="7"/>
  <c r="H16" i="7"/>
  <c r="H2" i="7"/>
  <c r="H5" i="7"/>
  <c r="H8" i="7"/>
  <c r="H11" i="7"/>
  <c r="H14" i="7"/>
  <c r="H17" i="7"/>
  <c r="I3" i="6"/>
  <c r="L31" i="6" s="1"/>
  <c r="I6" i="6"/>
  <c r="I9" i="6"/>
  <c r="I12" i="6"/>
  <c r="I15" i="6"/>
  <c r="I18" i="6"/>
  <c r="H13" i="6"/>
  <c r="H4" i="6"/>
  <c r="H7" i="6"/>
  <c r="H10" i="6"/>
  <c r="H16" i="6"/>
  <c r="H19" i="6"/>
  <c r="H2" i="6"/>
  <c r="H5" i="6"/>
  <c r="H8" i="6"/>
  <c r="H11" i="6"/>
  <c r="H14" i="6"/>
  <c r="H17" i="6"/>
  <c r="H20" i="6"/>
  <c r="F2" i="4"/>
  <c r="L31" i="10" l="1"/>
  <c r="L30" i="10"/>
  <c r="L31" i="9"/>
  <c r="L30" i="9"/>
  <c r="L31" i="8"/>
  <c r="L30" i="8"/>
  <c r="L31" i="7"/>
  <c r="L30" i="7"/>
  <c r="L30" i="6"/>
  <c r="H4" i="4"/>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<sst xmlns="http://schemas.openxmlformats.org/spreadsheetml/2006/main" count="957" uniqueCount="462">
  <si>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</si>
  <si>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</si>
  <si>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</si>
  <si>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</si>
  <si>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</si>
  <si>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</si>
  <si>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</si>
  <si>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</si>
  <si>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</si>
  <si>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</si>
  <si>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</si>
  <si>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</si>
  <si>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</si>
  <si>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</si>
  <si>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</si>
  <si>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</si>
  <si>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</si>
  <si>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</si>
  <si>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</si>
  <si>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</si>
  <si>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</si>
  <si>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</si>
  <si>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</si>
  <si>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</si>
  <si>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</si>
  <si>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</si>
  <si>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</si>
  <si>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</si>
  <si>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</si>
  <si>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</si>
  <si>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</si>
  <si>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</si>
  <si>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</si>
  <si>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</si>
  <si>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</si>
  <si>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</si>
  <si>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</si>
  <si>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</si>
  <si>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</si>
  <si>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</si>
  <si>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</si>
  <si>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</si>
  <si>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</si>
  <si>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</si>
  <si>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</si>
  <si>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</si>
  <si>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</si>
  <si>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</si>
  <si>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</si>
  <si>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</si>
  <si>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</si>
  <si>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</si>
  <si>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</si>
  <si>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</si>
  <si>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</si>
  <si>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</si>
  <si>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</si>
  <si>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</si>
  <si>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</si>
  <si>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</si>
  <si>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</si>
  <si>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</si>
  <si>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</si>
  <si>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</si>
  <si>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</si>
  <si>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</si>
  <si>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</si>
  <si>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</si>
  <si>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</si>
  <si>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</si>
  <si>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</si>
  <si>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</si>
  <si>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</si>
  <si>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</si>
  <si>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</si>
  <si>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</si>
  <si>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</si>
  <si>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</si>
  <si>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</si>
  <si>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</si>
  <si>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</si>
  <si>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</si>
  <si>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</si>
  <si>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</si>
  <si>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</si>
  <si>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</si>
  <si>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</si>
  <si>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</si>
  <si>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</si>
  <si>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</si>
  <si>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</si>
  <si>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</si>
  <si>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</si>
  <si>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</si>
  <si>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</si>
  <si>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</si>
  <si>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</si>
  <si>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</si>
  <si>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</si>
  <si>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</si>
  <si>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</si>
  <si>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</si>
  <si>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</si>
  <si>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</si>
  <si>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</si>
  <si>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</si>
  <si>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</si>
  <si>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</si>
  <si>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</si>
  <si>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</si>
  <si>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</si>
  <si>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</si>
  <si>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</si>
  <si>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</si>
  <si>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</si>
  <si>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</si>
  <si>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</si>
  <si>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</si>
  <si>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</si>
  <si>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</si>
  <si>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</si>
  <si>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</si>
  <si>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</si>
  <si>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</si>
  <si>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</si>
  <si>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</si>
  <si>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</si>
  <si>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</si>
  <si>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</si>
  <si>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</si>
  <si>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</si>
  <si>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</si>
  <si>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</si>
  <si>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</si>
  <si>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</si>
  <si>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</si>
  <si>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</si>
  <si>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</si>
  <si>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</si>
  <si>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</si>
  <si>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</si>
  <si>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</si>
  <si>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</si>
  <si>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</si>
  <si>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</si>
  <si>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</si>
  <si>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</si>
  <si>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</si>
  <si>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</si>
  <si>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</si>
  <si>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</si>
  <si>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</si>
  <si>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</si>
  <si>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</si>
  <si>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</si>
  <si>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</si>
  <si>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</si>
  <si>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</si>
  <si>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</si>
  <si>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</si>
  <si>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</si>
  <si>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</si>
  <si>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</si>
  <si>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</si>
  <si>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</si>
  <si>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</si>
  <si>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</si>
  <si>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</si>
  <si>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</si>
  <si>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</si>
  <si>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</si>
  <si>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</si>
  <si>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</si>
  <si>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</si>
  <si>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</si>
  <si>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</si>
  <si>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</si>
  <si>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</si>
  <si>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</si>
  <si>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</si>
  <si>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</si>
  <si>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</si>
  <si>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</si>
  <si>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</si>
  <si>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</si>
  <si>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</si>
  <si>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</si>
  <si>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</si>
  <si>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</si>
  <si>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</si>
  <si>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</si>
  <si>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</si>
  <si>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</si>
  <si>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</si>
  <si>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</si>
  <si>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</si>
  <si>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</si>
  <si>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</si>
  <si>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</si>
  <si>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</si>
  <si>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</si>
  <si>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</si>
  <si>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</si>
  <si>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</si>
  <si>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</si>
  <si>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</si>
  <si>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</si>
  <si>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</si>
  <si>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</si>
  <si>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</si>
  <si>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</si>
  <si>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</si>
  <si>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</si>
  <si>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</si>
  <si>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</si>
  <si>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</si>
  <si>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</si>
  <si>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</si>
  <si>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</si>
  <si>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</si>
  <si>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</si>
  <si>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</si>
  <si>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</si>
  <si>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</si>
  <si>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</si>
  <si>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</si>
  <si>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</si>
  <si>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</si>
  <si>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</si>
  <si>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</si>
  <si>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</si>
  <si>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</si>
  <si>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</si>
  <si>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</si>
  <si>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</si>
  <si>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</si>
  <si>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</si>
  <si>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</si>
  <si>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</si>
  <si>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</si>
  <si>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</si>
  <si>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</si>
  <si>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</si>
  <si>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</si>
  <si>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</si>
  <si>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</si>
  <si>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</si>
  <si>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</si>
  <si>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</si>
  <si>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</si>
  <si>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</si>
  <si>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</si>
  <si>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</si>
  <si>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</si>
  <si>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</si>
  <si>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</si>
  <si>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</si>
  <si>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</si>
  <si>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</si>
  <si>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</si>
  <si>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</si>
  <si>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</si>
  <si>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</si>
  <si>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</si>
  <si>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</si>
  <si>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</si>
  <si>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</si>
  <si>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</si>
  <si>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</si>
  <si>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</si>
  <si>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</si>
  <si>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</si>
  <si>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</si>
  <si>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</si>
  <si>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</si>
  <si>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</si>
  <si>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</si>
  <si>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</si>
  <si>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</si>
  <si>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</si>
  <si>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</si>
  <si>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</si>
  <si>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</si>
  <si>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</si>
  <si>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</si>
  <si>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</si>
  <si>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</si>
  <si>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</si>
  <si>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</si>
  <si>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</si>
  <si>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</si>
  <si>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</si>
  <si>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</si>
  <si>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</si>
  <si>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</si>
  <si>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</si>
  <si>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</si>
  <si>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</si>
  <si>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</si>
  <si>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</si>
  <si>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</si>
  <si>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</si>
  <si>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</si>
  <si>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</si>
  <si>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</si>
  <si>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</si>
  <si>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</si>
  <si>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</si>
  <si>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</si>
  <si>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</si>
  <si>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</si>
  <si>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</si>
  <si>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</si>
  <si>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</si>
  <si>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</si>
  <si>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</si>
  <si>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</si>
  <si>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</si>
  <si>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</si>
  <si>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</si>
  <si>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</si>
  <si>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</si>
  <si>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</si>
  <si>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</si>
  <si>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</si>
  <si>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</si>
  <si>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</si>
  <si>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</si>
  <si>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</si>
  <si>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</si>
  <si>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</si>
  <si>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</si>
  <si>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</si>
  <si>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</si>
  <si>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</si>
  <si>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</si>
  <si>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</si>
  <si>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</si>
  <si>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</si>
  <si>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</si>
  <si>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</si>
  <si>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</si>
  <si>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</si>
  <si>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</si>
  <si>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</si>
  <si>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</si>
  <si>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</si>
  <si>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</si>
  <si>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</si>
  <si>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</si>
  <si>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</si>
  <si>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</si>
  <si>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</si>
  <si>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</si>
  <si>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</si>
  <si>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</si>
  <si>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</si>
  <si>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</si>
  <si>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</si>
  <si>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</si>
  <si>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</si>
  <si>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</si>
  <si>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</si>
  <si>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</si>
  <si>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</si>
  <si>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</si>
  <si>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</si>
  <si>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</si>
  <si>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</si>
  <si>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</si>
  <si>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</si>
  <si>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</si>
  <si>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</si>
  <si>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</si>
  <si>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</si>
  <si>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</si>
  <si>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</si>
  <si>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</si>
  <si>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</si>
  <si>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</si>
  <si>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</si>
  <si>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</si>
  <si>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</si>
  <si>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</si>
  <si>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</si>
  <si>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</si>
  <si>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</si>
  <si>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</si>
  <si>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</si>
  <si>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</si>
  <si>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</si>
  <si>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</si>
  <si>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</si>
  <si>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</si>
  <si>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</si>
  <si>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</si>
  <si>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</si>
  <si>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</si>
  <si>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</si>
  <si>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</si>
  <si>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</si>
  <si>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</si>
  <si>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</si>
  <si>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</si>
  <si>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</si>
  <si>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</si>
  <si>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</si>
  <si>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</si>
  <si>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</si>
  <si>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</si>
  <si>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</si>
  <si>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</si>
  <si>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향부자</t>
    <phoneticPr fontId="5" type="noConversion"/>
  </si>
  <si>
    <t>대복피</t>
    <phoneticPr fontId="5" type="noConversion"/>
  </si>
  <si>
    <t>복령</t>
    <phoneticPr fontId="5" type="noConversion"/>
  </si>
  <si>
    <t>반하</t>
    <phoneticPr fontId="5" type="noConversion"/>
  </si>
  <si>
    <t>목통</t>
    <phoneticPr fontId="5" type="noConversion"/>
  </si>
  <si>
    <t>오약</t>
    <phoneticPr fontId="5" type="noConversion"/>
  </si>
  <si>
    <t>청피</t>
    <phoneticPr fontId="5" type="noConversion"/>
  </si>
  <si>
    <t>길경</t>
    <phoneticPr fontId="5" type="noConversion"/>
  </si>
  <si>
    <t>목향</t>
    <phoneticPr fontId="5" type="noConversion"/>
  </si>
  <si>
    <t>생강</t>
    <phoneticPr fontId="5" type="noConversion"/>
  </si>
  <si>
    <t>치자</t>
    <phoneticPr fontId="5" type="noConversion"/>
  </si>
  <si>
    <t>황련</t>
    <phoneticPr fontId="5" type="noConversion"/>
  </si>
  <si>
    <t>대황</t>
    <phoneticPr fontId="5" type="noConversion"/>
  </si>
  <si>
    <t>지실</t>
    <phoneticPr fontId="5" type="noConversion"/>
  </si>
  <si>
    <t>진피1</t>
    <phoneticPr fontId="5" type="noConversion"/>
  </si>
  <si>
    <t>창출1</t>
    <phoneticPr fontId="5" type="noConversion"/>
  </si>
  <si>
    <t>택사1</t>
    <phoneticPr fontId="5" type="noConversion"/>
  </si>
  <si>
    <t>자소엽</t>
    <phoneticPr fontId="5" type="noConversion"/>
  </si>
  <si>
    <t>향시</t>
    <phoneticPr fontId="5" type="noConversion"/>
  </si>
  <si>
    <t>김남순</t>
    <phoneticPr fontId="5" type="noConversion"/>
  </si>
  <si>
    <t>F</t>
    <phoneticPr fontId="5" type="noConversion"/>
  </si>
  <si>
    <t xml:space="preserve">가감유기음자+치자 황련 대황 향시
</t>
    <phoneticPr fontId="5" type="noConversion"/>
  </si>
  <si>
    <t>목단피</t>
    <phoneticPr fontId="5" type="noConversion"/>
  </si>
  <si>
    <t>가감유기음자</t>
    <phoneticPr fontId="5" type="noConversion"/>
  </si>
  <si>
    <t xml:space="preserve">가감유기음자+치자 황련 대황 
</t>
    <phoneticPr fontId="5" type="noConversion"/>
  </si>
  <si>
    <t>저령</t>
    <phoneticPr fontId="5" type="noConversion"/>
  </si>
  <si>
    <t>차전자</t>
    <phoneticPr fontId="5" type="noConversion"/>
  </si>
  <si>
    <t>맥문동</t>
    <phoneticPr fontId="5" type="noConversion"/>
  </si>
  <si>
    <t xml:space="preserve">가감유기음자+치자 황련 대황 저령 차전자 (소엽 대 맥문동) 
</t>
    <phoneticPr fontId="5" type="noConversion"/>
  </si>
  <si>
    <t>나복자</t>
    <phoneticPr fontId="5" type="noConversion"/>
  </si>
  <si>
    <t>신곡</t>
    <phoneticPr fontId="5" type="noConversion"/>
  </si>
  <si>
    <t>지각</t>
    <phoneticPr fontId="5" type="noConversion"/>
  </si>
  <si>
    <t>상백피</t>
    <phoneticPr fontId="5" type="noConversion"/>
  </si>
  <si>
    <t>사인</t>
    <phoneticPr fontId="5" type="noConversion"/>
  </si>
  <si>
    <t>감초</t>
    <phoneticPr fontId="5" type="noConversion"/>
  </si>
  <si>
    <t>박하</t>
    <phoneticPr fontId="5" type="noConversion"/>
  </si>
  <si>
    <t>곽향1</t>
    <phoneticPr fontId="5" type="noConversion"/>
  </si>
  <si>
    <t>당귀1</t>
    <phoneticPr fontId="5" type="noConversion"/>
  </si>
  <si>
    <t>황백</t>
    <phoneticPr fontId="5" type="noConversion"/>
  </si>
  <si>
    <t>계지</t>
    <phoneticPr fontId="5" type="noConversion"/>
  </si>
  <si>
    <t>분심기음</t>
    <phoneticPr fontId="5" type="noConversion"/>
  </si>
  <si>
    <t>대전대처방집 + 치자 당귀 황백 - 등심 산사</t>
    <phoneticPr fontId="5" type="noConversion"/>
  </si>
  <si>
    <t>등심초</t>
    <phoneticPr fontId="5" type="noConversion"/>
  </si>
  <si>
    <t>산사</t>
    <phoneticPr fontId="5" type="noConversion"/>
  </si>
  <si>
    <t>대전대처방집 + 치자 당귀 저령 - 사인
(4차 처방 -  사인 황백 + 등심 저령 산사)</t>
    <phoneticPr fontId="5" type="noConversion"/>
  </si>
  <si>
    <t>빈랑</t>
    <phoneticPr fontId="5" type="noConversion"/>
  </si>
  <si>
    <t>초</t>
    <phoneticPr fontId="5" type="noConversion"/>
  </si>
  <si>
    <t>백출</t>
    <phoneticPr fontId="5" type="noConversion"/>
  </si>
  <si>
    <t>건지황</t>
    <phoneticPr fontId="5" type="noConversion"/>
  </si>
  <si>
    <r>
      <t xml:space="preserve">대전대처방집 참고
</t>
    </r>
    <r>
      <rPr>
        <sz val="9"/>
        <color theme="1"/>
        <rFont val="맑은 고딕"/>
        <family val="3"/>
        <charset val="129"/>
        <scheme val="minor"/>
      </rPr>
      <t>(5차 처방 - 나복자, 신곡, 산사, 박하, 당귀 +백출 목향 빈랑 사인 황련 황백 건지황)
- 수면 / 변실금 / 뇨불리</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</si>
</sst>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5">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
      <sz val="9"/>
      <color theme="1"/>
      <name val="맑은 고딕"/>
      <family val="3"/>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F4219-F8EF-4192-9B2F-64C65DA4E87D}">
  <sheetPr>
    <pageSetUpPr fitToPage="1"/>
  </sheetPr>
  <dimension ref="B1:M31"/>
  <sheetViews>
    <sheetView tabSelected="1" workbookViewId="0">
      <selection activeCell="L24" sqref="L2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429</v>
      </c>
      <c r="D2" s="4"/>
      <c r="E2" s="88">
        <v>5</v>
      </c>
      <c r="F2" s="101">
        <f>E2*$L$15</f>
        <v>100</v>
      </c>
      <c r="G2">
        <f>VLOOKUP($C2,약재관리!A:J,10,FALSE)</f>
        <v>12</v>
      </c>
      <c r="H2" s="5">
        <f>G2*E2</f>
        <v>60</v>
      </c>
      <c r="I2" s="90">
        <f>G2*F2</f>
        <v>1200</v>
      </c>
      <c r="K2" s="7" t="s">
        <v>9</v>
      </c>
      <c r="L2" s="161">
        <v>96</v>
      </c>
      <c r="M2" s="162"/>
    </row>
    <row r="3" spans="2:13">
      <c r="B3" s="3">
        <v>2</v>
      </c>
      <c r="C3" t="s">
        <v>446</v>
      </c>
      <c r="D3" s="4"/>
      <c r="E3" s="88">
        <v>2</v>
      </c>
      <c r="F3" s="101">
        <f t="shared" ref="F3:F31" si="0">E3*$L$15</f>
        <v>40</v>
      </c>
      <c r="G3">
        <f>VLOOKUP($C3,약재관리!A:J,10,FALSE)</f>
        <v>28.3</v>
      </c>
      <c r="H3" s="5">
        <f t="shared" ref="H3:H31" si="1">G3*E3</f>
        <v>56.6</v>
      </c>
      <c r="I3" s="6">
        <f t="shared" ref="I3:I31" si="2">G3*F3</f>
        <v>1132</v>
      </c>
      <c r="K3" s="8" t="s">
        <v>10</v>
      </c>
      <c r="L3" s="163" t="s">
        <v>452</v>
      </c>
      <c r="M3" s="164"/>
    </row>
    <row r="4" spans="2:13">
      <c r="B4" s="3">
        <v>3</v>
      </c>
      <c r="C4" t="s">
        <v>415</v>
      </c>
      <c r="D4" s="4"/>
      <c r="E4" s="88">
        <v>4</v>
      </c>
      <c r="F4" s="101">
        <f t="shared" si="0"/>
        <v>80</v>
      </c>
      <c r="G4">
        <f>VLOOKUP($C4,약재관리!A:J,10,FALSE)</f>
        <v>47</v>
      </c>
      <c r="H4" s="5">
        <f t="shared" si="1"/>
        <v>188</v>
      </c>
      <c r="I4" s="6">
        <f t="shared" si="2"/>
        <v>3760</v>
      </c>
      <c r="K4" s="8" t="s">
        <v>11</v>
      </c>
      <c r="L4" s="165">
        <v>45862</v>
      </c>
      <c r="M4" s="164"/>
    </row>
    <row r="5" spans="2:13">
      <c r="B5" s="3">
        <v>4</v>
      </c>
      <c r="C5" t="s">
        <v>443</v>
      </c>
      <c r="D5" s="4"/>
      <c r="E5" s="88">
        <v>4</v>
      </c>
      <c r="F5" s="101">
        <f t="shared" si="0"/>
        <v>80</v>
      </c>
      <c r="G5">
        <f>VLOOKUP($C5,약재관리!A:J,10,FALSE)</f>
        <v>10</v>
      </c>
      <c r="H5" s="5">
        <f t="shared" si="1"/>
        <v>40</v>
      </c>
      <c r="I5" s="6">
        <f t="shared" si="2"/>
        <v>800</v>
      </c>
      <c r="K5" s="8" t="s">
        <v>12</v>
      </c>
      <c r="L5" s="163" t="s">
        <v>431</v>
      </c>
      <c r="M5" s="164"/>
    </row>
    <row r="6" spans="2:13">
      <c r="B6" s="3">
        <v>5</v>
      </c>
      <c r="C6" t="s">
        <v>426</v>
      </c>
      <c r="D6" s="4"/>
      <c r="E6" s="88">
        <v>4</v>
      </c>
      <c r="F6" s="101">
        <f t="shared" si="0"/>
        <v>80</v>
      </c>
      <c r="G6">
        <f>VLOOKUP($C6,약재관리!A:J,10,FALSE)</f>
        <v>17.600000000000001</v>
      </c>
      <c r="H6" s="5">
        <f t="shared" si="1"/>
        <v>70.400000000000006</v>
      </c>
      <c r="I6" s="6">
        <f t="shared" si="2"/>
        <v>1408</v>
      </c>
      <c r="K6" s="8" t="s">
        <v>13</v>
      </c>
      <c r="L6" s="163">
        <v>60</v>
      </c>
      <c r="M6" s="164"/>
    </row>
    <row r="7" spans="2:13" ht="17.25" thickBot="1">
      <c r="B7" s="3">
        <v>6</v>
      </c>
      <c r="C7" t="s">
        <v>459</v>
      </c>
      <c r="D7" s="4"/>
      <c r="E7" s="88">
        <v>4</v>
      </c>
      <c r="F7" s="101">
        <f t="shared" si="0"/>
        <v>80</v>
      </c>
      <c r="G7">
        <f>VLOOKUP($C7,약재관리!A:J,10,FALSE)</f>
        <v>30.3</v>
      </c>
      <c r="H7" s="5">
        <f t="shared" si="1"/>
        <v>121.2</v>
      </c>
      <c r="I7" s="6">
        <f t="shared" si="2"/>
        <v>2424</v>
      </c>
      <c r="K7" s="8" t="s">
        <v>14</v>
      </c>
      <c r="L7" s="147" t="s">
        <v>432</v>
      </c>
      <c r="M7" s="148"/>
    </row>
    <row r="8" spans="2:13" ht="17.25" thickBot="1">
      <c r="B8" s="3">
        <v>7</v>
      </c>
      <c r="C8" t="s">
        <v>416</v>
      </c>
      <c r="D8" s="4"/>
      <c r="E8" s="88">
        <v>3</v>
      </c>
      <c r="F8" s="101">
        <f t="shared" si="0"/>
        <v>60</v>
      </c>
      <c r="G8">
        <f>VLOOKUP($C8,약재관리!A:J,10,FALSE)</f>
        <v>10.7</v>
      </c>
      <c r="H8" s="5">
        <f t="shared" si="1"/>
        <v>32.099999999999994</v>
      </c>
      <c r="I8" s="6">
        <f t="shared" si="2"/>
        <v>642</v>
      </c>
      <c r="K8" s="149" t="s">
        <v>15</v>
      </c>
      <c r="L8" s="150"/>
      <c r="M8" s="151"/>
    </row>
    <row r="9" spans="2:13">
      <c r="B9" s="3">
        <v>8</v>
      </c>
      <c r="C9" t="s">
        <v>437</v>
      </c>
      <c r="D9" s="4"/>
      <c r="E9" s="88">
        <v>4</v>
      </c>
      <c r="F9" s="101">
        <f t="shared" si="0"/>
        <v>80</v>
      </c>
      <c r="G9">
        <f>VLOOKUP($C9,약재관리!A:J,10,FALSE)</f>
        <v>46.7</v>
      </c>
      <c r="H9" s="5">
        <f t="shared" si="1"/>
        <v>186.8</v>
      </c>
      <c r="I9" s="6">
        <f t="shared" si="2"/>
        <v>3736</v>
      </c>
      <c r="K9" s="152" t="s">
        <v>461</v>
      </c>
      <c r="L9" s="153"/>
      <c r="M9" s="154"/>
    </row>
    <row r="10" spans="2:13">
      <c r="B10" s="3">
        <v>9</v>
      </c>
      <c r="C10" t="s">
        <v>444</v>
      </c>
      <c r="D10" s="4"/>
      <c r="E10" s="88">
        <v>4</v>
      </c>
      <c r="F10" s="101">
        <f t="shared" si="0"/>
        <v>80</v>
      </c>
      <c r="G10">
        <f>VLOOKUP($C10,약재관리!A:J,10,FALSE)</f>
        <v>35</v>
      </c>
      <c r="H10" s="5">
        <f t="shared" si="1"/>
        <v>140</v>
      </c>
      <c r="I10" s="6">
        <f t="shared" si="2"/>
        <v>2800</v>
      </c>
      <c r="K10" s="155"/>
      <c r="L10" s="156"/>
      <c r="M10" s="157"/>
    </row>
    <row r="11" spans="2:13">
      <c r="B11" s="3">
        <v>10</v>
      </c>
      <c r="C11" t="s">
        <v>420</v>
      </c>
      <c r="D11" s="4"/>
      <c r="E11" s="88">
        <v>2</v>
      </c>
      <c r="F11" s="101">
        <f t="shared" si="0"/>
        <v>40</v>
      </c>
      <c r="G11">
        <f>VLOOKUP($C11,약재관리!A:J,10,FALSE)</f>
        <v>12.2</v>
      </c>
      <c r="H11" s="5">
        <f t="shared" si="1"/>
        <v>24.4</v>
      </c>
      <c r="I11" s="6">
        <f t="shared" si="2"/>
        <v>488</v>
      </c>
      <c r="K11" s="155"/>
      <c r="L11" s="156"/>
      <c r="M11" s="157"/>
    </row>
    <row r="12" spans="2:13">
      <c r="B12" s="3">
        <v>11</v>
      </c>
      <c r="C12" t="s">
        <v>414</v>
      </c>
      <c r="D12" s="4"/>
      <c r="E12" s="88">
        <v>6</v>
      </c>
      <c r="F12" s="101">
        <f t="shared" si="0"/>
        <v>120</v>
      </c>
      <c r="G12">
        <f>VLOOKUP($C12,약재관리!A:J,10,FALSE)</f>
        <v>11</v>
      </c>
      <c r="H12" s="5">
        <f t="shared" si="1"/>
        <v>66</v>
      </c>
      <c r="I12" s="6">
        <f t="shared" si="2"/>
        <v>1320</v>
      </c>
      <c r="K12" s="155"/>
      <c r="L12" s="156"/>
      <c r="M12" s="157"/>
    </row>
    <row r="13" spans="2:13" ht="17.25" thickBot="1">
      <c r="B13" s="3">
        <v>12</v>
      </c>
      <c r="C13" t="s">
        <v>457</v>
      </c>
      <c r="D13" s="4"/>
      <c r="E13" s="88">
        <v>2</v>
      </c>
      <c r="F13" s="101">
        <f t="shared" si="0"/>
        <v>40</v>
      </c>
      <c r="G13">
        <f>VLOOKUP($C13,약재관리!A:J,10,FALSE)</f>
        <v>8.3000000000000007</v>
      </c>
      <c r="H13" s="5">
        <f t="shared" si="1"/>
        <v>16.600000000000001</v>
      </c>
      <c r="I13" s="6">
        <f t="shared" si="2"/>
        <v>332</v>
      </c>
      <c r="K13" s="158"/>
      <c r="L13" s="159"/>
      <c r="M13" s="160"/>
    </row>
    <row r="14" spans="2:13">
      <c r="B14" s="3">
        <v>13</v>
      </c>
      <c r="C14" t="s">
        <v>428</v>
      </c>
      <c r="D14" s="4"/>
      <c r="E14" s="88">
        <v>6</v>
      </c>
      <c r="F14" s="101">
        <f t="shared" si="0"/>
        <v>120</v>
      </c>
      <c r="G14">
        <f>VLOOKUP($C14,약재관리!A:J,10,FALSE)</f>
        <v>23.7</v>
      </c>
      <c r="H14" s="5">
        <f t="shared" si="1"/>
        <v>142.19999999999999</v>
      </c>
      <c r="I14" s="6">
        <f t="shared" si="2"/>
        <v>2844</v>
      </c>
      <c r="K14" s="92" t="s">
        <v>16</v>
      </c>
      <c r="L14" s="9">
        <v>15</v>
      </c>
      <c r="M14" s="10" t="s">
        <v>17</v>
      </c>
    </row>
    <row r="15" spans="2:13">
      <c r="B15" s="3">
        <v>14</v>
      </c>
      <c r="C15" t="s">
        <v>445</v>
      </c>
      <c r="D15" s="4"/>
      <c r="E15" s="88">
        <v>3</v>
      </c>
      <c r="F15" s="101">
        <f t="shared" si="0"/>
        <v>60</v>
      </c>
      <c r="G15">
        <f>VLOOKUP($C15,약재관리!A:J,10,FALSE)</f>
        <v>21.8</v>
      </c>
      <c r="H15" s="5">
        <f t="shared" si="1"/>
        <v>65.400000000000006</v>
      </c>
      <c r="I15" s="6">
        <f t="shared" si="2"/>
        <v>1308</v>
      </c>
      <c r="K15" s="91" t="s">
        <v>18</v>
      </c>
      <c r="L15">
        <v>20</v>
      </c>
      <c r="M15" s="4" t="s">
        <v>19</v>
      </c>
    </row>
    <row r="16" spans="2:13">
      <c r="B16" s="3">
        <v>15</v>
      </c>
      <c r="C16" t="s">
        <v>419</v>
      </c>
      <c r="D16" s="4"/>
      <c r="E16" s="88">
        <v>4</v>
      </c>
      <c r="F16" s="101">
        <f t="shared" si="0"/>
        <v>80</v>
      </c>
      <c r="G16">
        <f>VLOOKUP($C16,약재관리!A:J,10,FALSE)</f>
        <v>11.5</v>
      </c>
      <c r="H16" s="5">
        <f t="shared" si="1"/>
        <v>46</v>
      </c>
      <c r="I16" s="6">
        <f t="shared" si="2"/>
        <v>920</v>
      </c>
      <c r="K16" s="91" t="s">
        <v>20</v>
      </c>
      <c r="L16">
        <v>45</v>
      </c>
      <c r="M16" s="4" t="s">
        <v>21</v>
      </c>
    </row>
    <row r="17" spans="2:13" ht="17.25" thickBot="1">
      <c r="B17" s="3">
        <v>16</v>
      </c>
      <c r="C17" t="s">
        <v>451</v>
      </c>
      <c r="D17" s="4"/>
      <c r="E17" s="88">
        <v>4</v>
      </c>
      <c r="F17" s="101">
        <f t="shared" si="0"/>
        <v>80</v>
      </c>
      <c r="G17">
        <f>VLOOKUP($C17,약재관리!A:J,10,FALSE)</f>
        <v>4.8</v>
      </c>
      <c r="H17" s="5">
        <f t="shared" si="1"/>
        <v>19.2</v>
      </c>
      <c r="I17" s="6">
        <f t="shared" si="2"/>
        <v>384</v>
      </c>
      <c r="K17" s="14" t="s">
        <v>22</v>
      </c>
      <c r="L17" s="11">
        <v>110</v>
      </c>
      <c r="M17" s="12" t="s">
        <v>23</v>
      </c>
    </row>
    <row r="18" spans="2:13">
      <c r="B18" s="3">
        <v>17</v>
      </c>
      <c r="C18" t="s">
        <v>412</v>
      </c>
      <c r="D18" s="4"/>
      <c r="E18" s="88">
        <v>4</v>
      </c>
      <c r="F18" s="101">
        <f t="shared" si="0"/>
        <v>80</v>
      </c>
      <c r="G18">
        <f>VLOOKUP($C18,약재관리!A:J,10,FALSE)</f>
        <v>14.7</v>
      </c>
      <c r="H18" s="5">
        <f t="shared" si="1"/>
        <v>58.8</v>
      </c>
      <c r="I18" s="6">
        <f t="shared" si="2"/>
        <v>1176</v>
      </c>
      <c r="K18" s="92" t="s">
        <v>24</v>
      </c>
      <c r="L18" s="9">
        <f>SUM(E2:E31)</f>
        <v>80</v>
      </c>
      <c r="M18" s="10" t="s">
        <v>25</v>
      </c>
    </row>
    <row r="19" spans="2:13">
      <c r="B19" s="3">
        <v>18</v>
      </c>
      <c r="C19" t="s">
        <v>448</v>
      </c>
      <c r="D19" s="4"/>
      <c r="E19" s="88">
        <v>4</v>
      </c>
      <c r="F19" s="101">
        <f t="shared" si="0"/>
        <v>80</v>
      </c>
      <c r="G19">
        <f>VLOOKUP($C19,약재관리!A:J,10,FALSE)</f>
        <v>13.8</v>
      </c>
      <c r="H19" s="5">
        <f t="shared" si="1"/>
        <v>55.2</v>
      </c>
      <c r="I19" s="6">
        <f t="shared" si="2"/>
        <v>1104</v>
      </c>
      <c r="K19" s="91" t="s">
        <v>26</v>
      </c>
      <c r="L19">
        <f>L15*L18</f>
        <v>1600</v>
      </c>
      <c r="M19" s="4" t="s">
        <v>25</v>
      </c>
    </row>
    <row r="20" spans="2:13" ht="17.25" thickBot="1">
      <c r="B20" s="3">
        <v>19</v>
      </c>
      <c r="C20" t="s">
        <v>454</v>
      </c>
      <c r="D20" s="4"/>
      <c r="E20" s="88">
        <v>1</v>
      </c>
      <c r="F20" s="101">
        <f t="shared" si="0"/>
        <v>20</v>
      </c>
      <c r="G20">
        <f>VLOOKUP($C20,약재관리!A:J,10,FALSE)</f>
        <v>65</v>
      </c>
      <c r="H20" s="5">
        <f t="shared" si="1"/>
        <v>65</v>
      </c>
      <c r="I20" s="6">
        <f t="shared" si="2"/>
        <v>1300</v>
      </c>
      <c r="K20" s="14" t="s">
        <v>27</v>
      </c>
      <c r="L20" s="11">
        <f>L16*L17+L19</f>
        <v>6550</v>
      </c>
      <c r="M20" s="12" t="s">
        <v>23</v>
      </c>
    </row>
    <row r="21" spans="2:13" ht="17.25" thickBot="1">
      <c r="B21" s="3">
        <v>20</v>
      </c>
      <c r="C21" t="s">
        <v>422</v>
      </c>
      <c r="D21" s="4" t="s">
        <v>458</v>
      </c>
      <c r="E21" s="88">
        <v>2</v>
      </c>
      <c r="F21" s="101">
        <f t="shared" si="0"/>
        <v>40</v>
      </c>
      <c r="G21">
        <f>VLOOKUP($C21,약재관리!A:J,10,FALSE)</f>
        <v>26</v>
      </c>
      <c r="H21" s="5">
        <f>G21*E21</f>
        <v>52</v>
      </c>
      <c r="I21" s="6">
        <f>G21*F21</f>
        <v>1040</v>
      </c>
      <c r="J21" s="91"/>
      <c r="M21" s="94"/>
    </row>
    <row r="22" spans="2:13" ht="17.25" thickBot="1">
      <c r="B22" s="3">
        <v>21</v>
      </c>
      <c r="C22" t="s">
        <v>450</v>
      </c>
      <c r="D22" s="4"/>
      <c r="E22" s="88">
        <v>2</v>
      </c>
      <c r="F22" s="101">
        <f t="shared" si="0"/>
        <v>40</v>
      </c>
      <c r="G22">
        <f>VLOOKUP($C22,약재관리!A:J,10,FALSE)</f>
        <v>27.7</v>
      </c>
      <c r="H22" s="5">
        <f>G22*E22</f>
        <v>55.4</v>
      </c>
      <c r="I22" s="6">
        <f>G22*F22</f>
        <v>1108</v>
      </c>
      <c r="K22" s="149" t="s">
        <v>386</v>
      </c>
      <c r="L22" s="150"/>
      <c r="M22" s="151"/>
    </row>
    <row r="23" spans="2:13">
      <c r="B23" s="3">
        <v>22</v>
      </c>
      <c r="C23" t="s">
        <v>423</v>
      </c>
      <c r="D23" s="4"/>
      <c r="E23" s="88">
        <v>2</v>
      </c>
      <c r="F23" s="101">
        <f t="shared" si="0"/>
        <v>40</v>
      </c>
      <c r="G23">
        <f>VLOOKUP($C23,약재관리!A:J,10,FALSE)</f>
        <v>136.80000000000001</v>
      </c>
      <c r="H23" s="5">
        <f t="shared" si="1"/>
        <v>273.60000000000002</v>
      </c>
      <c r="I23" s="6">
        <f t="shared" si="2"/>
        <v>5472</v>
      </c>
      <c r="K23" s="91" t="s">
        <v>380</v>
      </c>
      <c r="L23">
        <f>SUM(F2:F31)</f>
        <v>1600</v>
      </c>
      <c r="M23" s="4" t="s">
        <v>25</v>
      </c>
    </row>
    <row r="24" spans="2:13">
      <c r="B24" s="3">
        <v>23</v>
      </c>
      <c r="C24" t="s">
        <v>460</v>
      </c>
      <c r="D24" s="4"/>
      <c r="E24" s="88">
        <v>4</v>
      </c>
      <c r="F24" s="101">
        <f t="shared" si="0"/>
        <v>80</v>
      </c>
      <c r="G24">
        <f>VLOOKUP($C24,약재관리!A:J,10,FALSE)</f>
        <v>14.4</v>
      </c>
      <c r="H24" s="5">
        <f t="shared" si="1"/>
        <v>57.6</v>
      </c>
      <c r="I24" s="6">
        <f t="shared" si="2"/>
        <v>1152</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1892.5000000000005</v>
      </c>
      <c r="M30" s="4" t="s">
        <v>384</v>
      </c>
    </row>
    <row r="31" spans="2:13" ht="17.25" thickBot="1">
      <c r="B31" s="13">
        <v>30</v>
      </c>
      <c r="C31" s="14"/>
      <c r="D31" s="12"/>
      <c r="E31" s="95"/>
      <c r="F31" s="102">
        <f t="shared" si="0"/>
        <v>0</v>
      </c>
      <c r="G31" s="11"/>
      <c r="H31" s="15">
        <f t="shared" si="1"/>
        <v>0</v>
      </c>
      <c r="I31" s="16">
        <f t="shared" si="2"/>
        <v>0</v>
      </c>
      <c r="K31" s="14" t="s">
        <v>383</v>
      </c>
      <c r="L31" s="15">
        <f>SUM(I2:I31)</f>
        <v>37850</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BACDA-34F5-44F8-8946-FF416DCB61C6}">
  <sheetPr>
    <pageSetUpPr fitToPage="1"/>
  </sheetPr>
  <dimension ref="B1:M31"/>
  <sheetViews>
    <sheetView workbookViewId="0">
      <selection activeCell="C2" sqref="C2:E2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429</v>
      </c>
      <c r="D2" s="4"/>
      <c r="E2" s="88">
        <v>8</v>
      </c>
      <c r="F2" s="101">
        <f>E2*$L$15</f>
        <v>160</v>
      </c>
      <c r="G2">
        <f>VLOOKUP($C2,약재관리!A:J,10,FALSE)</f>
        <v>12</v>
      </c>
      <c r="H2" s="5">
        <f>G2*E2</f>
        <v>96</v>
      </c>
      <c r="I2" s="90">
        <f>G2*F2</f>
        <v>1920</v>
      </c>
      <c r="K2" s="7" t="s">
        <v>9</v>
      </c>
      <c r="L2" s="161">
        <v>96</v>
      </c>
      <c r="M2" s="162"/>
    </row>
    <row r="3" spans="2:13">
      <c r="B3" s="3">
        <v>2</v>
      </c>
      <c r="C3" t="s">
        <v>414</v>
      </c>
      <c r="D3" s="4"/>
      <c r="E3" s="88">
        <v>6</v>
      </c>
      <c r="F3" s="101">
        <f t="shared" ref="F3:F31" si="0">E3*$L$15</f>
        <v>120</v>
      </c>
      <c r="G3">
        <f>VLOOKUP($C3,약재관리!A:J,10,FALSE)</f>
        <v>11</v>
      </c>
      <c r="H3" s="5">
        <f t="shared" ref="H3:H31" si="1">G3*E3</f>
        <v>66</v>
      </c>
      <c r="I3" s="6">
        <f t="shared" ref="I3:I31" si="2">G3*F3</f>
        <v>1320</v>
      </c>
      <c r="K3" s="8" t="s">
        <v>10</v>
      </c>
      <c r="L3" s="163" t="s">
        <v>452</v>
      </c>
      <c r="M3" s="164"/>
    </row>
    <row r="4" spans="2:13">
      <c r="B4" s="3">
        <v>3</v>
      </c>
      <c r="C4" t="s">
        <v>428</v>
      </c>
      <c r="D4" s="4"/>
      <c r="E4" s="88">
        <v>6</v>
      </c>
      <c r="F4" s="101">
        <f t="shared" si="0"/>
        <v>120</v>
      </c>
      <c r="G4">
        <f>VLOOKUP($C4,약재관리!A:J,10,FALSE)</f>
        <v>23.7</v>
      </c>
      <c r="H4" s="5">
        <f t="shared" si="1"/>
        <v>142.19999999999999</v>
      </c>
      <c r="I4" s="6">
        <f t="shared" si="2"/>
        <v>2844</v>
      </c>
      <c r="K4" s="8" t="s">
        <v>11</v>
      </c>
      <c r="L4" s="165">
        <v>45842</v>
      </c>
      <c r="M4" s="164"/>
    </row>
    <row r="5" spans="2:13">
      <c r="B5" s="3">
        <v>4</v>
      </c>
      <c r="C5" t="s">
        <v>415</v>
      </c>
      <c r="D5" s="4"/>
      <c r="E5" s="88">
        <v>4</v>
      </c>
      <c r="F5" s="101">
        <f t="shared" si="0"/>
        <v>80</v>
      </c>
      <c r="G5">
        <f>VLOOKUP($C5,약재관리!A:J,10,FALSE)</f>
        <v>47</v>
      </c>
      <c r="H5" s="5">
        <f t="shared" si="1"/>
        <v>188</v>
      </c>
      <c r="I5" s="6">
        <f t="shared" si="2"/>
        <v>3760</v>
      </c>
      <c r="K5" s="8" t="s">
        <v>12</v>
      </c>
      <c r="L5" s="163" t="s">
        <v>431</v>
      </c>
      <c r="M5" s="164"/>
    </row>
    <row r="6" spans="2:13">
      <c r="B6" s="3">
        <v>5</v>
      </c>
      <c r="C6" t="s">
        <v>441</v>
      </c>
      <c r="D6" s="4"/>
      <c r="E6" s="88">
        <v>4</v>
      </c>
      <c r="F6" s="101">
        <f t="shared" si="0"/>
        <v>80</v>
      </c>
      <c r="G6">
        <f>VLOOKUP($C6,약재관리!A:J,10,FALSE)</f>
        <v>6.7</v>
      </c>
      <c r="H6" s="5">
        <f t="shared" si="1"/>
        <v>26.8</v>
      </c>
      <c r="I6" s="6">
        <f t="shared" si="2"/>
        <v>536</v>
      </c>
      <c r="K6" s="8" t="s">
        <v>13</v>
      </c>
      <c r="L6" s="163">
        <v>60</v>
      </c>
      <c r="M6" s="164"/>
    </row>
    <row r="7" spans="2:13" ht="17.25" thickBot="1">
      <c r="B7" s="3">
        <v>6</v>
      </c>
      <c r="C7" t="s">
        <v>442</v>
      </c>
      <c r="D7" s="4"/>
      <c r="E7" s="88">
        <v>4</v>
      </c>
      <c r="F7" s="101">
        <f t="shared" si="0"/>
        <v>80</v>
      </c>
      <c r="G7">
        <f>VLOOKUP($C7,약재관리!A:J,10,FALSE)</f>
        <v>8</v>
      </c>
      <c r="H7" s="5">
        <f t="shared" si="1"/>
        <v>32</v>
      </c>
      <c r="I7" s="6">
        <f t="shared" si="2"/>
        <v>640</v>
      </c>
      <c r="K7" s="8" t="s">
        <v>14</v>
      </c>
      <c r="L7" s="147" t="s">
        <v>432</v>
      </c>
      <c r="M7" s="148"/>
    </row>
    <row r="8" spans="2:13" ht="17.25" thickBot="1">
      <c r="B8" s="3">
        <v>7</v>
      </c>
      <c r="C8" t="s">
        <v>455</v>
      </c>
      <c r="D8" s="4"/>
      <c r="E8" s="88">
        <v>4</v>
      </c>
      <c r="F8" s="101">
        <f t="shared" si="0"/>
        <v>80</v>
      </c>
      <c r="G8">
        <f>VLOOKUP($C8,약재관리!A:J,10,FALSE)</f>
        <v>7</v>
      </c>
      <c r="H8" s="5">
        <f t="shared" si="1"/>
        <v>28</v>
      </c>
      <c r="I8" s="6">
        <f t="shared" si="2"/>
        <v>560</v>
      </c>
      <c r="K8" s="149" t="s">
        <v>15</v>
      </c>
      <c r="L8" s="150"/>
      <c r="M8" s="151"/>
    </row>
    <row r="9" spans="2:13">
      <c r="B9" s="3">
        <v>8</v>
      </c>
      <c r="C9" t="s">
        <v>448</v>
      </c>
      <c r="D9" s="4"/>
      <c r="E9" s="88">
        <v>4</v>
      </c>
      <c r="F9" s="101">
        <f t="shared" si="0"/>
        <v>80</v>
      </c>
      <c r="G9">
        <f>VLOOKUP($C9,약재관리!A:J,10,FALSE)</f>
        <v>13.8</v>
      </c>
      <c r="H9" s="5">
        <f t="shared" si="1"/>
        <v>55.2</v>
      </c>
      <c r="I9" s="6">
        <f t="shared" si="2"/>
        <v>1104</v>
      </c>
      <c r="K9" s="152" t="s">
        <v>456</v>
      </c>
      <c r="L9" s="153"/>
      <c r="M9" s="154"/>
    </row>
    <row r="10" spans="2:13">
      <c r="B10" s="3">
        <v>9</v>
      </c>
      <c r="C10" t="s">
        <v>443</v>
      </c>
      <c r="D10" s="4"/>
      <c r="E10" s="88">
        <v>4</v>
      </c>
      <c r="F10" s="101">
        <f t="shared" si="0"/>
        <v>80</v>
      </c>
      <c r="G10">
        <f>VLOOKUP($C10,약재관리!A:J,10,FALSE)</f>
        <v>10</v>
      </c>
      <c r="H10" s="5">
        <f t="shared" si="1"/>
        <v>40</v>
      </c>
      <c r="I10" s="6">
        <f t="shared" si="2"/>
        <v>800</v>
      </c>
      <c r="K10" s="155"/>
      <c r="L10" s="156"/>
      <c r="M10" s="157"/>
    </row>
    <row r="11" spans="2:13">
      <c r="B11" s="3">
        <v>10</v>
      </c>
      <c r="C11" t="s">
        <v>412</v>
      </c>
      <c r="D11" s="4"/>
      <c r="E11" s="88">
        <v>4</v>
      </c>
      <c r="F11" s="101">
        <f t="shared" si="0"/>
        <v>80</v>
      </c>
      <c r="G11">
        <f>VLOOKUP($C11,약재관리!A:J,10,FALSE)</f>
        <v>14.7</v>
      </c>
      <c r="H11" s="5">
        <f t="shared" si="1"/>
        <v>58.8</v>
      </c>
      <c r="I11" s="6">
        <f t="shared" si="2"/>
        <v>1176</v>
      </c>
      <c r="K11" s="155"/>
      <c r="L11" s="156"/>
      <c r="M11" s="157"/>
    </row>
    <row r="12" spans="2:13">
      <c r="B12" s="3">
        <v>11</v>
      </c>
      <c r="C12" t="s">
        <v>419</v>
      </c>
      <c r="D12" s="4"/>
      <c r="E12" s="88">
        <v>4</v>
      </c>
      <c r="F12" s="101">
        <f t="shared" si="0"/>
        <v>80</v>
      </c>
      <c r="G12">
        <f>VLOOKUP($C12,약재관리!A:J,10,FALSE)</f>
        <v>11.5</v>
      </c>
      <c r="H12" s="5">
        <f t="shared" si="1"/>
        <v>46</v>
      </c>
      <c r="I12" s="6">
        <f t="shared" si="2"/>
        <v>920</v>
      </c>
      <c r="K12" s="155"/>
      <c r="L12" s="156"/>
      <c r="M12" s="157"/>
    </row>
    <row r="13" spans="2:13" ht="17.25" thickBot="1">
      <c r="B13" s="3">
        <v>12</v>
      </c>
      <c r="C13" t="s">
        <v>444</v>
      </c>
      <c r="D13" s="4"/>
      <c r="E13" s="88">
        <v>4</v>
      </c>
      <c r="F13" s="101">
        <f t="shared" si="0"/>
        <v>80</v>
      </c>
      <c r="G13">
        <f>VLOOKUP($C13,약재관리!A:J,10,FALSE)</f>
        <v>35</v>
      </c>
      <c r="H13" s="5">
        <f t="shared" si="1"/>
        <v>140</v>
      </c>
      <c r="I13" s="6">
        <f t="shared" si="2"/>
        <v>2800</v>
      </c>
      <c r="K13" s="158"/>
      <c r="L13" s="159"/>
      <c r="M13" s="160"/>
    </row>
    <row r="14" spans="2:13">
      <c r="B14" s="3">
        <v>13</v>
      </c>
      <c r="C14" t="s">
        <v>451</v>
      </c>
      <c r="D14" s="4"/>
      <c r="E14" s="88">
        <v>4</v>
      </c>
      <c r="F14" s="101">
        <f t="shared" si="0"/>
        <v>80</v>
      </c>
      <c r="G14">
        <f>VLOOKUP($C14,약재관리!A:J,10,FALSE)</f>
        <v>4.8</v>
      </c>
      <c r="H14" s="5">
        <f t="shared" si="1"/>
        <v>19.2</v>
      </c>
      <c r="I14" s="6">
        <f t="shared" si="2"/>
        <v>384</v>
      </c>
      <c r="K14" s="92" t="s">
        <v>16</v>
      </c>
      <c r="L14" s="9">
        <v>15</v>
      </c>
      <c r="M14" s="10" t="s">
        <v>17</v>
      </c>
    </row>
    <row r="15" spans="2:13">
      <c r="B15" s="3">
        <v>14</v>
      </c>
      <c r="C15" t="s">
        <v>426</v>
      </c>
      <c r="D15" s="4"/>
      <c r="E15" s="88">
        <v>4</v>
      </c>
      <c r="F15" s="101">
        <f t="shared" si="0"/>
        <v>80</v>
      </c>
      <c r="G15">
        <f>VLOOKUP($C15,약재관리!A:J,10,FALSE)</f>
        <v>17.600000000000001</v>
      </c>
      <c r="H15" s="5">
        <f t="shared" si="1"/>
        <v>70.400000000000006</v>
      </c>
      <c r="I15" s="6">
        <f t="shared" si="2"/>
        <v>1408</v>
      </c>
      <c r="K15" s="91" t="s">
        <v>18</v>
      </c>
      <c r="L15">
        <v>20</v>
      </c>
      <c r="M15" s="4" t="s">
        <v>19</v>
      </c>
    </row>
    <row r="16" spans="2:13">
      <c r="B16" s="3">
        <v>15</v>
      </c>
      <c r="C16" t="s">
        <v>422</v>
      </c>
      <c r="D16" s="4"/>
      <c r="E16" s="88">
        <v>3</v>
      </c>
      <c r="F16" s="101">
        <f t="shared" si="0"/>
        <v>60</v>
      </c>
      <c r="G16">
        <f>VLOOKUP($C16,약재관리!A:J,10,FALSE)</f>
        <v>26</v>
      </c>
      <c r="H16" s="5">
        <f t="shared" si="1"/>
        <v>78</v>
      </c>
      <c r="I16" s="6">
        <f t="shared" si="2"/>
        <v>1560</v>
      </c>
      <c r="K16" s="91" t="s">
        <v>20</v>
      </c>
      <c r="L16">
        <v>45</v>
      </c>
      <c r="M16" s="4" t="s">
        <v>21</v>
      </c>
    </row>
    <row r="17" spans="2:13" ht="17.25" thickBot="1">
      <c r="B17" s="3">
        <v>16</v>
      </c>
      <c r="C17" t="s">
        <v>416</v>
      </c>
      <c r="D17" s="4"/>
      <c r="E17" s="88">
        <v>3</v>
      </c>
      <c r="F17" s="101">
        <f t="shared" si="0"/>
        <v>60</v>
      </c>
      <c r="G17">
        <f>VLOOKUP($C17,약재관리!A:J,10,FALSE)</f>
        <v>10.7</v>
      </c>
      <c r="H17" s="5">
        <f t="shared" si="1"/>
        <v>32.099999999999994</v>
      </c>
      <c r="I17" s="6">
        <f t="shared" si="2"/>
        <v>642</v>
      </c>
      <c r="K17" s="14" t="s">
        <v>22</v>
      </c>
      <c r="L17" s="11">
        <v>110</v>
      </c>
      <c r="M17" s="12" t="s">
        <v>23</v>
      </c>
    </row>
    <row r="18" spans="2:13">
      <c r="B18" s="3">
        <v>17</v>
      </c>
      <c r="C18" t="s">
        <v>454</v>
      </c>
      <c r="D18" s="4"/>
      <c r="E18" s="88">
        <v>2</v>
      </c>
      <c r="F18" s="101">
        <f t="shared" si="0"/>
        <v>40</v>
      </c>
      <c r="G18">
        <f>VLOOKUP($C18,약재관리!A:J,10,FALSE)</f>
        <v>65</v>
      </c>
      <c r="H18" s="5">
        <f t="shared" si="1"/>
        <v>130</v>
      </c>
      <c r="I18" s="6">
        <f t="shared" si="2"/>
        <v>2600</v>
      </c>
      <c r="K18" s="92" t="s">
        <v>24</v>
      </c>
      <c r="L18" s="9">
        <f>SUM(E2:E31)</f>
        <v>84</v>
      </c>
      <c r="M18" s="10" t="s">
        <v>25</v>
      </c>
    </row>
    <row r="19" spans="2:13">
      <c r="B19" s="3">
        <v>18</v>
      </c>
      <c r="C19" t="s">
        <v>446</v>
      </c>
      <c r="D19" s="4"/>
      <c r="E19" s="88">
        <v>2</v>
      </c>
      <c r="F19" s="101">
        <f t="shared" si="0"/>
        <v>40</v>
      </c>
      <c r="G19">
        <f>VLOOKUP($C19,약재관리!A:J,10,FALSE)</f>
        <v>28.3</v>
      </c>
      <c r="H19" s="5">
        <f t="shared" si="1"/>
        <v>56.6</v>
      </c>
      <c r="I19" s="6">
        <f t="shared" si="2"/>
        <v>1132</v>
      </c>
      <c r="K19" s="91" t="s">
        <v>26</v>
      </c>
      <c r="L19">
        <f>L15*L18</f>
        <v>1680</v>
      </c>
      <c r="M19" s="4" t="s">
        <v>25</v>
      </c>
    </row>
    <row r="20" spans="2:13" ht="17.25" thickBot="1">
      <c r="B20" s="3">
        <v>19</v>
      </c>
      <c r="C20" t="s">
        <v>447</v>
      </c>
      <c r="D20" s="4"/>
      <c r="E20" s="88">
        <v>2</v>
      </c>
      <c r="F20" s="101">
        <f t="shared" si="0"/>
        <v>40</v>
      </c>
      <c r="G20">
        <f>VLOOKUP($C20,약재관리!A:J,10,FALSE)</f>
        <v>21.8</v>
      </c>
      <c r="H20" s="5">
        <f t="shared" si="1"/>
        <v>43.6</v>
      </c>
      <c r="I20" s="6">
        <f t="shared" si="2"/>
        <v>872</v>
      </c>
      <c r="K20" s="14" t="s">
        <v>27</v>
      </c>
      <c r="L20" s="11">
        <f>L16*L17+L19</f>
        <v>6630</v>
      </c>
      <c r="M20" s="12" t="s">
        <v>23</v>
      </c>
    </row>
    <row r="21" spans="2:13" ht="17.25" thickBot="1">
      <c r="B21" s="3">
        <v>20</v>
      </c>
      <c r="C21" t="s">
        <v>449</v>
      </c>
      <c r="D21" s="4"/>
      <c r="E21" s="88">
        <v>4</v>
      </c>
      <c r="F21" s="101">
        <f t="shared" si="0"/>
        <v>80</v>
      </c>
      <c r="G21">
        <f>VLOOKUP($C21,약재관리!A:J,10,FALSE)</f>
        <v>27.2</v>
      </c>
      <c r="H21" s="5">
        <f>G21*E21</f>
        <v>108.8</v>
      </c>
      <c r="I21" s="6">
        <f>G21*F21</f>
        <v>2176</v>
      </c>
      <c r="J21" s="91"/>
      <c r="M21" s="94"/>
    </row>
    <row r="22" spans="2:13" ht="17.25" thickBot="1">
      <c r="B22" s="3">
        <v>21</v>
      </c>
      <c r="C22" t="s">
        <v>437</v>
      </c>
      <c r="D22" s="4"/>
      <c r="E22" s="88">
        <v>4</v>
      </c>
      <c r="F22" s="101">
        <f t="shared" si="0"/>
        <v>80</v>
      </c>
      <c r="G22">
        <f>VLOOKUP($C22,약재관리!A:J,10,FALSE)</f>
        <v>46.7</v>
      </c>
      <c r="H22" s="5">
        <f>G22*E22</f>
        <v>186.8</v>
      </c>
      <c r="I22" s="6">
        <f>G22*F22</f>
        <v>3736</v>
      </c>
      <c r="K22" s="149" t="s">
        <v>386</v>
      </c>
      <c r="L22" s="150"/>
      <c r="M22" s="151"/>
    </row>
    <row r="23" spans="2:13">
      <c r="B23" s="3">
        <v>22</v>
      </c>
      <c r="D23" s="4"/>
      <c r="F23" s="101">
        <f t="shared" si="0"/>
        <v>0</v>
      </c>
      <c r="H23" s="5">
        <f t="shared" si="1"/>
        <v>0</v>
      </c>
      <c r="I23" s="6">
        <f t="shared" si="2"/>
        <v>0</v>
      </c>
      <c r="K23" s="91" t="s">
        <v>380</v>
      </c>
      <c r="L23">
        <f>SUM(F2:F31)</f>
        <v>1680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1644.4999999999995</v>
      </c>
      <c r="M30" s="4" t="s">
        <v>384</v>
      </c>
    </row>
    <row r="31" spans="2:13" ht="17.25" thickBot="1">
      <c r="B31" s="13">
        <v>30</v>
      </c>
      <c r="C31" s="14"/>
      <c r="D31" s="12"/>
      <c r="E31" s="95"/>
      <c r="F31" s="102">
        <f t="shared" si="0"/>
        <v>0</v>
      </c>
      <c r="G31" s="11"/>
      <c r="H31" s="15">
        <f t="shared" si="1"/>
        <v>0</v>
      </c>
      <c r="I31" s="16">
        <f t="shared" si="2"/>
        <v>0</v>
      </c>
      <c r="K31" s="14" t="s">
        <v>383</v>
      </c>
      <c r="L31" s="15">
        <f>SUM(I2:I31)</f>
        <v>32890</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24F64-1544-4CF1-A47B-797B3DB382DE}">
  <sheetPr>
    <pageSetUpPr fitToPage="1"/>
  </sheetPr>
  <dimension ref="B1:M31"/>
  <sheetViews>
    <sheetView workbookViewId="0">
      <selection activeCell="C2" sqref="C2:E2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429</v>
      </c>
      <c r="D2" s="4"/>
      <c r="E2" s="88">
        <v>8</v>
      </c>
      <c r="F2" s="101">
        <f>E2*$L$15</f>
        <v>160</v>
      </c>
      <c r="G2">
        <f>VLOOKUP($C2,약재관리!A:J,10,FALSE)</f>
        <v>12</v>
      </c>
      <c r="H2" s="5">
        <f>G2*E2</f>
        <v>96</v>
      </c>
      <c r="I2" s="90">
        <f>G2*F2</f>
        <v>1920</v>
      </c>
      <c r="K2" s="7" t="s">
        <v>9</v>
      </c>
      <c r="L2" s="161">
        <v>96</v>
      </c>
      <c r="M2" s="162"/>
    </row>
    <row r="3" spans="2:13">
      <c r="B3" s="3">
        <v>2</v>
      </c>
      <c r="C3" t="s">
        <v>414</v>
      </c>
      <c r="D3" s="4"/>
      <c r="E3" s="88">
        <v>6</v>
      </c>
      <c r="F3" s="101">
        <f t="shared" ref="F3:F21" si="0">E3*$L$15</f>
        <v>120</v>
      </c>
      <c r="G3">
        <f>VLOOKUP($C3,약재관리!A:J,10,FALSE)</f>
        <v>11</v>
      </c>
      <c r="H3" s="5">
        <f t="shared" ref="H3:H31" si="1">G3*E3</f>
        <v>66</v>
      </c>
      <c r="I3" s="6">
        <f t="shared" ref="I3:I31" si="2">G3*F3</f>
        <v>1320</v>
      </c>
      <c r="K3" s="8" t="s">
        <v>10</v>
      </c>
      <c r="L3" s="163" t="s">
        <v>452</v>
      </c>
      <c r="M3" s="164"/>
    </row>
    <row r="4" spans="2:13">
      <c r="B4" s="3">
        <v>3</v>
      </c>
      <c r="C4" t="s">
        <v>428</v>
      </c>
      <c r="D4" s="4"/>
      <c r="E4" s="88">
        <v>6</v>
      </c>
      <c r="F4" s="101">
        <f t="shared" si="0"/>
        <v>120</v>
      </c>
      <c r="G4">
        <f>VLOOKUP($C4,약재관리!A:J,10,FALSE)</f>
        <v>23.7</v>
      </c>
      <c r="H4" s="5">
        <f t="shared" si="1"/>
        <v>142.19999999999999</v>
      </c>
      <c r="I4" s="6">
        <f t="shared" si="2"/>
        <v>2844</v>
      </c>
      <c r="K4" s="8" t="s">
        <v>11</v>
      </c>
      <c r="L4" s="165">
        <v>45825</v>
      </c>
      <c r="M4" s="164"/>
    </row>
    <row r="5" spans="2:13">
      <c r="B5" s="3">
        <v>4</v>
      </c>
      <c r="C5" t="s">
        <v>415</v>
      </c>
      <c r="D5" s="4"/>
      <c r="E5" s="88">
        <v>4</v>
      </c>
      <c r="F5" s="101">
        <f t="shared" si="0"/>
        <v>80</v>
      </c>
      <c r="G5">
        <f>VLOOKUP($C5,약재관리!A:J,10,FALSE)</f>
        <v>47</v>
      </c>
      <c r="H5" s="5">
        <f t="shared" si="1"/>
        <v>188</v>
      </c>
      <c r="I5" s="6">
        <f t="shared" si="2"/>
        <v>3760</v>
      </c>
      <c r="K5" s="8" t="s">
        <v>12</v>
      </c>
      <c r="L5" s="163" t="s">
        <v>431</v>
      </c>
      <c r="M5" s="164"/>
    </row>
    <row r="6" spans="2:13">
      <c r="B6" s="3">
        <v>5</v>
      </c>
      <c r="C6" t="s">
        <v>441</v>
      </c>
      <c r="D6" s="4"/>
      <c r="E6" s="88">
        <v>4</v>
      </c>
      <c r="F6" s="101">
        <f t="shared" si="0"/>
        <v>80</v>
      </c>
      <c r="G6">
        <f>VLOOKUP($C6,약재관리!A:J,10,FALSE)</f>
        <v>6.7</v>
      </c>
      <c r="H6" s="5">
        <f t="shared" si="1"/>
        <v>26.8</v>
      </c>
      <c r="I6" s="6">
        <f t="shared" si="2"/>
        <v>536</v>
      </c>
      <c r="K6" s="8" t="s">
        <v>13</v>
      </c>
      <c r="L6" s="163">
        <v>60</v>
      </c>
      <c r="M6" s="164"/>
    </row>
    <row r="7" spans="2:13" ht="17.25" thickBot="1">
      <c r="B7" s="3">
        <v>6</v>
      </c>
      <c r="C7" t="s">
        <v>442</v>
      </c>
      <c r="D7" s="4"/>
      <c r="E7" s="88">
        <v>4</v>
      </c>
      <c r="F7" s="101">
        <f t="shared" si="0"/>
        <v>80</v>
      </c>
      <c r="G7">
        <f>VLOOKUP($C7,약재관리!A:J,10,FALSE)</f>
        <v>8</v>
      </c>
      <c r="H7" s="5">
        <f t="shared" si="1"/>
        <v>32</v>
      </c>
      <c r="I7" s="6">
        <f t="shared" si="2"/>
        <v>640</v>
      </c>
      <c r="K7" s="8" t="s">
        <v>14</v>
      </c>
      <c r="L7" s="147" t="s">
        <v>432</v>
      </c>
      <c r="M7" s="148"/>
    </row>
    <row r="8" spans="2:13" ht="17.25" thickBot="1">
      <c r="B8" s="3">
        <v>7</v>
      </c>
      <c r="C8" t="s">
        <v>445</v>
      </c>
      <c r="D8" s="4"/>
      <c r="E8" s="88">
        <v>3</v>
      </c>
      <c r="F8" s="101">
        <f t="shared" si="0"/>
        <v>60</v>
      </c>
      <c r="G8">
        <f>VLOOKUP($C8,약재관리!A:J,10,FALSE)</f>
        <v>21.8</v>
      </c>
      <c r="H8" s="5">
        <f t="shared" si="1"/>
        <v>65.400000000000006</v>
      </c>
      <c r="I8" s="6">
        <f t="shared" si="2"/>
        <v>1308</v>
      </c>
      <c r="K8" s="149" t="s">
        <v>15</v>
      </c>
      <c r="L8" s="150"/>
      <c r="M8" s="151"/>
    </row>
    <row r="9" spans="2:13">
      <c r="B9" s="3">
        <v>8</v>
      </c>
      <c r="C9" t="s">
        <v>448</v>
      </c>
      <c r="D9" s="4"/>
      <c r="E9" s="88">
        <v>4</v>
      </c>
      <c r="F9" s="101">
        <f t="shared" si="0"/>
        <v>80</v>
      </c>
      <c r="G9">
        <f>VLOOKUP($C9,약재관리!A:J,10,FALSE)</f>
        <v>13.8</v>
      </c>
      <c r="H9" s="5">
        <f t="shared" si="1"/>
        <v>55.2</v>
      </c>
      <c r="I9" s="6">
        <f t="shared" si="2"/>
        <v>1104</v>
      </c>
      <c r="K9" s="152" t="s">
        <v>453</v>
      </c>
      <c r="L9" s="153"/>
      <c r="M9" s="154"/>
    </row>
    <row r="10" spans="2:13">
      <c r="B10" s="3">
        <v>9</v>
      </c>
      <c r="C10" t="s">
        <v>443</v>
      </c>
      <c r="D10" s="4"/>
      <c r="E10" s="88">
        <v>4</v>
      </c>
      <c r="F10" s="101">
        <f t="shared" si="0"/>
        <v>80</v>
      </c>
      <c r="G10">
        <f>VLOOKUP($C10,약재관리!A:J,10,FALSE)</f>
        <v>10</v>
      </c>
      <c r="H10" s="5">
        <f t="shared" si="1"/>
        <v>40</v>
      </c>
      <c r="I10" s="6">
        <f t="shared" si="2"/>
        <v>800</v>
      </c>
      <c r="K10" s="155"/>
      <c r="L10" s="156"/>
      <c r="M10" s="157"/>
    </row>
    <row r="11" spans="2:13">
      <c r="B11" s="3">
        <v>10</v>
      </c>
      <c r="C11" t="s">
        <v>412</v>
      </c>
      <c r="D11" s="4"/>
      <c r="E11" s="88">
        <v>4</v>
      </c>
      <c r="F11" s="101">
        <f t="shared" si="0"/>
        <v>80</v>
      </c>
      <c r="G11">
        <f>VLOOKUP($C11,약재관리!A:J,10,FALSE)</f>
        <v>14.7</v>
      </c>
      <c r="H11" s="5">
        <f t="shared" si="1"/>
        <v>58.8</v>
      </c>
      <c r="I11" s="6">
        <f t="shared" si="2"/>
        <v>1176</v>
      </c>
      <c r="K11" s="155"/>
      <c r="L11" s="156"/>
      <c r="M11" s="157"/>
    </row>
    <row r="12" spans="2:13">
      <c r="B12" s="3">
        <v>11</v>
      </c>
      <c r="C12" t="s">
        <v>419</v>
      </c>
      <c r="D12" s="4"/>
      <c r="E12" s="88">
        <v>4</v>
      </c>
      <c r="F12" s="101">
        <f t="shared" si="0"/>
        <v>80</v>
      </c>
      <c r="G12">
        <f>VLOOKUP($C12,약재관리!A:J,10,FALSE)</f>
        <v>11.5</v>
      </c>
      <c r="H12" s="5">
        <f t="shared" si="1"/>
        <v>46</v>
      </c>
      <c r="I12" s="6">
        <f t="shared" si="2"/>
        <v>920</v>
      </c>
      <c r="K12" s="155"/>
      <c r="L12" s="156"/>
      <c r="M12" s="157"/>
    </row>
    <row r="13" spans="2:13" ht="17.25" thickBot="1">
      <c r="B13" s="3">
        <v>12</v>
      </c>
      <c r="C13" t="s">
        <v>444</v>
      </c>
      <c r="D13" s="4"/>
      <c r="E13" s="88">
        <v>4</v>
      </c>
      <c r="F13" s="101">
        <f t="shared" si="0"/>
        <v>80</v>
      </c>
      <c r="G13">
        <f>VLOOKUP($C13,약재관리!A:J,10,FALSE)</f>
        <v>35</v>
      </c>
      <c r="H13" s="5">
        <f t="shared" si="1"/>
        <v>140</v>
      </c>
      <c r="I13" s="6">
        <f t="shared" si="2"/>
        <v>2800</v>
      </c>
      <c r="K13" s="158"/>
      <c r="L13" s="159"/>
      <c r="M13" s="160"/>
    </row>
    <row r="14" spans="2:13">
      <c r="B14" s="3">
        <v>13</v>
      </c>
      <c r="C14" t="s">
        <v>451</v>
      </c>
      <c r="D14" s="4"/>
      <c r="E14" s="88">
        <v>4</v>
      </c>
      <c r="F14" s="101">
        <f t="shared" si="0"/>
        <v>80</v>
      </c>
      <c r="G14">
        <f>VLOOKUP($C14,약재관리!A:J,10,FALSE)</f>
        <v>4.8</v>
      </c>
      <c r="H14" s="5">
        <f t="shared" si="1"/>
        <v>19.2</v>
      </c>
      <c r="I14" s="6">
        <f t="shared" si="2"/>
        <v>384</v>
      </c>
      <c r="K14" s="92" t="s">
        <v>16</v>
      </c>
      <c r="L14" s="9">
        <v>15</v>
      </c>
      <c r="M14" s="10" t="s">
        <v>17</v>
      </c>
    </row>
    <row r="15" spans="2:13">
      <c r="B15" s="3">
        <v>14</v>
      </c>
      <c r="C15" t="s">
        <v>426</v>
      </c>
      <c r="D15" s="4"/>
      <c r="E15" s="88">
        <v>4</v>
      </c>
      <c r="F15" s="101">
        <f t="shared" si="0"/>
        <v>80</v>
      </c>
      <c r="G15">
        <f>VLOOKUP($C15,약재관리!A:J,10,FALSE)</f>
        <v>17.600000000000001</v>
      </c>
      <c r="H15" s="5">
        <f t="shared" si="1"/>
        <v>70.400000000000006</v>
      </c>
      <c r="I15" s="6">
        <f t="shared" si="2"/>
        <v>1408</v>
      </c>
      <c r="K15" s="91" t="s">
        <v>18</v>
      </c>
      <c r="L15">
        <v>20</v>
      </c>
      <c r="M15" s="4" t="s">
        <v>19</v>
      </c>
    </row>
    <row r="16" spans="2:13">
      <c r="B16" s="3">
        <v>15</v>
      </c>
      <c r="C16" t="s">
        <v>422</v>
      </c>
      <c r="D16" s="4"/>
      <c r="E16" s="88">
        <v>3</v>
      </c>
      <c r="F16" s="101">
        <f t="shared" si="0"/>
        <v>60</v>
      </c>
      <c r="G16">
        <f>VLOOKUP($C16,약재관리!A:J,10,FALSE)</f>
        <v>26</v>
      </c>
      <c r="H16" s="5">
        <f t="shared" si="1"/>
        <v>78</v>
      </c>
      <c r="I16" s="6">
        <f t="shared" si="2"/>
        <v>1560</v>
      </c>
      <c r="K16" s="91" t="s">
        <v>20</v>
      </c>
      <c r="L16">
        <v>45</v>
      </c>
      <c r="M16" s="4" t="s">
        <v>21</v>
      </c>
    </row>
    <row r="17" spans="2:13" ht="17.25" thickBot="1">
      <c r="B17" s="3">
        <v>16</v>
      </c>
      <c r="C17" t="s">
        <v>416</v>
      </c>
      <c r="D17" s="4"/>
      <c r="E17" s="88">
        <v>3</v>
      </c>
      <c r="F17" s="101">
        <f t="shared" si="0"/>
        <v>60</v>
      </c>
      <c r="G17">
        <f>VLOOKUP($C17,약재관리!A:J,10,FALSE)</f>
        <v>10.7</v>
      </c>
      <c r="H17" s="5">
        <f t="shared" si="1"/>
        <v>32.099999999999994</v>
      </c>
      <c r="I17" s="6">
        <f t="shared" si="2"/>
        <v>642</v>
      </c>
      <c r="K17" s="14" t="s">
        <v>22</v>
      </c>
      <c r="L17" s="11">
        <v>110</v>
      </c>
      <c r="M17" s="12" t="s">
        <v>23</v>
      </c>
    </row>
    <row r="18" spans="2:13">
      <c r="B18" s="3">
        <v>17</v>
      </c>
      <c r="C18" t="s">
        <v>450</v>
      </c>
      <c r="D18" s="4"/>
      <c r="E18" s="88">
        <v>2</v>
      </c>
      <c r="F18" s="101">
        <f t="shared" si="0"/>
        <v>40</v>
      </c>
      <c r="G18">
        <f>VLOOKUP($C18,약재관리!A:J,10,FALSE)</f>
        <v>27.7</v>
      </c>
      <c r="H18" s="5">
        <f t="shared" si="1"/>
        <v>55.4</v>
      </c>
      <c r="I18" s="6">
        <f t="shared" si="2"/>
        <v>1108</v>
      </c>
      <c r="K18" s="92" t="s">
        <v>24</v>
      </c>
      <c r="L18" s="9">
        <f>SUM(E2:E31)</f>
        <v>79</v>
      </c>
      <c r="M18" s="10" t="s">
        <v>25</v>
      </c>
    </row>
    <row r="19" spans="2:13">
      <c r="B19" s="3">
        <v>18</v>
      </c>
      <c r="C19" t="s">
        <v>446</v>
      </c>
      <c r="D19" s="4"/>
      <c r="E19" s="88">
        <v>2</v>
      </c>
      <c r="F19" s="101">
        <f t="shared" si="0"/>
        <v>40</v>
      </c>
      <c r="G19">
        <f>VLOOKUP($C19,약재관리!A:J,10,FALSE)</f>
        <v>28.3</v>
      </c>
      <c r="H19" s="5">
        <f t="shared" si="1"/>
        <v>56.6</v>
      </c>
      <c r="I19" s="6">
        <f t="shared" si="2"/>
        <v>1132</v>
      </c>
      <c r="K19" s="91" t="s">
        <v>26</v>
      </c>
      <c r="L19">
        <f>L15*L18</f>
        <v>1580</v>
      </c>
      <c r="M19" s="4" t="s">
        <v>25</v>
      </c>
    </row>
    <row r="20" spans="2:13" ht="17.25" thickBot="1">
      <c r="B20" s="3">
        <v>19</v>
      </c>
      <c r="C20" t="s">
        <v>447</v>
      </c>
      <c r="D20" s="4"/>
      <c r="E20" s="88">
        <v>2</v>
      </c>
      <c r="F20" s="101">
        <f t="shared" si="0"/>
        <v>40</v>
      </c>
      <c r="G20">
        <f>VLOOKUP($C20,약재관리!A:J,10,FALSE)</f>
        <v>21.8</v>
      </c>
      <c r="H20" s="5">
        <f t="shared" si="1"/>
        <v>43.6</v>
      </c>
      <c r="I20" s="6">
        <f t="shared" si="2"/>
        <v>872</v>
      </c>
      <c r="K20" s="14" t="s">
        <v>27</v>
      </c>
      <c r="L20" s="11">
        <f>L16*L17+L19</f>
        <v>6530</v>
      </c>
      <c r="M20" s="12" t="s">
        <v>23</v>
      </c>
    </row>
    <row r="21" spans="2:13" ht="17.25" thickBot="1">
      <c r="B21" s="3">
        <v>20</v>
      </c>
      <c r="C21" t="s">
        <v>449</v>
      </c>
      <c r="D21" s="4"/>
      <c r="E21" s="88">
        <v>4</v>
      </c>
      <c r="F21" s="101">
        <f t="shared" si="0"/>
        <v>80</v>
      </c>
      <c r="G21">
        <f>VLOOKUP($C21,약재관리!A:J,10,FALSE)</f>
        <v>27.2</v>
      </c>
      <c r="H21" s="5">
        <f t="shared" si="1"/>
        <v>108.8</v>
      </c>
      <c r="I21" s="6">
        <f t="shared" si="2"/>
        <v>2176</v>
      </c>
      <c r="J21" s="91"/>
      <c r="M21" s="94"/>
    </row>
    <row r="22" spans="2:13" ht="17.25" thickBot="1">
      <c r="B22" s="3">
        <v>21</v>
      </c>
      <c r="D22" s="4"/>
      <c r="F22" s="101">
        <f t="shared" ref="F22:F31" si="3">E22*$L$15</f>
        <v>0</v>
      </c>
      <c r="H22" s="5">
        <f t="shared" si="1"/>
        <v>0</v>
      </c>
      <c r="I22" s="6">
        <f t="shared" si="2"/>
        <v>0</v>
      </c>
      <c r="K22" s="149" t="s">
        <v>386</v>
      </c>
      <c r="L22" s="150"/>
      <c r="M22" s="151"/>
    </row>
    <row r="23" spans="2:13">
      <c r="B23" s="3">
        <v>22</v>
      </c>
      <c r="D23" s="4"/>
      <c r="F23" s="101">
        <f t="shared" si="3"/>
        <v>0</v>
      </c>
      <c r="H23" s="5">
        <f t="shared" si="1"/>
        <v>0</v>
      </c>
      <c r="I23" s="6">
        <f t="shared" si="2"/>
        <v>0</v>
      </c>
      <c r="K23" s="91" t="s">
        <v>380</v>
      </c>
      <c r="L23">
        <f>SUM(F2:F31)</f>
        <v>1580</v>
      </c>
      <c r="M23" s="4" t="s">
        <v>25</v>
      </c>
    </row>
    <row r="24" spans="2:13">
      <c r="B24" s="3">
        <v>23</v>
      </c>
      <c r="D24" s="4"/>
      <c r="F24" s="101">
        <f t="shared" si="3"/>
        <v>0</v>
      </c>
      <c r="H24" s="5">
        <f t="shared" si="1"/>
        <v>0</v>
      </c>
      <c r="I24" s="6">
        <f t="shared" si="2"/>
        <v>0</v>
      </c>
      <c r="K24" s="91" t="s">
        <v>387</v>
      </c>
      <c r="L24">
        <v>5000</v>
      </c>
      <c r="M24" s="4" t="s">
        <v>23</v>
      </c>
    </row>
    <row r="25" spans="2:13">
      <c r="B25" s="3">
        <v>24</v>
      </c>
      <c r="D25" s="4"/>
      <c r="F25" s="101">
        <f t="shared" si="3"/>
        <v>0</v>
      </c>
      <c r="H25" s="5">
        <f t="shared" si="1"/>
        <v>0</v>
      </c>
      <c r="I25" s="6">
        <f t="shared" si="2"/>
        <v>0</v>
      </c>
      <c r="K25" s="91" t="s">
        <v>28</v>
      </c>
      <c r="L25" s="93" t="s">
        <v>382</v>
      </c>
      <c r="M25" s="4" t="s">
        <v>25</v>
      </c>
    </row>
    <row r="26" spans="2:13">
      <c r="B26" s="3">
        <v>25</v>
      </c>
      <c r="D26" s="4"/>
      <c r="F26" s="101">
        <f t="shared" si="3"/>
        <v>0</v>
      </c>
      <c r="H26" s="5">
        <f t="shared" si="1"/>
        <v>0</v>
      </c>
      <c r="I26" s="6">
        <f t="shared" si="2"/>
        <v>0</v>
      </c>
      <c r="K26" s="91" t="s">
        <v>29</v>
      </c>
      <c r="L26" s="93">
        <v>1600</v>
      </c>
      <c r="M26" s="4" t="s">
        <v>25</v>
      </c>
    </row>
    <row r="27" spans="2:13" ht="17.25" thickBot="1">
      <c r="B27" s="3">
        <v>26</v>
      </c>
      <c r="D27" s="4"/>
      <c r="F27" s="101">
        <f t="shared" si="3"/>
        <v>0</v>
      </c>
      <c r="H27" s="5">
        <f t="shared" si="1"/>
        <v>0</v>
      </c>
      <c r="I27" s="6">
        <f t="shared" si="2"/>
        <v>0</v>
      </c>
      <c r="K27" s="14" t="s">
        <v>381</v>
      </c>
      <c r="L27" s="11">
        <v>4</v>
      </c>
      <c r="M27" s="12" t="s">
        <v>25</v>
      </c>
    </row>
    <row r="28" spans="2:13" ht="17.25" thickBot="1">
      <c r="B28" s="3">
        <v>27</v>
      </c>
      <c r="D28" s="4"/>
      <c r="F28" s="101">
        <f t="shared" si="3"/>
        <v>0</v>
      </c>
      <c r="H28" s="5">
        <f t="shared" si="1"/>
        <v>0</v>
      </c>
      <c r="I28" s="6">
        <f t="shared" si="2"/>
        <v>0</v>
      </c>
      <c r="J28" s="91"/>
      <c r="K28" s="11"/>
      <c r="L28" s="11"/>
      <c r="M28" s="94"/>
    </row>
    <row r="29" spans="2:13" ht="17.25" thickBot="1">
      <c r="B29" s="3">
        <v>28</v>
      </c>
      <c r="D29" s="4"/>
      <c r="F29" s="101">
        <f t="shared" si="3"/>
        <v>0</v>
      </c>
      <c r="H29" s="5">
        <f t="shared" si="1"/>
        <v>0</v>
      </c>
      <c r="I29" s="6">
        <f t="shared" si="2"/>
        <v>0</v>
      </c>
      <c r="K29" s="149" t="s">
        <v>385</v>
      </c>
      <c r="L29" s="150"/>
      <c r="M29" s="151"/>
    </row>
    <row r="30" spans="2:13">
      <c r="B30" s="3">
        <v>29</v>
      </c>
      <c r="D30" s="4"/>
      <c r="F30" s="101">
        <f t="shared" si="3"/>
        <v>0</v>
      </c>
      <c r="H30" s="5">
        <f t="shared" si="1"/>
        <v>0</v>
      </c>
      <c r="I30" s="6">
        <f t="shared" si="2"/>
        <v>0</v>
      </c>
      <c r="K30" s="91" t="s">
        <v>28</v>
      </c>
      <c r="L30" s="5">
        <f>SUM(H2:H31)</f>
        <v>1420.4999999999998</v>
      </c>
      <c r="M30" s="4" t="s">
        <v>384</v>
      </c>
    </row>
    <row r="31" spans="2:13" ht="17.25" thickBot="1">
      <c r="B31" s="13">
        <v>30</v>
      </c>
      <c r="C31" s="14"/>
      <c r="D31" s="12"/>
      <c r="E31" s="95"/>
      <c r="F31" s="102">
        <f t="shared" si="3"/>
        <v>0</v>
      </c>
      <c r="G31" s="11"/>
      <c r="H31" s="15">
        <f t="shared" si="1"/>
        <v>0</v>
      </c>
      <c r="I31" s="16">
        <f t="shared" si="2"/>
        <v>0</v>
      </c>
      <c r="K31" s="14" t="s">
        <v>383</v>
      </c>
      <c r="L31" s="15">
        <f>SUM(I2:I31)</f>
        <v>28410</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665F0-7970-4878-975F-2FE53B62E7D2}">
  <sheetPr>
    <pageSetUpPr fitToPage="1"/>
  </sheetPr>
  <dimension ref="B1:M31"/>
  <sheetViews>
    <sheetView workbookViewId="0">
      <selection activeCell="R18" sqref="R1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412</v>
      </c>
      <c r="D2" s="4"/>
      <c r="E2" s="88">
        <v>8</v>
      </c>
      <c r="F2" s="101">
        <f>E2*$L$15</f>
        <v>160</v>
      </c>
      <c r="G2">
        <f>VLOOKUP($C2,약재관리!A:J,10,FALSE)</f>
        <v>14.7</v>
      </c>
      <c r="H2" s="5">
        <f>G2*E2</f>
        <v>117.6</v>
      </c>
      <c r="I2" s="90">
        <f>G2*F2</f>
        <v>2352</v>
      </c>
      <c r="K2" s="7" t="s">
        <v>9</v>
      </c>
      <c r="L2" s="161">
        <v>96</v>
      </c>
      <c r="M2" s="162"/>
    </row>
    <row r="3" spans="2:13">
      <c r="B3" s="3">
        <v>2</v>
      </c>
      <c r="C3" t="s">
        <v>413</v>
      </c>
      <c r="D3" s="4"/>
      <c r="E3" s="88">
        <v>6</v>
      </c>
      <c r="F3" s="101">
        <f t="shared" ref="F3:F31" si="0">E3*$L$15</f>
        <v>120</v>
      </c>
      <c r="G3">
        <f>VLOOKUP($C3,약재관리!A:J,10,FALSE)</f>
        <v>5.3</v>
      </c>
      <c r="H3" s="5">
        <f t="shared" ref="H3:H31" si="1">G3*E3</f>
        <v>31.799999999999997</v>
      </c>
      <c r="I3" s="6">
        <f t="shared" ref="I3:I31" si="2">G3*F3</f>
        <v>636</v>
      </c>
      <c r="K3" s="8" t="s">
        <v>10</v>
      </c>
      <c r="L3" s="163" t="s">
        <v>435</v>
      </c>
      <c r="M3" s="164"/>
    </row>
    <row r="4" spans="2:13">
      <c r="B4" s="3">
        <v>3</v>
      </c>
      <c r="C4" t="s">
        <v>426</v>
      </c>
      <c r="D4" s="4"/>
      <c r="E4" s="88">
        <v>6</v>
      </c>
      <c r="F4" s="101">
        <f t="shared" si="0"/>
        <v>120</v>
      </c>
      <c r="G4">
        <f>VLOOKUP($C4,약재관리!A:J,10,FALSE)</f>
        <v>17.600000000000001</v>
      </c>
      <c r="H4" s="5">
        <f t="shared" si="1"/>
        <v>105.60000000000001</v>
      </c>
      <c r="I4" s="6">
        <f t="shared" si="2"/>
        <v>2112</v>
      </c>
      <c r="K4" s="8" t="s">
        <v>11</v>
      </c>
      <c r="L4" s="165">
        <v>45796</v>
      </c>
      <c r="M4" s="164"/>
    </row>
    <row r="5" spans="2:13">
      <c r="B5" s="3">
        <v>4</v>
      </c>
      <c r="C5" t="s">
        <v>414</v>
      </c>
      <c r="D5" s="4"/>
      <c r="E5" s="88">
        <v>4</v>
      </c>
      <c r="F5" s="101">
        <f t="shared" si="0"/>
        <v>80</v>
      </c>
      <c r="G5">
        <f>VLOOKUP($C5,약재관리!A:J,10,FALSE)</f>
        <v>11</v>
      </c>
      <c r="H5" s="5">
        <f t="shared" si="1"/>
        <v>44</v>
      </c>
      <c r="I5" s="6">
        <f t="shared" si="2"/>
        <v>880</v>
      </c>
      <c r="K5" s="8" t="s">
        <v>12</v>
      </c>
      <c r="L5" s="163" t="s">
        <v>431</v>
      </c>
      <c r="M5" s="164"/>
    </row>
    <row r="6" spans="2:13">
      <c r="B6" s="3">
        <v>5</v>
      </c>
      <c r="C6" t="s">
        <v>415</v>
      </c>
      <c r="D6" s="4"/>
      <c r="E6" s="88">
        <v>4</v>
      </c>
      <c r="F6" s="101">
        <f t="shared" si="0"/>
        <v>80</v>
      </c>
      <c r="G6">
        <f>VLOOKUP($C6,약재관리!A:J,10,FALSE)</f>
        <v>47</v>
      </c>
      <c r="H6" s="5">
        <f t="shared" si="1"/>
        <v>188</v>
      </c>
      <c r="I6" s="6">
        <f t="shared" si="2"/>
        <v>3760</v>
      </c>
      <c r="K6" s="8" t="s">
        <v>13</v>
      </c>
      <c r="L6" s="163">
        <v>60</v>
      </c>
      <c r="M6" s="164"/>
    </row>
    <row r="7" spans="2:13" ht="17.25" thickBot="1">
      <c r="B7" s="3">
        <v>6</v>
      </c>
      <c r="C7" t="s">
        <v>427</v>
      </c>
      <c r="D7" s="4"/>
      <c r="E7" s="88">
        <v>4</v>
      </c>
      <c r="F7" s="101">
        <f t="shared" si="0"/>
        <v>80</v>
      </c>
      <c r="G7">
        <f>VLOOKUP($C7,약재관리!A:J,10,FALSE)</f>
        <v>22</v>
      </c>
      <c r="H7" s="5">
        <f t="shared" si="1"/>
        <v>88</v>
      </c>
      <c r="I7" s="6">
        <f t="shared" si="2"/>
        <v>1760</v>
      </c>
      <c r="K7" s="8" t="s">
        <v>14</v>
      </c>
      <c r="L7" s="147" t="s">
        <v>432</v>
      </c>
      <c r="M7" s="148"/>
    </row>
    <row r="8" spans="2:13" ht="17.25" thickBot="1">
      <c r="B8" s="3">
        <v>7</v>
      </c>
      <c r="C8" t="s">
        <v>425</v>
      </c>
      <c r="D8" s="4"/>
      <c r="E8" s="88">
        <v>6</v>
      </c>
      <c r="F8" s="101">
        <f t="shared" si="0"/>
        <v>120</v>
      </c>
      <c r="G8">
        <f>VLOOKUP($C8,약재관리!A:J,10,FALSE)</f>
        <v>16.7</v>
      </c>
      <c r="H8" s="5">
        <f t="shared" si="1"/>
        <v>100.19999999999999</v>
      </c>
      <c r="I8" s="6">
        <f t="shared" si="2"/>
        <v>2004</v>
      </c>
      <c r="K8" s="149" t="s">
        <v>15</v>
      </c>
      <c r="L8" s="150"/>
      <c r="M8" s="151"/>
    </row>
    <row r="9" spans="2:13">
      <c r="B9" s="3">
        <v>8</v>
      </c>
      <c r="C9" t="s">
        <v>416</v>
      </c>
      <c r="D9" s="4"/>
      <c r="E9" s="88">
        <v>4</v>
      </c>
      <c r="F9" s="101">
        <f t="shared" si="0"/>
        <v>80</v>
      </c>
      <c r="G9">
        <f>VLOOKUP($C9,약재관리!A:J,10,FALSE)</f>
        <v>10.7</v>
      </c>
      <c r="H9" s="5">
        <f t="shared" si="1"/>
        <v>42.8</v>
      </c>
      <c r="I9" s="6">
        <f t="shared" si="2"/>
        <v>856</v>
      </c>
      <c r="K9" s="152" t="s">
        <v>440</v>
      </c>
      <c r="L9" s="153"/>
      <c r="M9" s="154"/>
    </row>
    <row r="10" spans="2:13">
      <c r="B10" s="3">
        <v>9</v>
      </c>
      <c r="C10" t="s">
        <v>428</v>
      </c>
      <c r="D10" s="4"/>
      <c r="E10" s="88">
        <v>4</v>
      </c>
      <c r="F10" s="101">
        <f t="shared" si="0"/>
        <v>80</v>
      </c>
      <c r="G10">
        <f>VLOOKUP($C10,약재관리!A:J,10,FALSE)</f>
        <v>23.7</v>
      </c>
      <c r="H10" s="5">
        <f t="shared" si="1"/>
        <v>94.8</v>
      </c>
      <c r="I10" s="6">
        <f t="shared" si="2"/>
        <v>1896</v>
      </c>
      <c r="K10" s="155"/>
      <c r="L10" s="156"/>
      <c r="M10" s="157"/>
    </row>
    <row r="11" spans="2:13">
      <c r="B11" s="3">
        <v>10</v>
      </c>
      <c r="C11" t="s">
        <v>417</v>
      </c>
      <c r="D11" s="4"/>
      <c r="E11" s="88">
        <v>4</v>
      </c>
      <c r="F11" s="101">
        <f t="shared" si="0"/>
        <v>80</v>
      </c>
      <c r="G11">
        <f>VLOOKUP($C11,약재관리!A:J,10,FALSE)</f>
        <v>9.1999999999999993</v>
      </c>
      <c r="H11" s="5">
        <f t="shared" si="1"/>
        <v>36.799999999999997</v>
      </c>
      <c r="I11" s="6">
        <f t="shared" si="2"/>
        <v>736</v>
      </c>
      <c r="K11" s="155"/>
      <c r="L11" s="156"/>
      <c r="M11" s="157"/>
    </row>
    <row r="12" spans="2:13">
      <c r="B12" s="3">
        <v>11</v>
      </c>
      <c r="C12" t="s">
        <v>418</v>
      </c>
      <c r="D12" s="4"/>
      <c r="E12" s="88">
        <v>4</v>
      </c>
      <c r="F12" s="101">
        <f t="shared" si="0"/>
        <v>80</v>
      </c>
      <c r="G12">
        <f>VLOOKUP($C12,약재관리!A:J,10,FALSE)</f>
        <v>7.3</v>
      </c>
      <c r="H12" s="5">
        <f t="shared" si="1"/>
        <v>29.2</v>
      </c>
      <c r="I12" s="6">
        <f t="shared" si="2"/>
        <v>584</v>
      </c>
      <c r="K12" s="155"/>
      <c r="L12" s="156"/>
      <c r="M12" s="157"/>
    </row>
    <row r="13" spans="2:13" ht="17.25" thickBot="1">
      <c r="B13" s="3">
        <v>12</v>
      </c>
      <c r="C13" t="s">
        <v>439</v>
      </c>
      <c r="D13" s="4"/>
      <c r="E13" s="88">
        <v>4</v>
      </c>
      <c r="F13" s="101">
        <f t="shared" si="0"/>
        <v>80</v>
      </c>
      <c r="G13">
        <f>VLOOKUP($C13,약재관리!A:J,10,FALSE)</f>
        <v>44.3</v>
      </c>
      <c r="H13" s="5">
        <f t="shared" si="1"/>
        <v>177.2</v>
      </c>
      <c r="I13" s="6">
        <f t="shared" si="2"/>
        <v>3544</v>
      </c>
      <c r="K13" s="158"/>
      <c r="L13" s="159"/>
      <c r="M13" s="160"/>
    </row>
    <row r="14" spans="2:13">
      <c r="B14" s="3">
        <v>13</v>
      </c>
      <c r="C14" t="s">
        <v>419</v>
      </c>
      <c r="D14" s="4"/>
      <c r="E14" s="88">
        <v>3</v>
      </c>
      <c r="F14" s="101">
        <f t="shared" si="0"/>
        <v>60</v>
      </c>
      <c r="G14">
        <f>VLOOKUP($C14,약재관리!A:J,10,FALSE)</f>
        <v>11.5</v>
      </c>
      <c r="H14" s="5">
        <f t="shared" si="1"/>
        <v>34.5</v>
      </c>
      <c r="I14" s="6">
        <f t="shared" si="2"/>
        <v>690</v>
      </c>
      <c r="K14" s="92" t="s">
        <v>16</v>
      </c>
      <c r="L14" s="9">
        <v>15</v>
      </c>
      <c r="M14" s="10" t="s">
        <v>17</v>
      </c>
    </row>
    <row r="15" spans="2:13">
      <c r="B15" s="3">
        <v>14</v>
      </c>
      <c r="C15" t="s">
        <v>420</v>
      </c>
      <c r="D15" s="4"/>
      <c r="E15" s="88">
        <v>2</v>
      </c>
      <c r="F15" s="101">
        <f t="shared" si="0"/>
        <v>40</v>
      </c>
      <c r="G15">
        <f>VLOOKUP($C15,약재관리!A:J,10,FALSE)</f>
        <v>12.2</v>
      </c>
      <c r="H15" s="5">
        <f t="shared" si="1"/>
        <v>24.4</v>
      </c>
      <c r="I15" s="6">
        <f t="shared" si="2"/>
        <v>488</v>
      </c>
      <c r="K15" s="91" t="s">
        <v>18</v>
      </c>
      <c r="L15">
        <v>20</v>
      </c>
      <c r="M15" s="4" t="s">
        <v>19</v>
      </c>
    </row>
    <row r="16" spans="2:13">
      <c r="B16" s="3">
        <v>15</v>
      </c>
      <c r="C16" t="s">
        <v>421</v>
      </c>
      <c r="D16" s="4"/>
      <c r="E16" s="88">
        <v>4</v>
      </c>
      <c r="F16" s="101">
        <f t="shared" si="0"/>
        <v>80</v>
      </c>
      <c r="G16">
        <f>VLOOKUP($C16,약재관리!A:J,10,FALSE)</f>
        <v>15</v>
      </c>
      <c r="H16" s="5">
        <f t="shared" si="1"/>
        <v>60</v>
      </c>
      <c r="I16" s="6">
        <f t="shared" si="2"/>
        <v>1200</v>
      </c>
      <c r="K16" s="91" t="s">
        <v>20</v>
      </c>
      <c r="L16">
        <v>45</v>
      </c>
      <c r="M16" s="4" t="s">
        <v>21</v>
      </c>
    </row>
    <row r="17" spans="2:13" ht="17.25" thickBot="1">
      <c r="B17" s="3">
        <v>16</v>
      </c>
      <c r="C17" t="s">
        <v>422</v>
      </c>
      <c r="D17" s="4"/>
      <c r="E17" s="88">
        <v>6</v>
      </c>
      <c r="F17" s="101">
        <f t="shared" si="0"/>
        <v>120</v>
      </c>
      <c r="G17">
        <f>VLOOKUP($C17,약재관리!A:J,10,FALSE)</f>
        <v>26</v>
      </c>
      <c r="H17" s="5">
        <f t="shared" si="1"/>
        <v>156</v>
      </c>
      <c r="I17" s="6">
        <f t="shared" si="2"/>
        <v>3120</v>
      </c>
      <c r="K17" s="14" t="s">
        <v>22</v>
      </c>
      <c r="L17" s="11">
        <v>110</v>
      </c>
      <c r="M17" s="12" t="s">
        <v>23</v>
      </c>
    </row>
    <row r="18" spans="2:13">
      <c r="B18" s="3">
        <v>17</v>
      </c>
      <c r="C18" t="s">
        <v>423</v>
      </c>
      <c r="D18" s="4"/>
      <c r="E18" s="88">
        <v>2</v>
      </c>
      <c r="F18" s="101">
        <f t="shared" si="0"/>
        <v>40</v>
      </c>
      <c r="G18">
        <f>VLOOKUP($C18,약재관리!A:J,10,FALSE)</f>
        <v>136.80000000000001</v>
      </c>
      <c r="H18" s="5">
        <f t="shared" si="1"/>
        <v>273.60000000000002</v>
      </c>
      <c r="I18" s="6">
        <f t="shared" si="2"/>
        <v>5472</v>
      </c>
      <c r="K18" s="92" t="s">
        <v>24</v>
      </c>
      <c r="L18" s="9">
        <f>SUM(E2:E31)</f>
        <v>85</v>
      </c>
      <c r="M18" s="10" t="s">
        <v>25</v>
      </c>
    </row>
    <row r="19" spans="2:13">
      <c r="B19" s="3">
        <v>18</v>
      </c>
      <c r="C19" t="s">
        <v>424</v>
      </c>
      <c r="D19" s="4"/>
      <c r="E19" s="88">
        <v>4</v>
      </c>
      <c r="F19" s="101">
        <f t="shared" si="0"/>
        <v>80</v>
      </c>
      <c r="G19">
        <f>VLOOKUP($C19,약재관리!A:J,10,FALSE)</f>
        <v>13</v>
      </c>
      <c r="H19" s="5">
        <f t="shared" si="1"/>
        <v>52</v>
      </c>
      <c r="I19" s="6">
        <f t="shared" si="2"/>
        <v>1040</v>
      </c>
      <c r="K19" s="91" t="s">
        <v>26</v>
      </c>
      <c r="L19">
        <f>L15*L18</f>
        <v>1700</v>
      </c>
      <c r="M19" s="4" t="s">
        <v>25</v>
      </c>
    </row>
    <row r="20" spans="2:13" ht="17.25" thickBot="1">
      <c r="B20" s="3">
        <v>19</v>
      </c>
      <c r="C20" t="s">
        <v>437</v>
      </c>
      <c r="D20" s="4"/>
      <c r="E20" s="88">
        <v>4</v>
      </c>
      <c r="F20" s="101">
        <f t="shared" si="0"/>
        <v>80</v>
      </c>
      <c r="G20">
        <f>VLOOKUP($C20,약재관리!A:J,10,FALSE)</f>
        <v>46.7</v>
      </c>
      <c r="H20" s="5">
        <f t="shared" si="1"/>
        <v>186.8</v>
      </c>
      <c r="I20" s="6">
        <f t="shared" si="2"/>
        <v>3736</v>
      </c>
      <c r="K20" s="14" t="s">
        <v>27</v>
      </c>
      <c r="L20" s="11">
        <f>L16*L17+L19</f>
        <v>6650</v>
      </c>
      <c r="M20" s="12" t="s">
        <v>23</v>
      </c>
    </row>
    <row r="21" spans="2:13" ht="17.25" thickBot="1">
      <c r="B21" s="3">
        <v>20</v>
      </c>
      <c r="C21" t="s">
        <v>438</v>
      </c>
      <c r="D21" s="4"/>
      <c r="E21" s="88">
        <v>2</v>
      </c>
      <c r="F21" s="101">
        <f t="shared" si="0"/>
        <v>40</v>
      </c>
      <c r="G21">
        <f>VLOOKUP($C21,약재관리!A:J,10,FALSE)</f>
        <v>23.3</v>
      </c>
      <c r="H21" s="5">
        <f t="shared" si="1"/>
        <v>46.6</v>
      </c>
      <c r="I21" s="6">
        <f t="shared" si="2"/>
        <v>932</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1700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1889.8999999999999</v>
      </c>
      <c r="M30" s="4" t="s">
        <v>384</v>
      </c>
    </row>
    <row r="31" spans="2:13" ht="17.25" thickBot="1">
      <c r="B31" s="13">
        <v>30</v>
      </c>
      <c r="C31" s="14"/>
      <c r="D31" s="12"/>
      <c r="E31" s="95"/>
      <c r="F31" s="102">
        <f t="shared" si="0"/>
        <v>0</v>
      </c>
      <c r="G31" s="11"/>
      <c r="H31" s="15">
        <f t="shared" si="1"/>
        <v>0</v>
      </c>
      <c r="I31" s="16">
        <f t="shared" si="2"/>
        <v>0</v>
      </c>
      <c r="K31" s="14" t="s">
        <v>383</v>
      </c>
      <c r="L31" s="15">
        <f>SUM(I2:I31)</f>
        <v>37798</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FC0C6-1B14-4ACE-84F7-560C80C4ED7D}">
  <sheetPr>
    <pageSetUpPr fitToPage="1"/>
  </sheetPr>
  <dimension ref="B1:M31"/>
  <sheetViews>
    <sheetView workbookViewId="0">
      <selection activeCell="L15" sqref="L1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412</v>
      </c>
      <c r="D2" s="4"/>
      <c r="E2" s="88">
        <v>8</v>
      </c>
      <c r="F2" s="101">
        <f>E2*$L$15</f>
        <v>160</v>
      </c>
      <c r="G2">
        <f>VLOOKUP($C2,약재관리!A:J,10,FALSE)</f>
        <v>14.7</v>
      </c>
      <c r="H2" s="5">
        <f>G2*E2</f>
        <v>117.6</v>
      </c>
      <c r="I2" s="90">
        <f>G2*F2</f>
        <v>2352</v>
      </c>
      <c r="K2" s="7" t="s">
        <v>9</v>
      </c>
      <c r="L2" s="161">
        <v>96</v>
      </c>
      <c r="M2" s="162"/>
    </row>
    <row r="3" spans="2:13">
      <c r="B3" s="3">
        <v>2</v>
      </c>
      <c r="C3" t="s">
        <v>413</v>
      </c>
      <c r="D3" s="4"/>
      <c r="E3" s="88">
        <v>6</v>
      </c>
      <c r="F3" s="101">
        <f t="shared" ref="F3:F31" si="0">E3*$L$15</f>
        <v>120</v>
      </c>
      <c r="G3">
        <f>VLOOKUP($C3,약재관리!A:J,10,FALSE)</f>
        <v>5.3</v>
      </c>
      <c r="H3" s="5">
        <f t="shared" ref="H3:H31" si="1">G3*E3</f>
        <v>31.799999999999997</v>
      </c>
      <c r="I3" s="6">
        <f t="shared" ref="I3:I31" si="2">G3*F3</f>
        <v>636</v>
      </c>
      <c r="K3" s="8" t="s">
        <v>10</v>
      </c>
      <c r="L3" s="163" t="s">
        <v>435</v>
      </c>
      <c r="M3" s="164"/>
    </row>
    <row r="4" spans="2:13">
      <c r="B4" s="3">
        <v>3</v>
      </c>
      <c r="C4" t="s">
        <v>426</v>
      </c>
      <c r="D4" s="4"/>
      <c r="E4" s="88">
        <v>6</v>
      </c>
      <c r="F4" s="101">
        <f t="shared" si="0"/>
        <v>120</v>
      </c>
      <c r="G4">
        <f>VLOOKUP($C4,약재관리!A:J,10,FALSE)</f>
        <v>17.600000000000001</v>
      </c>
      <c r="H4" s="5">
        <f t="shared" si="1"/>
        <v>105.60000000000001</v>
      </c>
      <c r="I4" s="6">
        <f t="shared" si="2"/>
        <v>2112</v>
      </c>
      <c r="K4" s="8" t="s">
        <v>11</v>
      </c>
      <c r="L4" s="165">
        <v>45777</v>
      </c>
      <c r="M4" s="164"/>
    </row>
    <row r="5" spans="2:13">
      <c r="B5" s="3">
        <v>4</v>
      </c>
      <c r="C5" t="s">
        <v>414</v>
      </c>
      <c r="D5" s="4"/>
      <c r="E5" s="88">
        <v>4</v>
      </c>
      <c r="F5" s="101">
        <f t="shared" si="0"/>
        <v>80</v>
      </c>
      <c r="G5">
        <f>VLOOKUP($C5,약재관리!A:J,10,FALSE)</f>
        <v>11</v>
      </c>
      <c r="H5" s="5">
        <f t="shared" si="1"/>
        <v>44</v>
      </c>
      <c r="I5" s="6">
        <f t="shared" si="2"/>
        <v>880</v>
      </c>
      <c r="K5" s="8" t="s">
        <v>12</v>
      </c>
      <c r="L5" s="163" t="s">
        <v>431</v>
      </c>
      <c r="M5" s="164"/>
    </row>
    <row r="6" spans="2:13">
      <c r="B6" s="3">
        <v>5</v>
      </c>
      <c r="C6" t="s">
        <v>415</v>
      </c>
      <c r="D6" s="4"/>
      <c r="E6" s="88">
        <v>4</v>
      </c>
      <c r="F6" s="101">
        <f t="shared" si="0"/>
        <v>80</v>
      </c>
      <c r="G6">
        <f>VLOOKUP($C6,약재관리!A:J,10,FALSE)</f>
        <v>47</v>
      </c>
      <c r="H6" s="5">
        <f t="shared" si="1"/>
        <v>188</v>
      </c>
      <c r="I6" s="6">
        <f t="shared" si="2"/>
        <v>3760</v>
      </c>
      <c r="K6" s="8" t="s">
        <v>13</v>
      </c>
      <c r="L6" s="163">
        <v>60</v>
      </c>
      <c r="M6" s="164"/>
    </row>
    <row r="7" spans="2:13" ht="17.25" thickBot="1">
      <c r="B7" s="3">
        <v>6</v>
      </c>
      <c r="C7" t="s">
        <v>427</v>
      </c>
      <c r="D7" s="4"/>
      <c r="E7" s="88">
        <v>4</v>
      </c>
      <c r="F7" s="101">
        <f t="shared" si="0"/>
        <v>80</v>
      </c>
      <c r="G7">
        <f>VLOOKUP($C7,약재관리!A:J,10,FALSE)</f>
        <v>22</v>
      </c>
      <c r="H7" s="5">
        <f t="shared" si="1"/>
        <v>88</v>
      </c>
      <c r="I7" s="6">
        <f t="shared" si="2"/>
        <v>1760</v>
      </c>
      <c r="K7" s="8" t="s">
        <v>14</v>
      </c>
      <c r="L7" s="147" t="s">
        <v>432</v>
      </c>
      <c r="M7" s="148"/>
    </row>
    <row r="8" spans="2:13" ht="17.25" thickBot="1">
      <c r="B8" s="3">
        <v>7</v>
      </c>
      <c r="C8" t="s">
        <v>425</v>
      </c>
      <c r="D8" s="4"/>
      <c r="E8" s="88">
        <v>6</v>
      </c>
      <c r="F8" s="101">
        <f t="shared" si="0"/>
        <v>120</v>
      </c>
      <c r="G8">
        <f>VLOOKUP($C8,약재관리!A:J,10,FALSE)</f>
        <v>16.7</v>
      </c>
      <c r="H8" s="5">
        <f t="shared" si="1"/>
        <v>100.19999999999999</v>
      </c>
      <c r="I8" s="6">
        <f t="shared" si="2"/>
        <v>2004</v>
      </c>
      <c r="K8" s="149" t="s">
        <v>15</v>
      </c>
      <c r="L8" s="150"/>
      <c r="M8" s="151"/>
    </row>
    <row r="9" spans="2:13">
      <c r="B9" s="3">
        <v>8</v>
      </c>
      <c r="C9" t="s">
        <v>416</v>
      </c>
      <c r="D9" s="4"/>
      <c r="E9" s="88">
        <v>4</v>
      </c>
      <c r="F9" s="101">
        <f t="shared" si="0"/>
        <v>80</v>
      </c>
      <c r="G9">
        <f>VLOOKUP($C9,약재관리!A:J,10,FALSE)</f>
        <v>10.7</v>
      </c>
      <c r="H9" s="5">
        <f t="shared" si="1"/>
        <v>42.8</v>
      </c>
      <c r="I9" s="6">
        <f t="shared" si="2"/>
        <v>856</v>
      </c>
      <c r="K9" s="152" t="s">
        <v>436</v>
      </c>
      <c r="L9" s="153"/>
      <c r="M9" s="154"/>
    </row>
    <row r="10" spans="2:13">
      <c r="B10" s="3">
        <v>9</v>
      </c>
      <c r="C10" t="s">
        <v>428</v>
      </c>
      <c r="D10" s="4"/>
      <c r="E10" s="88">
        <v>4</v>
      </c>
      <c r="F10" s="101">
        <f t="shared" si="0"/>
        <v>80</v>
      </c>
      <c r="G10">
        <f>VLOOKUP($C10,약재관리!A:J,10,FALSE)</f>
        <v>23.7</v>
      </c>
      <c r="H10" s="5">
        <f t="shared" si="1"/>
        <v>94.8</v>
      </c>
      <c r="I10" s="6">
        <f t="shared" si="2"/>
        <v>1896</v>
      </c>
      <c r="K10" s="155"/>
      <c r="L10" s="156"/>
      <c r="M10" s="157"/>
    </row>
    <row r="11" spans="2:13">
      <c r="B11" s="3">
        <v>10</v>
      </c>
      <c r="C11" t="s">
        <v>417</v>
      </c>
      <c r="D11" s="4"/>
      <c r="E11" s="88">
        <v>4</v>
      </c>
      <c r="F11" s="101">
        <f t="shared" si="0"/>
        <v>80</v>
      </c>
      <c r="G11">
        <f>VLOOKUP($C11,약재관리!A:J,10,FALSE)</f>
        <v>9.1999999999999993</v>
      </c>
      <c r="H11" s="5">
        <f t="shared" si="1"/>
        <v>36.799999999999997</v>
      </c>
      <c r="I11" s="6">
        <f t="shared" si="2"/>
        <v>736</v>
      </c>
      <c r="K11" s="155"/>
      <c r="L11" s="156"/>
      <c r="M11" s="157"/>
    </row>
    <row r="12" spans="2:13">
      <c r="B12" s="3">
        <v>11</v>
      </c>
      <c r="C12" t="s">
        <v>418</v>
      </c>
      <c r="D12" s="4"/>
      <c r="E12" s="88">
        <v>4</v>
      </c>
      <c r="F12" s="101">
        <f t="shared" si="0"/>
        <v>80</v>
      </c>
      <c r="G12">
        <f>VLOOKUP($C12,약재관리!A:J,10,FALSE)</f>
        <v>7.3</v>
      </c>
      <c r="H12" s="5">
        <f t="shared" si="1"/>
        <v>29.2</v>
      </c>
      <c r="I12" s="6">
        <f t="shared" si="2"/>
        <v>584</v>
      </c>
      <c r="K12" s="155"/>
      <c r="L12" s="156"/>
      <c r="M12" s="157"/>
    </row>
    <row r="13" spans="2:13" ht="17.25" thickBot="1">
      <c r="B13" s="3">
        <v>12</v>
      </c>
      <c r="C13" t="s">
        <v>429</v>
      </c>
      <c r="D13" s="4"/>
      <c r="E13" s="88">
        <v>3</v>
      </c>
      <c r="F13" s="101">
        <f t="shared" si="0"/>
        <v>60</v>
      </c>
      <c r="G13">
        <f>VLOOKUP($C13,약재관리!A:J,10,FALSE)</f>
        <v>12</v>
      </c>
      <c r="H13" s="5">
        <f t="shared" si="1"/>
        <v>36</v>
      </c>
      <c r="I13" s="6">
        <f t="shared" si="2"/>
        <v>720</v>
      </c>
      <c r="K13" s="158"/>
      <c r="L13" s="159"/>
      <c r="M13" s="160"/>
    </row>
    <row r="14" spans="2:13">
      <c r="B14" s="3">
        <v>13</v>
      </c>
      <c r="C14" t="s">
        <v>419</v>
      </c>
      <c r="D14" s="4"/>
      <c r="E14" s="88">
        <v>3</v>
      </c>
      <c r="F14" s="101">
        <f t="shared" si="0"/>
        <v>60</v>
      </c>
      <c r="G14">
        <f>VLOOKUP($C14,약재관리!A:J,10,FALSE)</f>
        <v>11.5</v>
      </c>
      <c r="H14" s="5">
        <f t="shared" si="1"/>
        <v>34.5</v>
      </c>
      <c r="I14" s="6">
        <f t="shared" si="2"/>
        <v>690</v>
      </c>
      <c r="K14" s="92" t="s">
        <v>16</v>
      </c>
      <c r="L14" s="9">
        <v>15</v>
      </c>
      <c r="M14" s="10" t="s">
        <v>17</v>
      </c>
    </row>
    <row r="15" spans="2:13">
      <c r="B15" s="3">
        <v>14</v>
      </c>
      <c r="C15" t="s">
        <v>420</v>
      </c>
      <c r="D15" s="4"/>
      <c r="E15" s="88">
        <v>2</v>
      </c>
      <c r="F15" s="101">
        <f t="shared" si="0"/>
        <v>40</v>
      </c>
      <c r="G15">
        <f>VLOOKUP($C15,약재관리!A:J,10,FALSE)</f>
        <v>12.2</v>
      </c>
      <c r="H15" s="5">
        <f t="shared" si="1"/>
        <v>24.4</v>
      </c>
      <c r="I15" s="6">
        <f t="shared" si="2"/>
        <v>488</v>
      </c>
      <c r="K15" s="91" t="s">
        <v>18</v>
      </c>
      <c r="L15">
        <v>20</v>
      </c>
      <c r="M15" s="4" t="s">
        <v>19</v>
      </c>
    </row>
    <row r="16" spans="2:13">
      <c r="B16" s="3">
        <v>15</v>
      </c>
      <c r="C16" t="s">
        <v>421</v>
      </c>
      <c r="D16" s="4"/>
      <c r="E16" s="88">
        <v>4</v>
      </c>
      <c r="F16" s="101">
        <f t="shared" si="0"/>
        <v>80</v>
      </c>
      <c r="G16">
        <f>VLOOKUP($C16,약재관리!A:J,10,FALSE)</f>
        <v>15</v>
      </c>
      <c r="H16" s="5">
        <f t="shared" si="1"/>
        <v>60</v>
      </c>
      <c r="I16" s="6">
        <f t="shared" si="2"/>
        <v>1200</v>
      </c>
      <c r="K16" s="91" t="s">
        <v>20</v>
      </c>
      <c r="L16">
        <v>45</v>
      </c>
      <c r="M16" s="4" t="s">
        <v>21</v>
      </c>
    </row>
    <row r="17" spans="2:13" ht="17.25" thickBot="1">
      <c r="B17" s="3">
        <v>16</v>
      </c>
      <c r="C17" t="s">
        <v>422</v>
      </c>
      <c r="D17" s="4"/>
      <c r="E17" s="88">
        <v>6</v>
      </c>
      <c r="F17" s="101">
        <f t="shared" si="0"/>
        <v>120</v>
      </c>
      <c r="G17">
        <f>VLOOKUP($C17,약재관리!A:J,10,FALSE)</f>
        <v>26</v>
      </c>
      <c r="H17" s="5">
        <f t="shared" si="1"/>
        <v>156</v>
      </c>
      <c r="I17" s="6">
        <f t="shared" si="2"/>
        <v>3120</v>
      </c>
      <c r="K17" s="14" t="s">
        <v>22</v>
      </c>
      <c r="L17" s="11">
        <v>110</v>
      </c>
      <c r="M17" s="12" t="s">
        <v>23</v>
      </c>
    </row>
    <row r="18" spans="2:13">
      <c r="B18" s="3">
        <v>17</v>
      </c>
      <c r="C18" t="s">
        <v>423</v>
      </c>
      <c r="D18" s="4"/>
      <c r="E18" s="88">
        <v>2</v>
      </c>
      <c r="F18" s="101">
        <f t="shared" si="0"/>
        <v>40</v>
      </c>
      <c r="G18">
        <f>VLOOKUP($C18,약재관리!A:J,10,FALSE)</f>
        <v>136.80000000000001</v>
      </c>
      <c r="H18" s="5">
        <f t="shared" si="1"/>
        <v>273.60000000000002</v>
      </c>
      <c r="I18" s="6">
        <f t="shared" si="2"/>
        <v>5472</v>
      </c>
      <c r="K18" s="92" t="s">
        <v>24</v>
      </c>
      <c r="L18" s="9">
        <f>SUM(E2:E31)</f>
        <v>81</v>
      </c>
      <c r="M18" s="10" t="s">
        <v>25</v>
      </c>
    </row>
    <row r="19" spans="2:13">
      <c r="B19" s="3">
        <v>18</v>
      </c>
      <c r="C19" t="s">
        <v>424</v>
      </c>
      <c r="D19" s="4"/>
      <c r="E19" s="88">
        <v>4</v>
      </c>
      <c r="F19" s="101">
        <f t="shared" si="0"/>
        <v>80</v>
      </c>
      <c r="G19">
        <f>VLOOKUP($C19,약재관리!A:J,10,FALSE)</f>
        <v>13</v>
      </c>
      <c r="H19" s="5">
        <f t="shared" si="1"/>
        <v>52</v>
      </c>
      <c r="I19" s="6">
        <f t="shared" si="2"/>
        <v>1040</v>
      </c>
      <c r="K19" s="91" t="s">
        <v>26</v>
      </c>
      <c r="L19">
        <f>L15*L18</f>
        <v>1620</v>
      </c>
      <c r="M19" s="4" t="s">
        <v>25</v>
      </c>
    </row>
    <row r="20" spans="2:13" ht="17.25" thickBot="1">
      <c r="B20" s="3">
        <v>19</v>
      </c>
      <c r="C20" t="s">
        <v>434</v>
      </c>
      <c r="D20" s="4"/>
      <c r="E20" s="88">
        <v>3</v>
      </c>
      <c r="F20" s="101">
        <f t="shared" si="0"/>
        <v>60</v>
      </c>
      <c r="G20">
        <f>VLOOKUP($C20,약재관리!A:J,10,FALSE)</f>
        <v>31.5</v>
      </c>
      <c r="H20" s="5">
        <f t="shared" si="1"/>
        <v>94.5</v>
      </c>
      <c r="I20" s="6">
        <f t="shared" si="2"/>
        <v>1890</v>
      </c>
      <c r="K20" s="14" t="s">
        <v>27</v>
      </c>
      <c r="L20" s="11">
        <f>L16*L17+L19</f>
        <v>6570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1620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1609.7999999999997</v>
      </c>
      <c r="M30" s="4" t="s">
        <v>384</v>
      </c>
    </row>
    <row r="31" spans="2:13" ht="17.25" thickBot="1">
      <c r="B31" s="13">
        <v>30</v>
      </c>
      <c r="C31" s="14"/>
      <c r="D31" s="12"/>
      <c r="E31" s="95"/>
      <c r="F31" s="102">
        <f t="shared" si="0"/>
        <v>0</v>
      </c>
      <c r="G31" s="11"/>
      <c r="H31" s="15">
        <f t="shared" si="1"/>
        <v>0</v>
      </c>
      <c r="I31" s="16">
        <f t="shared" si="2"/>
        <v>0</v>
      </c>
      <c r="K31" s="14" t="s">
        <v>383</v>
      </c>
      <c r="L31" s="15">
        <f>SUM(I2:I31)</f>
        <v>32196</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L16" sqref="L16"/>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412</v>
      </c>
      <c r="D2" s="4"/>
      <c r="E2" s="88">
        <v>8</v>
      </c>
      <c r="F2" s="101">
        <f>E2*$L$15</f>
        <v>120</v>
      </c>
      <c r="G2">
        <f>VLOOKUP($C2,약재관리!A:J,10,FALSE)</f>
        <v>14.7</v>
      </c>
      <c r="H2" s="5">
        <f>G2*E2</f>
        <v>117.6</v>
      </c>
      <c r="I2" s="90">
        <f>G2*F2</f>
        <v>1764</v>
      </c>
      <c r="K2" s="7" t="s">
        <v>9</v>
      </c>
      <c r="L2" s="161">
        <v>96</v>
      </c>
      <c r="M2" s="162"/>
    </row>
    <row r="3" spans="2:13">
      <c r="B3" s="3">
        <v>2</v>
      </c>
      <c r="C3" t="s">
        <v>413</v>
      </c>
      <c r="D3" s="4"/>
      <c r="E3" s="88">
        <v>6</v>
      </c>
      <c r="F3" s="101">
        <f t="shared" ref="F3:F31" si="0">E3*$L$15</f>
        <v>90</v>
      </c>
      <c r="G3">
        <f>VLOOKUP($C3,약재관리!A:J,10,FALSE)</f>
        <v>5.3</v>
      </c>
      <c r="H3" s="5">
        <f t="shared" ref="H3:H31" si="1">G3*E3</f>
        <v>31.799999999999997</v>
      </c>
      <c r="I3" s="6">
        <f t="shared" ref="I3:I31" si="2">G3*F3</f>
        <v>477</v>
      </c>
      <c r="K3" s="8" t="s">
        <v>10</v>
      </c>
      <c r="L3" s="163" t="s">
        <v>435</v>
      </c>
      <c r="M3" s="164"/>
    </row>
    <row r="4" spans="2:13">
      <c r="B4" s="3">
        <v>3</v>
      </c>
      <c r="C4" t="s">
        <v>426</v>
      </c>
      <c r="D4" s="4"/>
      <c r="E4" s="88">
        <v>6</v>
      </c>
      <c r="F4" s="101">
        <f t="shared" si="0"/>
        <v>90</v>
      </c>
      <c r="G4">
        <f>VLOOKUP($C4,약재관리!A:J,10,FALSE)</f>
        <v>17.600000000000001</v>
      </c>
      <c r="H4" s="5">
        <f t="shared" si="1"/>
        <v>105.60000000000001</v>
      </c>
      <c r="I4" s="6">
        <f t="shared" si="2"/>
        <v>1584.0000000000002</v>
      </c>
      <c r="K4" s="8" t="s">
        <v>11</v>
      </c>
      <c r="L4" s="165">
        <v>45749</v>
      </c>
      <c r="M4" s="164"/>
    </row>
    <row r="5" spans="2:13">
      <c r="B5" s="3">
        <v>4</v>
      </c>
      <c r="C5" t="s">
        <v>414</v>
      </c>
      <c r="D5" s="4"/>
      <c r="E5" s="88">
        <v>4</v>
      </c>
      <c r="F5" s="101">
        <f t="shared" si="0"/>
        <v>60</v>
      </c>
      <c r="G5">
        <f>VLOOKUP($C5,약재관리!A:J,10,FALSE)</f>
        <v>11</v>
      </c>
      <c r="H5" s="5">
        <f t="shared" si="1"/>
        <v>44</v>
      </c>
      <c r="I5" s="6">
        <f t="shared" si="2"/>
        <v>660</v>
      </c>
      <c r="K5" s="8" t="s">
        <v>12</v>
      </c>
      <c r="L5" s="163" t="s">
        <v>431</v>
      </c>
      <c r="M5" s="164"/>
    </row>
    <row r="6" spans="2:13">
      <c r="B6" s="3">
        <v>5</v>
      </c>
      <c r="C6" t="s">
        <v>415</v>
      </c>
      <c r="D6" s="4"/>
      <c r="E6" s="88">
        <v>4</v>
      </c>
      <c r="F6" s="101">
        <f t="shared" si="0"/>
        <v>60</v>
      </c>
      <c r="G6">
        <f>VLOOKUP($C6,약재관리!A:J,10,FALSE)</f>
        <v>47</v>
      </c>
      <c r="H6" s="5">
        <f t="shared" si="1"/>
        <v>188</v>
      </c>
      <c r="I6" s="6">
        <f t="shared" si="2"/>
        <v>2820</v>
      </c>
      <c r="K6" s="8" t="s">
        <v>13</v>
      </c>
      <c r="L6" s="163">
        <v>60</v>
      </c>
      <c r="M6" s="164"/>
    </row>
    <row r="7" spans="2:13" ht="17.25" thickBot="1">
      <c r="B7" s="3">
        <v>6</v>
      </c>
      <c r="C7" t="s">
        <v>427</v>
      </c>
      <c r="D7" s="4"/>
      <c r="E7" s="88">
        <v>4</v>
      </c>
      <c r="F7" s="101">
        <f t="shared" si="0"/>
        <v>60</v>
      </c>
      <c r="G7">
        <f>VLOOKUP($C7,약재관리!A:J,10,FALSE)</f>
        <v>22</v>
      </c>
      <c r="H7" s="5">
        <f t="shared" si="1"/>
        <v>88</v>
      </c>
      <c r="I7" s="6">
        <f t="shared" si="2"/>
        <v>1320</v>
      </c>
      <c r="K7" s="8" t="s">
        <v>14</v>
      </c>
      <c r="L7" s="147" t="s">
        <v>432</v>
      </c>
      <c r="M7" s="148"/>
    </row>
    <row r="8" spans="2:13" ht="17.25" thickBot="1">
      <c r="B8" s="3">
        <v>7</v>
      </c>
      <c r="C8" t="s">
        <v>425</v>
      </c>
      <c r="D8" s="4"/>
      <c r="E8" s="88">
        <v>6</v>
      </c>
      <c r="F8" s="101">
        <f t="shared" si="0"/>
        <v>90</v>
      </c>
      <c r="G8">
        <f>VLOOKUP($C8,약재관리!A:J,10,FALSE)</f>
        <v>16.7</v>
      </c>
      <c r="H8" s="5">
        <f t="shared" si="1"/>
        <v>100.19999999999999</v>
      </c>
      <c r="I8" s="6">
        <f t="shared" si="2"/>
        <v>1503</v>
      </c>
      <c r="K8" s="149" t="s">
        <v>15</v>
      </c>
      <c r="L8" s="150"/>
      <c r="M8" s="151"/>
    </row>
    <row r="9" spans="2:13">
      <c r="B9" s="3">
        <v>8</v>
      </c>
      <c r="C9" t="s">
        <v>416</v>
      </c>
      <c r="D9" s="4"/>
      <c r="E9" s="88">
        <v>4</v>
      </c>
      <c r="F9" s="101">
        <f t="shared" si="0"/>
        <v>60</v>
      </c>
      <c r="G9">
        <f>VLOOKUP($C9,약재관리!A:J,10,FALSE)</f>
        <v>10.7</v>
      </c>
      <c r="H9" s="5">
        <f t="shared" si="1"/>
        <v>42.8</v>
      </c>
      <c r="I9" s="6">
        <f t="shared" si="2"/>
        <v>642</v>
      </c>
      <c r="K9" s="152" t="s">
        <v>433</v>
      </c>
      <c r="L9" s="153"/>
      <c r="M9" s="154"/>
    </row>
    <row r="10" spans="2:13">
      <c r="B10" s="3">
        <v>9</v>
      </c>
      <c r="C10" t="s">
        <v>428</v>
      </c>
      <c r="D10" s="4"/>
      <c r="E10" s="88">
        <v>4</v>
      </c>
      <c r="F10" s="101">
        <f t="shared" si="0"/>
        <v>60</v>
      </c>
      <c r="G10">
        <f>VLOOKUP($C10,약재관리!A:J,10,FALSE)</f>
        <v>23.7</v>
      </c>
      <c r="H10" s="5">
        <f t="shared" si="1"/>
        <v>94.8</v>
      </c>
      <c r="I10" s="6">
        <f t="shared" si="2"/>
        <v>1422</v>
      </c>
      <c r="K10" s="155"/>
      <c r="L10" s="156"/>
      <c r="M10" s="157"/>
    </row>
    <row r="11" spans="2:13">
      <c r="B11" s="3">
        <v>10</v>
      </c>
      <c r="C11" t="s">
        <v>417</v>
      </c>
      <c r="D11" s="4"/>
      <c r="E11" s="88">
        <v>4</v>
      </c>
      <c r="F11" s="101">
        <f t="shared" si="0"/>
        <v>60</v>
      </c>
      <c r="G11">
        <f>VLOOKUP($C11,약재관리!A:J,10,FALSE)</f>
        <v>9.1999999999999993</v>
      </c>
      <c r="H11" s="5">
        <f t="shared" si="1"/>
        <v>36.799999999999997</v>
      </c>
      <c r="I11" s="6">
        <f t="shared" si="2"/>
        <v>552</v>
      </c>
      <c r="K11" s="155"/>
      <c r="L11" s="156"/>
      <c r="M11" s="157"/>
    </row>
    <row r="12" spans="2:13">
      <c r="B12" s="3">
        <v>11</v>
      </c>
      <c r="C12" t="s">
        <v>418</v>
      </c>
      <c r="D12" s="4"/>
      <c r="E12" s="88">
        <v>4</v>
      </c>
      <c r="F12" s="101">
        <f t="shared" si="0"/>
        <v>60</v>
      </c>
      <c r="G12">
        <f>VLOOKUP($C12,약재관리!A:J,10,FALSE)</f>
        <v>7.3</v>
      </c>
      <c r="H12" s="5">
        <f t="shared" si="1"/>
        <v>29.2</v>
      </c>
      <c r="I12" s="6">
        <f t="shared" si="2"/>
        <v>438</v>
      </c>
      <c r="K12" s="155"/>
      <c r="L12" s="156"/>
      <c r="M12" s="157"/>
    </row>
    <row r="13" spans="2:13" ht="17.25" thickBot="1">
      <c r="B13" s="3">
        <v>12</v>
      </c>
      <c r="C13" t="s">
        <v>429</v>
      </c>
      <c r="D13" s="4"/>
      <c r="E13" s="88">
        <v>3</v>
      </c>
      <c r="F13" s="101">
        <f t="shared" si="0"/>
        <v>45</v>
      </c>
      <c r="G13">
        <f>VLOOKUP($C13,약재관리!A:J,10,FALSE)</f>
        <v>12</v>
      </c>
      <c r="H13" s="5">
        <f t="shared" si="1"/>
        <v>36</v>
      </c>
      <c r="I13" s="6">
        <f t="shared" si="2"/>
        <v>540</v>
      </c>
      <c r="K13" s="158"/>
      <c r="L13" s="159"/>
      <c r="M13" s="160"/>
    </row>
    <row r="14" spans="2:13">
      <c r="B14" s="3">
        <v>13</v>
      </c>
      <c r="C14" t="s">
        <v>419</v>
      </c>
      <c r="D14" s="4"/>
      <c r="E14" s="88">
        <v>3</v>
      </c>
      <c r="F14" s="101">
        <f t="shared" si="0"/>
        <v>45</v>
      </c>
      <c r="G14">
        <f>VLOOKUP($C14,약재관리!A:J,10,FALSE)</f>
        <v>11.5</v>
      </c>
      <c r="H14" s="5">
        <f t="shared" si="1"/>
        <v>34.5</v>
      </c>
      <c r="I14" s="6">
        <f t="shared" si="2"/>
        <v>517.5</v>
      </c>
      <c r="K14" s="92" t="s">
        <v>16</v>
      </c>
      <c r="L14" s="9">
        <v>15</v>
      </c>
      <c r="M14" s="10" t="s">
        <v>17</v>
      </c>
    </row>
    <row r="15" spans="2:13">
      <c r="B15" s="3">
        <v>14</v>
      </c>
      <c r="C15" t="s">
        <v>420</v>
      </c>
      <c r="D15" s="4"/>
      <c r="E15" s="88">
        <v>2</v>
      </c>
      <c r="F15" s="101">
        <f t="shared" si="0"/>
        <v>30</v>
      </c>
      <c r="G15">
        <f>VLOOKUP($C15,약재관리!A:J,10,FALSE)</f>
        <v>12.2</v>
      </c>
      <c r="H15" s="5">
        <f t="shared" si="1"/>
        <v>24.4</v>
      </c>
      <c r="I15" s="6">
        <f t="shared" si="2"/>
        <v>366</v>
      </c>
      <c r="K15" s="91" t="s">
        <v>18</v>
      </c>
      <c r="L15">
        <v>15</v>
      </c>
      <c r="M15" s="4" t="s">
        <v>19</v>
      </c>
    </row>
    <row r="16" spans="2:13">
      <c r="B16" s="3">
        <v>15</v>
      </c>
      <c r="C16" t="s">
        <v>421</v>
      </c>
      <c r="D16" s="4"/>
      <c r="E16" s="88">
        <v>4</v>
      </c>
      <c r="F16" s="101">
        <f t="shared" si="0"/>
        <v>60</v>
      </c>
      <c r="G16">
        <f>VLOOKUP($C16,약재관리!A:J,10,FALSE)</f>
        <v>15</v>
      </c>
      <c r="H16" s="5">
        <f t="shared" si="1"/>
        <v>60</v>
      </c>
      <c r="I16" s="6">
        <f t="shared" si="2"/>
        <v>900</v>
      </c>
      <c r="K16" s="91" t="s">
        <v>20</v>
      </c>
      <c r="L16">
        <v>45</v>
      </c>
      <c r="M16" s="4" t="s">
        <v>21</v>
      </c>
    </row>
    <row r="17" spans="2:13" ht="17.25" thickBot="1">
      <c r="B17" s="3">
        <v>16</v>
      </c>
      <c r="C17" t="s">
        <v>422</v>
      </c>
      <c r="D17" s="4"/>
      <c r="E17" s="88">
        <v>6</v>
      </c>
      <c r="F17" s="101">
        <f t="shared" si="0"/>
        <v>90</v>
      </c>
      <c r="G17">
        <f>VLOOKUP($C17,약재관리!A:J,10,FALSE)</f>
        <v>26</v>
      </c>
      <c r="H17" s="5">
        <f t="shared" si="1"/>
        <v>156</v>
      </c>
      <c r="I17" s="6">
        <f t="shared" si="2"/>
        <v>2340</v>
      </c>
      <c r="K17" s="14" t="s">
        <v>22</v>
      </c>
      <c r="L17" s="11">
        <v>110</v>
      </c>
      <c r="M17" s="12" t="s">
        <v>23</v>
      </c>
    </row>
    <row r="18" spans="2:13">
      <c r="B18" s="3">
        <v>17</v>
      </c>
      <c r="C18" t="s">
        <v>423</v>
      </c>
      <c r="D18" s="4"/>
      <c r="E18" s="88">
        <v>2</v>
      </c>
      <c r="F18" s="101">
        <f t="shared" si="0"/>
        <v>30</v>
      </c>
      <c r="G18">
        <f>VLOOKUP($C18,약재관리!A:J,10,FALSE)</f>
        <v>136.80000000000001</v>
      </c>
      <c r="H18" s="5">
        <f t="shared" si="1"/>
        <v>273.60000000000002</v>
      </c>
      <c r="I18" s="6">
        <f t="shared" si="2"/>
        <v>4104</v>
      </c>
      <c r="K18" s="92" t="s">
        <v>24</v>
      </c>
      <c r="L18" s="9">
        <f>SUM(E2:E31)</f>
        <v>108</v>
      </c>
      <c r="M18" s="10" t="s">
        <v>25</v>
      </c>
    </row>
    <row r="19" spans="2:13">
      <c r="B19" s="3">
        <v>18</v>
      </c>
      <c r="C19" t="s">
        <v>424</v>
      </c>
      <c r="D19" s="4"/>
      <c r="E19" s="88">
        <v>4</v>
      </c>
      <c r="F19" s="101">
        <f t="shared" si="0"/>
        <v>60</v>
      </c>
      <c r="G19">
        <f>VLOOKUP($C19,약재관리!A:J,10,FALSE)</f>
        <v>13</v>
      </c>
      <c r="H19" s="5">
        <f t="shared" si="1"/>
        <v>52</v>
      </c>
      <c r="I19" s="6">
        <f t="shared" si="2"/>
        <v>780</v>
      </c>
      <c r="K19" s="91" t="s">
        <v>26</v>
      </c>
      <c r="L19">
        <f>L15*L18</f>
        <v>1620</v>
      </c>
      <c r="M19" s="4" t="s">
        <v>25</v>
      </c>
    </row>
    <row r="20" spans="2:13" ht="17.25" thickBot="1">
      <c r="B20" s="3">
        <v>19</v>
      </c>
      <c r="C20" t="s">
        <v>430</v>
      </c>
      <c r="D20" s="4"/>
      <c r="E20" s="88">
        <v>30</v>
      </c>
      <c r="F20" s="101">
        <f t="shared" si="0"/>
        <v>450</v>
      </c>
      <c r="G20">
        <f>VLOOKUP($C20,약재관리!A:J,10,FALSE)</f>
        <v>39</v>
      </c>
      <c r="H20" s="5">
        <f t="shared" si="1"/>
        <v>1170</v>
      </c>
      <c r="I20" s="6">
        <f t="shared" si="2"/>
        <v>17550</v>
      </c>
      <c r="K20" s="14" t="s">
        <v>27</v>
      </c>
      <c r="L20" s="11">
        <f>L16*L17+L19</f>
        <v>6570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1620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2685.2999999999997</v>
      </c>
      <c r="M30" s="4" t="s">
        <v>384</v>
      </c>
    </row>
    <row r="31" spans="2:13" ht="17.25" thickBot="1">
      <c r="B31" s="13">
        <v>30</v>
      </c>
      <c r="C31" s="14"/>
      <c r="D31" s="12"/>
      <c r="E31" s="95"/>
      <c r="F31" s="102">
        <f t="shared" si="0"/>
        <v>0</v>
      </c>
      <c r="G31" s="11"/>
      <c r="H31" s="15">
        <f t="shared" si="1"/>
        <v>0</v>
      </c>
      <c r="I31" s="16">
        <f t="shared" si="2"/>
        <v>0</v>
      </c>
      <c r="K31" s="14" t="s">
        <v>383</v>
      </c>
      <c r="L31" s="15">
        <f>SUM(I2:I31)</f>
        <v>40279.5</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15" zoomScaleNormal="100" workbookViewId="0">
      <selection activeCell="C124" sqref="C12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16000</v>
      </c>
      <c r="D54" s="36">
        <v>39000</v>
      </c>
      <c r="E54" s="37">
        <v>19500</v>
      </c>
      <c r="F54" s="115">
        <f t="shared" si="6"/>
        <v>0</v>
      </c>
      <c r="G54" s="38">
        <f>C54/500</f>
        <v>32</v>
      </c>
      <c r="H54" s="38">
        <f t="shared" si="5"/>
        <v>65</v>
      </c>
      <c r="I54" s="39">
        <f t="shared" si="5"/>
        <v>32.5</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19.5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c r="D89" s="26">
        <v>16500</v>
      </c>
      <c r="E89" s="27">
        <v>16300</v>
      </c>
      <c r="F89" s="28">
        <f t="shared" si="9"/>
        <v>0</v>
      </c>
      <c r="G89" s="29">
        <f t="shared" si="9"/>
        <v>0</v>
      </c>
      <c r="H89" s="29">
        <f t="shared" si="8"/>
        <v>27.5</v>
      </c>
      <c r="I89" s="56">
        <f t="shared" si="8"/>
        <v>27.166666666666668</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15600</v>
      </c>
      <c r="D92" s="36">
        <v>20000</v>
      </c>
      <c r="E92" s="37">
        <v>16600</v>
      </c>
      <c r="F92" s="115">
        <f t="shared" si="9"/>
        <v>0</v>
      </c>
      <c r="G92" s="44">
        <f t="shared" si="9"/>
        <v>31.2</v>
      </c>
      <c r="H92" s="38">
        <f t="shared" si="8"/>
        <v>33.333333333333336</v>
      </c>
      <c r="I92" s="39">
        <f t="shared" si="8"/>
        <v>27.666666666666668</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13800</v>
      </c>
      <c r="D103" s="36"/>
      <c r="E103" s="37">
        <v>18900</v>
      </c>
      <c r="F103" s="115">
        <f t="shared" si="9"/>
        <v>44.8</v>
      </c>
      <c r="G103" s="38">
        <f t="shared" si="9"/>
        <v>27.6</v>
      </c>
      <c r="H103" s="38">
        <f t="shared" si="10"/>
        <v>0</v>
      </c>
      <c r="I103" s="39">
        <f t="shared" si="10"/>
        <v>31.5</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14000</v>
      </c>
      <c r="D118" s="36">
        <v>38000</v>
      </c>
      <c r="E118" s="37">
        <v>23500</v>
      </c>
      <c r="F118" s="115">
        <f t="shared" si="12"/>
        <v>0</v>
      </c>
      <c r="G118" s="44">
        <f t="shared" si="12"/>
        <v>28</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11500</v>
      </c>
      <c r="E131" s="37">
        <v>12800</v>
      </c>
      <c r="F131" s="115">
        <f t="shared" si="12"/>
        <v>0</v>
      </c>
      <c r="G131" s="38">
        <f>C131/600</f>
        <v>21.333333333333332</v>
      </c>
      <c r="H131" s="38">
        <f t="shared" si="14"/>
        <v>19.166666666666668</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7700</v>
      </c>
      <c r="D154" s="36"/>
      <c r="E154" s="37">
        <v>10200</v>
      </c>
      <c r="F154" s="115">
        <f t="shared" si="19"/>
        <v>0</v>
      </c>
      <c r="G154" s="44">
        <f>C154/500</f>
        <v>15.4</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13300</v>
      </c>
      <c r="D184" s="49">
        <v>7500</v>
      </c>
      <c r="E184" s="50">
        <v>15600</v>
      </c>
      <c r="F184" s="73">
        <f t="shared" si="21"/>
        <v>21.6</v>
      </c>
      <c r="G184" s="51">
        <f t="shared" si="21"/>
        <v>26.6</v>
      </c>
      <c r="H184" s="51">
        <f t="shared" si="20"/>
        <v>12.5</v>
      </c>
      <c r="I184" s="60">
        <f t="shared" si="20"/>
        <v>26</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처방전양식 (6)</vt:lpstr>
      <vt:lpstr>처방전양식 (5)</vt:lpstr>
      <vt:lpstr>처방전양식 (4)</vt: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2025-07-24T03:42:04Z</cp:lastPrinted>
  <dcterms:created xsi:type="dcterms:W3CDTF">2024-09-12T16:35:01Z</dcterms:created>
  <dcterms:modified xsi:type="dcterms:W3CDTF">2025-07-24T03:43:49Z</dcterms:modified>
</cp:coreProperties>
</file>