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60" documentId="8_{6EB8DC0A-AB56-415F-A9F3-EA1534264548}" xr6:coauthVersionLast="47" xr6:coauthVersionMax="47" xr10:uidLastSave="{06F34016-1A03-45D1-955C-E47F281816DC}"/>
  <bookViews>
    <workbookView xWindow="-120" yWindow="-120" windowWidth="29040" windowHeight="15720" xr2:uid="{8B9F1886-173A-4475-B0CF-D9F36CE30773}"/>
  </bookViews>
  <sheets>
    <sheet name="처방전양식 (12)" sheetId="15" r:id="rId1"/>
    <sheet name="처방전양식 (11)" sheetId="14" r:id="rId2"/>
    <sheet name="처방전양식 (10)" sheetId="13" r:id="rId3"/>
    <sheet name="처방전양식 (9)" sheetId="12" r:id="rId4"/>
    <sheet name="처방전양식 (8)" sheetId="11" r:id="rId5"/>
    <sheet name="처방전양식 (7)" sheetId="9" r:id="rId6"/>
    <sheet name="처방전양식 (6)" sheetId="10" r:id="rId7"/>
    <sheet name="처방전양식 (5)" sheetId="8" r:id="rId8"/>
    <sheet name="처방전양식 (4)" sheetId="7" r:id="rId9"/>
    <sheet name="처방전양식 (3)" sheetId="6" r:id="rId10"/>
    <sheet name="처방전양식 (2)" sheetId="5" r:id="rId11"/>
    <sheet name="처방전양식" sheetId="4" r:id="rId12"/>
    <sheet name="약재관리" sheetId="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5" l="1"/>
  <c r="G10" i="15"/>
  <c r="G11" i="15"/>
  <c r="G12" i="15"/>
  <c r="G13" i="15"/>
  <c r="H13" i="15" s="1"/>
  <c r="G14" i="15"/>
  <c r="I31" i="15"/>
  <c r="H31" i="15"/>
  <c r="F31" i="15"/>
  <c r="H30" i="15"/>
  <c r="F30" i="15"/>
  <c r="I30" i="15" s="1"/>
  <c r="H29" i="15"/>
  <c r="F29" i="15"/>
  <c r="I29" i="15" s="1"/>
  <c r="H28" i="15"/>
  <c r="F28" i="15"/>
  <c r="I28" i="15" s="1"/>
  <c r="H27" i="15"/>
  <c r="F27" i="15"/>
  <c r="I27" i="15" s="1"/>
  <c r="I26" i="15"/>
  <c r="H26" i="15"/>
  <c r="F26" i="15"/>
  <c r="I25" i="15"/>
  <c r="H25" i="15"/>
  <c r="F25" i="15"/>
  <c r="H24" i="15"/>
  <c r="F24" i="15"/>
  <c r="I24" i="15" s="1"/>
  <c r="H23" i="15"/>
  <c r="F23" i="15"/>
  <c r="I23" i="15" s="1"/>
  <c r="H22" i="15"/>
  <c r="F22" i="15"/>
  <c r="I22" i="15" s="1"/>
  <c r="I21" i="15"/>
  <c r="F21" i="15"/>
  <c r="I20" i="15"/>
  <c r="F20" i="15"/>
  <c r="I19" i="15"/>
  <c r="F19" i="15"/>
  <c r="L18" i="15"/>
  <c r="L19" i="15" s="1"/>
  <c r="L20" i="15" s="1"/>
  <c r="I18" i="15"/>
  <c r="F18" i="15"/>
  <c r="I17" i="15"/>
  <c r="F17" i="15"/>
  <c r="F14" i="15"/>
  <c r="F13" i="15"/>
  <c r="F12" i="15"/>
  <c r="F11" i="15"/>
  <c r="F10" i="15"/>
  <c r="F9" i="15"/>
  <c r="G8" i="15"/>
  <c r="F8" i="15"/>
  <c r="G7" i="15"/>
  <c r="F7" i="15"/>
  <c r="G6" i="15"/>
  <c r="F6" i="15"/>
  <c r="G5" i="15"/>
  <c r="I5" i="15" s="1"/>
  <c r="F5" i="15"/>
  <c r="G4" i="15"/>
  <c r="H4" i="15" s="1"/>
  <c r="F4" i="15"/>
  <c r="G3" i="15"/>
  <c r="F3" i="15"/>
  <c r="G2" i="15"/>
  <c r="F2" i="15"/>
  <c r="F3" i="14"/>
  <c r="F4" i="14"/>
  <c r="F5" i="14"/>
  <c r="F6" i="14"/>
  <c r="F7" i="14"/>
  <c r="F8" i="14"/>
  <c r="F9" i="14"/>
  <c r="F10" i="14"/>
  <c r="F11" i="14"/>
  <c r="F12" i="14"/>
  <c r="F13" i="14"/>
  <c r="F14" i="14"/>
  <c r="F15" i="14"/>
  <c r="F16" i="14"/>
  <c r="F17" i="14"/>
  <c r="F18" i="14"/>
  <c r="F19" i="14"/>
  <c r="F20" i="14"/>
  <c r="F21" i="14"/>
  <c r="G20" i="14"/>
  <c r="G21" i="14"/>
  <c r="H21" i="14" s="1"/>
  <c r="I31" i="14"/>
  <c r="H31" i="14"/>
  <c r="F31" i="14"/>
  <c r="I30" i="14"/>
  <c r="H30" i="14"/>
  <c r="F30" i="14"/>
  <c r="H29" i="14"/>
  <c r="F29" i="14"/>
  <c r="I29" i="14" s="1"/>
  <c r="H28" i="14"/>
  <c r="F28" i="14"/>
  <c r="I28" i="14" s="1"/>
  <c r="H27" i="14"/>
  <c r="F27" i="14"/>
  <c r="I27" i="14" s="1"/>
  <c r="I26" i="14"/>
  <c r="H26" i="14"/>
  <c r="F26" i="14"/>
  <c r="I25" i="14"/>
  <c r="H25" i="14"/>
  <c r="F25" i="14"/>
  <c r="I24" i="14"/>
  <c r="H24" i="14"/>
  <c r="F24" i="14"/>
  <c r="H23" i="14"/>
  <c r="F23" i="14"/>
  <c r="I23" i="14" s="1"/>
  <c r="H22" i="14"/>
  <c r="F22" i="14"/>
  <c r="I22" i="14" s="1"/>
  <c r="G19" i="14"/>
  <c r="I19" i="14" s="1"/>
  <c r="L18" i="14"/>
  <c r="L19" i="14" s="1"/>
  <c r="L20" i="14" s="1"/>
  <c r="G18" i="14"/>
  <c r="H18" i="14" s="1"/>
  <c r="G17" i="14"/>
  <c r="G16" i="14"/>
  <c r="G15" i="14"/>
  <c r="H15" i="14" s="1"/>
  <c r="G14" i="14"/>
  <c r="G13" i="14"/>
  <c r="H13" i="14" s="1"/>
  <c r="G12" i="14"/>
  <c r="H12" i="14" s="1"/>
  <c r="G11" i="14"/>
  <c r="G10" i="14"/>
  <c r="I10" i="14" s="1"/>
  <c r="G9" i="14"/>
  <c r="H9" i="14" s="1"/>
  <c r="G8" i="14"/>
  <c r="G7" i="14"/>
  <c r="H7" i="14" s="1"/>
  <c r="G6" i="14"/>
  <c r="H6" i="14" s="1"/>
  <c r="G5" i="14"/>
  <c r="I5" i="14" s="1"/>
  <c r="G4" i="14"/>
  <c r="G3" i="14"/>
  <c r="G2" i="14"/>
  <c r="I2" i="14" s="1"/>
  <c r="F2" i="14"/>
  <c r="H31" i="13"/>
  <c r="F31" i="13"/>
  <c r="I31" i="13" s="1"/>
  <c r="I30" i="13"/>
  <c r="H30" i="13"/>
  <c r="F30" i="13"/>
  <c r="I29" i="13"/>
  <c r="H29" i="13"/>
  <c r="F29" i="13"/>
  <c r="H28" i="13"/>
  <c r="F28" i="13"/>
  <c r="I28" i="13" s="1"/>
  <c r="H27" i="13"/>
  <c r="F27" i="13"/>
  <c r="I27" i="13" s="1"/>
  <c r="I26" i="13"/>
  <c r="H26" i="13"/>
  <c r="F26" i="13"/>
  <c r="I25" i="13"/>
  <c r="H25" i="13"/>
  <c r="F25" i="13"/>
  <c r="I24" i="13"/>
  <c r="H24" i="13"/>
  <c r="F24" i="13"/>
  <c r="H23" i="13"/>
  <c r="F23" i="13"/>
  <c r="I23" i="13" s="1"/>
  <c r="I22" i="13"/>
  <c r="H22" i="13"/>
  <c r="F22" i="13"/>
  <c r="F21" i="13"/>
  <c r="G20" i="13"/>
  <c r="F20" i="13"/>
  <c r="G19" i="13"/>
  <c r="F19" i="13"/>
  <c r="L18" i="13"/>
  <c r="L19" i="13" s="1"/>
  <c r="L20" i="13" s="1"/>
  <c r="G18" i="13"/>
  <c r="F18" i="13"/>
  <c r="G17" i="13"/>
  <c r="I17" i="13" s="1"/>
  <c r="F17" i="13"/>
  <c r="G16" i="13"/>
  <c r="I16" i="13" s="1"/>
  <c r="F16" i="13"/>
  <c r="G15" i="13"/>
  <c r="I15" i="13" s="1"/>
  <c r="F15" i="13"/>
  <c r="G14" i="13"/>
  <c r="F14" i="13"/>
  <c r="G13" i="13"/>
  <c r="I13" i="13" s="1"/>
  <c r="F13" i="13"/>
  <c r="G12" i="13"/>
  <c r="I12" i="13" s="1"/>
  <c r="F12" i="13"/>
  <c r="G11" i="13"/>
  <c r="I11" i="13" s="1"/>
  <c r="F11" i="13"/>
  <c r="G10" i="13"/>
  <c r="F10" i="13"/>
  <c r="G9" i="13"/>
  <c r="I9" i="13" s="1"/>
  <c r="F9" i="13"/>
  <c r="G8" i="13"/>
  <c r="I8" i="13" s="1"/>
  <c r="F8" i="13"/>
  <c r="G7" i="13"/>
  <c r="F7" i="13"/>
  <c r="G6" i="13"/>
  <c r="I6" i="13" s="1"/>
  <c r="F6" i="13"/>
  <c r="G5" i="13"/>
  <c r="I5" i="13" s="1"/>
  <c r="F5" i="13"/>
  <c r="G4" i="13"/>
  <c r="I4" i="13" s="1"/>
  <c r="F4" i="13"/>
  <c r="G3" i="13"/>
  <c r="F3" i="13"/>
  <c r="G2" i="13"/>
  <c r="I2" i="13" s="1"/>
  <c r="F2" i="13"/>
  <c r="H31" i="12"/>
  <c r="F31" i="12"/>
  <c r="I31" i="12" s="1"/>
  <c r="H30" i="12"/>
  <c r="F30" i="12"/>
  <c r="I30" i="12" s="1"/>
  <c r="H29" i="12"/>
  <c r="F29" i="12"/>
  <c r="I29" i="12" s="1"/>
  <c r="I28" i="12"/>
  <c r="H28" i="12"/>
  <c r="F28" i="12"/>
  <c r="H27" i="12"/>
  <c r="F27" i="12"/>
  <c r="I27" i="12" s="1"/>
  <c r="I26" i="12"/>
  <c r="H26" i="12"/>
  <c r="F26" i="12"/>
  <c r="I25" i="12"/>
  <c r="H25" i="12"/>
  <c r="F25" i="12"/>
  <c r="I24" i="12"/>
  <c r="H24" i="12"/>
  <c r="F24" i="12"/>
  <c r="I23" i="12"/>
  <c r="H23" i="12"/>
  <c r="F23" i="12"/>
  <c r="H22" i="12"/>
  <c r="F22" i="12"/>
  <c r="I22" i="12" s="1"/>
  <c r="G21" i="12"/>
  <c r="F21" i="12"/>
  <c r="G20" i="12"/>
  <c r="I20" i="12" s="1"/>
  <c r="F20" i="12"/>
  <c r="G19" i="12"/>
  <c r="I19" i="12" s="1"/>
  <c r="F19" i="12"/>
  <c r="L18" i="12"/>
  <c r="L19" i="12" s="1"/>
  <c r="L20" i="12" s="1"/>
  <c r="G18" i="12"/>
  <c r="I18" i="12" s="1"/>
  <c r="F18" i="12"/>
  <c r="G17" i="12"/>
  <c r="I17" i="12" s="1"/>
  <c r="F17" i="12"/>
  <c r="G16" i="12"/>
  <c r="H16" i="12" s="1"/>
  <c r="F16" i="12"/>
  <c r="G15" i="12"/>
  <c r="I15" i="12" s="1"/>
  <c r="F15" i="12"/>
  <c r="G14" i="12"/>
  <c r="I14" i="12" s="1"/>
  <c r="F14" i="12"/>
  <c r="G13" i="12"/>
  <c r="I13" i="12" s="1"/>
  <c r="F13" i="12"/>
  <c r="G12" i="12"/>
  <c r="I12" i="12" s="1"/>
  <c r="F12" i="12"/>
  <c r="G11" i="12"/>
  <c r="I11" i="12" s="1"/>
  <c r="F11" i="12"/>
  <c r="G10" i="12"/>
  <c r="H10" i="12" s="1"/>
  <c r="F10" i="12"/>
  <c r="G9" i="12"/>
  <c r="I9" i="12" s="1"/>
  <c r="F9" i="12"/>
  <c r="G8" i="12"/>
  <c r="I8" i="12" s="1"/>
  <c r="F8" i="12"/>
  <c r="G7" i="12"/>
  <c r="H7" i="12" s="1"/>
  <c r="F7" i="12"/>
  <c r="G6" i="12"/>
  <c r="I6" i="12" s="1"/>
  <c r="F6" i="12"/>
  <c r="G5" i="12"/>
  <c r="I5" i="12" s="1"/>
  <c r="F5" i="12"/>
  <c r="G4" i="12"/>
  <c r="I4" i="12" s="1"/>
  <c r="F4" i="12"/>
  <c r="G3" i="12"/>
  <c r="I3" i="12" s="1"/>
  <c r="F3" i="12"/>
  <c r="G2" i="12"/>
  <c r="I2" i="12" s="1"/>
  <c r="F2" i="12"/>
  <c r="L23" i="12" s="1"/>
  <c r="F17" i="9"/>
  <c r="I31" i="11"/>
  <c r="H31" i="11"/>
  <c r="F31" i="11"/>
  <c r="H30" i="11"/>
  <c r="F30" i="11"/>
  <c r="I30" i="11" s="1"/>
  <c r="I29" i="11"/>
  <c r="H29" i="11"/>
  <c r="F29" i="11"/>
  <c r="I28" i="11"/>
  <c r="H28" i="11"/>
  <c r="F28" i="11"/>
  <c r="I27" i="11"/>
  <c r="H27" i="11"/>
  <c r="F27" i="11"/>
  <c r="H26" i="11"/>
  <c r="F26" i="11"/>
  <c r="I26" i="11" s="1"/>
  <c r="I25" i="11"/>
  <c r="H25" i="11"/>
  <c r="F25" i="11"/>
  <c r="I24" i="11"/>
  <c r="H24" i="11"/>
  <c r="F24" i="11"/>
  <c r="H23" i="11"/>
  <c r="F23" i="11"/>
  <c r="I23" i="11" s="1"/>
  <c r="H22" i="11"/>
  <c r="F22" i="11"/>
  <c r="I22" i="11" s="1"/>
  <c r="G21" i="11"/>
  <c r="I21" i="11" s="1"/>
  <c r="F21" i="11"/>
  <c r="G20" i="11"/>
  <c r="F20" i="11"/>
  <c r="G19" i="11"/>
  <c r="H19" i="11" s="1"/>
  <c r="F19" i="11"/>
  <c r="I19" i="11" s="1"/>
  <c r="L18" i="11"/>
  <c r="L19" i="11" s="1"/>
  <c r="L20" i="11" s="1"/>
  <c r="G18" i="11"/>
  <c r="F18" i="11"/>
  <c r="G17" i="11"/>
  <c r="I17" i="11" s="1"/>
  <c r="F17" i="11"/>
  <c r="G16" i="11"/>
  <c r="I16" i="11" s="1"/>
  <c r="F16" i="11"/>
  <c r="G15" i="11"/>
  <c r="I15" i="11" s="1"/>
  <c r="F15" i="11"/>
  <c r="G14" i="11"/>
  <c r="I14" i="11" s="1"/>
  <c r="F14" i="11"/>
  <c r="G13" i="11"/>
  <c r="I13" i="11" s="1"/>
  <c r="F13" i="11"/>
  <c r="G12" i="11"/>
  <c r="I12" i="11" s="1"/>
  <c r="F12" i="11"/>
  <c r="G11" i="11"/>
  <c r="I11" i="11" s="1"/>
  <c r="F11" i="11"/>
  <c r="G10" i="11"/>
  <c r="I10" i="11" s="1"/>
  <c r="F10" i="11"/>
  <c r="G9" i="11"/>
  <c r="I9" i="11" s="1"/>
  <c r="F9" i="11"/>
  <c r="G8" i="11"/>
  <c r="I8" i="11" s="1"/>
  <c r="F8" i="11"/>
  <c r="G7" i="11"/>
  <c r="I7" i="11" s="1"/>
  <c r="F7" i="11"/>
  <c r="G6" i="11"/>
  <c r="I6" i="11" s="1"/>
  <c r="F6" i="11"/>
  <c r="G5" i="11"/>
  <c r="I5" i="11" s="1"/>
  <c r="F5" i="11"/>
  <c r="G4" i="11"/>
  <c r="I4" i="11" s="1"/>
  <c r="F4" i="11"/>
  <c r="G3" i="11"/>
  <c r="I3" i="11" s="1"/>
  <c r="F3" i="11"/>
  <c r="G2" i="11"/>
  <c r="F2" i="11"/>
  <c r="G20" i="9"/>
  <c r="I16" i="15" l="1"/>
  <c r="I14" i="15"/>
  <c r="I15" i="15"/>
  <c r="I12" i="15"/>
  <c r="I11" i="15"/>
  <c r="I10" i="15"/>
  <c r="I9" i="15"/>
  <c r="I8" i="15"/>
  <c r="I7" i="15"/>
  <c r="I6" i="15"/>
  <c r="I3" i="15"/>
  <c r="I2" i="15"/>
  <c r="L23" i="15"/>
  <c r="H21" i="15"/>
  <c r="H7" i="15"/>
  <c r="H10" i="15"/>
  <c r="H16" i="15"/>
  <c r="I4" i="15"/>
  <c r="I13" i="15"/>
  <c r="H19" i="15"/>
  <c r="H2" i="15"/>
  <c r="H5" i="15"/>
  <c r="H8" i="15"/>
  <c r="H11" i="15"/>
  <c r="H14" i="15"/>
  <c r="H17" i="15"/>
  <c r="H20" i="15"/>
  <c r="H3" i="15"/>
  <c r="H6" i="15"/>
  <c r="H9" i="15"/>
  <c r="H12" i="15"/>
  <c r="H15" i="15"/>
  <c r="H18" i="15"/>
  <c r="I11" i="14"/>
  <c r="I16" i="14"/>
  <c r="I20" i="14"/>
  <c r="I21" i="14"/>
  <c r="I17" i="14"/>
  <c r="I14" i="14"/>
  <c r="I8" i="14"/>
  <c r="L23" i="14"/>
  <c r="I4" i="14"/>
  <c r="I3" i="14"/>
  <c r="I6" i="14"/>
  <c r="I12" i="14"/>
  <c r="I15" i="14"/>
  <c r="H3" i="14"/>
  <c r="I9" i="14"/>
  <c r="I18" i="14"/>
  <c r="H4" i="14"/>
  <c r="H10" i="14"/>
  <c r="H16" i="14"/>
  <c r="I7" i="14"/>
  <c r="I13" i="14"/>
  <c r="H19" i="14"/>
  <c r="H2" i="14"/>
  <c r="H5" i="14"/>
  <c r="H8" i="14"/>
  <c r="H11" i="14"/>
  <c r="H14" i="14"/>
  <c r="H17" i="14"/>
  <c r="H20" i="14"/>
  <c r="I3" i="13"/>
  <c r="I14" i="13"/>
  <c r="I21" i="13"/>
  <c r="I19" i="13"/>
  <c r="I18" i="13"/>
  <c r="I10" i="13"/>
  <c r="I7" i="13"/>
  <c r="L23" i="13"/>
  <c r="I20" i="13"/>
  <c r="L31" i="13" s="1"/>
  <c r="H21" i="13"/>
  <c r="H4" i="13"/>
  <c r="H7" i="13"/>
  <c r="H10" i="13"/>
  <c r="H13" i="13"/>
  <c r="H16" i="13"/>
  <c r="H19" i="13"/>
  <c r="H2" i="13"/>
  <c r="H5" i="13"/>
  <c r="H8" i="13"/>
  <c r="H11" i="13"/>
  <c r="H14" i="13"/>
  <c r="H17" i="13"/>
  <c r="H20" i="13"/>
  <c r="H3" i="13"/>
  <c r="H6" i="13"/>
  <c r="H9" i="13"/>
  <c r="H12" i="13"/>
  <c r="H15" i="13"/>
  <c r="H18" i="13"/>
  <c r="I21" i="12"/>
  <c r="H21" i="12"/>
  <c r="H4" i="12"/>
  <c r="H13" i="12"/>
  <c r="I7" i="12"/>
  <c r="L31" i="12" s="1"/>
  <c r="I10" i="12"/>
  <c r="I16" i="12"/>
  <c r="H19" i="12"/>
  <c r="H2" i="12"/>
  <c r="H5" i="12"/>
  <c r="H8" i="12"/>
  <c r="H11" i="12"/>
  <c r="H14" i="12"/>
  <c r="H17" i="12"/>
  <c r="H20" i="12"/>
  <c r="H3" i="12"/>
  <c r="H6" i="12"/>
  <c r="H9" i="12"/>
  <c r="H12" i="12"/>
  <c r="H15" i="12"/>
  <c r="H18" i="12"/>
  <c r="I18" i="11"/>
  <c r="L23" i="11"/>
  <c r="I2" i="11"/>
  <c r="I20" i="11"/>
  <c r="L31" i="11"/>
  <c r="H21" i="11"/>
  <c r="H4" i="11"/>
  <c r="H7" i="11"/>
  <c r="H10" i="11"/>
  <c r="H13" i="11"/>
  <c r="H16" i="11"/>
  <c r="H2" i="11"/>
  <c r="H5" i="11"/>
  <c r="H8" i="11"/>
  <c r="H11" i="11"/>
  <c r="H14" i="11"/>
  <c r="H17" i="11"/>
  <c r="H20" i="11"/>
  <c r="H3" i="11"/>
  <c r="H6" i="11"/>
  <c r="H9" i="11"/>
  <c r="H12" i="11"/>
  <c r="H15" i="11"/>
  <c r="H18" i="11"/>
  <c r="H31" i="10"/>
  <c r="F31" i="10"/>
  <c r="I31" i="10" s="1"/>
  <c r="H30" i="10"/>
  <c r="F30" i="10"/>
  <c r="I30" i="10" s="1"/>
  <c r="H29" i="10"/>
  <c r="F29" i="10"/>
  <c r="I29" i="10" s="1"/>
  <c r="H28" i="10"/>
  <c r="F28" i="10"/>
  <c r="I28" i="10" s="1"/>
  <c r="H27" i="10"/>
  <c r="F27" i="10"/>
  <c r="I27" i="10" s="1"/>
  <c r="I26" i="10"/>
  <c r="H26" i="10"/>
  <c r="F26" i="10"/>
  <c r="I25" i="10"/>
  <c r="H25" i="10"/>
  <c r="F25" i="10"/>
  <c r="I24" i="10"/>
  <c r="H24" i="10"/>
  <c r="F24" i="10"/>
  <c r="H23" i="10"/>
  <c r="F23" i="10"/>
  <c r="I23" i="10" s="1"/>
  <c r="H22" i="10"/>
  <c r="F22" i="10"/>
  <c r="I22" i="10" s="1"/>
  <c r="H21" i="10"/>
  <c r="F21" i="10"/>
  <c r="I21" i="10" s="1"/>
  <c r="H20" i="10"/>
  <c r="F20" i="10"/>
  <c r="I20" i="10" s="1"/>
  <c r="G19" i="10"/>
  <c r="I19" i="10" s="1"/>
  <c r="F19" i="10"/>
  <c r="L18" i="10"/>
  <c r="L19" i="10" s="1"/>
  <c r="L20" i="10" s="1"/>
  <c r="G18" i="10"/>
  <c r="I18" i="10" s="1"/>
  <c r="F18" i="10"/>
  <c r="G17" i="10"/>
  <c r="I17" i="10" s="1"/>
  <c r="F17" i="10"/>
  <c r="G16" i="10"/>
  <c r="I16" i="10" s="1"/>
  <c r="F16" i="10"/>
  <c r="G15" i="10"/>
  <c r="I15" i="10" s="1"/>
  <c r="F15" i="10"/>
  <c r="G14" i="10"/>
  <c r="I14" i="10" s="1"/>
  <c r="F14" i="10"/>
  <c r="G13" i="10"/>
  <c r="I13" i="10" s="1"/>
  <c r="F13" i="10"/>
  <c r="G12" i="10"/>
  <c r="I12" i="10" s="1"/>
  <c r="F12" i="10"/>
  <c r="G11" i="10"/>
  <c r="I11" i="10" s="1"/>
  <c r="F11" i="10"/>
  <c r="G10" i="10"/>
  <c r="I10" i="10" s="1"/>
  <c r="F10" i="10"/>
  <c r="G9" i="10"/>
  <c r="I9" i="10" s="1"/>
  <c r="F9" i="10"/>
  <c r="G8" i="10"/>
  <c r="I8" i="10" s="1"/>
  <c r="F8" i="10"/>
  <c r="G7" i="10"/>
  <c r="I7" i="10" s="1"/>
  <c r="F7" i="10"/>
  <c r="G6" i="10"/>
  <c r="I6" i="10" s="1"/>
  <c r="F6" i="10"/>
  <c r="G5" i="10"/>
  <c r="I5" i="10" s="1"/>
  <c r="F5" i="10"/>
  <c r="G4" i="10"/>
  <c r="I4" i="10" s="1"/>
  <c r="F4" i="10"/>
  <c r="G3" i="10"/>
  <c r="I3" i="10" s="1"/>
  <c r="F3" i="10"/>
  <c r="L23" i="10" s="1"/>
  <c r="G2" i="10"/>
  <c r="I2" i="10" s="1"/>
  <c r="F2" i="10"/>
  <c r="H31" i="9"/>
  <c r="F31" i="9"/>
  <c r="I31" i="9" s="1"/>
  <c r="I30" i="9"/>
  <c r="H30" i="9"/>
  <c r="F30" i="9"/>
  <c r="H29" i="9"/>
  <c r="F29" i="9"/>
  <c r="I29" i="9" s="1"/>
  <c r="H28" i="9"/>
  <c r="F28" i="9"/>
  <c r="I28" i="9" s="1"/>
  <c r="H27" i="9"/>
  <c r="F27" i="9"/>
  <c r="I27" i="9" s="1"/>
  <c r="I26" i="9"/>
  <c r="H26" i="9"/>
  <c r="F26" i="9"/>
  <c r="I25" i="9"/>
  <c r="H25" i="9"/>
  <c r="F25" i="9"/>
  <c r="I24" i="9"/>
  <c r="H24" i="9"/>
  <c r="F24" i="9"/>
  <c r="I23" i="9"/>
  <c r="H23" i="9"/>
  <c r="F23" i="9"/>
  <c r="H22" i="9"/>
  <c r="F22" i="9"/>
  <c r="I22" i="9" s="1"/>
  <c r="F21" i="9"/>
  <c r="F20" i="9"/>
  <c r="G19" i="9"/>
  <c r="F19" i="9"/>
  <c r="L18" i="9"/>
  <c r="L19" i="9" s="1"/>
  <c r="L20" i="9" s="1"/>
  <c r="G18" i="9"/>
  <c r="F18" i="9"/>
  <c r="G17" i="9"/>
  <c r="I17" i="9" s="1"/>
  <c r="G16" i="9"/>
  <c r="I16" i="9" s="1"/>
  <c r="F16" i="9"/>
  <c r="G15" i="9"/>
  <c r="I15" i="9" s="1"/>
  <c r="F15" i="9"/>
  <c r="G14" i="9"/>
  <c r="I14" i="9" s="1"/>
  <c r="F14" i="9"/>
  <c r="G13" i="9"/>
  <c r="F13" i="9"/>
  <c r="G12" i="9"/>
  <c r="F12" i="9"/>
  <c r="G11" i="9"/>
  <c r="I11" i="9" s="1"/>
  <c r="F11" i="9"/>
  <c r="G10" i="9"/>
  <c r="I10" i="9" s="1"/>
  <c r="F10" i="9"/>
  <c r="G9" i="9"/>
  <c r="F9" i="9"/>
  <c r="G8" i="9"/>
  <c r="I8" i="9" s="1"/>
  <c r="F8" i="9"/>
  <c r="G7" i="9"/>
  <c r="F7" i="9"/>
  <c r="G6" i="9"/>
  <c r="I6" i="9" s="1"/>
  <c r="F6" i="9"/>
  <c r="G5" i="9"/>
  <c r="I5" i="9" s="1"/>
  <c r="F5" i="9"/>
  <c r="G4" i="9"/>
  <c r="I4" i="9" s="1"/>
  <c r="F4" i="9"/>
  <c r="G3" i="9"/>
  <c r="F3" i="9"/>
  <c r="G2" i="9"/>
  <c r="I2" i="9" s="1"/>
  <c r="F2" i="9"/>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G21" i="8"/>
  <c r="H21" i="8" s="1"/>
  <c r="F21" i="8"/>
  <c r="G20" i="8"/>
  <c r="I20" i="8" s="1"/>
  <c r="F20" i="8"/>
  <c r="G19" i="8"/>
  <c r="I19" i="8" s="1"/>
  <c r="F19" i="8"/>
  <c r="L18" i="8"/>
  <c r="L19" i="8" s="1"/>
  <c r="L20" i="8" s="1"/>
  <c r="G18" i="8"/>
  <c r="I18" i="8" s="1"/>
  <c r="F18" i="8"/>
  <c r="G17" i="8"/>
  <c r="F17" i="8"/>
  <c r="G16" i="8"/>
  <c r="I16" i="8" s="1"/>
  <c r="F16" i="8"/>
  <c r="G15" i="8"/>
  <c r="I15" i="8" s="1"/>
  <c r="F15" i="8"/>
  <c r="G14" i="8"/>
  <c r="I14" i="8" s="1"/>
  <c r="F14" i="8"/>
  <c r="G13" i="8"/>
  <c r="I13" i="8" s="1"/>
  <c r="F13" i="8"/>
  <c r="G12" i="8"/>
  <c r="I12" i="8" s="1"/>
  <c r="F12" i="8"/>
  <c r="G11" i="8"/>
  <c r="I11" i="8" s="1"/>
  <c r="F11" i="8"/>
  <c r="G10" i="8"/>
  <c r="I10" i="8" s="1"/>
  <c r="F10" i="8"/>
  <c r="G9" i="8"/>
  <c r="I9" i="8" s="1"/>
  <c r="F9" i="8"/>
  <c r="G8" i="8"/>
  <c r="I8" i="8" s="1"/>
  <c r="F8" i="8"/>
  <c r="G7" i="8"/>
  <c r="I7" i="8" s="1"/>
  <c r="F7" i="8"/>
  <c r="G6" i="8"/>
  <c r="I6" i="8" s="1"/>
  <c r="F6" i="8"/>
  <c r="G5" i="8"/>
  <c r="I5" i="8" s="1"/>
  <c r="F5" i="8"/>
  <c r="G4" i="8"/>
  <c r="I4" i="8" s="1"/>
  <c r="F4" i="8"/>
  <c r="G3" i="8"/>
  <c r="I3" i="8" s="1"/>
  <c r="F3" i="8"/>
  <c r="G2" i="8"/>
  <c r="I2" i="8" s="1"/>
  <c r="F2" i="8"/>
  <c r="I206" i="3"/>
  <c r="G15" i="7"/>
  <c r="I15" i="7" s="1"/>
  <c r="F15" i="7"/>
  <c r="F9" i="7"/>
  <c r="I31" i="7"/>
  <c r="H31" i="7"/>
  <c r="F31" i="7"/>
  <c r="I30" i="7"/>
  <c r="H30" i="7"/>
  <c r="F30" i="7"/>
  <c r="H29" i="7"/>
  <c r="F29" i="7"/>
  <c r="I29" i="7" s="1"/>
  <c r="I28" i="7"/>
  <c r="H28" i="7"/>
  <c r="F28" i="7"/>
  <c r="H27" i="7"/>
  <c r="F27" i="7"/>
  <c r="I27" i="7" s="1"/>
  <c r="I26" i="7"/>
  <c r="H26" i="7"/>
  <c r="F26" i="7"/>
  <c r="I25" i="7"/>
  <c r="H25" i="7"/>
  <c r="F25" i="7"/>
  <c r="I24" i="7"/>
  <c r="H24" i="7"/>
  <c r="F24" i="7"/>
  <c r="H23" i="7"/>
  <c r="F23" i="7"/>
  <c r="I23" i="7" s="1"/>
  <c r="H22" i="7"/>
  <c r="F22" i="7"/>
  <c r="I22" i="7" s="1"/>
  <c r="G21" i="7"/>
  <c r="I21" i="7" s="1"/>
  <c r="F21" i="7"/>
  <c r="G20" i="7"/>
  <c r="I20" i="7" s="1"/>
  <c r="F20" i="7"/>
  <c r="G19" i="7"/>
  <c r="I19" i="7" s="1"/>
  <c r="F19" i="7"/>
  <c r="L18" i="7"/>
  <c r="L19" i="7" s="1"/>
  <c r="L20" i="7" s="1"/>
  <c r="I18" i="7"/>
  <c r="G18" i="7"/>
  <c r="H18" i="7" s="1"/>
  <c r="F18" i="7"/>
  <c r="G17" i="7"/>
  <c r="I17" i="7" s="1"/>
  <c r="F17" i="7"/>
  <c r="G16" i="7"/>
  <c r="F16" i="7"/>
  <c r="G14" i="7"/>
  <c r="H14" i="7" s="1"/>
  <c r="F14" i="7"/>
  <c r="G13" i="7"/>
  <c r="I13" i="7" s="1"/>
  <c r="F13" i="7"/>
  <c r="G12" i="7"/>
  <c r="I12" i="7" s="1"/>
  <c r="F12" i="7"/>
  <c r="I11" i="7"/>
  <c r="G11" i="7"/>
  <c r="H11" i="7" s="1"/>
  <c r="F11" i="7"/>
  <c r="G10" i="7"/>
  <c r="I10" i="7" s="1"/>
  <c r="F10" i="7"/>
  <c r="G9" i="7"/>
  <c r="I9" i="7" s="1"/>
  <c r="G8" i="7"/>
  <c r="H8" i="7" s="1"/>
  <c r="F8" i="7"/>
  <c r="G7" i="7"/>
  <c r="I7" i="7" s="1"/>
  <c r="F7" i="7"/>
  <c r="G6" i="7"/>
  <c r="I6" i="7" s="1"/>
  <c r="F6" i="7"/>
  <c r="G5" i="7"/>
  <c r="H5" i="7" s="1"/>
  <c r="F5" i="7"/>
  <c r="G4" i="7"/>
  <c r="I4" i="7" s="1"/>
  <c r="F4" i="7"/>
  <c r="G3" i="7"/>
  <c r="I3" i="7" s="1"/>
  <c r="F3" i="7"/>
  <c r="G2" i="7"/>
  <c r="H2" i="7" s="1"/>
  <c r="F2" i="7"/>
  <c r="L23" i="7" s="1"/>
  <c r="G9" i="6"/>
  <c r="I9" i="6" s="1"/>
  <c r="G10" i="6"/>
  <c r="I10" i="6" s="1"/>
  <c r="F10" i="6"/>
  <c r="F9" i="6"/>
  <c r="L31" i="15" l="1"/>
  <c r="L30" i="15"/>
  <c r="L31" i="14"/>
  <c r="L30" i="14"/>
  <c r="L30" i="13"/>
  <c r="L30" i="12"/>
  <c r="L30" i="11"/>
  <c r="I13" i="9"/>
  <c r="I7" i="9"/>
  <c r="I3" i="9"/>
  <c r="I9" i="9"/>
  <c r="L31" i="10"/>
  <c r="H3" i="10"/>
  <c r="H15" i="10"/>
  <c r="H6" i="10"/>
  <c r="H9" i="10"/>
  <c r="H12" i="10"/>
  <c r="H18" i="10"/>
  <c r="H4" i="10"/>
  <c r="H7" i="10"/>
  <c r="H10" i="10"/>
  <c r="H13" i="10"/>
  <c r="H16" i="10"/>
  <c r="H19" i="10"/>
  <c r="H2" i="10"/>
  <c r="H5" i="10"/>
  <c r="H8" i="10"/>
  <c r="H11" i="10"/>
  <c r="H14" i="10"/>
  <c r="H17" i="10"/>
  <c r="I18" i="9"/>
  <c r="I12" i="9"/>
  <c r="L23" i="9"/>
  <c r="I19" i="9"/>
  <c r="I20" i="9"/>
  <c r="I21" i="9"/>
  <c r="H21" i="9"/>
  <c r="H4" i="9"/>
  <c r="H7" i="9"/>
  <c r="H10" i="9"/>
  <c r="H13" i="9"/>
  <c r="H16" i="9"/>
  <c r="H19" i="9"/>
  <c r="H2" i="9"/>
  <c r="H5" i="9"/>
  <c r="H8" i="9"/>
  <c r="H11" i="9"/>
  <c r="H14" i="9"/>
  <c r="H17" i="9"/>
  <c r="H20" i="9"/>
  <c r="H3" i="9"/>
  <c r="H6" i="9"/>
  <c r="H9" i="9"/>
  <c r="H12" i="9"/>
  <c r="H15" i="9"/>
  <c r="H18" i="9"/>
  <c r="I17" i="8"/>
  <c r="L23" i="8"/>
  <c r="L31" i="8"/>
  <c r="I21" i="8"/>
  <c r="H4" i="8"/>
  <c r="H7" i="8"/>
  <c r="H10" i="8"/>
  <c r="H13" i="8"/>
  <c r="H16" i="8"/>
  <c r="H19" i="8"/>
  <c r="H2" i="8"/>
  <c r="H5" i="8"/>
  <c r="H8" i="8"/>
  <c r="H11" i="8"/>
  <c r="H14" i="8"/>
  <c r="H17" i="8"/>
  <c r="H20" i="8"/>
  <c r="H3" i="8"/>
  <c r="H6" i="8"/>
  <c r="H9" i="8"/>
  <c r="H12" i="8"/>
  <c r="H15" i="8"/>
  <c r="H18" i="8"/>
  <c r="H10" i="6"/>
  <c r="H9" i="6"/>
  <c r="H15" i="7"/>
  <c r="I16" i="7"/>
  <c r="H21" i="7"/>
  <c r="I2" i="7"/>
  <c r="I5" i="7"/>
  <c r="I14" i="7"/>
  <c r="H3" i="7"/>
  <c r="H6" i="7"/>
  <c r="H9" i="7"/>
  <c r="H12" i="7"/>
  <c r="H16" i="7"/>
  <c r="H19" i="7"/>
  <c r="H4" i="7"/>
  <c r="H7" i="7"/>
  <c r="H10" i="7"/>
  <c r="H13" i="7"/>
  <c r="H17" i="7"/>
  <c r="I8" i="7"/>
  <c r="H20" i="7"/>
  <c r="G21" i="6"/>
  <c r="H21" i="6" s="1"/>
  <c r="F3" i="6"/>
  <c r="F4" i="6"/>
  <c r="F5" i="6"/>
  <c r="F6" i="6"/>
  <c r="F7" i="6"/>
  <c r="F8" i="6"/>
  <c r="F11" i="6"/>
  <c r="F12" i="6"/>
  <c r="F13" i="6"/>
  <c r="F14" i="6"/>
  <c r="F16" i="6"/>
  <c r="F17" i="6"/>
  <c r="F18" i="6"/>
  <c r="F19" i="6"/>
  <c r="G3" i="6"/>
  <c r="G4" i="6"/>
  <c r="G5" i="6"/>
  <c r="G6" i="6"/>
  <c r="G7" i="6"/>
  <c r="G8" i="6"/>
  <c r="I8" i="6" s="1"/>
  <c r="G11" i="6"/>
  <c r="G12" i="6"/>
  <c r="I12" i="6" s="1"/>
  <c r="G13" i="6"/>
  <c r="G14" i="6"/>
  <c r="G16" i="6"/>
  <c r="G17" i="6"/>
  <c r="G18" i="6"/>
  <c r="H18" i="6" s="1"/>
  <c r="G19" i="6"/>
  <c r="I19" i="6" s="1"/>
  <c r="H31" i="6"/>
  <c r="F31" i="6"/>
  <c r="I31" i="6" s="1"/>
  <c r="I30" i="6"/>
  <c r="H30" i="6"/>
  <c r="F30" i="6"/>
  <c r="H29" i="6"/>
  <c r="F29" i="6"/>
  <c r="I29" i="6" s="1"/>
  <c r="H28" i="6"/>
  <c r="F28" i="6"/>
  <c r="I28" i="6" s="1"/>
  <c r="H27" i="6"/>
  <c r="F27" i="6"/>
  <c r="I27" i="6" s="1"/>
  <c r="I26" i="6"/>
  <c r="H26" i="6"/>
  <c r="F26" i="6"/>
  <c r="I25" i="6"/>
  <c r="H25" i="6"/>
  <c r="F25" i="6"/>
  <c r="H24" i="6"/>
  <c r="F24" i="6"/>
  <c r="I24" i="6" s="1"/>
  <c r="H23" i="6"/>
  <c r="F23" i="6"/>
  <c r="I23" i="6" s="1"/>
  <c r="H22" i="6"/>
  <c r="F22" i="6"/>
  <c r="I22" i="6" s="1"/>
  <c r="F21" i="6"/>
  <c r="G20" i="6"/>
  <c r="I20" i="6" s="1"/>
  <c r="F20" i="6"/>
  <c r="L18" i="6"/>
  <c r="L19" i="6" s="1"/>
  <c r="L20" i="6" s="1"/>
  <c r="G2" i="6"/>
  <c r="I2" i="6" s="1"/>
  <c r="F2" i="6"/>
  <c r="G20" i="5"/>
  <c r="H20" i="5" s="1"/>
  <c r="G18" i="5"/>
  <c r="H18" i="5" s="1"/>
  <c r="G19" i="5"/>
  <c r="I19" i="5" s="1"/>
  <c r="G17" i="5"/>
  <c r="H17" i="5" s="1"/>
  <c r="H11" i="5"/>
  <c r="G11" i="5"/>
  <c r="I11" i="5" s="1"/>
  <c r="F11" i="5"/>
  <c r="I31" i="5"/>
  <c r="H31" i="5"/>
  <c r="F31" i="5"/>
  <c r="H30" i="5"/>
  <c r="F30" i="5"/>
  <c r="I30" i="5" s="1"/>
  <c r="I29" i="5"/>
  <c r="H29" i="5"/>
  <c r="F29" i="5"/>
  <c r="H28" i="5"/>
  <c r="F28" i="5"/>
  <c r="I28" i="5" s="1"/>
  <c r="H27" i="5"/>
  <c r="F27" i="5"/>
  <c r="I27" i="5" s="1"/>
  <c r="I26" i="5"/>
  <c r="H26" i="5"/>
  <c r="F26" i="5"/>
  <c r="I25" i="5"/>
  <c r="H25" i="5"/>
  <c r="F25" i="5"/>
  <c r="H24" i="5"/>
  <c r="F24" i="5"/>
  <c r="I24" i="5" s="1"/>
  <c r="H23" i="5"/>
  <c r="F23" i="5"/>
  <c r="I23" i="5" s="1"/>
  <c r="H22" i="5"/>
  <c r="F22" i="5"/>
  <c r="I22" i="5" s="1"/>
  <c r="H21" i="5"/>
  <c r="F21" i="5"/>
  <c r="I21" i="5" s="1"/>
  <c r="F20" i="5"/>
  <c r="F19" i="5"/>
  <c r="L18" i="5"/>
  <c r="L19" i="5" s="1"/>
  <c r="L20" i="5" s="1"/>
  <c r="F18" i="5"/>
  <c r="G16" i="5"/>
  <c r="F16" i="5"/>
  <c r="G15" i="5"/>
  <c r="H15" i="5" s="1"/>
  <c r="F15" i="5"/>
  <c r="G14" i="5"/>
  <c r="I14" i="5" s="1"/>
  <c r="F14" i="5"/>
  <c r="G13" i="5"/>
  <c r="I13" i="5" s="1"/>
  <c r="F13" i="5"/>
  <c r="G12" i="5"/>
  <c r="H12" i="5" s="1"/>
  <c r="F12" i="5"/>
  <c r="G10" i="5"/>
  <c r="F10" i="5"/>
  <c r="G9" i="5"/>
  <c r="F9" i="5"/>
  <c r="G8" i="5"/>
  <c r="H8" i="5" s="1"/>
  <c r="F8" i="5"/>
  <c r="G7" i="5"/>
  <c r="I7" i="5" s="1"/>
  <c r="F7" i="5"/>
  <c r="G6" i="5"/>
  <c r="H6" i="5" s="1"/>
  <c r="F6" i="5"/>
  <c r="G5" i="5"/>
  <c r="I5" i="5" s="1"/>
  <c r="F5" i="5"/>
  <c r="G4" i="5"/>
  <c r="I4" i="5" s="1"/>
  <c r="F4" i="5"/>
  <c r="G3" i="5"/>
  <c r="I3" i="5" s="1"/>
  <c r="F3" i="5"/>
  <c r="G2" i="5"/>
  <c r="H2" i="5" s="1"/>
  <c r="F2" i="5"/>
  <c r="F16" i="4"/>
  <c r="I26" i="3"/>
  <c r="H26" i="3"/>
  <c r="G26" i="3"/>
  <c r="F26" i="3"/>
  <c r="G2" i="4"/>
  <c r="I174" i="3"/>
  <c r="G40" i="3"/>
  <c r="L31" i="9" l="1"/>
  <c r="L30" i="10"/>
  <c r="L30" i="9"/>
  <c r="L30" i="8"/>
  <c r="L30" i="7"/>
  <c r="L31" i="7"/>
  <c r="I11" i="6"/>
  <c r="I4" i="6"/>
  <c r="I3" i="6"/>
  <c r="I7" i="6"/>
  <c r="I6" i="6"/>
  <c r="I5" i="6"/>
  <c r="I21" i="6"/>
  <c r="I17" i="6"/>
  <c r="I14" i="6"/>
  <c r="I13" i="6"/>
  <c r="I16" i="6"/>
  <c r="L23" i="6"/>
  <c r="H3" i="6"/>
  <c r="H6" i="6"/>
  <c r="H12" i="6"/>
  <c r="I18" i="6"/>
  <c r="H4" i="6"/>
  <c r="H7" i="6"/>
  <c r="H13" i="6"/>
  <c r="H16" i="6"/>
  <c r="H19" i="6"/>
  <c r="H17" i="6"/>
  <c r="H2" i="6"/>
  <c r="H5" i="6"/>
  <c r="H8" i="6"/>
  <c r="H11" i="6"/>
  <c r="H14" i="6"/>
  <c r="H20" i="6"/>
  <c r="I20" i="5"/>
  <c r="H19" i="5"/>
  <c r="I18" i="5"/>
  <c r="I17" i="5"/>
  <c r="I16" i="5"/>
  <c r="I10" i="5"/>
  <c r="L23" i="5"/>
  <c r="I9" i="5"/>
  <c r="I2" i="5"/>
  <c r="I8" i="5"/>
  <c r="H5" i="5"/>
  <c r="H14" i="5"/>
  <c r="H3" i="5"/>
  <c r="H9" i="5"/>
  <c r="I6" i="5"/>
  <c r="I12" i="5"/>
  <c r="I15" i="5"/>
  <c r="H7" i="5"/>
  <c r="H4" i="5"/>
  <c r="H10" i="5"/>
  <c r="H13" i="5"/>
  <c r="H16" i="5"/>
  <c r="I63" i="3"/>
  <c r="G121" i="3"/>
  <c r="I121" i="3"/>
  <c r="H121" i="3"/>
  <c r="F121" i="3"/>
  <c r="F2" i="4"/>
  <c r="I52" i="3"/>
  <c r="H52" i="3"/>
  <c r="G52" i="3"/>
  <c r="F52" i="3"/>
  <c r="L31" i="6" l="1"/>
  <c r="L30" i="6"/>
  <c r="L30" i="5"/>
  <c r="L31" i="5"/>
  <c r="G3" i="4"/>
  <c r="G4" i="4"/>
  <c r="H4" i="4" s="1"/>
  <c r="G5" i="4"/>
  <c r="H5" i="4" s="1"/>
  <c r="G6" i="4"/>
  <c r="H6" i="4" s="1"/>
  <c r="G7" i="4"/>
  <c r="H7" i="4" s="1"/>
  <c r="G8" i="4"/>
  <c r="H8" i="4" s="1"/>
  <c r="G9" i="4"/>
  <c r="G10" i="4"/>
  <c r="G11" i="4"/>
  <c r="G12" i="4"/>
  <c r="H12" i="4" s="1"/>
  <c r="G13" i="4"/>
  <c r="H13" i="4" s="1"/>
  <c r="G14" i="4"/>
  <c r="H14" i="4" s="1"/>
  <c r="G15" i="4"/>
  <c r="H15" i="4" s="1"/>
  <c r="G16" i="4"/>
  <c r="H16" i="4" s="1"/>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8" i="4" l="1"/>
  <c r="I10"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<sst xmlns="http://schemas.openxmlformats.org/spreadsheetml/2006/main" count="1378" uniqueCount="464">
  <si>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</si>
  <si>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</si>
  <si>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</si>
  <si>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</si>
  <si>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</si>
  <si>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</si>
  <si>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</si>
  <si>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</si>
  <si>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</si>
  <si>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</si>
  <si>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</si>
  <si>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</si>
  <si>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</si>
  <si>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</si>
  <si>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</si>
  <si>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</si>
  <si>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</si>
  <si>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</si>
  <si>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</si>
  <si>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</si>
  <si>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</si>
  <si>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</si>
  <si>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</si>
  <si>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</si>
  <si>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</si>
  <si>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</si>
  <si>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</si>
  <si>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</si>
  <si>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</si>
  <si>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</si>
  <si>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</si>
  <si>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</si>
  <si>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</si>
  <si>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</si>
  <si>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</si>
  <si>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</si>
  <si>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</si>
  <si>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</si>
  <si>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</si>
  <si>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</si>
  <si>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</si>
  <si>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</si>
  <si>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</si>
  <si>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</si>
  <si>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</si>
  <si>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</si>
  <si>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</si>
  <si>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</si>
  <si>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</si>
  <si>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</si>
  <si>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</si>
  <si>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</si>
  <si>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</si>
  <si>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</si>
  <si>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</si>
  <si>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</si>
  <si>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</si>
  <si>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</si>
  <si>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</si>
  <si>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</si>
  <si>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</si>
  <si>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</si>
  <si>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</si>
  <si>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</si>
  <si>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</si>
  <si>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</si>
  <si>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</si>
  <si>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</si>
  <si>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</si>
  <si>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</si>
  <si>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</si>
  <si>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</si>
  <si>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</si>
  <si>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</si>
  <si>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</si>
  <si>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</si>
  <si>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</si>
  <si>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</si>
  <si>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</si>
  <si>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</si>
  <si>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</si>
  <si>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</si>
  <si>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</si>
  <si>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</si>
  <si>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</si>
  <si>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</si>
  <si>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</si>
  <si>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</si>
  <si>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</si>
  <si>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</si>
  <si>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</si>
  <si>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</si>
  <si>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</si>
  <si>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</si>
  <si>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</si>
  <si>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</si>
  <si>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</si>
  <si>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</si>
  <si>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</si>
  <si>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</si>
  <si>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</si>
  <si>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</si>
  <si>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</si>
  <si>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</si>
  <si>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</si>
  <si>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</si>
  <si>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</si>
  <si>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</si>
  <si>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</si>
  <si>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</si>
  <si>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</si>
  <si>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</si>
  <si>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</si>
  <si>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</si>
  <si>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</si>
  <si>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</si>
  <si>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</si>
  <si>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</si>
  <si>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</si>
  <si>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</si>
  <si>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</si>
  <si>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</si>
  <si>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</si>
  <si>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</si>
  <si>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</si>
  <si>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</si>
  <si>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</si>
  <si>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</si>
  <si>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</si>
  <si>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</si>
  <si>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</si>
  <si>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</si>
  <si>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</si>
  <si>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</si>
  <si>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</si>
  <si>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</si>
  <si>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</si>
  <si>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</si>
  <si>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</si>
  <si>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</si>
  <si>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</si>
  <si>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</si>
  <si>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</si>
  <si>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</si>
  <si>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</si>
  <si>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</si>
  <si>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</si>
  <si>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</si>
  <si>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</si>
  <si>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</si>
  <si>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</si>
  <si>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</si>
  <si>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</si>
  <si>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</si>
  <si>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</si>
  <si>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</si>
  <si>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</si>
  <si>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</si>
  <si>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</si>
  <si>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</si>
  <si>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</si>
  <si>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</si>
  <si>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</si>
  <si>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</si>
  <si>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</si>
  <si>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</si>
  <si>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</si>
  <si>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</si>
  <si>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</si>
  <si>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</si>
  <si>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</si>
  <si>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</si>
  <si>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</si>
  <si>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</si>
  <si>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</si>
  <si>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</si>
  <si>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</si>
  <si>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</si>
  <si>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</si>
  <si>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</si>
  <si>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</si>
  <si>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</si>
  <si>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</si>
  <si>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</si>
  <si>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</si>
  <si>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</si>
  <si>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</si>
  <si>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</si>
  <si>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</si>
  <si>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</si>
  <si>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</si>
  <si>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</si>
  <si>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</si>
  <si>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</si>
  <si>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</si>
  <si>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</si>
  <si>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</si>
  <si>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</si>
  <si>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</si>
  <si>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</si>
  <si>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</si>
  <si>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</si>
  <si>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</si>
  <si>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</si>
  <si>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</si>
  <si>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</si>
  <si>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</si>
  <si>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</si>
  <si>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</si>
  <si>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</si>
  <si>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</si>
  <si>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</si>
  <si>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</si>
  <si>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</si>
  <si>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</si>
  <si>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</si>
  <si>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</si>
  <si>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</si>
  <si>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</si>
  <si>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</si>
  <si>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</si>
  <si>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</si>
  <si>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</si>
  <si>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</si>
  <si>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</si>
  <si>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</si>
  <si>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</si>
  <si>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</si>
  <si>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</si>
  <si>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</si>
  <si>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</si>
  <si>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</si>
  <si>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</si>
  <si>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</si>
  <si>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</si>
  <si>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</si>
  <si>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</si>
  <si>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</si>
  <si>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</si>
  <si>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</si>
  <si>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</si>
  <si>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</si>
  <si>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</si>
  <si>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</si>
  <si>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</si>
  <si>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</si>
  <si>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</si>
  <si>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</si>
  <si>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</si>
  <si>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</si>
  <si>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</si>
  <si>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</si>
  <si>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</si>
  <si>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</si>
  <si>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</si>
  <si>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</si>
  <si>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</si>
  <si>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</si>
  <si>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</si>
  <si>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</si>
  <si>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</si>
  <si>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</si>
  <si>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</si>
  <si>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</si>
  <si>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</si>
  <si>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</si>
  <si>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</si>
  <si>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</si>
  <si>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</si>
  <si>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</si>
  <si>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</si>
  <si>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</si>
  <si>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</si>
  <si>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</si>
  <si>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</si>
  <si>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</si>
  <si>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</si>
  <si>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</si>
  <si>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</si>
  <si>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</si>
  <si>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</si>
  <si>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</si>
  <si>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</si>
  <si>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</si>
  <si>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</si>
  <si>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</si>
  <si>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</si>
  <si>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</si>
  <si>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</si>
  <si>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</si>
  <si>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</si>
  <si>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</si>
  <si>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</si>
  <si>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</si>
  <si>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</si>
  <si>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</si>
  <si>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</si>
  <si>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</si>
  <si>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</si>
  <si>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</si>
  <si>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</si>
  <si>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</si>
  <si>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</si>
  <si>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</si>
  <si>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</si>
  <si>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</si>
  <si>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</si>
  <si>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</si>
  <si>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</si>
  <si>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</si>
  <si>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</si>
  <si>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</si>
  <si>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</si>
  <si>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</si>
  <si>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</si>
  <si>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</si>
  <si>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</si>
  <si>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</si>
  <si>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</si>
  <si>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</si>
  <si>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</si>
  <si>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</si>
  <si>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</si>
  <si>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</si>
  <si>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</si>
  <si>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</si>
  <si>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</si>
  <si>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</si>
  <si>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</si>
  <si>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</si>
  <si>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</si>
  <si>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</si>
  <si>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</si>
  <si>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</si>
  <si>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</si>
  <si>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</si>
  <si>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</si>
  <si>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</si>
  <si>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</si>
  <si>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</si>
  <si>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</si>
  <si>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</si>
  <si>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</si>
  <si>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</si>
  <si>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</si>
  <si>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</si>
  <si>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</si>
  <si>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</si>
  <si>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</si>
  <si>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</si>
  <si>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</si>
  <si>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</si>
  <si>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</si>
  <si>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</si>
  <si>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</si>
  <si>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</si>
  <si>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</si>
  <si>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</si>
  <si>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</si>
  <si>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</si>
  <si>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</si>
  <si>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</si>
  <si>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</si>
  <si>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</si>
  <si>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</si>
  <si>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</si>
  <si>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</si>
  <si>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</si>
  <si>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</si>
  <si>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</si>
  <si>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</si>
  <si>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</si>
  <si>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</si>
  <si>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</si>
  <si>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</si>
  <si>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</si>
  <si>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</si>
  <si>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</si>
  <si>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</si>
  <si>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</si>
  <si>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</si>
  <si>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</si>
  <si>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</si>
  <si>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</si>
  <si>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</si>
  <si>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</si>
  <si>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</si>
  <si>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</si>
  <si>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</si>
  <si>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</si>
  <si>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</si>
  <si>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</si>
  <si>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</si>
  <si>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</si>
  <si>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</si>
  <si>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</si>
  <si>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</si>
  <si>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</si>
  <si>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</si>
  <si>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</si>
  <si>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</si>
  <si>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</si>
  <si>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</si>
  <si>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</si>
  <si>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</si>
  <si>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</si>
  <si>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</si>
  <si>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다온중국거피</t>
    <phoneticPr fontId="5" type="noConversion"/>
  </si>
  <si>
    <t>F</t>
    <phoneticPr fontId="5" type="noConversion"/>
  </si>
  <si>
    <t>#심계 정충 맥삽</t>
    <phoneticPr fontId="5" type="noConversion"/>
  </si>
  <si>
    <t>백작약</t>
    <phoneticPr fontId="5" type="noConversion"/>
  </si>
  <si>
    <t>복령</t>
    <phoneticPr fontId="5" type="noConversion"/>
  </si>
  <si>
    <t>맥문동</t>
    <phoneticPr fontId="5" type="noConversion"/>
  </si>
  <si>
    <t>생지황</t>
    <phoneticPr fontId="5" type="noConversion"/>
  </si>
  <si>
    <t>치자</t>
    <phoneticPr fontId="5" type="noConversion"/>
  </si>
  <si>
    <t>지모</t>
    <phoneticPr fontId="5" type="noConversion"/>
  </si>
  <si>
    <t>황백</t>
    <phoneticPr fontId="5" type="noConversion"/>
  </si>
  <si>
    <t>길경</t>
    <phoneticPr fontId="5" type="noConversion"/>
  </si>
  <si>
    <t>감초</t>
    <phoneticPr fontId="5" type="noConversion"/>
  </si>
  <si>
    <t>당귀1</t>
    <phoneticPr fontId="5" type="noConversion"/>
  </si>
  <si>
    <t>목단피</t>
    <phoneticPr fontId="5" type="noConversion"/>
  </si>
  <si>
    <t>황련</t>
    <phoneticPr fontId="5" type="noConversion"/>
  </si>
  <si>
    <t>초</t>
    <phoneticPr fontId="5" type="noConversion"/>
  </si>
  <si>
    <t>주초</t>
    <phoneticPr fontId="5" type="noConversion"/>
  </si>
  <si>
    <t>천궁1</t>
    <phoneticPr fontId="5" type="noConversion"/>
  </si>
  <si>
    <t>창출1</t>
    <phoneticPr fontId="5" type="noConversion"/>
  </si>
  <si>
    <t>익모초</t>
    <phoneticPr fontId="5" type="noConversion"/>
  </si>
  <si>
    <t>박효진</t>
    <phoneticPr fontId="5" type="noConversion"/>
  </si>
  <si>
    <t>사물합소요산</t>
    <phoneticPr fontId="5" type="noConversion"/>
  </si>
  <si>
    <t>사물탕 합 소요산</t>
    <phoneticPr fontId="5" type="noConversion"/>
  </si>
  <si>
    <t>홍화</t>
    <phoneticPr fontId="5" type="noConversion"/>
  </si>
  <si>
    <t>사인</t>
    <phoneticPr fontId="5" type="noConversion"/>
  </si>
  <si>
    <t>삼릉</t>
    <phoneticPr fontId="5" type="noConversion"/>
  </si>
  <si>
    <t>봉출</t>
    <phoneticPr fontId="5" type="noConversion"/>
  </si>
  <si>
    <t>오수유</t>
    <phoneticPr fontId="5" type="noConversion"/>
  </si>
  <si>
    <t>현호색</t>
    <phoneticPr fontId="5" type="noConversion"/>
  </si>
  <si>
    <t>단치소요산 + 지모 황백 황련
+ 천궁 홍화 목단피 삼릉 봉출 현호색 + 사인 오수유</t>
    <phoneticPr fontId="5" type="noConversion"/>
  </si>
  <si>
    <t>소회향</t>
    <phoneticPr fontId="5" type="noConversion"/>
  </si>
  <si>
    <t>건강</t>
    <phoneticPr fontId="5" type="noConversion"/>
  </si>
  <si>
    <t>자충</t>
    <phoneticPr fontId="5" type="noConversion"/>
  </si>
  <si>
    <t>자충</t>
    <phoneticPr fontId="5" type="noConversion"/>
  </si>
  <si>
    <t>산약</t>
    <phoneticPr fontId="5" type="noConversion"/>
  </si>
  <si>
    <t>단치소요산 + 황련
+ 홍화 목단피 삼릉 봉출 현호색 자충 + 사인 소회향 산약 건강</t>
    <phoneticPr fontId="5" type="noConversion"/>
  </si>
  <si>
    <t>토사자</t>
    <phoneticPr fontId="5" type="noConversion"/>
  </si>
  <si>
    <t>단치소요산 + 황련 지모 황백
+ 홍화 목단피 삼릉 봉출 현호색 자충 + 사인 토사자 건강</t>
    <phoneticPr fontId="5" type="noConversion"/>
  </si>
  <si>
    <t>익지인</t>
    <phoneticPr fontId="5" type="noConversion"/>
  </si>
  <si>
    <t>단치소요산 + 황련 지모 황백
+ 홍화 목단피 삼릉 봉출 현호색 자충 + 사인 건강 익지인</t>
    <phoneticPr fontId="5" type="noConversion"/>
  </si>
  <si>
    <t>지골피</t>
    <phoneticPr fontId="5" type="noConversion"/>
  </si>
  <si>
    <t xml:space="preserve">단치소요산 + 황련 지모 황백 생지황 지골피 + 사인 건강 익지인 </t>
    <phoneticPr fontId="5" type="noConversion"/>
  </si>
  <si>
    <t>박하</t>
    <phoneticPr fontId="5" type="noConversion"/>
  </si>
  <si>
    <t>시호1</t>
    <phoneticPr fontId="5" type="noConversion"/>
  </si>
  <si>
    <t>소요산 가감</t>
    <phoneticPr fontId="5" type="noConversion"/>
  </si>
  <si>
    <t>반하</t>
    <phoneticPr fontId="5" type="noConversion"/>
  </si>
  <si>
    <t>단치소요산 + 황련 지모 황백 지골피 + 홍화 목단피 삼릉 봉출 자충 + 사인 건강 익지인</t>
    <phoneticPr fontId="5" type="noConversion"/>
  </si>
  <si>
    <t>단치소요산 + 황련 지모 황백 지골피 + 홍화 목단피 삼릉 봉출 자충(감량) + 사인 건강 익지인</t>
    <phoneticPr fontId="5" type="noConversion"/>
  </si>
  <si>
    <t>단치소요산 + 황련 지모 황백 지골피 + 홍화 목단피 자충(감량) + 사인 건강 익지인 반하</t>
    <phoneticPr fontId="5" type="noConversion"/>
  </si>
  <si>
    <t>백출</t>
    <phoneticPr fontId="5" type="noConversion"/>
  </si>
  <si>
    <t>건지황</t>
    <phoneticPr fontId="5" type="noConversion"/>
  </si>
  <si>
    <t>진피1</t>
    <phoneticPr fontId="5" type="noConversion"/>
  </si>
  <si>
    <t>단치소요산 + 황련 지골피 + 홍화 자충 삼릉 봉출 + 사인 건강 익지인 반하 진피</t>
    <phoneticPr fontId="5" type="noConversion"/>
  </si>
  <si>
    <t>감사거삼탕가감</t>
    <phoneticPr fontId="5" type="noConversion"/>
  </si>
  <si>
    <t>대추</t>
    <phoneticPr fontId="5" type="noConversion"/>
  </si>
  <si>
    <t>황금</t>
    <phoneticPr fontId="5" type="noConversion"/>
  </si>
  <si>
    <t>감사거삼탕 + 사물탕 + 홍화 목단피 자충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</si>
</sst>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7" fillId="8" borderId="0" xfId="5" applyFont="1" applyFill="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65FAC-471F-435B-833E-F94352C59EE2}">
  <sheetPr>
    <pageSetUpPr fitToPage="1"/>
  </sheetPr>
  <dimension ref="B1:M31"/>
  <sheetViews>
    <sheetView tabSelected="1" workbookViewId="0">
      <selection activeCell="R9" sqref="R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452</v>
      </c>
      <c r="D2" s="4"/>
      <c r="E2" s="88">
        <v>12</v>
      </c>
      <c r="F2" s="101">
        <f>E2*$L$15</f>
        <v>240</v>
      </c>
      <c r="G2">
        <f>VLOOKUP($C2,약재관리!A:J,10,FALSE)</f>
        <v>47</v>
      </c>
      <c r="H2" s="5">
        <f>G2*E2</f>
        <v>564</v>
      </c>
      <c r="I2" s="90">
        <f>G2*F2</f>
        <v>11280</v>
      </c>
      <c r="K2" s="7" t="s">
        <v>9</v>
      </c>
      <c r="L2" s="161">
        <v>47</v>
      </c>
      <c r="M2" s="162"/>
    </row>
    <row r="3" spans="2:13">
      <c r="B3" s="3">
        <v>2</v>
      </c>
      <c r="C3" t="s">
        <v>418</v>
      </c>
      <c r="D3" s="4"/>
      <c r="E3" s="88">
        <v>8</v>
      </c>
      <c r="F3" s="101">
        <f t="shared" ref="F3:F31" si="0">E3*$L$15</f>
        <v>160</v>
      </c>
      <c r="G3">
        <f>VLOOKUP($C3,약재관리!A:J,10,FALSE)</f>
        <v>28.3</v>
      </c>
      <c r="H3" s="5">
        <f t="shared" ref="H3:H31" si="1">G3*E3</f>
        <v>226.4</v>
      </c>
      <c r="I3" s="6">
        <f t="shared" ref="I3:I31" si="2">G3*F3</f>
        <v>4528</v>
      </c>
      <c r="K3" s="8" t="s">
        <v>10</v>
      </c>
      <c r="L3" s="163" t="s">
        <v>460</v>
      </c>
      <c r="M3" s="164"/>
    </row>
    <row r="4" spans="2:13">
      <c r="B4" s="3">
        <v>3</v>
      </c>
      <c r="C4" t="s">
        <v>461</v>
      </c>
      <c r="D4" s="4"/>
      <c r="E4" s="88">
        <v>8</v>
      </c>
      <c r="F4" s="101">
        <f t="shared" si="0"/>
        <v>160</v>
      </c>
      <c r="G4">
        <f>VLOOKUP($C4,약재관리!A:J,10,FALSE)</f>
        <v>20.8</v>
      </c>
      <c r="H4" s="5">
        <f t="shared" si="1"/>
        <v>166.4</v>
      </c>
      <c r="I4" s="6">
        <f t="shared" si="2"/>
        <v>3328</v>
      </c>
      <c r="K4" s="8" t="s">
        <v>11</v>
      </c>
      <c r="L4" s="165">
        <v>45813</v>
      </c>
      <c r="M4" s="164"/>
    </row>
    <row r="5" spans="2:13">
      <c r="B5" s="3">
        <v>4</v>
      </c>
      <c r="C5" t="s">
        <v>462</v>
      </c>
      <c r="D5" s="4"/>
      <c r="E5" s="88">
        <v>6</v>
      </c>
      <c r="F5" s="101">
        <f t="shared" si="0"/>
        <v>120</v>
      </c>
      <c r="G5">
        <f>VLOOKUP($C5,약재관리!A:J,10,FALSE)</f>
        <v>22.5</v>
      </c>
      <c r="H5" s="5">
        <f t="shared" si="1"/>
        <v>135</v>
      </c>
      <c r="I5" s="6">
        <f t="shared" si="2"/>
        <v>2700</v>
      </c>
      <c r="K5" s="8" t="s">
        <v>12</v>
      </c>
      <c r="L5" s="163" t="s">
        <v>427</v>
      </c>
      <c r="M5" s="164"/>
    </row>
    <row r="6" spans="2:13">
      <c r="B6" s="3">
        <v>5</v>
      </c>
      <c r="C6" t="s">
        <v>438</v>
      </c>
      <c r="D6" s="4"/>
      <c r="E6" s="88">
        <v>6</v>
      </c>
      <c r="F6" s="101">
        <f t="shared" si="0"/>
        <v>120</v>
      </c>
      <c r="G6">
        <f>VLOOKUP($C6,약재관리!A:J,10,FALSE)</f>
        <v>9.5</v>
      </c>
      <c r="H6" s="5">
        <f t="shared" si="1"/>
        <v>57</v>
      </c>
      <c r="I6" s="6">
        <f t="shared" si="2"/>
        <v>1140</v>
      </c>
      <c r="K6" s="8" t="s">
        <v>13</v>
      </c>
      <c r="L6" s="163">
        <v>41</v>
      </c>
      <c r="M6" s="164"/>
    </row>
    <row r="7" spans="2:13" ht="17.25" thickBot="1">
      <c r="B7" s="3">
        <v>6</v>
      </c>
      <c r="C7" t="s">
        <v>421</v>
      </c>
      <c r="D7" s="4"/>
      <c r="E7" s="88">
        <v>4</v>
      </c>
      <c r="F7" s="101">
        <f t="shared" si="0"/>
        <v>80</v>
      </c>
      <c r="G7">
        <f>VLOOKUP($C7,약재관리!A:J,10,FALSE)</f>
        <v>136.69999999999999</v>
      </c>
      <c r="H7" s="5">
        <f t="shared" si="1"/>
        <v>546.79999999999995</v>
      </c>
      <c r="I7" s="6">
        <f t="shared" si="2"/>
        <v>10936</v>
      </c>
      <c r="K7" s="8" t="s">
        <v>14</v>
      </c>
      <c r="L7" s="147" t="s">
        <v>408</v>
      </c>
      <c r="M7" s="148"/>
    </row>
    <row r="8" spans="2:13" ht="17.25" thickBot="1">
      <c r="B8" s="3">
        <v>7</v>
      </c>
      <c r="C8" t="s">
        <v>419</v>
      </c>
      <c r="D8" s="4"/>
      <c r="E8" s="88">
        <v>6</v>
      </c>
      <c r="F8" s="101">
        <f t="shared" si="0"/>
        <v>120</v>
      </c>
      <c r="G8">
        <f>VLOOKUP($C8,약재관리!A:J,10,FALSE)</f>
        <v>25</v>
      </c>
      <c r="H8" s="5">
        <f>G8*E8</f>
        <v>150</v>
      </c>
      <c r="I8" s="6">
        <f t="shared" si="2"/>
        <v>3000</v>
      </c>
      <c r="K8" s="149" t="s">
        <v>15</v>
      </c>
      <c r="L8" s="150"/>
      <c r="M8" s="151"/>
    </row>
    <row r="9" spans="2:13">
      <c r="B9" s="3">
        <v>8</v>
      </c>
      <c r="C9" t="s">
        <v>424</v>
      </c>
      <c r="D9" s="4"/>
      <c r="E9" s="88">
        <v>4</v>
      </c>
      <c r="F9" s="101">
        <f t="shared" si="0"/>
        <v>80</v>
      </c>
      <c r="G9">
        <f>VLOOKUP($C9,약재관리!A:J,10,FALSE)</f>
        <v>10.8</v>
      </c>
      <c r="H9" s="5">
        <f t="shared" ref="H9:H10" si="3">G9*E9</f>
        <v>43.2</v>
      </c>
      <c r="I9" s="6">
        <f t="shared" si="2"/>
        <v>864</v>
      </c>
      <c r="K9" s="152" t="s">
        <v>463</v>
      </c>
      <c r="L9" s="153"/>
      <c r="M9" s="154"/>
    </row>
    <row r="10" spans="2:13">
      <c r="B10" s="3">
        <v>9</v>
      </c>
      <c r="C10" t="s">
        <v>410</v>
      </c>
      <c r="D10" s="4"/>
      <c r="E10" s="88">
        <v>6</v>
      </c>
      <c r="F10" s="101">
        <f t="shared" si="0"/>
        <v>120</v>
      </c>
      <c r="G10">
        <f>VLOOKUP($C10,약재관리!A:J,10,FALSE)</f>
        <v>19.600000000000001</v>
      </c>
      <c r="H10" s="5">
        <f t="shared" si="3"/>
        <v>117.60000000000001</v>
      </c>
      <c r="I10" s="6">
        <f t="shared" si="2"/>
        <v>2352</v>
      </c>
      <c r="K10" s="155"/>
      <c r="L10" s="156"/>
      <c r="M10" s="157"/>
    </row>
    <row r="11" spans="2:13">
      <c r="B11" s="3">
        <v>10</v>
      </c>
      <c r="C11" t="s">
        <v>457</v>
      </c>
      <c r="D11" s="4"/>
      <c r="E11" s="88">
        <v>6</v>
      </c>
      <c r="F11" s="101">
        <f t="shared" si="0"/>
        <v>120</v>
      </c>
      <c r="G11">
        <f>VLOOKUP($C11,약재관리!A:J,10,FALSE)</f>
        <v>14.4</v>
      </c>
      <c r="H11" s="5">
        <f t="shared" si="1"/>
        <v>86.4</v>
      </c>
      <c r="I11" s="6">
        <f t="shared" si="2"/>
        <v>1728</v>
      </c>
      <c r="K11" s="155"/>
      <c r="L11" s="156"/>
      <c r="M11" s="157"/>
    </row>
    <row r="12" spans="2:13">
      <c r="B12" s="3">
        <v>11</v>
      </c>
      <c r="C12" t="s">
        <v>430</v>
      </c>
      <c r="D12" s="4"/>
      <c r="E12" s="88">
        <v>2</v>
      </c>
      <c r="F12" s="101">
        <f t="shared" si="0"/>
        <v>40</v>
      </c>
      <c r="G12">
        <f>VLOOKUP($C12,약재관리!A:J,10,FALSE)</f>
        <v>44.2</v>
      </c>
      <c r="H12" s="5">
        <f t="shared" si="1"/>
        <v>88.4</v>
      </c>
      <c r="I12" s="6">
        <f t="shared" si="2"/>
        <v>1768</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439</v>
      </c>
      <c r="D14" s="4"/>
      <c r="E14" s="88">
        <v>10</v>
      </c>
      <c r="F14" s="101">
        <f t="shared" si="0"/>
        <v>200</v>
      </c>
      <c r="G14">
        <f>VLOOKUP($C14,약재관리!A:J,10,FALSE)</f>
        <v>52</v>
      </c>
      <c r="H14" s="5">
        <f t="shared" si="1"/>
        <v>520</v>
      </c>
      <c r="I14" s="6">
        <f t="shared" si="2"/>
        <v>10400</v>
      </c>
      <c r="K14" s="92" t="s">
        <v>16</v>
      </c>
      <c r="L14" s="9">
        <v>15</v>
      </c>
      <c r="M14" s="10" t="s">
        <v>17</v>
      </c>
    </row>
    <row r="15" spans="2:13">
      <c r="B15" s="3">
        <v>14</v>
      </c>
      <c r="D15" s="4"/>
      <c r="F15" s="101"/>
      <c r="H15" s="5">
        <f t="shared" si="1"/>
        <v>0</v>
      </c>
      <c r="I15" s="6">
        <f t="shared" si="2"/>
        <v>0</v>
      </c>
      <c r="K15" s="91" t="s">
        <v>18</v>
      </c>
      <c r="L15">
        <v>20</v>
      </c>
      <c r="M15" s="4" t="s">
        <v>19</v>
      </c>
    </row>
    <row r="16" spans="2:13">
      <c r="B16" s="3">
        <v>15</v>
      </c>
      <c r="D16" s="4"/>
      <c r="F16" s="101"/>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82</v>
      </c>
      <c r="M18" s="10" t="s">
        <v>25</v>
      </c>
    </row>
    <row r="19" spans="2:13">
      <c r="B19" s="3">
        <v>18</v>
      </c>
      <c r="D19" s="4"/>
      <c r="F19" s="101">
        <f t="shared" si="0"/>
        <v>0</v>
      </c>
      <c r="H19" s="5">
        <f t="shared" si="1"/>
        <v>0</v>
      </c>
      <c r="I19" s="6">
        <f t="shared" si="2"/>
        <v>0</v>
      </c>
      <c r="K19" s="91" t="s">
        <v>26</v>
      </c>
      <c r="L19">
        <f>L15*L18</f>
        <v>1640</v>
      </c>
      <c r="M19" s="4" t="s">
        <v>25</v>
      </c>
    </row>
    <row r="20" spans="2:13" ht="17.25" thickBot="1">
      <c r="B20" s="3">
        <v>19</v>
      </c>
      <c r="D20" s="4"/>
      <c r="F20" s="101">
        <f t="shared" si="0"/>
        <v>0</v>
      </c>
      <c r="H20" s="5">
        <f t="shared" si="1"/>
        <v>0</v>
      </c>
      <c r="I20" s="6">
        <f t="shared" si="2"/>
        <v>0</v>
      </c>
      <c r="K20" s="14" t="s">
        <v>27</v>
      </c>
      <c r="L20" s="11">
        <f>L16*L17+L19</f>
        <v>6140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1640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2827.2</v>
      </c>
      <c r="M30" s="4" t="s">
        <v>386</v>
      </c>
    </row>
    <row r="31" spans="2:13" ht="17.25" thickBot="1">
      <c r="B31" s="13">
        <v>30</v>
      </c>
      <c r="C31" s="14"/>
      <c r="D31" s="12"/>
      <c r="E31" s="95"/>
      <c r="F31" s="102">
        <f t="shared" si="0"/>
        <v>0</v>
      </c>
      <c r="G31" s="14"/>
      <c r="H31" s="15">
        <f t="shared" si="1"/>
        <v>0</v>
      </c>
      <c r="I31" s="16">
        <f t="shared" si="2"/>
        <v>0</v>
      </c>
      <c r="K31" s="14" t="s">
        <v>385</v>
      </c>
      <c r="L31" s="15">
        <f>SUM(I2:I31)</f>
        <v>56544</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7E93-5192-49E6-8CDE-CB0B165D685B}">
  <sheetPr>
    <pageSetUpPr fitToPage="1"/>
  </sheetPr>
  <dimension ref="B1:M31"/>
  <sheetViews>
    <sheetView workbookViewId="0">
      <selection activeCell="C17" sqref="C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4</v>
      </c>
      <c r="F2" s="101">
        <f>E2*$L$15</f>
        <v>80</v>
      </c>
      <c r="G2">
        <f>VLOOKUP($C2,약재관리!A:J,10,FALSE)</f>
        <v>19.600000000000001</v>
      </c>
      <c r="H2" s="5">
        <f>G2*E2</f>
        <v>78.400000000000006</v>
      </c>
      <c r="I2" s="90">
        <f>G2*F2</f>
        <v>1568</v>
      </c>
      <c r="K2" s="7" t="s">
        <v>9</v>
      </c>
      <c r="L2" s="161">
        <v>47</v>
      </c>
      <c r="M2" s="162"/>
    </row>
    <row r="3" spans="2:13">
      <c r="B3" s="3">
        <v>2</v>
      </c>
      <c r="C3" t="s">
        <v>425</v>
      </c>
      <c r="D3" s="4"/>
      <c r="E3" s="88">
        <v>6</v>
      </c>
      <c r="F3" s="101">
        <f t="shared" ref="F3:F21" si="0">E3*$L$15</f>
        <v>120</v>
      </c>
      <c r="G3">
        <f>VLOOKUP($C3,약재관리!A:J,10,FALSE)</f>
        <v>24</v>
      </c>
      <c r="H3" s="5">
        <f t="shared" ref="H3:H31" si="1">G3*E3</f>
        <v>144</v>
      </c>
      <c r="I3" s="6">
        <f t="shared" ref="I3:I31" si="2">G3*F3</f>
        <v>2880</v>
      </c>
      <c r="K3" s="8" t="s">
        <v>10</v>
      </c>
      <c r="L3" s="163" t="s">
        <v>451</v>
      </c>
      <c r="M3" s="164"/>
    </row>
    <row r="4" spans="2:13">
      <c r="B4" s="3">
        <v>3</v>
      </c>
      <c r="C4" t="s">
        <v>419</v>
      </c>
      <c r="D4" s="4"/>
      <c r="E4" s="88">
        <v>8</v>
      </c>
      <c r="F4" s="101">
        <f t="shared" si="0"/>
        <v>160</v>
      </c>
      <c r="G4">
        <f>VLOOKUP($C4,약재관리!A:J,10,FALSE)</f>
        <v>25</v>
      </c>
      <c r="H4" s="5">
        <f t="shared" si="1"/>
        <v>200</v>
      </c>
      <c r="I4" s="6">
        <f t="shared" si="2"/>
        <v>4000</v>
      </c>
      <c r="K4" s="8" t="s">
        <v>11</v>
      </c>
      <c r="L4" s="165">
        <v>45793</v>
      </c>
      <c r="M4" s="164"/>
    </row>
    <row r="5" spans="2:13">
      <c r="B5" s="3">
        <v>4</v>
      </c>
      <c r="C5" t="s">
        <v>411</v>
      </c>
      <c r="D5" s="4"/>
      <c r="E5" s="88">
        <v>6</v>
      </c>
      <c r="F5" s="101">
        <f t="shared" si="0"/>
        <v>120</v>
      </c>
      <c r="G5">
        <f>VLOOKUP($C5,약재관리!A:J,10,FALSE)</f>
        <v>11</v>
      </c>
      <c r="H5" s="5">
        <f t="shared" si="1"/>
        <v>66</v>
      </c>
      <c r="I5" s="6">
        <f t="shared" si="2"/>
        <v>1320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457</v>
      </c>
      <c r="D7" s="4"/>
      <c r="E7" s="88">
        <v>6</v>
      </c>
      <c r="F7" s="101">
        <f t="shared" si="0"/>
        <v>120</v>
      </c>
      <c r="G7">
        <f>VLOOKUP($C7,약재관리!A:J,10,FALSE)</f>
        <v>14.4</v>
      </c>
      <c r="H7" s="5">
        <f t="shared" si="1"/>
        <v>86.4</v>
      </c>
      <c r="I7" s="6">
        <f t="shared" si="2"/>
        <v>1728</v>
      </c>
      <c r="K7" s="8" t="s">
        <v>14</v>
      </c>
      <c r="L7" s="147" t="s">
        <v>408</v>
      </c>
      <c r="M7" s="148"/>
    </row>
    <row r="8" spans="2:13" ht="17.25" thickBot="1">
      <c r="B8" s="3">
        <v>7</v>
      </c>
      <c r="C8" t="s">
        <v>414</v>
      </c>
      <c r="D8" s="4" t="s">
        <v>422</v>
      </c>
      <c r="E8" s="88">
        <v>4</v>
      </c>
      <c r="F8" s="101">
        <f t="shared" si="0"/>
        <v>80</v>
      </c>
      <c r="G8">
        <f>VLOOKUP($C8,약재관리!A:J,10,FALSE)</f>
        <v>21.3</v>
      </c>
      <c r="H8" s="5">
        <f>G8*E8</f>
        <v>85.2</v>
      </c>
      <c r="I8" s="6">
        <f t="shared" si="2"/>
        <v>1704</v>
      </c>
      <c r="K8" s="149" t="s">
        <v>15</v>
      </c>
      <c r="L8" s="150"/>
      <c r="M8" s="151"/>
    </row>
    <row r="9" spans="2:13">
      <c r="B9" s="3">
        <v>8</v>
      </c>
      <c r="C9" t="s">
        <v>458</v>
      </c>
      <c r="D9" s="4"/>
      <c r="E9" s="88">
        <v>4</v>
      </c>
      <c r="F9" s="101">
        <f t="shared" si="0"/>
        <v>80</v>
      </c>
      <c r="G9">
        <f>VLOOKUP($C9,약재관리!A:J,10,FALSE)</f>
        <v>17.600000000000001</v>
      </c>
      <c r="H9" s="5">
        <f t="shared" ref="H9:H10" si="3">G9*E9</f>
        <v>70.400000000000006</v>
      </c>
      <c r="I9" s="6">
        <f t="shared" si="2"/>
        <v>1408</v>
      </c>
      <c r="K9" s="152" t="s">
        <v>459</v>
      </c>
      <c r="L9" s="153"/>
      <c r="M9" s="154"/>
    </row>
    <row r="10" spans="2:13">
      <c r="B10" s="3">
        <v>9</v>
      </c>
      <c r="C10" t="s">
        <v>438</v>
      </c>
      <c r="D10" s="4"/>
      <c r="E10" s="88">
        <v>4</v>
      </c>
      <c r="F10" s="101">
        <f t="shared" si="0"/>
        <v>80</v>
      </c>
      <c r="G10">
        <f>VLOOKUP($C10,약재관리!A:J,10,FALSE)</f>
        <v>9.5</v>
      </c>
      <c r="H10" s="5">
        <f t="shared" si="3"/>
        <v>38</v>
      </c>
      <c r="I10" s="6">
        <f t="shared" si="2"/>
        <v>760</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447</v>
      </c>
      <c r="D12" s="4"/>
      <c r="E12" s="88">
        <v>4</v>
      </c>
      <c r="F12" s="101">
        <f t="shared" si="0"/>
        <v>80</v>
      </c>
      <c r="G12">
        <f>VLOOKUP($C12,약재관리!A:J,10,FALSE)</f>
        <v>21.7</v>
      </c>
      <c r="H12" s="5">
        <f t="shared" si="1"/>
        <v>86.8</v>
      </c>
      <c r="I12" s="6">
        <f t="shared" si="2"/>
        <v>1736</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3</v>
      </c>
      <c r="F14" s="101">
        <f t="shared" si="0"/>
        <v>60</v>
      </c>
      <c r="G14">
        <f>VLOOKUP($C14,약재관리!A:J,10,FALSE)</f>
        <v>136.69999999999999</v>
      </c>
      <c r="H14" s="5">
        <f t="shared" si="1"/>
        <v>410.09999999999997</v>
      </c>
      <c r="I14" s="6">
        <f t="shared" si="2"/>
        <v>8202</v>
      </c>
      <c r="K14" s="92" t="s">
        <v>16</v>
      </c>
      <c r="L14" s="9">
        <v>15</v>
      </c>
      <c r="M14" s="10" t="s">
        <v>17</v>
      </c>
    </row>
    <row r="15" spans="2:13">
      <c r="B15" s="3">
        <v>14</v>
      </c>
      <c r="C15" t="s">
        <v>431</v>
      </c>
      <c r="D15" s="4"/>
      <c r="E15" s="88">
        <v>4</v>
      </c>
      <c r="F15" s="101">
        <f t="shared" si="0"/>
        <v>80</v>
      </c>
      <c r="G15">
        <f>VLOOKUP($C15,약재관리!A:J,10,FALSE)</f>
        <v>21.8</v>
      </c>
      <c r="H15" s="5">
        <f t="shared" si="1"/>
        <v>87.2</v>
      </c>
      <c r="I15" s="6">
        <f t="shared" si="2"/>
        <v>1744</v>
      </c>
      <c r="K15" s="91" t="s">
        <v>18</v>
      </c>
      <c r="L15">
        <v>20</v>
      </c>
      <c r="M15" s="4" t="s">
        <v>19</v>
      </c>
    </row>
    <row r="16" spans="2:13">
      <c r="B16" s="3">
        <v>15</v>
      </c>
      <c r="C16" t="s">
        <v>445</v>
      </c>
      <c r="D16" s="4"/>
      <c r="E16" s="88">
        <v>4</v>
      </c>
      <c r="F16" s="101">
        <f t="shared" si="0"/>
        <v>80</v>
      </c>
      <c r="G16">
        <f>VLOOKUP($C16,약재관리!A:J,10,FALSE)</f>
        <v>15.4</v>
      </c>
      <c r="H16" s="5">
        <f t="shared" si="1"/>
        <v>61.6</v>
      </c>
      <c r="I16" s="6">
        <f t="shared" si="2"/>
        <v>1232</v>
      </c>
      <c r="K16" s="91" t="s">
        <v>20</v>
      </c>
      <c r="L16">
        <v>45</v>
      </c>
      <c r="M16" s="4" t="s">
        <v>21</v>
      </c>
    </row>
    <row r="17" spans="2:13" ht="17.25" thickBot="1">
      <c r="B17" s="3">
        <v>16</v>
      </c>
      <c r="C17" t="s">
        <v>430</v>
      </c>
      <c r="D17" s="4"/>
      <c r="E17" s="88">
        <v>2</v>
      </c>
      <c r="F17" s="101">
        <f t="shared" si="0"/>
        <v>40</v>
      </c>
      <c r="G17">
        <f>VLOOKUP($C17,약재관리!A:J,10,FALSE)</f>
        <v>44.2</v>
      </c>
      <c r="H17" s="5">
        <f t="shared" si="1"/>
        <v>88.4</v>
      </c>
      <c r="I17" s="6">
        <f t="shared" si="2"/>
        <v>1768</v>
      </c>
      <c r="K17" s="14" t="s">
        <v>22</v>
      </c>
      <c r="L17" s="11">
        <v>100</v>
      </c>
      <c r="M17" s="12" t="s">
        <v>23</v>
      </c>
    </row>
    <row r="18" spans="2:13">
      <c r="B18" s="3">
        <v>17</v>
      </c>
      <c r="C18" t="s">
        <v>439</v>
      </c>
      <c r="D18" s="4"/>
      <c r="E18" s="88">
        <v>10</v>
      </c>
      <c r="F18" s="101">
        <f t="shared" si="0"/>
        <v>200</v>
      </c>
      <c r="G18">
        <f>VLOOKUP($C18,약재관리!A:J,10,FALSE)</f>
        <v>52</v>
      </c>
      <c r="H18" s="5">
        <f t="shared" si="1"/>
        <v>520</v>
      </c>
      <c r="I18" s="6">
        <f t="shared" si="2"/>
        <v>10400</v>
      </c>
      <c r="K18" s="92" t="s">
        <v>24</v>
      </c>
      <c r="L18" s="9">
        <f>SUM(E2:E31)</f>
        <v>87</v>
      </c>
      <c r="M18" s="10" t="s">
        <v>25</v>
      </c>
    </row>
    <row r="19" spans="2:13">
      <c r="B19" s="3">
        <v>18</v>
      </c>
      <c r="C19" t="s">
        <v>452</v>
      </c>
      <c r="D19" s="4"/>
      <c r="E19" s="88">
        <v>4</v>
      </c>
      <c r="F19" s="101">
        <f t="shared" si="0"/>
        <v>80</v>
      </c>
      <c r="G19">
        <f>VLOOKUP($C19,약재관리!A:J,10,FALSE)</f>
        <v>47</v>
      </c>
      <c r="H19" s="5">
        <f t="shared" si="1"/>
        <v>188</v>
      </c>
      <c r="I19" s="6">
        <f t="shared" si="2"/>
        <v>3760</v>
      </c>
      <c r="K19" s="91" t="s">
        <v>26</v>
      </c>
      <c r="L19">
        <f>L15*L18</f>
        <v>1740</v>
      </c>
      <c r="M19" s="4" t="s">
        <v>25</v>
      </c>
    </row>
    <row r="20" spans="2:13" ht="17.25" thickBot="1">
      <c r="B20" s="3">
        <v>19</v>
      </c>
      <c r="C20" t="s">
        <v>432</v>
      </c>
      <c r="D20" s="4"/>
      <c r="E20" s="88">
        <v>2</v>
      </c>
      <c r="F20" s="101">
        <f t="shared" si="0"/>
        <v>40</v>
      </c>
      <c r="G20">
        <f>VLOOKUP($C20,약재관리!A:J,10,FALSE)</f>
        <v>9.1999999999999993</v>
      </c>
      <c r="H20" s="5">
        <f t="shared" si="1"/>
        <v>18.399999999999999</v>
      </c>
      <c r="I20" s="6">
        <f t="shared" si="2"/>
        <v>368</v>
      </c>
      <c r="K20" s="14" t="s">
        <v>27</v>
      </c>
      <c r="L20" s="11">
        <f>L16*L17+L19</f>
        <v>6240</v>
      </c>
      <c r="M20" s="12" t="s">
        <v>23</v>
      </c>
    </row>
    <row r="21" spans="2:13" ht="17.25" thickBot="1">
      <c r="B21" s="3">
        <v>20</v>
      </c>
      <c r="C21" t="s">
        <v>433</v>
      </c>
      <c r="D21" s="4"/>
      <c r="E21" s="88">
        <v>2</v>
      </c>
      <c r="F21" s="101">
        <f t="shared" si="0"/>
        <v>40</v>
      </c>
      <c r="G21">
        <f>VLOOKUP($C21,약재관리!A:J,10,FALSE)</f>
        <v>10.8</v>
      </c>
      <c r="H21" s="5">
        <f t="shared" si="1"/>
        <v>21.6</v>
      </c>
      <c r="I21" s="6">
        <f t="shared" si="2"/>
        <v>432</v>
      </c>
      <c r="J21" s="91"/>
      <c r="M21" s="94"/>
    </row>
    <row r="22" spans="2:13" ht="17.25" thickBot="1">
      <c r="B22" s="3">
        <v>21</v>
      </c>
      <c r="D22" s="4"/>
      <c r="F22" s="101">
        <f t="shared" ref="F22:F31" si="4">E22*$L$15</f>
        <v>0</v>
      </c>
      <c r="H22" s="5">
        <f t="shared" si="1"/>
        <v>0</v>
      </c>
      <c r="I22" s="6">
        <f t="shared" si="2"/>
        <v>0</v>
      </c>
      <c r="K22" s="149" t="s">
        <v>388</v>
      </c>
      <c r="L22" s="150"/>
      <c r="M22" s="151"/>
    </row>
    <row r="23" spans="2:13">
      <c r="B23" s="3">
        <v>22</v>
      </c>
      <c r="D23" s="4"/>
      <c r="F23" s="101">
        <f t="shared" si="4"/>
        <v>0</v>
      </c>
      <c r="H23" s="5">
        <f t="shared" si="1"/>
        <v>0</v>
      </c>
      <c r="I23" s="6">
        <f t="shared" si="2"/>
        <v>0</v>
      </c>
      <c r="K23" s="91" t="s">
        <v>382</v>
      </c>
      <c r="L23">
        <f>SUM(F2:F31)</f>
        <v>1740</v>
      </c>
      <c r="M23" s="4" t="s">
        <v>25</v>
      </c>
    </row>
    <row r="24" spans="2:13">
      <c r="B24" s="3">
        <v>23</v>
      </c>
      <c r="D24" s="4"/>
      <c r="F24" s="101">
        <f t="shared" si="4"/>
        <v>0</v>
      </c>
      <c r="H24" s="5">
        <f t="shared" si="1"/>
        <v>0</v>
      </c>
      <c r="I24" s="6">
        <f t="shared" si="2"/>
        <v>0</v>
      </c>
      <c r="K24" s="91" t="s">
        <v>389</v>
      </c>
      <c r="L24">
        <v>5000</v>
      </c>
      <c r="M24" s="4" t="s">
        <v>23</v>
      </c>
    </row>
    <row r="25" spans="2:13">
      <c r="B25" s="3">
        <v>24</v>
      </c>
      <c r="D25" s="4"/>
      <c r="F25" s="101">
        <f t="shared" si="4"/>
        <v>0</v>
      </c>
      <c r="H25" s="5">
        <f t="shared" si="1"/>
        <v>0</v>
      </c>
      <c r="I25" s="6">
        <f t="shared" si="2"/>
        <v>0</v>
      </c>
      <c r="K25" s="91" t="s">
        <v>28</v>
      </c>
      <c r="L25" s="93" t="s">
        <v>384</v>
      </c>
      <c r="M25" s="4" t="s">
        <v>25</v>
      </c>
    </row>
    <row r="26" spans="2:13">
      <c r="B26" s="3">
        <v>25</v>
      </c>
      <c r="D26" s="4"/>
      <c r="F26" s="101">
        <f t="shared" si="4"/>
        <v>0</v>
      </c>
      <c r="H26" s="5">
        <f t="shared" si="1"/>
        <v>0</v>
      </c>
      <c r="I26" s="6">
        <f t="shared" si="2"/>
        <v>0</v>
      </c>
      <c r="K26" s="91" t="s">
        <v>29</v>
      </c>
      <c r="L26" s="93">
        <v>1600</v>
      </c>
      <c r="M26" s="4" t="s">
        <v>25</v>
      </c>
    </row>
    <row r="27" spans="2:13" ht="17.25" thickBot="1">
      <c r="B27" s="3">
        <v>26</v>
      </c>
      <c r="D27" s="4"/>
      <c r="F27" s="101">
        <f t="shared" si="4"/>
        <v>0</v>
      </c>
      <c r="H27" s="5">
        <f t="shared" si="1"/>
        <v>0</v>
      </c>
      <c r="I27" s="6">
        <f t="shared" si="2"/>
        <v>0</v>
      </c>
      <c r="K27" s="14" t="s">
        <v>383</v>
      </c>
      <c r="L27" s="11">
        <v>4</v>
      </c>
      <c r="M27" s="12" t="s">
        <v>25</v>
      </c>
    </row>
    <row r="28" spans="2:13" ht="17.25" thickBot="1">
      <c r="B28" s="3">
        <v>27</v>
      </c>
      <c r="D28" s="4"/>
      <c r="F28" s="101">
        <f t="shared" si="4"/>
        <v>0</v>
      </c>
      <c r="H28" s="5">
        <f t="shared" si="1"/>
        <v>0</v>
      </c>
      <c r="I28" s="6">
        <f t="shared" si="2"/>
        <v>0</v>
      </c>
      <c r="J28" s="91"/>
      <c r="K28" s="11"/>
      <c r="L28" s="11"/>
      <c r="M28" s="94"/>
    </row>
    <row r="29" spans="2:13" ht="17.25" thickBot="1">
      <c r="B29" s="3">
        <v>28</v>
      </c>
      <c r="D29" s="4"/>
      <c r="F29" s="101">
        <f t="shared" si="4"/>
        <v>0</v>
      </c>
      <c r="H29" s="5">
        <f t="shared" si="1"/>
        <v>0</v>
      </c>
      <c r="I29" s="6">
        <f t="shared" si="2"/>
        <v>0</v>
      </c>
      <c r="K29" s="149" t="s">
        <v>387</v>
      </c>
      <c r="L29" s="150"/>
      <c r="M29" s="151"/>
    </row>
    <row r="30" spans="2:13">
      <c r="B30" s="3">
        <v>29</v>
      </c>
      <c r="D30" s="4"/>
      <c r="F30" s="101">
        <f t="shared" si="4"/>
        <v>0</v>
      </c>
      <c r="H30" s="5">
        <f t="shared" si="1"/>
        <v>0</v>
      </c>
      <c r="I30" s="6">
        <f t="shared" si="2"/>
        <v>0</v>
      </c>
      <c r="K30" s="91" t="s">
        <v>28</v>
      </c>
      <c r="L30" s="5">
        <f>SUM(H2:H31)</f>
        <v>2610.3000000000002</v>
      </c>
      <c r="M30" s="4" t="s">
        <v>386</v>
      </c>
    </row>
    <row r="31" spans="2:13" ht="17.25" thickBot="1">
      <c r="B31" s="13">
        <v>30</v>
      </c>
      <c r="C31" s="14"/>
      <c r="D31" s="12"/>
      <c r="E31" s="95"/>
      <c r="F31" s="102">
        <f t="shared" si="4"/>
        <v>0</v>
      </c>
      <c r="G31" s="14"/>
      <c r="H31" s="15">
        <f t="shared" si="1"/>
        <v>0</v>
      </c>
      <c r="I31" s="16">
        <f t="shared" si="2"/>
        <v>0</v>
      </c>
      <c r="K31" s="14" t="s">
        <v>385</v>
      </c>
      <c r="L31" s="15">
        <f>SUM(I2:I31)</f>
        <v>52206</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EE23-EF60-4EDD-86C5-1EAE05EDE88E}">
  <sheetPr>
    <pageSetUpPr fitToPage="1"/>
  </sheetPr>
  <dimension ref="B1:M31"/>
  <sheetViews>
    <sheetView workbookViewId="0">
      <selection activeCell="E3" sqref="E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4</v>
      </c>
      <c r="F2" s="101">
        <f>E2*$L$15</f>
        <v>80</v>
      </c>
      <c r="G2">
        <f>VLOOKUP($C2,약재관리!A:J,10,FALSE)</f>
        <v>19.600000000000001</v>
      </c>
      <c r="H2" s="5">
        <f>G2*E2</f>
        <v>78.400000000000006</v>
      </c>
      <c r="I2" s="90">
        <f>G2*F2</f>
        <v>1568</v>
      </c>
      <c r="K2" s="7" t="s">
        <v>9</v>
      </c>
      <c r="L2" s="161">
        <v>47</v>
      </c>
      <c r="M2" s="162"/>
    </row>
    <row r="3" spans="2:13">
      <c r="B3" s="3">
        <v>2</v>
      </c>
      <c r="C3" t="s">
        <v>456</v>
      </c>
      <c r="D3" s="4"/>
      <c r="E3" s="88">
        <v>10</v>
      </c>
      <c r="F3" s="101">
        <f t="shared" ref="F3:F31" si="0">E3*$L$15</f>
        <v>200</v>
      </c>
      <c r="G3">
        <f>VLOOKUP($C3,약재관리!A:J,10,FALSE)</f>
        <v>28.3</v>
      </c>
      <c r="H3" s="5">
        <f t="shared" ref="H3:H31" si="1">G3*E3</f>
        <v>283</v>
      </c>
      <c r="I3" s="6">
        <f t="shared" ref="I3:I31" si="2">G3*F3</f>
        <v>5660</v>
      </c>
      <c r="K3" s="8" t="s">
        <v>10</v>
      </c>
      <c r="L3" s="163" t="s">
        <v>429</v>
      </c>
      <c r="M3" s="164"/>
    </row>
    <row r="4" spans="2:13">
      <c r="B4" s="3">
        <v>3</v>
      </c>
      <c r="C4" t="s">
        <v>419</v>
      </c>
      <c r="D4" s="4"/>
      <c r="E4" s="88">
        <v>8</v>
      </c>
      <c r="F4" s="101">
        <f t="shared" si="0"/>
        <v>160</v>
      </c>
      <c r="G4">
        <f>VLOOKUP($C4,약재관리!A:J,10,FALSE)</f>
        <v>25</v>
      </c>
      <c r="H4" s="5">
        <f t="shared" si="1"/>
        <v>200</v>
      </c>
      <c r="I4" s="6">
        <f t="shared" si="2"/>
        <v>4000</v>
      </c>
      <c r="K4" s="8" t="s">
        <v>11</v>
      </c>
      <c r="L4" s="165">
        <v>45756</v>
      </c>
      <c r="M4" s="164"/>
    </row>
    <row r="5" spans="2:13">
      <c r="B5" s="3">
        <v>4</v>
      </c>
      <c r="C5" t="s">
        <v>411</v>
      </c>
      <c r="D5" s="4"/>
      <c r="E5" s="88">
        <v>6</v>
      </c>
      <c r="F5" s="101">
        <f t="shared" si="0"/>
        <v>120</v>
      </c>
      <c r="G5">
        <f>VLOOKUP($C5,약재관리!A:J,10,FALSE)</f>
        <v>11</v>
      </c>
      <c r="H5" s="5">
        <f t="shared" si="1"/>
        <v>66</v>
      </c>
      <c r="I5" s="6">
        <f t="shared" si="2"/>
        <v>1320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4</v>
      </c>
      <c r="F7" s="101">
        <f t="shared" si="0"/>
        <v>80</v>
      </c>
      <c r="G7">
        <f>VLOOKUP($C7,약재관리!A:J,10,FALSE)</f>
        <v>17.399999999999999</v>
      </c>
      <c r="H7" s="5">
        <f t="shared" si="1"/>
        <v>69.599999999999994</v>
      </c>
      <c r="I7" s="6">
        <f t="shared" si="2"/>
        <v>1392</v>
      </c>
      <c r="K7" s="8" t="s">
        <v>14</v>
      </c>
      <c r="L7" s="147" t="s">
        <v>408</v>
      </c>
      <c r="M7" s="148"/>
    </row>
    <row r="8" spans="2:13" ht="17.25" thickBot="1">
      <c r="B8" s="3">
        <v>7</v>
      </c>
      <c r="C8" t="s">
        <v>414</v>
      </c>
      <c r="D8" s="4" t="s">
        <v>422</v>
      </c>
      <c r="E8" s="88">
        <v>2</v>
      </c>
      <c r="F8" s="101">
        <f t="shared" si="0"/>
        <v>40</v>
      </c>
      <c r="G8">
        <f>VLOOKUP($C8,약재관리!A:J,10,FALSE)</f>
        <v>21.3</v>
      </c>
      <c r="H8" s="5">
        <f>G8*E8</f>
        <v>42.6</v>
      </c>
      <c r="I8" s="6">
        <f t="shared" si="2"/>
        <v>852</v>
      </c>
      <c r="K8" s="149" t="s">
        <v>15</v>
      </c>
      <c r="L8" s="150"/>
      <c r="M8" s="151"/>
    </row>
    <row r="9" spans="2:13">
      <c r="B9" s="3">
        <v>8</v>
      </c>
      <c r="C9" t="s">
        <v>415</v>
      </c>
      <c r="D9" s="4"/>
      <c r="E9" s="88">
        <v>3</v>
      </c>
      <c r="F9" s="101">
        <f t="shared" si="0"/>
        <v>60</v>
      </c>
      <c r="G9">
        <f>VLOOKUP($C9,약재관리!A:J,10,FALSE)</f>
        <v>16.7</v>
      </c>
      <c r="H9" s="5">
        <f t="shared" ref="H9:H10" si="3">G9*E9</f>
        <v>50.099999999999994</v>
      </c>
      <c r="I9" s="6">
        <f t="shared" si="2"/>
        <v>1002</v>
      </c>
      <c r="K9" s="152" t="s">
        <v>455</v>
      </c>
      <c r="L9" s="153"/>
      <c r="M9" s="154"/>
    </row>
    <row r="10" spans="2:13">
      <c r="B10" s="3">
        <v>9</v>
      </c>
      <c r="C10" t="s">
        <v>438</v>
      </c>
      <c r="D10" s="4"/>
      <c r="E10" s="88">
        <v>4</v>
      </c>
      <c r="F10" s="101">
        <f t="shared" si="0"/>
        <v>80</v>
      </c>
      <c r="G10">
        <f>VLOOKUP($C10,약재관리!A:J,10,FALSE)</f>
        <v>9.5</v>
      </c>
      <c r="H10" s="5">
        <f t="shared" si="3"/>
        <v>38</v>
      </c>
      <c r="I10" s="6">
        <f t="shared" si="2"/>
        <v>760</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447</v>
      </c>
      <c r="D12" s="4"/>
      <c r="E12" s="88">
        <v>4</v>
      </c>
      <c r="F12" s="101">
        <f t="shared" si="0"/>
        <v>80</v>
      </c>
      <c r="G12">
        <f>VLOOKUP($C12,약재관리!A:J,10,FALSE)</f>
        <v>21.7</v>
      </c>
      <c r="H12" s="5">
        <f t="shared" si="1"/>
        <v>86.8</v>
      </c>
      <c r="I12" s="6">
        <f t="shared" si="2"/>
        <v>1736</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3</v>
      </c>
      <c r="F14" s="101">
        <f t="shared" si="0"/>
        <v>60</v>
      </c>
      <c r="G14">
        <f>VLOOKUP($C14,약재관리!A:J,10,FALSE)</f>
        <v>136.69999999999999</v>
      </c>
      <c r="H14" s="5">
        <f t="shared" si="1"/>
        <v>410.09999999999997</v>
      </c>
      <c r="I14" s="6">
        <f t="shared" si="2"/>
        <v>8202</v>
      </c>
      <c r="K14" s="92" t="s">
        <v>16</v>
      </c>
      <c r="L14" s="9">
        <v>15</v>
      </c>
      <c r="M14" s="10" t="s">
        <v>17</v>
      </c>
    </row>
    <row r="15" spans="2:13">
      <c r="B15" s="3">
        <v>14</v>
      </c>
      <c r="C15" t="s">
        <v>416</v>
      </c>
      <c r="D15" s="4"/>
      <c r="E15" s="88">
        <v>3</v>
      </c>
      <c r="F15" s="101">
        <f t="shared" si="0"/>
        <v>60</v>
      </c>
      <c r="G15">
        <f>VLOOKUP($C15,약재관리!A:J,10,FALSE)</f>
        <v>27.7</v>
      </c>
      <c r="H15" s="5">
        <f t="shared" si="1"/>
        <v>83.1</v>
      </c>
      <c r="I15" s="6">
        <f t="shared" si="2"/>
        <v>1662</v>
      </c>
      <c r="K15" s="91" t="s">
        <v>18</v>
      </c>
      <c r="L15">
        <v>20</v>
      </c>
      <c r="M15" s="4" t="s">
        <v>19</v>
      </c>
    </row>
    <row r="16" spans="2:13">
      <c r="B16" s="3">
        <v>15</v>
      </c>
      <c r="C16" t="s">
        <v>431</v>
      </c>
      <c r="D16" s="4"/>
      <c r="E16" s="88">
        <v>4</v>
      </c>
      <c r="F16" s="101">
        <f t="shared" si="0"/>
        <v>80</v>
      </c>
      <c r="G16">
        <f>VLOOKUP($C16,약재관리!A:J,10,FALSE)</f>
        <v>21.8</v>
      </c>
      <c r="H16" s="5">
        <f t="shared" si="1"/>
        <v>87.2</v>
      </c>
      <c r="I16" s="6">
        <f t="shared" si="2"/>
        <v>1744</v>
      </c>
      <c r="K16" s="91" t="s">
        <v>20</v>
      </c>
      <c r="L16">
        <v>45</v>
      </c>
      <c r="M16" s="4" t="s">
        <v>21</v>
      </c>
    </row>
    <row r="17" spans="2:13" ht="17.25" thickBot="1">
      <c r="B17" s="3">
        <v>16</v>
      </c>
      <c r="C17" t="s">
        <v>445</v>
      </c>
      <c r="D17" s="4"/>
      <c r="E17" s="88">
        <v>4</v>
      </c>
      <c r="F17" s="101">
        <f t="shared" si="0"/>
        <v>80</v>
      </c>
      <c r="G17">
        <f>VLOOKUP($C17,약재관리!A:J,10,FALSE)</f>
        <v>15.4</v>
      </c>
      <c r="H17" s="5">
        <f t="shared" si="1"/>
        <v>61.6</v>
      </c>
      <c r="I17" s="6">
        <f t="shared" si="2"/>
        <v>1232</v>
      </c>
      <c r="K17" s="14" t="s">
        <v>22</v>
      </c>
      <c r="L17" s="11">
        <v>100</v>
      </c>
      <c r="M17" s="12" t="s">
        <v>23</v>
      </c>
    </row>
    <row r="18" spans="2:13">
      <c r="B18" s="3">
        <v>17</v>
      </c>
      <c r="C18" t="s">
        <v>430</v>
      </c>
      <c r="D18" s="4"/>
      <c r="E18" s="88">
        <v>2</v>
      </c>
      <c r="F18" s="101">
        <f t="shared" si="0"/>
        <v>40</v>
      </c>
      <c r="G18">
        <f>VLOOKUP($C18,약재관리!A:J,10,FALSE)</f>
        <v>44.2</v>
      </c>
      <c r="H18" s="5">
        <f t="shared" si="1"/>
        <v>88.4</v>
      </c>
      <c r="I18" s="6">
        <f t="shared" si="2"/>
        <v>1768</v>
      </c>
      <c r="K18" s="92" t="s">
        <v>24</v>
      </c>
      <c r="L18" s="9">
        <f>SUM(E2:E31)</f>
        <v>83</v>
      </c>
      <c r="M18" s="10" t="s">
        <v>25</v>
      </c>
    </row>
    <row r="19" spans="2:13">
      <c r="B19" s="3">
        <v>18</v>
      </c>
      <c r="C19" t="s">
        <v>439</v>
      </c>
      <c r="D19" s="4"/>
      <c r="E19" s="88">
        <v>8</v>
      </c>
      <c r="F19" s="101">
        <f t="shared" si="0"/>
        <v>160</v>
      </c>
      <c r="G19">
        <f>VLOOKUP($C19,약재관리!A:J,10,FALSE)</f>
        <v>52</v>
      </c>
      <c r="H19" s="5">
        <f t="shared" si="1"/>
        <v>416</v>
      </c>
      <c r="I19" s="6">
        <f t="shared" si="2"/>
        <v>8320</v>
      </c>
      <c r="K19" s="91" t="s">
        <v>26</v>
      </c>
      <c r="L19">
        <f>L15*L18</f>
        <v>1660</v>
      </c>
      <c r="M19" s="4" t="s">
        <v>25</v>
      </c>
    </row>
    <row r="20" spans="2:13" ht="17.25" thickBot="1">
      <c r="B20" s="3">
        <v>19</v>
      </c>
      <c r="C20" t="s">
        <v>452</v>
      </c>
      <c r="D20" s="4"/>
      <c r="E20" s="88">
        <v>4</v>
      </c>
      <c r="F20" s="101">
        <f t="shared" si="0"/>
        <v>80</v>
      </c>
      <c r="G20">
        <f>VLOOKUP($C20,약재관리!A:J,10,FALSE)</f>
        <v>47</v>
      </c>
      <c r="H20" s="5">
        <f t="shared" si="1"/>
        <v>188</v>
      </c>
      <c r="I20" s="6">
        <f t="shared" si="2"/>
        <v>3760</v>
      </c>
      <c r="K20" s="14" t="s">
        <v>27</v>
      </c>
      <c r="L20" s="11">
        <f>L16*L17+L19</f>
        <v>6160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1660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2608.6999999999998</v>
      </c>
      <c r="M30" s="4" t="s">
        <v>386</v>
      </c>
    </row>
    <row r="31" spans="2:13" ht="17.25" thickBot="1">
      <c r="B31" s="13">
        <v>30</v>
      </c>
      <c r="C31" s="14"/>
      <c r="D31" s="12"/>
      <c r="E31" s="95"/>
      <c r="F31" s="102">
        <f t="shared" si="0"/>
        <v>0</v>
      </c>
      <c r="G31" s="14"/>
      <c r="H31" s="15">
        <f t="shared" si="1"/>
        <v>0</v>
      </c>
      <c r="I31" s="16">
        <f t="shared" si="2"/>
        <v>0</v>
      </c>
      <c r="K31" s="14" t="s">
        <v>385</v>
      </c>
      <c r="L31" s="15">
        <f>SUM(I2:I31)</f>
        <v>52174</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D535-E68A-490A-885A-FA59679ADB73}">
  <sheetPr>
    <pageSetUpPr fitToPage="1"/>
  </sheetPr>
  <dimension ref="B1:M31"/>
  <sheetViews>
    <sheetView workbookViewId="0">
      <selection activeCell="E20" sqref="E20"/>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4</v>
      </c>
      <c r="F2" s="101">
        <f>E2*$L$15</f>
        <v>80</v>
      </c>
      <c r="G2">
        <f>VLOOKUP($C2,약재관리!A:J,10,FALSE)</f>
        <v>19.600000000000001</v>
      </c>
      <c r="H2" s="5">
        <f>G2*E2</f>
        <v>78.400000000000006</v>
      </c>
      <c r="I2" s="90">
        <f>G2*F2</f>
        <v>1568</v>
      </c>
      <c r="K2" s="7" t="s">
        <v>9</v>
      </c>
      <c r="L2" s="161">
        <v>47</v>
      </c>
      <c r="M2" s="162"/>
    </row>
    <row r="3" spans="2:13">
      <c r="B3" s="3">
        <v>2</v>
      </c>
      <c r="C3" t="s">
        <v>425</v>
      </c>
      <c r="D3" s="4"/>
      <c r="E3" s="88">
        <v>8</v>
      </c>
      <c r="F3" s="101">
        <f t="shared" ref="F3:F31" si="0">E3*$L$15</f>
        <v>160</v>
      </c>
      <c r="G3">
        <f>VLOOKUP($C3,약재관리!A:J,10,FALSE)</f>
        <v>24</v>
      </c>
      <c r="H3" s="5">
        <f t="shared" ref="H3:H31" si="1">G3*E3</f>
        <v>192</v>
      </c>
      <c r="I3" s="6">
        <f t="shared" ref="I3:I31" si="2">G3*F3</f>
        <v>3840</v>
      </c>
      <c r="K3" s="8" t="s">
        <v>10</v>
      </c>
      <c r="L3" s="163" t="s">
        <v>429</v>
      </c>
      <c r="M3" s="164"/>
    </row>
    <row r="4" spans="2:13">
      <c r="B4" s="3">
        <v>3</v>
      </c>
      <c r="C4" t="s">
        <v>419</v>
      </c>
      <c r="D4" s="4"/>
      <c r="E4" s="88">
        <v>8</v>
      </c>
      <c r="F4" s="101">
        <f t="shared" si="0"/>
        <v>160</v>
      </c>
      <c r="G4">
        <f>VLOOKUP($C4,약재관리!A:J,10,FALSE)</f>
        <v>25</v>
      </c>
      <c r="H4" s="5">
        <f t="shared" si="1"/>
        <v>200</v>
      </c>
      <c r="I4" s="6">
        <f t="shared" si="2"/>
        <v>4000</v>
      </c>
      <c r="K4" s="8" t="s">
        <v>11</v>
      </c>
      <c r="L4" s="165">
        <v>45756</v>
      </c>
      <c r="M4" s="164"/>
    </row>
    <row r="5" spans="2:13">
      <c r="B5" s="3">
        <v>4</v>
      </c>
      <c r="C5" t="s">
        <v>411</v>
      </c>
      <c r="D5" s="4"/>
      <c r="E5" s="88">
        <v>6</v>
      </c>
      <c r="F5" s="101">
        <f t="shared" si="0"/>
        <v>120</v>
      </c>
      <c r="G5">
        <f>VLOOKUP($C5,약재관리!A:J,10,FALSE)</f>
        <v>11</v>
      </c>
      <c r="H5" s="5">
        <f t="shared" si="1"/>
        <v>66</v>
      </c>
      <c r="I5" s="6">
        <f t="shared" si="2"/>
        <v>1320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8</v>
      </c>
      <c r="F7" s="101">
        <f t="shared" si="0"/>
        <v>160</v>
      </c>
      <c r="G7">
        <f>VLOOKUP($C7,약재관리!A:J,10,FALSE)</f>
        <v>17.399999999999999</v>
      </c>
      <c r="H7" s="5">
        <f t="shared" si="1"/>
        <v>139.19999999999999</v>
      </c>
      <c r="I7" s="6">
        <f t="shared" si="2"/>
        <v>2784</v>
      </c>
      <c r="K7" s="8" t="s">
        <v>14</v>
      </c>
      <c r="L7" s="147" t="s">
        <v>408</v>
      </c>
      <c r="M7" s="148"/>
    </row>
    <row r="8" spans="2:13" ht="17.25" thickBot="1">
      <c r="B8" s="3">
        <v>7</v>
      </c>
      <c r="C8" t="s">
        <v>414</v>
      </c>
      <c r="D8" s="4" t="s">
        <v>422</v>
      </c>
      <c r="E8" s="88">
        <v>2</v>
      </c>
      <c r="F8" s="101">
        <f t="shared" si="0"/>
        <v>40</v>
      </c>
      <c r="G8">
        <f>VLOOKUP($C8,약재관리!A:J,10,FALSE)</f>
        <v>21.3</v>
      </c>
      <c r="H8" s="5">
        <f>G8*E8</f>
        <v>42.6</v>
      </c>
      <c r="I8" s="6">
        <f t="shared" si="2"/>
        <v>852</v>
      </c>
      <c r="K8" s="149" t="s">
        <v>15</v>
      </c>
      <c r="L8" s="150"/>
      <c r="M8" s="151"/>
    </row>
    <row r="9" spans="2:13">
      <c r="B9" s="3">
        <v>8</v>
      </c>
      <c r="C9" t="s">
        <v>415</v>
      </c>
      <c r="D9" s="4"/>
      <c r="E9" s="88">
        <v>3</v>
      </c>
      <c r="F9" s="101">
        <f t="shared" si="0"/>
        <v>60</v>
      </c>
      <c r="G9">
        <f>VLOOKUP($C9,약재관리!A:J,10,FALSE)</f>
        <v>16.7</v>
      </c>
      <c r="H9" s="5">
        <f t="shared" ref="H9:H10" si="3">G9*E9</f>
        <v>50.099999999999994</v>
      </c>
      <c r="I9" s="6">
        <f t="shared" si="2"/>
        <v>1002</v>
      </c>
      <c r="K9" s="152" t="s">
        <v>454</v>
      </c>
      <c r="L9" s="153"/>
      <c r="M9" s="154"/>
    </row>
    <row r="10" spans="2:13">
      <c r="B10" s="3">
        <v>9</v>
      </c>
      <c r="C10" t="s">
        <v>438</v>
      </c>
      <c r="D10" s="4"/>
      <c r="E10" s="88">
        <v>3</v>
      </c>
      <c r="F10" s="101">
        <f t="shared" si="0"/>
        <v>60</v>
      </c>
      <c r="G10">
        <f>VLOOKUP($C10,약재관리!A:J,10,FALSE)</f>
        <v>9.5</v>
      </c>
      <c r="H10" s="5">
        <f t="shared" si="3"/>
        <v>28.5</v>
      </c>
      <c r="I10" s="6">
        <f t="shared" si="2"/>
        <v>570</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447</v>
      </c>
      <c r="D12" s="4"/>
      <c r="E12" s="88">
        <v>4</v>
      </c>
      <c r="F12" s="101">
        <f t="shared" si="0"/>
        <v>80</v>
      </c>
      <c r="G12">
        <f>VLOOKUP($C12,약재관리!A:J,10,FALSE)</f>
        <v>21.7</v>
      </c>
      <c r="H12" s="5">
        <f t="shared" si="1"/>
        <v>86.8</v>
      </c>
      <c r="I12" s="6">
        <f t="shared" si="2"/>
        <v>1736</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2</v>
      </c>
      <c r="F14" s="101">
        <f t="shared" si="0"/>
        <v>40</v>
      </c>
      <c r="G14">
        <f>VLOOKUP($C14,약재관리!A:J,10,FALSE)</f>
        <v>136.69999999999999</v>
      </c>
      <c r="H14" s="5">
        <f t="shared" si="1"/>
        <v>273.39999999999998</v>
      </c>
      <c r="I14" s="6">
        <f t="shared" si="2"/>
        <v>5468</v>
      </c>
      <c r="K14" s="92" t="s">
        <v>16</v>
      </c>
      <c r="L14" s="9">
        <v>15</v>
      </c>
      <c r="M14" s="10" t="s">
        <v>17</v>
      </c>
    </row>
    <row r="15" spans="2:13">
      <c r="B15" s="3">
        <v>14</v>
      </c>
      <c r="C15" t="s">
        <v>416</v>
      </c>
      <c r="D15" s="4"/>
      <c r="E15" s="88">
        <v>3</v>
      </c>
      <c r="F15" s="101">
        <f t="shared" si="0"/>
        <v>60</v>
      </c>
      <c r="G15">
        <f>VLOOKUP($C15,약재관리!A:J,10,FALSE)</f>
        <v>27.7</v>
      </c>
      <c r="H15" s="5">
        <f t="shared" si="1"/>
        <v>83.1</v>
      </c>
      <c r="I15" s="6">
        <f t="shared" si="2"/>
        <v>1662</v>
      </c>
      <c r="K15" s="91" t="s">
        <v>18</v>
      </c>
      <c r="L15">
        <v>20</v>
      </c>
      <c r="M15" s="4" t="s">
        <v>19</v>
      </c>
    </row>
    <row r="16" spans="2:13">
      <c r="B16" s="3">
        <v>15</v>
      </c>
      <c r="C16" t="s">
        <v>431</v>
      </c>
      <c r="D16" s="4"/>
      <c r="E16" s="88">
        <v>4</v>
      </c>
      <c r="F16" s="101">
        <f t="shared" si="0"/>
        <v>80</v>
      </c>
      <c r="G16">
        <f>VLOOKUP($C16,약재관리!A:J,10,FALSE)</f>
        <v>21.8</v>
      </c>
      <c r="H16" s="5">
        <f t="shared" si="1"/>
        <v>87.2</v>
      </c>
      <c r="I16" s="6">
        <f t="shared" si="2"/>
        <v>1744</v>
      </c>
      <c r="K16" s="91" t="s">
        <v>20</v>
      </c>
      <c r="L16">
        <v>45</v>
      </c>
      <c r="M16" s="4" t="s">
        <v>21</v>
      </c>
    </row>
    <row r="17" spans="2:13" ht="17.25" thickBot="1">
      <c r="B17" s="3">
        <v>16</v>
      </c>
      <c r="C17" t="s">
        <v>445</v>
      </c>
      <c r="D17" s="4"/>
      <c r="E17" s="88">
        <v>4</v>
      </c>
      <c r="F17" s="101">
        <f t="shared" si="0"/>
        <v>80</v>
      </c>
      <c r="G17">
        <f>VLOOKUP($C17,약재관리!A:J,10,FALSE)</f>
        <v>15.4</v>
      </c>
      <c r="H17" s="5">
        <f t="shared" si="1"/>
        <v>61.6</v>
      </c>
      <c r="I17" s="6">
        <f t="shared" si="2"/>
        <v>1232</v>
      </c>
      <c r="K17" s="14" t="s">
        <v>22</v>
      </c>
      <c r="L17" s="11">
        <v>100</v>
      </c>
      <c r="M17" s="12" t="s">
        <v>23</v>
      </c>
    </row>
    <row r="18" spans="2:13">
      <c r="B18" s="3">
        <v>17</v>
      </c>
      <c r="C18" t="s">
        <v>432</v>
      </c>
      <c r="D18" s="4"/>
      <c r="E18" s="88">
        <v>2</v>
      </c>
      <c r="F18" s="101">
        <f t="shared" si="0"/>
        <v>40</v>
      </c>
      <c r="G18">
        <f>VLOOKUP($C18,약재관리!A:J,10,FALSE)</f>
        <v>9.1999999999999993</v>
      </c>
      <c r="H18" s="5">
        <f t="shared" si="1"/>
        <v>18.399999999999999</v>
      </c>
      <c r="I18" s="6">
        <f t="shared" si="2"/>
        <v>368</v>
      </c>
      <c r="K18" s="92" t="s">
        <v>24</v>
      </c>
      <c r="L18" s="9">
        <f>SUM(E2:E31)</f>
        <v>85</v>
      </c>
      <c r="M18" s="10" t="s">
        <v>25</v>
      </c>
    </row>
    <row r="19" spans="2:13">
      <c r="B19" s="3">
        <v>18</v>
      </c>
      <c r="C19" t="s">
        <v>433</v>
      </c>
      <c r="D19" s="4"/>
      <c r="E19" s="88">
        <v>2</v>
      </c>
      <c r="F19" s="101">
        <f t="shared" si="0"/>
        <v>40</v>
      </c>
      <c r="G19">
        <f>VLOOKUP($C19,약재관리!A:J,10,FALSE)</f>
        <v>10.8</v>
      </c>
      <c r="H19" s="5">
        <f t="shared" si="1"/>
        <v>21.6</v>
      </c>
      <c r="I19" s="6">
        <f t="shared" si="2"/>
        <v>432</v>
      </c>
      <c r="K19" s="91" t="s">
        <v>26</v>
      </c>
      <c r="L19">
        <f>L15*L18</f>
        <v>1700</v>
      </c>
      <c r="M19" s="4" t="s">
        <v>25</v>
      </c>
    </row>
    <row r="20" spans="2:13" ht="17.25" thickBot="1">
      <c r="B20" s="3">
        <v>19</v>
      </c>
      <c r="C20" t="s">
        <v>430</v>
      </c>
      <c r="D20" s="4"/>
      <c r="E20" s="88">
        <v>4</v>
      </c>
      <c r="F20" s="101">
        <f t="shared" si="0"/>
        <v>80</v>
      </c>
      <c r="G20">
        <f>VLOOKUP($C20,약재관리!A:J,10,FALSE)</f>
        <v>44.2</v>
      </c>
      <c r="H20" s="5">
        <f t="shared" si="1"/>
        <v>176.8</v>
      </c>
      <c r="I20" s="6">
        <f t="shared" si="2"/>
        <v>3536</v>
      </c>
      <c r="K20" s="14" t="s">
        <v>27</v>
      </c>
      <c r="L20" s="11">
        <f>L16*L17+L19</f>
        <v>6200</v>
      </c>
      <c r="M20" s="12" t="s">
        <v>23</v>
      </c>
    </row>
    <row r="21" spans="2:13" ht="17.25" thickBot="1">
      <c r="B21" s="3">
        <v>20</v>
      </c>
      <c r="C21" t="s">
        <v>439</v>
      </c>
      <c r="D21" s="4"/>
      <c r="E21" s="88">
        <v>8</v>
      </c>
      <c r="F21" s="101">
        <f t="shared" si="0"/>
        <v>160</v>
      </c>
      <c r="G21">
        <f>VLOOKUP($C21,약재관리!A:J,10,FALSE)</f>
        <v>52</v>
      </c>
      <c r="H21" s="5">
        <f t="shared" si="1"/>
        <v>416</v>
      </c>
      <c r="I21" s="6">
        <f t="shared" si="2"/>
        <v>8320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1700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2381.4999999999995</v>
      </c>
      <c r="M30" s="4" t="s">
        <v>386</v>
      </c>
    </row>
    <row r="31" spans="2:13" ht="17.25" thickBot="1">
      <c r="B31" s="13">
        <v>30</v>
      </c>
      <c r="C31" s="14"/>
      <c r="D31" s="12"/>
      <c r="E31" s="95"/>
      <c r="F31" s="102">
        <f t="shared" si="0"/>
        <v>0</v>
      </c>
      <c r="G31" s="14"/>
      <c r="H31" s="15">
        <f t="shared" si="1"/>
        <v>0</v>
      </c>
      <c r="I31" s="16">
        <f t="shared" si="2"/>
        <v>0</v>
      </c>
      <c r="K31" s="14" t="s">
        <v>385</v>
      </c>
      <c r="L31" s="15">
        <f>SUM(I2:I31)</f>
        <v>47630</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4E26C-102A-4D3C-A33A-578D930DA578}">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4</v>
      </c>
      <c r="F2" s="101">
        <f>E2*$L$15</f>
        <v>80</v>
      </c>
      <c r="G2">
        <f>VLOOKUP($C2,약재관리!A:J,10,FALSE)</f>
        <v>19.600000000000001</v>
      </c>
      <c r="H2" s="5">
        <f>G2*E2</f>
        <v>78.400000000000006</v>
      </c>
      <c r="I2" s="90">
        <f>G2*F2</f>
        <v>1568</v>
      </c>
      <c r="K2" s="7" t="s">
        <v>9</v>
      </c>
      <c r="L2" s="161">
        <v>47</v>
      </c>
      <c r="M2" s="162"/>
    </row>
    <row r="3" spans="2:13">
      <c r="B3" s="3">
        <v>2</v>
      </c>
      <c r="C3" t="s">
        <v>425</v>
      </c>
      <c r="D3" s="4"/>
      <c r="E3" s="88">
        <v>8</v>
      </c>
      <c r="F3" s="101">
        <f t="shared" ref="F3:F31" si="0">E3*$L$15</f>
        <v>160</v>
      </c>
      <c r="G3">
        <f>VLOOKUP($C3,약재관리!A:J,10,FALSE)</f>
        <v>24</v>
      </c>
      <c r="H3" s="5">
        <f t="shared" ref="H3:H31" si="1">G3*E3</f>
        <v>192</v>
      </c>
      <c r="I3" s="6">
        <f t="shared" ref="I3:I31" si="2">G3*F3</f>
        <v>3840</v>
      </c>
      <c r="K3" s="8" t="s">
        <v>10</v>
      </c>
      <c r="L3" s="163" t="s">
        <v>429</v>
      </c>
      <c r="M3" s="164"/>
    </row>
    <row r="4" spans="2:13">
      <c r="B4" s="3">
        <v>3</v>
      </c>
      <c r="C4" t="s">
        <v>419</v>
      </c>
      <c r="D4" s="4"/>
      <c r="E4" s="88">
        <v>8</v>
      </c>
      <c r="F4" s="101">
        <f t="shared" si="0"/>
        <v>160</v>
      </c>
      <c r="G4">
        <f>VLOOKUP($C4,약재관리!A:J,10,FALSE)</f>
        <v>25</v>
      </c>
      <c r="H4" s="5">
        <f t="shared" si="1"/>
        <v>200</v>
      </c>
      <c r="I4" s="6">
        <f t="shared" si="2"/>
        <v>4000</v>
      </c>
      <c r="K4" s="8" t="s">
        <v>11</v>
      </c>
      <c r="L4" s="165">
        <v>45742</v>
      </c>
      <c r="M4" s="164"/>
    </row>
    <row r="5" spans="2:13">
      <c r="B5" s="3">
        <v>4</v>
      </c>
      <c r="C5" t="s">
        <v>411</v>
      </c>
      <c r="D5" s="4"/>
      <c r="E5" s="88">
        <v>6</v>
      </c>
      <c r="F5" s="101">
        <f t="shared" si="0"/>
        <v>120</v>
      </c>
      <c r="G5">
        <f>VLOOKUP($C5,약재관리!A:J,10,FALSE)</f>
        <v>11</v>
      </c>
      <c r="H5" s="5">
        <f t="shared" si="1"/>
        <v>66</v>
      </c>
      <c r="I5" s="6">
        <f t="shared" si="2"/>
        <v>1320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8</v>
      </c>
      <c r="F7" s="101">
        <f t="shared" si="0"/>
        <v>160</v>
      </c>
      <c r="G7">
        <f>VLOOKUP($C7,약재관리!A:J,10,FALSE)</f>
        <v>17.399999999999999</v>
      </c>
      <c r="H7" s="5">
        <f t="shared" si="1"/>
        <v>139.19999999999999</v>
      </c>
      <c r="I7" s="6">
        <f t="shared" si="2"/>
        <v>2784</v>
      </c>
      <c r="K7" s="8" t="s">
        <v>14</v>
      </c>
      <c r="L7" s="147" t="s">
        <v>408</v>
      </c>
      <c r="M7" s="148"/>
    </row>
    <row r="8" spans="2:13" ht="17.25" thickBot="1">
      <c r="B8" s="3">
        <v>7</v>
      </c>
      <c r="C8" t="s">
        <v>414</v>
      </c>
      <c r="D8" s="4" t="s">
        <v>422</v>
      </c>
      <c r="E8" s="88">
        <v>2</v>
      </c>
      <c r="F8" s="101">
        <f t="shared" si="0"/>
        <v>40</v>
      </c>
      <c r="G8">
        <f>VLOOKUP($C8,약재관리!A:J,10,FALSE)</f>
        <v>21.3</v>
      </c>
      <c r="H8" s="5">
        <f>G8*E8</f>
        <v>42.6</v>
      </c>
      <c r="I8" s="6">
        <f t="shared" si="2"/>
        <v>852</v>
      </c>
      <c r="K8" s="149" t="s">
        <v>15</v>
      </c>
      <c r="L8" s="150"/>
      <c r="M8" s="151"/>
    </row>
    <row r="9" spans="2:13">
      <c r="B9" s="3">
        <v>8</v>
      </c>
      <c r="C9" t="s">
        <v>415</v>
      </c>
      <c r="D9" s="4"/>
      <c r="E9" s="88">
        <v>3</v>
      </c>
      <c r="F9" s="101">
        <f t="shared" si="0"/>
        <v>60</v>
      </c>
      <c r="G9">
        <f>VLOOKUP($C9,약재관리!A:J,10,FALSE)</f>
        <v>16.7</v>
      </c>
      <c r="H9" s="5">
        <f t="shared" ref="H9:H10" si="3">G9*E9</f>
        <v>50.099999999999994</v>
      </c>
      <c r="I9" s="6">
        <f t="shared" si="2"/>
        <v>1002</v>
      </c>
      <c r="K9" s="152" t="s">
        <v>453</v>
      </c>
      <c r="L9" s="153"/>
      <c r="M9" s="154"/>
    </row>
    <row r="10" spans="2:13">
      <c r="B10" s="3">
        <v>9</v>
      </c>
      <c r="C10" t="s">
        <v>438</v>
      </c>
      <c r="D10" s="4"/>
      <c r="E10" s="88">
        <v>3</v>
      </c>
      <c r="F10" s="101">
        <f t="shared" si="0"/>
        <v>60</v>
      </c>
      <c r="G10">
        <f>VLOOKUP($C10,약재관리!A:J,10,FALSE)</f>
        <v>9.5</v>
      </c>
      <c r="H10" s="5">
        <f t="shared" si="3"/>
        <v>28.5</v>
      </c>
      <c r="I10" s="6">
        <f t="shared" si="2"/>
        <v>570</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430</v>
      </c>
      <c r="D12" s="4"/>
      <c r="E12" s="88">
        <v>4</v>
      </c>
      <c r="F12" s="101">
        <f t="shared" si="0"/>
        <v>80</v>
      </c>
      <c r="G12">
        <f>VLOOKUP($C12,약재관리!A:J,10,FALSE)</f>
        <v>44.2</v>
      </c>
      <c r="H12" s="5">
        <f t="shared" si="1"/>
        <v>176.8</v>
      </c>
      <c r="I12" s="6">
        <f t="shared" si="2"/>
        <v>3536</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2</v>
      </c>
      <c r="F14" s="101">
        <f t="shared" si="0"/>
        <v>40</v>
      </c>
      <c r="G14">
        <f>VLOOKUP($C14,약재관리!A:J,10,FALSE)</f>
        <v>136.69999999999999</v>
      </c>
      <c r="H14" s="5">
        <f t="shared" si="1"/>
        <v>273.39999999999998</v>
      </c>
      <c r="I14" s="6">
        <f t="shared" si="2"/>
        <v>5468</v>
      </c>
      <c r="K14" s="92" t="s">
        <v>16</v>
      </c>
      <c r="L14" s="9">
        <v>15</v>
      </c>
      <c r="M14" s="10" t="s">
        <v>17</v>
      </c>
    </row>
    <row r="15" spans="2:13">
      <c r="B15" s="3">
        <v>14</v>
      </c>
      <c r="C15" t="s">
        <v>416</v>
      </c>
      <c r="D15" s="4"/>
      <c r="E15" s="88">
        <v>3</v>
      </c>
      <c r="F15" s="101">
        <f t="shared" si="0"/>
        <v>60</v>
      </c>
      <c r="G15">
        <f>VLOOKUP($C15,약재관리!A:J,10,FALSE)</f>
        <v>27.7</v>
      </c>
      <c r="H15" s="5">
        <f t="shared" si="1"/>
        <v>83.1</v>
      </c>
      <c r="I15" s="6">
        <f t="shared" si="2"/>
        <v>1662</v>
      </c>
      <c r="K15" s="91" t="s">
        <v>18</v>
      </c>
      <c r="L15">
        <v>20</v>
      </c>
      <c r="M15" s="4" t="s">
        <v>19</v>
      </c>
    </row>
    <row r="16" spans="2:13">
      <c r="B16" s="3">
        <v>15</v>
      </c>
      <c r="C16" t="s">
        <v>431</v>
      </c>
      <c r="D16" s="4"/>
      <c r="E16" s="88">
        <v>4</v>
      </c>
      <c r="F16" s="101">
        <f t="shared" si="0"/>
        <v>80</v>
      </c>
      <c r="G16">
        <f>VLOOKUP($C16,약재관리!A:J,10,FALSE)</f>
        <v>21.8</v>
      </c>
      <c r="H16" s="5">
        <f t="shared" si="1"/>
        <v>87.2</v>
      </c>
      <c r="I16" s="6">
        <f t="shared" si="2"/>
        <v>1744</v>
      </c>
      <c r="K16" s="91" t="s">
        <v>20</v>
      </c>
      <c r="L16">
        <v>45</v>
      </c>
      <c r="M16" s="4" t="s">
        <v>21</v>
      </c>
    </row>
    <row r="17" spans="2:13" ht="17.25" thickBot="1">
      <c r="B17" s="3">
        <v>16</v>
      </c>
      <c r="C17" t="s">
        <v>445</v>
      </c>
      <c r="D17" s="4"/>
      <c r="E17" s="88">
        <v>4</v>
      </c>
      <c r="F17" s="101">
        <f t="shared" si="0"/>
        <v>80</v>
      </c>
      <c r="G17">
        <f>VLOOKUP($C17,약재관리!A:J,10,FALSE)</f>
        <v>15.4</v>
      </c>
      <c r="H17" s="5">
        <f t="shared" si="1"/>
        <v>61.6</v>
      </c>
      <c r="I17" s="6">
        <f t="shared" si="2"/>
        <v>1232</v>
      </c>
      <c r="K17" s="14" t="s">
        <v>22</v>
      </c>
      <c r="L17" s="11">
        <v>100</v>
      </c>
      <c r="M17" s="12" t="s">
        <v>23</v>
      </c>
    </row>
    <row r="18" spans="2:13">
      <c r="B18" s="3">
        <v>17</v>
      </c>
      <c r="C18" t="s">
        <v>432</v>
      </c>
      <c r="D18" s="4"/>
      <c r="E18" s="88">
        <v>2</v>
      </c>
      <c r="F18" s="101">
        <f t="shared" si="0"/>
        <v>40</v>
      </c>
      <c r="G18">
        <f>VLOOKUP($C18,약재관리!A:J,10,FALSE)</f>
        <v>9.1999999999999993</v>
      </c>
      <c r="H18" s="5">
        <f t="shared" si="1"/>
        <v>18.399999999999999</v>
      </c>
      <c r="I18" s="6">
        <f t="shared" si="2"/>
        <v>368</v>
      </c>
      <c r="K18" s="92" t="s">
        <v>24</v>
      </c>
      <c r="L18" s="9">
        <f>SUM(E2:E31)</f>
        <v>87</v>
      </c>
      <c r="M18" s="10" t="s">
        <v>25</v>
      </c>
    </row>
    <row r="19" spans="2:13">
      <c r="B19" s="3">
        <v>18</v>
      </c>
      <c r="C19" t="s">
        <v>433</v>
      </c>
      <c r="D19" s="4"/>
      <c r="E19" s="88">
        <v>2</v>
      </c>
      <c r="F19" s="101">
        <f t="shared" si="0"/>
        <v>40</v>
      </c>
      <c r="G19">
        <f>VLOOKUP($C19,약재관리!A:J,10,FALSE)</f>
        <v>10.8</v>
      </c>
      <c r="H19" s="5">
        <f t="shared" si="1"/>
        <v>21.6</v>
      </c>
      <c r="I19" s="6">
        <f t="shared" si="2"/>
        <v>432</v>
      </c>
      <c r="K19" s="91" t="s">
        <v>26</v>
      </c>
      <c r="L19">
        <f>L15*L18</f>
        <v>1740</v>
      </c>
      <c r="M19" s="4" t="s">
        <v>25</v>
      </c>
    </row>
    <row r="20" spans="2:13" ht="17.25" thickBot="1">
      <c r="B20" s="3">
        <v>19</v>
      </c>
      <c r="C20" t="s">
        <v>447</v>
      </c>
      <c r="D20" s="4"/>
      <c r="E20" s="88">
        <v>4</v>
      </c>
      <c r="F20" s="101">
        <f t="shared" si="0"/>
        <v>80</v>
      </c>
      <c r="G20">
        <f>VLOOKUP($C20,약재관리!A:J,10,FALSE)</f>
        <v>21.7</v>
      </c>
      <c r="H20" s="5">
        <f t="shared" si="1"/>
        <v>86.8</v>
      </c>
      <c r="I20" s="6">
        <f t="shared" si="2"/>
        <v>1736</v>
      </c>
      <c r="K20" s="14" t="s">
        <v>27</v>
      </c>
      <c r="L20" s="11">
        <f>L16*L17+L19</f>
        <v>6240</v>
      </c>
      <c r="M20" s="12" t="s">
        <v>23</v>
      </c>
    </row>
    <row r="21" spans="2:13" ht="17.25" thickBot="1">
      <c r="B21" s="3">
        <v>20</v>
      </c>
      <c r="C21" t="s">
        <v>439</v>
      </c>
      <c r="D21" s="4"/>
      <c r="E21" s="88">
        <v>10</v>
      </c>
      <c r="F21" s="101">
        <f t="shared" si="0"/>
        <v>200</v>
      </c>
      <c r="G21">
        <f>VLOOKUP($C21,약재관리!A:J,10,FALSE)</f>
        <v>52</v>
      </c>
      <c r="H21" s="5">
        <f t="shared" si="1"/>
        <v>520</v>
      </c>
      <c r="I21" s="6">
        <f t="shared" si="2"/>
        <v>10400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1740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2485.4999999999995</v>
      </c>
      <c r="M30" s="4" t="s">
        <v>386</v>
      </c>
    </row>
    <row r="31" spans="2:13" ht="17.25" thickBot="1">
      <c r="B31" s="13">
        <v>30</v>
      </c>
      <c r="C31" s="14"/>
      <c r="D31" s="12"/>
      <c r="E31" s="95"/>
      <c r="F31" s="102">
        <f t="shared" si="0"/>
        <v>0</v>
      </c>
      <c r="G31" s="14"/>
      <c r="H31" s="15">
        <f t="shared" si="1"/>
        <v>0</v>
      </c>
      <c r="I31" s="16">
        <f t="shared" si="2"/>
        <v>0</v>
      </c>
      <c r="K31" s="14" t="s">
        <v>385</v>
      </c>
      <c r="L31" s="15">
        <f>SUM(I2:I31)</f>
        <v>49710</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EF99-A28B-455E-A1BB-36B77BC485BB}">
  <sheetPr>
    <pageSetUpPr fitToPage="1"/>
  </sheetPr>
  <dimension ref="B1:M31"/>
  <sheetViews>
    <sheetView workbookViewId="0">
      <selection activeCell="E18" sqref="E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6</v>
      </c>
      <c r="F2" s="101">
        <f>E2*$L$15</f>
        <v>120</v>
      </c>
      <c r="G2">
        <f>VLOOKUP($C2,약재관리!A:J,10,FALSE)</f>
        <v>19.600000000000001</v>
      </c>
      <c r="H2" s="5">
        <f>G2*E2</f>
        <v>117.60000000000001</v>
      </c>
      <c r="I2" s="90">
        <f>G2*F2</f>
        <v>2352</v>
      </c>
      <c r="K2" s="7" t="s">
        <v>9</v>
      </c>
      <c r="L2" s="161">
        <v>47</v>
      </c>
      <c r="M2" s="162"/>
    </row>
    <row r="3" spans="2:13">
      <c r="B3" s="3">
        <v>2</v>
      </c>
      <c r="C3" t="s">
        <v>425</v>
      </c>
      <c r="D3" s="4"/>
      <c r="E3" s="88">
        <v>6</v>
      </c>
      <c r="F3" s="101">
        <f t="shared" ref="F3:F31" si="0">E3*$L$15</f>
        <v>120</v>
      </c>
      <c r="G3">
        <f>VLOOKUP($C3,약재관리!A:J,10,FALSE)</f>
        <v>24</v>
      </c>
      <c r="H3" s="5">
        <f t="shared" ref="H3:H31" si="1">G3*E3</f>
        <v>144</v>
      </c>
      <c r="I3" s="6">
        <f t="shared" ref="I3:I31" si="2">G3*F3</f>
        <v>2880</v>
      </c>
      <c r="K3" s="8" t="s">
        <v>10</v>
      </c>
      <c r="L3" s="163" t="s">
        <v>451</v>
      </c>
      <c r="M3" s="164"/>
    </row>
    <row r="4" spans="2:13">
      <c r="B4" s="3">
        <v>3</v>
      </c>
      <c r="C4" t="s">
        <v>419</v>
      </c>
      <c r="D4" s="4"/>
      <c r="E4" s="88">
        <v>8</v>
      </c>
      <c r="F4" s="101">
        <f t="shared" si="0"/>
        <v>160</v>
      </c>
      <c r="G4">
        <f>VLOOKUP($C4,약재관리!A:J,10,FALSE)</f>
        <v>25</v>
      </c>
      <c r="H4" s="5">
        <f t="shared" si="1"/>
        <v>200</v>
      </c>
      <c r="I4" s="6">
        <f t="shared" si="2"/>
        <v>4000</v>
      </c>
      <c r="K4" s="8" t="s">
        <v>11</v>
      </c>
      <c r="L4" s="165">
        <v>45700</v>
      </c>
      <c r="M4" s="164"/>
    </row>
    <row r="5" spans="2:13">
      <c r="B5" s="3">
        <v>4</v>
      </c>
      <c r="C5" t="s">
        <v>411</v>
      </c>
      <c r="D5" s="4"/>
      <c r="E5" s="88">
        <v>6</v>
      </c>
      <c r="F5" s="101">
        <f t="shared" si="0"/>
        <v>120</v>
      </c>
      <c r="G5">
        <f>VLOOKUP($C5,약재관리!A:J,10,FALSE)</f>
        <v>11</v>
      </c>
      <c r="H5" s="5">
        <f t="shared" si="1"/>
        <v>66</v>
      </c>
      <c r="I5" s="6">
        <f t="shared" si="2"/>
        <v>1320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8</v>
      </c>
      <c r="F7" s="101">
        <f t="shared" si="0"/>
        <v>160</v>
      </c>
      <c r="G7">
        <f>VLOOKUP($C7,약재관리!A:J,10,FALSE)</f>
        <v>17.399999999999999</v>
      </c>
      <c r="H7" s="5">
        <f t="shared" si="1"/>
        <v>139.19999999999999</v>
      </c>
      <c r="I7" s="6">
        <f t="shared" si="2"/>
        <v>2784</v>
      </c>
      <c r="K7" s="8" t="s">
        <v>14</v>
      </c>
      <c r="L7" s="147" t="s">
        <v>408</v>
      </c>
      <c r="M7" s="148"/>
    </row>
    <row r="8" spans="2:13" ht="17.25" thickBot="1">
      <c r="B8" s="3">
        <v>7</v>
      </c>
      <c r="C8" t="s">
        <v>414</v>
      </c>
      <c r="D8" s="4" t="s">
        <v>422</v>
      </c>
      <c r="E8" s="88">
        <v>2</v>
      </c>
      <c r="F8" s="101">
        <f t="shared" si="0"/>
        <v>40</v>
      </c>
      <c r="G8">
        <f>VLOOKUP($C8,약재관리!A:J,10,FALSE)</f>
        <v>21.3</v>
      </c>
      <c r="H8" s="5">
        <f>G8*E8</f>
        <v>42.6</v>
      </c>
      <c r="I8" s="6">
        <f t="shared" si="2"/>
        <v>852</v>
      </c>
      <c r="K8" s="149" t="s">
        <v>15</v>
      </c>
      <c r="L8" s="150"/>
      <c r="M8" s="151"/>
    </row>
    <row r="9" spans="2:13">
      <c r="B9" s="3">
        <v>8</v>
      </c>
      <c r="C9" t="s">
        <v>415</v>
      </c>
      <c r="D9" s="4"/>
      <c r="E9" s="88">
        <v>3</v>
      </c>
      <c r="F9" s="101">
        <f t="shared" si="0"/>
        <v>60</v>
      </c>
      <c r="G9">
        <f>VLOOKUP($C9,약재관리!A:J,10,FALSE)</f>
        <v>16.7</v>
      </c>
      <c r="H9" s="5">
        <f t="shared" ref="H9:H10" si="3">G9*E9</f>
        <v>50.099999999999994</v>
      </c>
      <c r="I9" s="6">
        <f t="shared" si="2"/>
        <v>1002</v>
      </c>
      <c r="K9" s="152" t="s">
        <v>448</v>
      </c>
      <c r="L9" s="153"/>
      <c r="M9" s="154"/>
    </row>
    <row r="10" spans="2:13">
      <c r="B10" s="3">
        <v>9</v>
      </c>
      <c r="C10" t="s">
        <v>438</v>
      </c>
      <c r="D10" s="4"/>
      <c r="E10" s="88">
        <v>2</v>
      </c>
      <c r="F10" s="101">
        <f t="shared" si="0"/>
        <v>40</v>
      </c>
      <c r="G10">
        <f>VLOOKUP($C10,약재관리!A:J,10,FALSE)</f>
        <v>9.5</v>
      </c>
      <c r="H10" s="5">
        <f t="shared" si="3"/>
        <v>19</v>
      </c>
      <c r="I10" s="6">
        <f t="shared" si="2"/>
        <v>380</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447</v>
      </c>
      <c r="D12" s="4"/>
      <c r="E12" s="88">
        <v>4</v>
      </c>
      <c r="F12" s="101">
        <f t="shared" si="0"/>
        <v>80</v>
      </c>
      <c r="G12">
        <f>VLOOKUP($C12,약재관리!A:J,10,FALSE)</f>
        <v>21.7</v>
      </c>
      <c r="H12" s="5">
        <f t="shared" si="1"/>
        <v>86.8</v>
      </c>
      <c r="I12" s="6">
        <f t="shared" si="2"/>
        <v>1736</v>
      </c>
      <c r="K12" s="155"/>
      <c r="L12" s="156"/>
      <c r="M12" s="157"/>
    </row>
    <row r="13" spans="2:13" ht="17.25" thickBot="1">
      <c r="B13" s="3">
        <v>12</v>
      </c>
      <c r="C13" t="s">
        <v>420</v>
      </c>
      <c r="D13" s="4"/>
      <c r="E13" s="88">
        <v>6</v>
      </c>
      <c r="F13" s="101">
        <f t="shared" si="0"/>
        <v>120</v>
      </c>
      <c r="G13">
        <f>VLOOKUP($C13,약재관리!A:J,10,FALSE)</f>
        <v>31.5</v>
      </c>
      <c r="H13" s="5">
        <f t="shared" si="1"/>
        <v>189</v>
      </c>
      <c r="I13" s="6">
        <f t="shared" si="2"/>
        <v>3780</v>
      </c>
      <c r="K13" s="158"/>
      <c r="L13" s="159"/>
      <c r="M13" s="160"/>
    </row>
    <row r="14" spans="2:13">
      <c r="B14" s="3">
        <v>13</v>
      </c>
      <c r="C14" t="s">
        <v>421</v>
      </c>
      <c r="D14" s="4" t="s">
        <v>423</v>
      </c>
      <c r="E14" s="88">
        <v>2</v>
      </c>
      <c r="F14" s="101">
        <f t="shared" si="0"/>
        <v>40</v>
      </c>
      <c r="G14">
        <f>VLOOKUP($C14,약재관리!A:J,10,FALSE)</f>
        <v>136.69999999999999</v>
      </c>
      <c r="H14" s="5">
        <f t="shared" si="1"/>
        <v>273.39999999999998</v>
      </c>
      <c r="I14" s="6">
        <f t="shared" si="2"/>
        <v>5468</v>
      </c>
      <c r="K14" s="92" t="s">
        <v>16</v>
      </c>
      <c r="L14" s="9">
        <v>15</v>
      </c>
      <c r="M14" s="10" t="s">
        <v>17</v>
      </c>
    </row>
    <row r="15" spans="2:13">
      <c r="B15" s="3">
        <v>14</v>
      </c>
      <c r="C15" t="s">
        <v>416</v>
      </c>
      <c r="D15" s="4"/>
      <c r="E15" s="88">
        <v>3</v>
      </c>
      <c r="F15" s="101">
        <f t="shared" si="0"/>
        <v>60</v>
      </c>
      <c r="G15">
        <f>VLOOKUP($C15,약재관리!A:J,10,FALSE)</f>
        <v>27.7</v>
      </c>
      <c r="H15" s="5">
        <f t="shared" si="1"/>
        <v>83.1</v>
      </c>
      <c r="I15" s="6">
        <f t="shared" si="2"/>
        <v>1662</v>
      </c>
      <c r="K15" s="91" t="s">
        <v>18</v>
      </c>
      <c r="L15">
        <v>20</v>
      </c>
      <c r="M15" s="4" t="s">
        <v>19</v>
      </c>
    </row>
    <row r="16" spans="2:13">
      <c r="B16" s="3">
        <v>15</v>
      </c>
      <c r="C16" t="s">
        <v>431</v>
      </c>
      <c r="D16" s="4"/>
      <c r="E16" s="88">
        <v>4</v>
      </c>
      <c r="F16" s="101">
        <f t="shared" si="0"/>
        <v>80</v>
      </c>
      <c r="G16">
        <f>VLOOKUP($C16,약재관리!A:J,10,FALSE)</f>
        <v>21.8</v>
      </c>
      <c r="H16" s="5">
        <f t="shared" si="1"/>
        <v>87.2</v>
      </c>
      <c r="I16" s="6">
        <f t="shared" si="2"/>
        <v>1744</v>
      </c>
      <c r="K16" s="91" t="s">
        <v>20</v>
      </c>
      <c r="L16">
        <v>45</v>
      </c>
      <c r="M16" s="4" t="s">
        <v>21</v>
      </c>
    </row>
    <row r="17" spans="2:13" ht="17.25" thickBot="1">
      <c r="B17" s="3">
        <v>16</v>
      </c>
      <c r="C17" t="s">
        <v>445</v>
      </c>
      <c r="D17" s="4"/>
      <c r="E17" s="88">
        <v>3</v>
      </c>
      <c r="F17" s="101">
        <f t="shared" si="0"/>
        <v>60</v>
      </c>
      <c r="G17">
        <f>VLOOKUP($C17,약재관리!A:J,10,FALSE)</f>
        <v>15.4</v>
      </c>
      <c r="H17" s="5">
        <f t="shared" si="1"/>
        <v>46.2</v>
      </c>
      <c r="I17" s="6">
        <f t="shared" si="2"/>
        <v>924</v>
      </c>
      <c r="K17" s="14" t="s">
        <v>22</v>
      </c>
      <c r="L17" s="11">
        <v>100</v>
      </c>
      <c r="M17" s="12" t="s">
        <v>23</v>
      </c>
    </row>
    <row r="18" spans="2:13">
      <c r="B18" s="3">
        <v>17</v>
      </c>
      <c r="C18" t="s">
        <v>450</v>
      </c>
      <c r="D18" s="4"/>
      <c r="E18" s="88">
        <v>4</v>
      </c>
      <c r="F18" s="101">
        <f t="shared" si="0"/>
        <v>80</v>
      </c>
      <c r="G18">
        <f>VLOOKUP($C18,약재관리!A:J,10,FALSE)</f>
        <v>72.7</v>
      </c>
      <c r="H18" s="5">
        <f t="shared" si="1"/>
        <v>290.8</v>
      </c>
      <c r="I18" s="6">
        <f t="shared" si="2"/>
        <v>5816</v>
      </c>
      <c r="K18" s="92" t="s">
        <v>24</v>
      </c>
      <c r="L18" s="9">
        <f>SUM(E2:E31)</f>
        <v>79</v>
      </c>
      <c r="M18" s="10" t="s">
        <v>25</v>
      </c>
    </row>
    <row r="19" spans="2:13">
      <c r="B19" s="3">
        <v>18</v>
      </c>
      <c r="C19" t="s">
        <v>449</v>
      </c>
      <c r="D19" s="4"/>
      <c r="E19" s="88">
        <v>2</v>
      </c>
      <c r="F19" s="101">
        <f t="shared" si="0"/>
        <v>40</v>
      </c>
      <c r="G19">
        <f>VLOOKUP($C19,약재관리!A:J,10,FALSE)</f>
        <v>21.8</v>
      </c>
      <c r="H19" s="5">
        <f t="shared" si="1"/>
        <v>43.6</v>
      </c>
      <c r="I19" s="6">
        <f t="shared" si="2"/>
        <v>872</v>
      </c>
      <c r="K19" s="91" t="s">
        <v>26</v>
      </c>
      <c r="L19">
        <f>L15*L18</f>
        <v>1580</v>
      </c>
      <c r="M19" s="4" t="s">
        <v>25</v>
      </c>
    </row>
    <row r="20" spans="2:13" ht="17.25" thickBot="1">
      <c r="B20" s="3">
        <v>19</v>
      </c>
      <c r="C20" t="s">
        <v>452</v>
      </c>
      <c r="D20" s="4"/>
      <c r="E20" s="88">
        <v>4</v>
      </c>
      <c r="F20" s="101">
        <f t="shared" si="0"/>
        <v>80</v>
      </c>
      <c r="G20">
        <f>VLOOKUP($C20,약재관리!A:J,10,FALSE)</f>
        <v>47</v>
      </c>
      <c r="H20" s="5">
        <f t="shared" si="1"/>
        <v>188</v>
      </c>
      <c r="I20" s="6">
        <f t="shared" si="2"/>
        <v>3760</v>
      </c>
      <c r="K20" s="14" t="s">
        <v>27</v>
      </c>
      <c r="L20" s="11">
        <f>L16*L17+L19</f>
        <v>6080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1580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2300.4</v>
      </c>
      <c r="M30" s="4" t="s">
        <v>386</v>
      </c>
    </row>
    <row r="31" spans="2:13" ht="17.25" thickBot="1">
      <c r="B31" s="13">
        <v>30</v>
      </c>
      <c r="C31" s="14"/>
      <c r="D31" s="12"/>
      <c r="E31" s="95"/>
      <c r="F31" s="102">
        <f t="shared" si="0"/>
        <v>0</v>
      </c>
      <c r="G31" s="14"/>
      <c r="H31" s="15">
        <f t="shared" si="1"/>
        <v>0</v>
      </c>
      <c r="I31" s="16">
        <f t="shared" si="2"/>
        <v>0</v>
      </c>
      <c r="K31" s="14" t="s">
        <v>385</v>
      </c>
      <c r="L31" s="15">
        <f>SUM(I2:I31)</f>
        <v>46008</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C170-6614-48AC-A547-B871A4066B9D}">
  <sheetPr>
    <pageSetUpPr fitToPage="1"/>
  </sheetPr>
  <dimension ref="B1:M31"/>
  <sheetViews>
    <sheetView workbookViewId="0">
      <selection activeCell="C18" sqref="C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6</v>
      </c>
      <c r="F2" s="101">
        <f>E2*$L$15</f>
        <v>120</v>
      </c>
      <c r="G2">
        <f>VLOOKUP($C2,약재관리!A:J,10,FALSE)</f>
        <v>19.600000000000001</v>
      </c>
      <c r="H2" s="5">
        <f>G2*E2</f>
        <v>117.60000000000001</v>
      </c>
      <c r="I2" s="90">
        <f>G2*F2</f>
        <v>2352</v>
      </c>
      <c r="K2" s="7" t="s">
        <v>9</v>
      </c>
      <c r="L2" s="161">
        <v>47</v>
      </c>
      <c r="M2" s="162"/>
    </row>
    <row r="3" spans="2:13">
      <c r="B3" s="3">
        <v>2</v>
      </c>
      <c r="C3" t="s">
        <v>425</v>
      </c>
      <c r="D3" s="4"/>
      <c r="E3" s="88">
        <v>8</v>
      </c>
      <c r="F3" s="101">
        <f t="shared" ref="F3:F31" si="0">E3*$L$15</f>
        <v>160</v>
      </c>
      <c r="G3">
        <f>VLOOKUP($C3,약재관리!A:J,10,FALSE)</f>
        <v>24</v>
      </c>
      <c r="H3" s="5">
        <f t="shared" ref="H3:H31" si="1">G3*E3</f>
        <v>192</v>
      </c>
      <c r="I3" s="6">
        <f t="shared" ref="I3:I31" si="2">G3*F3</f>
        <v>3840</v>
      </c>
      <c r="K3" s="8" t="s">
        <v>10</v>
      </c>
      <c r="L3" s="163" t="s">
        <v>451</v>
      </c>
      <c r="M3" s="164"/>
    </row>
    <row r="4" spans="2:13">
      <c r="B4" s="3">
        <v>3</v>
      </c>
      <c r="C4" t="s">
        <v>419</v>
      </c>
      <c r="D4" s="4"/>
      <c r="E4" s="88">
        <v>8</v>
      </c>
      <c r="F4" s="101">
        <f t="shared" si="0"/>
        <v>160</v>
      </c>
      <c r="G4">
        <f>VLOOKUP($C4,약재관리!A:J,10,FALSE)</f>
        <v>25</v>
      </c>
      <c r="H4" s="5">
        <f t="shared" si="1"/>
        <v>200</v>
      </c>
      <c r="I4" s="6">
        <f t="shared" si="2"/>
        <v>4000</v>
      </c>
      <c r="K4" s="8" t="s">
        <v>11</v>
      </c>
      <c r="L4" s="165">
        <v>45700</v>
      </c>
      <c r="M4" s="164"/>
    </row>
    <row r="5" spans="2:13">
      <c r="B5" s="3">
        <v>4</v>
      </c>
      <c r="C5" t="s">
        <v>411</v>
      </c>
      <c r="D5" s="4"/>
      <c r="E5" s="88">
        <v>6</v>
      </c>
      <c r="F5" s="101">
        <f t="shared" si="0"/>
        <v>120</v>
      </c>
      <c r="G5">
        <f>VLOOKUP($C5,약재관리!A:J,10,FALSE)</f>
        <v>11</v>
      </c>
      <c r="H5" s="5">
        <f t="shared" si="1"/>
        <v>66</v>
      </c>
      <c r="I5" s="6">
        <f t="shared" si="2"/>
        <v>1320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8</v>
      </c>
      <c r="F7" s="101">
        <f t="shared" si="0"/>
        <v>160</v>
      </c>
      <c r="G7">
        <f>VLOOKUP($C7,약재관리!A:J,10,FALSE)</f>
        <v>17.399999999999999</v>
      </c>
      <c r="H7" s="5">
        <f t="shared" si="1"/>
        <v>139.19999999999999</v>
      </c>
      <c r="I7" s="6">
        <f t="shared" si="2"/>
        <v>2784</v>
      </c>
      <c r="K7" s="8" t="s">
        <v>14</v>
      </c>
      <c r="L7" s="147" t="s">
        <v>408</v>
      </c>
      <c r="M7" s="148"/>
    </row>
    <row r="8" spans="2:13" ht="17.25" thickBot="1">
      <c r="B8" s="3">
        <v>7</v>
      </c>
      <c r="C8" t="s">
        <v>414</v>
      </c>
      <c r="D8" s="4" t="s">
        <v>422</v>
      </c>
      <c r="E8" s="88">
        <v>2</v>
      </c>
      <c r="F8" s="101">
        <f t="shared" si="0"/>
        <v>40</v>
      </c>
      <c r="G8">
        <f>VLOOKUP($C8,약재관리!A:J,10,FALSE)</f>
        <v>21.3</v>
      </c>
      <c r="H8" s="5">
        <f>G8*E8</f>
        <v>42.6</v>
      </c>
      <c r="I8" s="6">
        <f t="shared" si="2"/>
        <v>852</v>
      </c>
      <c r="K8" s="149" t="s">
        <v>15</v>
      </c>
      <c r="L8" s="150"/>
      <c r="M8" s="151"/>
    </row>
    <row r="9" spans="2:13">
      <c r="B9" s="3">
        <v>8</v>
      </c>
      <c r="C9" t="s">
        <v>415</v>
      </c>
      <c r="D9" s="4"/>
      <c r="E9" s="88">
        <v>3</v>
      </c>
      <c r="F9" s="101">
        <f t="shared" si="0"/>
        <v>60</v>
      </c>
      <c r="G9">
        <f>VLOOKUP($C9,약재관리!A:J,10,FALSE)</f>
        <v>16.7</v>
      </c>
      <c r="H9" s="5">
        <f t="shared" ref="H9:H10" si="3">G9*E9</f>
        <v>50.099999999999994</v>
      </c>
      <c r="I9" s="6">
        <f t="shared" si="2"/>
        <v>1002</v>
      </c>
      <c r="K9" s="152" t="s">
        <v>448</v>
      </c>
      <c r="L9" s="153"/>
      <c r="M9" s="154"/>
    </row>
    <row r="10" spans="2:13">
      <c r="B10" s="3">
        <v>9</v>
      </c>
      <c r="C10" t="s">
        <v>438</v>
      </c>
      <c r="D10" s="4"/>
      <c r="E10" s="88">
        <v>2</v>
      </c>
      <c r="F10" s="101">
        <f t="shared" si="0"/>
        <v>40</v>
      </c>
      <c r="G10">
        <f>VLOOKUP($C10,약재관리!A:J,10,FALSE)</f>
        <v>9.5</v>
      </c>
      <c r="H10" s="5">
        <f t="shared" si="3"/>
        <v>19</v>
      </c>
      <c r="I10" s="6">
        <f t="shared" si="2"/>
        <v>380</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447</v>
      </c>
      <c r="D12" s="4"/>
      <c r="E12" s="88">
        <v>4</v>
      </c>
      <c r="F12" s="101">
        <f t="shared" si="0"/>
        <v>80</v>
      </c>
      <c r="G12">
        <f>VLOOKUP($C12,약재관리!A:J,10,FALSE)</f>
        <v>21.7</v>
      </c>
      <c r="H12" s="5">
        <f t="shared" si="1"/>
        <v>86.8</v>
      </c>
      <c r="I12" s="6">
        <f t="shared" si="2"/>
        <v>1736</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2</v>
      </c>
      <c r="F14" s="101">
        <f t="shared" si="0"/>
        <v>40</v>
      </c>
      <c r="G14">
        <f>VLOOKUP($C14,약재관리!A:J,10,FALSE)</f>
        <v>136.69999999999999</v>
      </c>
      <c r="H14" s="5">
        <f t="shared" si="1"/>
        <v>273.39999999999998</v>
      </c>
      <c r="I14" s="6">
        <f t="shared" si="2"/>
        <v>5468</v>
      </c>
      <c r="K14" s="92" t="s">
        <v>16</v>
      </c>
      <c r="L14" s="9">
        <v>15</v>
      </c>
      <c r="M14" s="10" t="s">
        <v>17</v>
      </c>
    </row>
    <row r="15" spans="2:13">
      <c r="B15" s="3">
        <v>14</v>
      </c>
      <c r="C15" t="s">
        <v>416</v>
      </c>
      <c r="D15" s="4"/>
      <c r="E15" s="88">
        <v>3</v>
      </c>
      <c r="F15" s="101">
        <f t="shared" si="0"/>
        <v>60</v>
      </c>
      <c r="G15">
        <f>VLOOKUP($C15,약재관리!A:J,10,FALSE)</f>
        <v>27.7</v>
      </c>
      <c r="H15" s="5">
        <f t="shared" si="1"/>
        <v>83.1</v>
      </c>
      <c r="I15" s="6">
        <f t="shared" si="2"/>
        <v>1662</v>
      </c>
      <c r="K15" s="91" t="s">
        <v>18</v>
      </c>
      <c r="L15">
        <v>20</v>
      </c>
      <c r="M15" s="4" t="s">
        <v>19</v>
      </c>
    </row>
    <row r="16" spans="2:13">
      <c r="B16" s="3">
        <v>15</v>
      </c>
      <c r="C16" t="s">
        <v>431</v>
      </c>
      <c r="D16" s="4"/>
      <c r="E16" s="88">
        <v>4</v>
      </c>
      <c r="F16" s="101">
        <f t="shared" si="0"/>
        <v>80</v>
      </c>
      <c r="G16">
        <f>VLOOKUP($C16,약재관리!A:J,10,FALSE)</f>
        <v>21.8</v>
      </c>
      <c r="H16" s="5">
        <f t="shared" si="1"/>
        <v>87.2</v>
      </c>
      <c r="I16" s="6">
        <f t="shared" si="2"/>
        <v>1744</v>
      </c>
      <c r="K16" s="91" t="s">
        <v>20</v>
      </c>
      <c r="L16">
        <v>45</v>
      </c>
      <c r="M16" s="4" t="s">
        <v>21</v>
      </c>
    </row>
    <row r="17" spans="2:13" ht="17.25" thickBot="1">
      <c r="B17" s="3">
        <v>16</v>
      </c>
      <c r="C17" t="s">
        <v>445</v>
      </c>
      <c r="D17" s="4"/>
      <c r="E17" s="88">
        <v>4</v>
      </c>
      <c r="F17" s="101">
        <f t="shared" si="0"/>
        <v>80</v>
      </c>
      <c r="G17">
        <f>VLOOKUP($C17,약재관리!A:J,10,FALSE)</f>
        <v>15.4</v>
      </c>
      <c r="H17" s="5">
        <f t="shared" si="1"/>
        <v>61.6</v>
      </c>
      <c r="I17" s="6">
        <f t="shared" si="2"/>
        <v>1232</v>
      </c>
      <c r="K17" s="14" t="s">
        <v>22</v>
      </c>
      <c r="L17" s="11">
        <v>100</v>
      </c>
      <c r="M17" s="12" t="s">
        <v>23</v>
      </c>
    </row>
    <row r="18" spans="2:13">
      <c r="B18" s="3">
        <v>17</v>
      </c>
      <c r="C18" t="s">
        <v>450</v>
      </c>
      <c r="D18" s="4"/>
      <c r="E18" s="88">
        <v>4</v>
      </c>
      <c r="F18" s="101">
        <f t="shared" si="0"/>
        <v>80</v>
      </c>
      <c r="G18">
        <f>VLOOKUP($C18,약재관리!A:J,10,FALSE)</f>
        <v>72.7</v>
      </c>
      <c r="H18" s="5">
        <f t="shared" si="1"/>
        <v>290.8</v>
      </c>
      <c r="I18" s="6">
        <f t="shared" si="2"/>
        <v>5816</v>
      </c>
      <c r="K18" s="92" t="s">
        <v>24</v>
      </c>
      <c r="L18" s="9">
        <f>SUM(E2:E31)</f>
        <v>76</v>
      </c>
      <c r="M18" s="10" t="s">
        <v>25</v>
      </c>
    </row>
    <row r="19" spans="2:13">
      <c r="B19" s="3">
        <v>18</v>
      </c>
      <c r="C19" t="s">
        <v>449</v>
      </c>
      <c r="D19" s="4"/>
      <c r="E19" s="88">
        <v>2</v>
      </c>
      <c r="F19" s="101">
        <f t="shared" si="0"/>
        <v>40</v>
      </c>
      <c r="G19">
        <f>VLOOKUP($C19,약재관리!A:J,10,FALSE)</f>
        <v>21.8</v>
      </c>
      <c r="H19" s="5">
        <f t="shared" si="1"/>
        <v>43.6</v>
      </c>
      <c r="I19" s="6">
        <f t="shared" si="2"/>
        <v>872</v>
      </c>
      <c r="K19" s="91" t="s">
        <v>26</v>
      </c>
      <c r="L19">
        <f>L15*L18</f>
        <v>1520</v>
      </c>
      <c r="M19" s="4" t="s">
        <v>25</v>
      </c>
    </row>
    <row r="20" spans="2:13" ht="17.25" thickBot="1">
      <c r="B20" s="3">
        <v>19</v>
      </c>
      <c r="D20" s="4"/>
      <c r="F20" s="101">
        <f t="shared" si="0"/>
        <v>0</v>
      </c>
      <c r="H20" s="5">
        <f t="shared" si="1"/>
        <v>0</v>
      </c>
      <c r="I20" s="6">
        <f t="shared" si="2"/>
        <v>0</v>
      </c>
      <c r="K20" s="14" t="s">
        <v>27</v>
      </c>
      <c r="L20" s="11">
        <f>L16*L17+L19</f>
        <v>6020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1520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2112.7999999999997</v>
      </c>
      <c r="M30" s="4" t="s">
        <v>386</v>
      </c>
    </row>
    <row r="31" spans="2:13" ht="17.25" thickBot="1">
      <c r="B31" s="13">
        <v>30</v>
      </c>
      <c r="C31" s="14"/>
      <c r="D31" s="12"/>
      <c r="E31" s="95"/>
      <c r="F31" s="102">
        <f t="shared" si="0"/>
        <v>0</v>
      </c>
      <c r="G31" s="14"/>
      <c r="H31" s="15">
        <f t="shared" si="1"/>
        <v>0</v>
      </c>
      <c r="I31" s="16">
        <f t="shared" si="2"/>
        <v>0</v>
      </c>
      <c r="K31" s="14" t="s">
        <v>385</v>
      </c>
      <c r="L31" s="15">
        <f>SUM(I2:I31)</f>
        <v>42256</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74A1-A1B5-4E5C-8381-A8427E5F2DA7}">
  <sheetPr>
    <pageSetUpPr fitToPage="1"/>
  </sheetPr>
  <dimension ref="B1:M31"/>
  <sheetViews>
    <sheetView workbookViewId="0">
      <selection activeCell="P17" sqref="P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6</v>
      </c>
      <c r="F2" s="101">
        <f>E2*$L$15</f>
        <v>120</v>
      </c>
      <c r="G2">
        <f>VLOOKUP($C2,약재관리!A:J,10,FALSE)</f>
        <v>19.600000000000001</v>
      </c>
      <c r="H2" s="5">
        <f>G2*E2</f>
        <v>117.60000000000001</v>
      </c>
      <c r="I2" s="90">
        <f>G2*F2</f>
        <v>2352</v>
      </c>
      <c r="K2" s="7" t="s">
        <v>9</v>
      </c>
      <c r="L2" s="161">
        <v>47</v>
      </c>
      <c r="M2" s="162"/>
    </row>
    <row r="3" spans="2:13">
      <c r="B3" s="3">
        <v>2</v>
      </c>
      <c r="C3" t="s">
        <v>425</v>
      </c>
      <c r="D3" s="4"/>
      <c r="E3" s="88">
        <v>8</v>
      </c>
      <c r="F3" s="101">
        <f t="shared" ref="F3:F31" si="0">E3*$L$15</f>
        <v>160</v>
      </c>
      <c r="G3">
        <f>VLOOKUP($C3,약재관리!A:J,10,FALSE)</f>
        <v>24</v>
      </c>
      <c r="H3" s="5">
        <f t="shared" ref="H3:H31" si="1">G3*E3</f>
        <v>192</v>
      </c>
      <c r="I3" s="6">
        <f t="shared" ref="I3:I31" si="2">G3*F3</f>
        <v>3840</v>
      </c>
      <c r="K3" s="8" t="s">
        <v>10</v>
      </c>
      <c r="L3" s="163" t="s">
        <v>429</v>
      </c>
      <c r="M3" s="164"/>
    </row>
    <row r="4" spans="2:13">
      <c r="B4" s="3">
        <v>3</v>
      </c>
      <c r="C4" t="s">
        <v>419</v>
      </c>
      <c r="D4" s="4"/>
      <c r="E4" s="88">
        <v>8</v>
      </c>
      <c r="F4" s="101">
        <f t="shared" si="0"/>
        <v>160</v>
      </c>
      <c r="G4">
        <f>VLOOKUP($C4,약재관리!A:J,10,FALSE)</f>
        <v>25</v>
      </c>
      <c r="H4" s="5">
        <f t="shared" si="1"/>
        <v>200</v>
      </c>
      <c r="I4" s="6">
        <f t="shared" si="2"/>
        <v>4000</v>
      </c>
      <c r="K4" s="8" t="s">
        <v>11</v>
      </c>
      <c r="L4" s="165">
        <v>45680</v>
      </c>
      <c r="M4" s="164"/>
    </row>
    <row r="5" spans="2:13">
      <c r="B5" s="3">
        <v>4</v>
      </c>
      <c r="C5" t="s">
        <v>411</v>
      </c>
      <c r="D5" s="4"/>
      <c r="E5" s="88">
        <v>6</v>
      </c>
      <c r="F5" s="101">
        <f t="shared" si="0"/>
        <v>120</v>
      </c>
      <c r="G5">
        <f>VLOOKUP($C5,약재관리!A:J,10,FALSE)</f>
        <v>11</v>
      </c>
      <c r="H5" s="5">
        <f t="shared" si="1"/>
        <v>66</v>
      </c>
      <c r="I5" s="6">
        <f t="shared" si="2"/>
        <v>1320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8</v>
      </c>
      <c r="F7" s="101">
        <f t="shared" si="0"/>
        <v>160</v>
      </c>
      <c r="G7">
        <f>VLOOKUP($C7,약재관리!A:J,10,FALSE)</f>
        <v>17.399999999999999</v>
      </c>
      <c r="H7" s="5">
        <f t="shared" si="1"/>
        <v>139.19999999999999</v>
      </c>
      <c r="I7" s="6">
        <f t="shared" si="2"/>
        <v>2784</v>
      </c>
      <c r="K7" s="8" t="s">
        <v>14</v>
      </c>
      <c r="L7" s="147" t="s">
        <v>408</v>
      </c>
      <c r="M7" s="148"/>
    </row>
    <row r="8" spans="2:13" ht="17.25" thickBot="1">
      <c r="B8" s="3">
        <v>7</v>
      </c>
      <c r="C8" t="s">
        <v>414</v>
      </c>
      <c r="D8" s="4" t="s">
        <v>422</v>
      </c>
      <c r="E8" s="88">
        <v>2</v>
      </c>
      <c r="F8" s="101">
        <f t="shared" si="0"/>
        <v>40</v>
      </c>
      <c r="G8">
        <f>VLOOKUP($C8,약재관리!A:J,10,FALSE)</f>
        <v>21.3</v>
      </c>
      <c r="H8" s="5">
        <f>G8*E8</f>
        <v>42.6</v>
      </c>
      <c r="I8" s="6">
        <f t="shared" si="2"/>
        <v>852</v>
      </c>
      <c r="K8" s="149" t="s">
        <v>15</v>
      </c>
      <c r="L8" s="150"/>
      <c r="M8" s="151"/>
    </row>
    <row r="9" spans="2:13">
      <c r="B9" s="3">
        <v>8</v>
      </c>
      <c r="C9" t="s">
        <v>415</v>
      </c>
      <c r="D9" s="4"/>
      <c r="E9" s="88">
        <v>3</v>
      </c>
      <c r="F9" s="101">
        <f t="shared" si="0"/>
        <v>60</v>
      </c>
      <c r="G9">
        <f>VLOOKUP($C9,약재관리!A:J,10,FALSE)</f>
        <v>16.7</v>
      </c>
      <c r="H9" s="5">
        <f t="shared" ref="H9:H10" si="3">G9*E9</f>
        <v>50.099999999999994</v>
      </c>
      <c r="I9" s="6">
        <f t="shared" si="2"/>
        <v>1002</v>
      </c>
      <c r="K9" s="152" t="s">
        <v>446</v>
      </c>
      <c r="L9" s="153"/>
      <c r="M9" s="154"/>
    </row>
    <row r="10" spans="2:13">
      <c r="B10" s="3">
        <v>9</v>
      </c>
      <c r="C10" t="s">
        <v>438</v>
      </c>
      <c r="D10" s="4"/>
      <c r="E10" s="88">
        <v>2</v>
      </c>
      <c r="F10" s="101">
        <f t="shared" si="0"/>
        <v>40</v>
      </c>
      <c r="G10">
        <f>VLOOKUP($C10,약재관리!A:J,10,FALSE)</f>
        <v>9.5</v>
      </c>
      <c r="H10" s="5">
        <f t="shared" si="3"/>
        <v>19</v>
      </c>
      <c r="I10" s="6">
        <f t="shared" si="2"/>
        <v>380</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430</v>
      </c>
      <c r="D12" s="4"/>
      <c r="E12" s="88">
        <v>4</v>
      </c>
      <c r="F12" s="101">
        <f t="shared" si="0"/>
        <v>80</v>
      </c>
      <c r="G12">
        <f>VLOOKUP($C12,약재관리!A:J,10,FALSE)</f>
        <v>44.2</v>
      </c>
      <c r="H12" s="5">
        <f t="shared" si="1"/>
        <v>176.8</v>
      </c>
      <c r="I12" s="6">
        <f t="shared" si="2"/>
        <v>3536</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2</v>
      </c>
      <c r="F14" s="101">
        <f t="shared" si="0"/>
        <v>40</v>
      </c>
      <c r="G14">
        <f>VLOOKUP($C14,약재관리!A:J,10,FALSE)</f>
        <v>136.69999999999999</v>
      </c>
      <c r="H14" s="5">
        <f t="shared" si="1"/>
        <v>273.39999999999998</v>
      </c>
      <c r="I14" s="6">
        <f t="shared" si="2"/>
        <v>5468</v>
      </c>
      <c r="K14" s="92" t="s">
        <v>16</v>
      </c>
      <c r="L14" s="9">
        <v>15</v>
      </c>
      <c r="M14" s="10" t="s">
        <v>17</v>
      </c>
    </row>
    <row r="15" spans="2:13">
      <c r="B15" s="3">
        <v>14</v>
      </c>
      <c r="C15" t="s">
        <v>416</v>
      </c>
      <c r="D15" s="4"/>
      <c r="E15" s="88">
        <v>3</v>
      </c>
      <c r="F15" s="101">
        <f t="shared" si="0"/>
        <v>60</v>
      </c>
      <c r="G15">
        <f>VLOOKUP($C15,약재관리!A:J,10,FALSE)</f>
        <v>27.7</v>
      </c>
      <c r="H15" s="5">
        <f t="shared" si="1"/>
        <v>83.1</v>
      </c>
      <c r="I15" s="6">
        <f t="shared" si="2"/>
        <v>1662</v>
      </c>
      <c r="K15" s="91" t="s">
        <v>18</v>
      </c>
      <c r="L15">
        <v>20</v>
      </c>
      <c r="M15" s="4" t="s">
        <v>19</v>
      </c>
    </row>
    <row r="16" spans="2:13">
      <c r="B16" s="3">
        <v>15</v>
      </c>
      <c r="C16" t="s">
        <v>431</v>
      </c>
      <c r="D16" s="4"/>
      <c r="E16" s="88">
        <v>4</v>
      </c>
      <c r="F16" s="101">
        <f t="shared" si="0"/>
        <v>80</v>
      </c>
      <c r="G16">
        <f>VLOOKUP($C16,약재관리!A:J,10,FALSE)</f>
        <v>21.8</v>
      </c>
      <c r="H16" s="5">
        <f t="shared" si="1"/>
        <v>87.2</v>
      </c>
      <c r="I16" s="6">
        <f t="shared" si="2"/>
        <v>1744</v>
      </c>
      <c r="K16" s="91" t="s">
        <v>20</v>
      </c>
      <c r="L16">
        <v>45</v>
      </c>
      <c r="M16" s="4" t="s">
        <v>21</v>
      </c>
    </row>
    <row r="17" spans="2:13" ht="17.25" thickBot="1">
      <c r="B17" s="3">
        <v>16</v>
      </c>
      <c r="C17" t="s">
        <v>445</v>
      </c>
      <c r="D17" s="4"/>
      <c r="E17" s="88">
        <v>4</v>
      </c>
      <c r="F17" s="101">
        <f t="shared" si="0"/>
        <v>80</v>
      </c>
      <c r="G17">
        <f>VLOOKUP($C17,약재관리!A:J,10,FALSE)</f>
        <v>15.4</v>
      </c>
      <c r="H17" s="5">
        <f t="shared" si="1"/>
        <v>61.6</v>
      </c>
      <c r="I17" s="6">
        <f t="shared" si="2"/>
        <v>1232</v>
      </c>
      <c r="K17" s="14" t="s">
        <v>22</v>
      </c>
      <c r="L17" s="11">
        <v>100</v>
      </c>
      <c r="M17" s="12" t="s">
        <v>23</v>
      </c>
    </row>
    <row r="18" spans="2:13">
      <c r="B18" s="3">
        <v>17</v>
      </c>
      <c r="C18" t="s">
        <v>432</v>
      </c>
      <c r="D18" s="4"/>
      <c r="E18" s="88">
        <v>2</v>
      </c>
      <c r="F18" s="101">
        <f t="shared" si="0"/>
        <v>40</v>
      </c>
      <c r="G18">
        <f>VLOOKUP($C18,약재관리!A:J,10,FALSE)</f>
        <v>9.1999999999999993</v>
      </c>
      <c r="H18" s="5">
        <f t="shared" si="1"/>
        <v>18.399999999999999</v>
      </c>
      <c r="I18" s="6">
        <f t="shared" si="2"/>
        <v>368</v>
      </c>
      <c r="K18" s="92" t="s">
        <v>24</v>
      </c>
      <c r="L18" s="9">
        <f>SUM(E2:E31)</f>
        <v>86</v>
      </c>
      <c r="M18" s="10" t="s">
        <v>25</v>
      </c>
    </row>
    <row r="19" spans="2:13">
      <c r="B19" s="3">
        <v>18</v>
      </c>
      <c r="C19" t="s">
        <v>433</v>
      </c>
      <c r="D19" s="4"/>
      <c r="E19" s="88">
        <v>2</v>
      </c>
      <c r="F19" s="101">
        <f t="shared" si="0"/>
        <v>40</v>
      </c>
      <c r="G19">
        <f>VLOOKUP($C19,약재관리!A:J,10,FALSE)</f>
        <v>10.8</v>
      </c>
      <c r="H19" s="5">
        <f t="shared" si="1"/>
        <v>21.6</v>
      </c>
      <c r="I19" s="6">
        <f t="shared" si="2"/>
        <v>432</v>
      </c>
      <c r="K19" s="91" t="s">
        <v>26</v>
      </c>
      <c r="L19">
        <f>L15*L18</f>
        <v>1720</v>
      </c>
      <c r="M19" s="4" t="s">
        <v>25</v>
      </c>
    </row>
    <row r="20" spans="2:13" ht="17.25" thickBot="1">
      <c r="B20" s="3">
        <v>19</v>
      </c>
      <c r="C20" t="s">
        <v>435</v>
      </c>
      <c r="D20" s="4"/>
      <c r="E20" s="88">
        <v>2</v>
      </c>
      <c r="F20" s="101">
        <f t="shared" si="0"/>
        <v>40</v>
      </c>
      <c r="G20">
        <f>VLOOKUP($C20,약재관리!A:J,10,FALSE)</f>
        <v>46.7</v>
      </c>
      <c r="H20" s="5">
        <f t="shared" si="1"/>
        <v>93.4</v>
      </c>
      <c r="I20" s="6">
        <f t="shared" si="2"/>
        <v>1868</v>
      </c>
      <c r="K20" s="14" t="s">
        <v>27</v>
      </c>
      <c r="L20" s="11">
        <f>L16*L17+L19</f>
        <v>6220</v>
      </c>
      <c r="M20" s="12" t="s">
        <v>23</v>
      </c>
    </row>
    <row r="21" spans="2:13" ht="17.25" thickBot="1">
      <c r="B21" s="3">
        <v>20</v>
      </c>
      <c r="C21" t="s">
        <v>439</v>
      </c>
      <c r="D21" s="4"/>
      <c r="E21" s="88">
        <v>10</v>
      </c>
      <c r="F21" s="101">
        <f t="shared" si="0"/>
        <v>200</v>
      </c>
      <c r="G21">
        <f>VLOOKUP($C21,약재관리!A:J,10,FALSE)</f>
        <v>52</v>
      </c>
      <c r="H21" s="5">
        <f t="shared" si="1"/>
        <v>520</v>
      </c>
      <c r="I21" s="6">
        <f t="shared" si="2"/>
        <v>10400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1720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2521.8000000000002</v>
      </c>
      <c r="M30" s="4" t="s">
        <v>386</v>
      </c>
    </row>
    <row r="31" spans="2:13" ht="17.25" thickBot="1">
      <c r="B31" s="13">
        <v>30</v>
      </c>
      <c r="C31" s="14"/>
      <c r="D31" s="12"/>
      <c r="E31" s="95"/>
      <c r="F31" s="102">
        <f t="shared" si="0"/>
        <v>0</v>
      </c>
      <c r="G31" s="14"/>
      <c r="H31" s="15">
        <f t="shared" si="1"/>
        <v>0</v>
      </c>
      <c r="I31" s="16">
        <f t="shared" si="2"/>
        <v>0</v>
      </c>
      <c r="K31" s="14" t="s">
        <v>385</v>
      </c>
      <c r="L31" s="15">
        <f>SUM(I2:I31)</f>
        <v>50436</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2B7D-8255-42DB-9398-4DF36F636AF8}">
  <sheetPr>
    <pageSetUpPr fitToPage="1"/>
  </sheetPr>
  <dimension ref="B1:M31"/>
  <sheetViews>
    <sheetView workbookViewId="0">
      <selection activeCell="F24" sqref="F2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6</v>
      </c>
      <c r="F2" s="101">
        <f>E2*$L$15</f>
        <v>120</v>
      </c>
      <c r="G2">
        <f>VLOOKUP($C2,약재관리!A:J,10,FALSE)</f>
        <v>19.600000000000001</v>
      </c>
      <c r="H2" s="5">
        <f>G2*E2</f>
        <v>117.60000000000001</v>
      </c>
      <c r="I2" s="90">
        <f>G2*F2</f>
        <v>2352</v>
      </c>
      <c r="K2" s="7" t="s">
        <v>9</v>
      </c>
      <c r="L2" s="161">
        <v>47</v>
      </c>
      <c r="M2" s="162"/>
    </row>
    <row r="3" spans="2:13">
      <c r="B3" s="3">
        <v>2</v>
      </c>
      <c r="C3" t="s">
        <v>425</v>
      </c>
      <c r="D3" s="4"/>
      <c r="E3" s="88">
        <v>8</v>
      </c>
      <c r="F3" s="101">
        <f t="shared" ref="F3:F31" si="0">E3*$L$15</f>
        <v>160</v>
      </c>
      <c r="G3">
        <f>VLOOKUP($C3,약재관리!A:J,10,FALSE)</f>
        <v>24</v>
      </c>
      <c r="H3" s="5">
        <f t="shared" ref="H3:H31" si="1">G3*E3</f>
        <v>192</v>
      </c>
      <c r="I3" s="6">
        <f t="shared" ref="I3:I31" si="2">G3*F3</f>
        <v>3840</v>
      </c>
      <c r="K3" s="8" t="s">
        <v>10</v>
      </c>
      <c r="L3" s="163" t="s">
        <v>429</v>
      </c>
      <c r="M3" s="164"/>
    </row>
    <row r="4" spans="2:13">
      <c r="B4" s="3">
        <v>3</v>
      </c>
      <c r="C4" t="s">
        <v>419</v>
      </c>
      <c r="D4" s="4"/>
      <c r="E4" s="88">
        <v>8</v>
      </c>
      <c r="F4" s="101">
        <f t="shared" si="0"/>
        <v>160</v>
      </c>
      <c r="G4">
        <f>VLOOKUP($C4,약재관리!A:J,10,FALSE)</f>
        <v>25</v>
      </c>
      <c r="H4" s="5">
        <f t="shared" si="1"/>
        <v>200</v>
      </c>
      <c r="I4" s="6">
        <f t="shared" si="2"/>
        <v>4000</v>
      </c>
      <c r="K4" s="8" t="s">
        <v>11</v>
      </c>
      <c r="L4" s="165">
        <v>45666</v>
      </c>
      <c r="M4" s="164"/>
    </row>
    <row r="5" spans="2:13">
      <c r="B5" s="3">
        <v>4</v>
      </c>
      <c r="C5" t="s">
        <v>411</v>
      </c>
      <c r="D5" s="4"/>
      <c r="E5" s="88">
        <v>6</v>
      </c>
      <c r="F5" s="101">
        <f t="shared" si="0"/>
        <v>120</v>
      </c>
      <c r="G5">
        <f>VLOOKUP($C5,약재관리!A:J,10,FALSE)</f>
        <v>11</v>
      </c>
      <c r="H5" s="5">
        <f t="shared" si="1"/>
        <v>66</v>
      </c>
      <c r="I5" s="6">
        <f t="shared" si="2"/>
        <v>1320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8</v>
      </c>
      <c r="F7" s="101">
        <f t="shared" si="0"/>
        <v>160</v>
      </c>
      <c r="G7">
        <f>VLOOKUP($C7,약재관리!A:J,10,FALSE)</f>
        <v>17.399999999999999</v>
      </c>
      <c r="H7" s="5">
        <f t="shared" si="1"/>
        <v>139.19999999999999</v>
      </c>
      <c r="I7" s="6">
        <f t="shared" si="2"/>
        <v>2784</v>
      </c>
      <c r="K7" s="8" t="s">
        <v>14</v>
      </c>
      <c r="L7" s="147" t="s">
        <v>408</v>
      </c>
      <c r="M7" s="148"/>
    </row>
    <row r="8" spans="2:13" ht="17.25" thickBot="1">
      <c r="B8" s="3">
        <v>7</v>
      </c>
      <c r="C8" t="s">
        <v>414</v>
      </c>
      <c r="D8" s="4" t="s">
        <v>422</v>
      </c>
      <c r="E8" s="88">
        <v>2</v>
      </c>
      <c r="F8" s="101">
        <f t="shared" si="0"/>
        <v>40</v>
      </c>
      <c r="G8">
        <f>VLOOKUP($C8,약재관리!A:J,10,FALSE)</f>
        <v>21.3</v>
      </c>
      <c r="H8" s="5">
        <f>G8*E8</f>
        <v>42.6</v>
      </c>
      <c r="I8" s="6">
        <f t="shared" si="2"/>
        <v>852</v>
      </c>
      <c r="K8" s="149" t="s">
        <v>15</v>
      </c>
      <c r="L8" s="150"/>
      <c r="M8" s="151"/>
    </row>
    <row r="9" spans="2:13">
      <c r="B9" s="3">
        <v>8</v>
      </c>
      <c r="C9" t="s">
        <v>415</v>
      </c>
      <c r="D9" s="4"/>
      <c r="E9" s="88">
        <v>3</v>
      </c>
      <c r="F9" s="101">
        <f t="shared" si="0"/>
        <v>60</v>
      </c>
      <c r="G9">
        <f>VLOOKUP($C9,약재관리!A:J,10,FALSE)</f>
        <v>16.7</v>
      </c>
      <c r="H9" s="5">
        <f t="shared" ref="H9:H10" si="3">G9*E9</f>
        <v>50.099999999999994</v>
      </c>
      <c r="I9" s="6">
        <f t="shared" si="2"/>
        <v>1002</v>
      </c>
      <c r="K9" s="152" t="s">
        <v>444</v>
      </c>
      <c r="L9" s="153"/>
      <c r="M9" s="154"/>
    </row>
    <row r="10" spans="2:13">
      <c r="B10" s="3">
        <v>9</v>
      </c>
      <c r="C10" t="s">
        <v>438</v>
      </c>
      <c r="D10" s="4"/>
      <c r="E10" s="88">
        <v>2</v>
      </c>
      <c r="F10" s="101">
        <f t="shared" si="0"/>
        <v>40</v>
      </c>
      <c r="G10">
        <f>VLOOKUP($C10,약재관리!A:J,10,FALSE)</f>
        <v>9.5</v>
      </c>
      <c r="H10" s="5">
        <f t="shared" si="3"/>
        <v>19</v>
      </c>
      <c r="I10" s="6">
        <f t="shared" si="2"/>
        <v>380</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430</v>
      </c>
      <c r="D12" s="4"/>
      <c r="E12" s="88">
        <v>4</v>
      </c>
      <c r="F12" s="101">
        <f t="shared" si="0"/>
        <v>80</v>
      </c>
      <c r="G12">
        <f>VLOOKUP($C12,약재관리!A:J,10,FALSE)</f>
        <v>44.2</v>
      </c>
      <c r="H12" s="5">
        <f t="shared" si="1"/>
        <v>176.8</v>
      </c>
      <c r="I12" s="6">
        <f t="shared" si="2"/>
        <v>3536</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2</v>
      </c>
      <c r="F14" s="101">
        <f t="shared" si="0"/>
        <v>40</v>
      </c>
      <c r="G14">
        <f>VLOOKUP($C14,약재관리!A:J,10,FALSE)</f>
        <v>136.69999999999999</v>
      </c>
      <c r="H14" s="5">
        <f t="shared" si="1"/>
        <v>273.39999999999998</v>
      </c>
      <c r="I14" s="6">
        <f t="shared" si="2"/>
        <v>5468</v>
      </c>
      <c r="K14" s="92" t="s">
        <v>16</v>
      </c>
      <c r="L14" s="9">
        <v>15</v>
      </c>
      <c r="M14" s="10" t="s">
        <v>17</v>
      </c>
    </row>
    <row r="15" spans="2:13">
      <c r="B15" s="3">
        <v>14</v>
      </c>
      <c r="C15" t="s">
        <v>416</v>
      </c>
      <c r="D15" s="4"/>
      <c r="E15" s="88">
        <v>3</v>
      </c>
      <c r="F15" s="101">
        <f t="shared" si="0"/>
        <v>60</v>
      </c>
      <c r="G15">
        <f>VLOOKUP($C15,약재관리!A:J,10,FALSE)</f>
        <v>27.7</v>
      </c>
      <c r="H15" s="5">
        <f t="shared" si="1"/>
        <v>83.1</v>
      </c>
      <c r="I15" s="6">
        <f t="shared" si="2"/>
        <v>1662</v>
      </c>
      <c r="K15" s="91" t="s">
        <v>18</v>
      </c>
      <c r="L15">
        <v>20</v>
      </c>
      <c r="M15" s="4" t="s">
        <v>19</v>
      </c>
    </row>
    <row r="16" spans="2:13">
      <c r="B16" s="3">
        <v>15</v>
      </c>
      <c r="C16" t="s">
        <v>431</v>
      </c>
      <c r="D16" s="4"/>
      <c r="E16" s="88">
        <v>4</v>
      </c>
      <c r="F16" s="101">
        <f t="shared" si="0"/>
        <v>80</v>
      </c>
      <c r="G16">
        <f>VLOOKUP($C16,약재관리!A:J,10,FALSE)</f>
        <v>21.8</v>
      </c>
      <c r="H16" s="5">
        <f t="shared" si="1"/>
        <v>87.2</v>
      </c>
      <c r="I16" s="6">
        <f t="shared" si="2"/>
        <v>1744</v>
      </c>
      <c r="K16" s="91" t="s">
        <v>20</v>
      </c>
      <c r="L16">
        <v>45</v>
      </c>
      <c r="M16" s="4" t="s">
        <v>21</v>
      </c>
    </row>
    <row r="17" spans="2:13" ht="17.25" thickBot="1">
      <c r="B17" s="3">
        <v>16</v>
      </c>
      <c r="C17" t="s">
        <v>443</v>
      </c>
      <c r="D17" s="4"/>
      <c r="E17" s="88">
        <v>3</v>
      </c>
      <c r="F17" s="101">
        <f t="shared" si="0"/>
        <v>60</v>
      </c>
      <c r="G17">
        <f>VLOOKUP($C17,약재관리!A:J,10,FALSE)</f>
        <v>16.7</v>
      </c>
      <c r="H17" s="5">
        <f t="shared" si="1"/>
        <v>50.099999999999994</v>
      </c>
      <c r="I17" s="6">
        <f t="shared" si="2"/>
        <v>1002</v>
      </c>
      <c r="K17" s="14" t="s">
        <v>22</v>
      </c>
      <c r="L17" s="11">
        <v>100</v>
      </c>
      <c r="M17" s="12" t="s">
        <v>23</v>
      </c>
    </row>
    <row r="18" spans="2:13">
      <c r="B18" s="3">
        <v>17</v>
      </c>
      <c r="C18" t="s">
        <v>432</v>
      </c>
      <c r="D18" s="4"/>
      <c r="E18" s="88">
        <v>2</v>
      </c>
      <c r="F18" s="101">
        <f t="shared" si="0"/>
        <v>40</v>
      </c>
      <c r="G18">
        <f>VLOOKUP($C18,약재관리!A:J,10,FALSE)</f>
        <v>9.1999999999999993</v>
      </c>
      <c r="H18" s="5">
        <f t="shared" si="1"/>
        <v>18.399999999999999</v>
      </c>
      <c r="I18" s="6">
        <f t="shared" si="2"/>
        <v>368</v>
      </c>
      <c r="K18" s="92" t="s">
        <v>24</v>
      </c>
      <c r="L18" s="9">
        <f>SUM(E2:E31)</f>
        <v>85</v>
      </c>
      <c r="M18" s="10" t="s">
        <v>25</v>
      </c>
    </row>
    <row r="19" spans="2:13">
      <c r="B19" s="3">
        <v>18</v>
      </c>
      <c r="C19" t="s">
        <v>433</v>
      </c>
      <c r="D19" s="4"/>
      <c r="E19" s="88">
        <v>2</v>
      </c>
      <c r="F19" s="101">
        <f t="shared" si="0"/>
        <v>40</v>
      </c>
      <c r="G19">
        <f>VLOOKUP($C19,약재관리!A:J,10,FALSE)</f>
        <v>10.8</v>
      </c>
      <c r="H19" s="5">
        <f t="shared" si="1"/>
        <v>21.6</v>
      </c>
      <c r="I19" s="6">
        <f t="shared" si="2"/>
        <v>432</v>
      </c>
      <c r="K19" s="91" t="s">
        <v>26</v>
      </c>
      <c r="L19">
        <f>L15*L18</f>
        <v>1700</v>
      </c>
      <c r="M19" s="4" t="s">
        <v>25</v>
      </c>
    </row>
    <row r="20" spans="2:13" ht="17.25" thickBot="1">
      <c r="B20" s="3">
        <v>19</v>
      </c>
      <c r="C20" t="s">
        <v>435</v>
      </c>
      <c r="D20" s="4"/>
      <c r="E20" s="88">
        <v>2</v>
      </c>
      <c r="F20" s="101">
        <f t="shared" si="0"/>
        <v>40</v>
      </c>
      <c r="G20">
        <f>VLOOKUP($C20,약재관리!A:J,10,FALSE)</f>
        <v>46.7</v>
      </c>
      <c r="H20" s="5">
        <f t="shared" si="1"/>
        <v>93.4</v>
      </c>
      <c r="I20" s="6">
        <f t="shared" si="2"/>
        <v>1868</v>
      </c>
      <c r="K20" s="14" t="s">
        <v>27</v>
      </c>
      <c r="L20" s="11">
        <f>L16*L17+L19</f>
        <v>6200</v>
      </c>
      <c r="M20" s="12" t="s">
        <v>23</v>
      </c>
    </row>
    <row r="21" spans="2:13" ht="17.25" thickBot="1">
      <c r="B21" s="3">
        <v>20</v>
      </c>
      <c r="C21" t="s">
        <v>439</v>
      </c>
      <c r="D21" s="4"/>
      <c r="E21" s="88">
        <v>10</v>
      </c>
      <c r="F21" s="101">
        <f t="shared" si="0"/>
        <v>200</v>
      </c>
      <c r="G21">
        <f>VLOOKUP($C21,약재관리!A:J,10,FALSE)</f>
        <v>52</v>
      </c>
      <c r="H21" s="5">
        <f t="shared" si="1"/>
        <v>520</v>
      </c>
      <c r="I21" s="6">
        <f t="shared" si="2"/>
        <v>10400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1700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2510.3000000000002</v>
      </c>
      <c r="M30" s="4" t="s">
        <v>386</v>
      </c>
    </row>
    <row r="31" spans="2:13" ht="17.25" thickBot="1">
      <c r="B31" s="13">
        <v>30</v>
      </c>
      <c r="C31" s="14"/>
      <c r="D31" s="12"/>
      <c r="E31" s="95"/>
      <c r="F31" s="102">
        <f t="shared" si="0"/>
        <v>0</v>
      </c>
      <c r="G31" s="14"/>
      <c r="H31" s="15">
        <f t="shared" si="1"/>
        <v>0</v>
      </c>
      <c r="I31" s="16">
        <f t="shared" si="2"/>
        <v>0</v>
      </c>
      <c r="K31" s="14" t="s">
        <v>385</v>
      </c>
      <c r="L31" s="15">
        <f>SUM(I2:I31)</f>
        <v>50206</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5622-12A5-44B6-B7B9-A7D00FCCA090}">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6</v>
      </c>
      <c r="F2" s="101">
        <f>E2*$L$15</f>
        <v>120</v>
      </c>
      <c r="G2">
        <f>VLOOKUP($C2,약재관리!A:J,10,FALSE)</f>
        <v>19.600000000000001</v>
      </c>
      <c r="H2" s="5">
        <f>G2*E2</f>
        <v>117.60000000000001</v>
      </c>
      <c r="I2" s="90">
        <f>G2*F2</f>
        <v>2352</v>
      </c>
      <c r="K2" s="7" t="s">
        <v>9</v>
      </c>
      <c r="L2" s="161">
        <v>47</v>
      </c>
      <c r="M2" s="162"/>
    </row>
    <row r="3" spans="2:13">
      <c r="B3" s="3">
        <v>2</v>
      </c>
      <c r="C3" t="s">
        <v>425</v>
      </c>
      <c r="D3" s="4"/>
      <c r="E3" s="88">
        <v>8</v>
      </c>
      <c r="F3" s="101">
        <f t="shared" ref="F3:F19" si="0">E3*$L$15</f>
        <v>160</v>
      </c>
      <c r="G3">
        <f>VLOOKUP($C3,약재관리!A:J,10,FALSE)</f>
        <v>24</v>
      </c>
      <c r="H3" s="5">
        <f t="shared" ref="H3:H31" si="1">G3*E3</f>
        <v>192</v>
      </c>
      <c r="I3" s="6">
        <f t="shared" ref="I3:I31" si="2">G3*F3</f>
        <v>3840</v>
      </c>
      <c r="K3" s="8" t="s">
        <v>10</v>
      </c>
      <c r="L3" s="163" t="s">
        <v>429</v>
      </c>
      <c r="M3" s="164"/>
    </row>
    <row r="4" spans="2:13">
      <c r="B4" s="3">
        <v>3</v>
      </c>
      <c r="C4" t="s">
        <v>419</v>
      </c>
      <c r="D4" s="4"/>
      <c r="E4" s="88">
        <v>8</v>
      </c>
      <c r="F4" s="101">
        <f t="shared" si="0"/>
        <v>160</v>
      </c>
      <c r="G4">
        <f>VLOOKUP($C4,약재관리!A:J,10,FALSE)</f>
        <v>25</v>
      </c>
      <c r="H4" s="5">
        <f t="shared" si="1"/>
        <v>200</v>
      </c>
      <c r="I4" s="6">
        <f t="shared" si="2"/>
        <v>4000</v>
      </c>
      <c r="K4" s="8" t="s">
        <v>11</v>
      </c>
      <c r="L4" s="165">
        <v>45652</v>
      </c>
      <c r="M4" s="164"/>
    </row>
    <row r="5" spans="2:13">
      <c r="B5" s="3">
        <v>4</v>
      </c>
      <c r="C5" t="s">
        <v>411</v>
      </c>
      <c r="D5" s="4"/>
      <c r="E5" s="88">
        <v>6</v>
      </c>
      <c r="F5" s="101">
        <f t="shared" si="0"/>
        <v>120</v>
      </c>
      <c r="G5">
        <f>VLOOKUP($C5,약재관리!A:J,10,FALSE)</f>
        <v>11</v>
      </c>
      <c r="H5" s="5">
        <f t="shared" si="1"/>
        <v>66</v>
      </c>
      <c r="I5" s="6">
        <f t="shared" si="2"/>
        <v>1320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8</v>
      </c>
      <c r="F7" s="101">
        <f t="shared" si="0"/>
        <v>160</v>
      </c>
      <c r="G7">
        <f>VLOOKUP($C7,약재관리!A:J,10,FALSE)</f>
        <v>17.399999999999999</v>
      </c>
      <c r="H7" s="5">
        <f t="shared" si="1"/>
        <v>139.19999999999999</v>
      </c>
      <c r="I7" s="6">
        <f t="shared" si="2"/>
        <v>2784</v>
      </c>
      <c r="K7" s="8" t="s">
        <v>14</v>
      </c>
      <c r="L7" s="147" t="s">
        <v>408</v>
      </c>
      <c r="M7" s="148"/>
    </row>
    <row r="8" spans="2:13" ht="17.25" thickBot="1">
      <c r="B8" s="3">
        <v>7</v>
      </c>
      <c r="C8" t="s">
        <v>414</v>
      </c>
      <c r="D8" s="4" t="s">
        <v>422</v>
      </c>
      <c r="E8" s="88">
        <v>2</v>
      </c>
      <c r="F8" s="101">
        <f t="shared" si="0"/>
        <v>40</v>
      </c>
      <c r="G8">
        <f>VLOOKUP($C8,약재관리!A:J,10,FALSE)</f>
        <v>21.3</v>
      </c>
      <c r="H8" s="5">
        <f>G8*E8</f>
        <v>42.6</v>
      </c>
      <c r="I8" s="6">
        <f t="shared" si="2"/>
        <v>852</v>
      </c>
      <c r="K8" s="149" t="s">
        <v>15</v>
      </c>
      <c r="L8" s="150"/>
      <c r="M8" s="151"/>
    </row>
    <row r="9" spans="2:13">
      <c r="B9" s="3">
        <v>8</v>
      </c>
      <c r="C9" t="s">
        <v>441</v>
      </c>
      <c r="D9" s="4"/>
      <c r="E9" s="88">
        <v>4</v>
      </c>
      <c r="F9" s="101">
        <f t="shared" si="0"/>
        <v>80</v>
      </c>
      <c r="G9">
        <f>VLOOKUP($C9,약재관리!A:J,10,FALSE)</f>
        <v>18.3</v>
      </c>
      <c r="H9" s="5">
        <f t="shared" ref="H9:H10" si="3">G9*E9</f>
        <v>73.2</v>
      </c>
      <c r="I9" s="6">
        <f t="shared" si="2"/>
        <v>1464</v>
      </c>
      <c r="K9" s="152" t="s">
        <v>442</v>
      </c>
      <c r="L9" s="153"/>
      <c r="M9" s="154"/>
    </row>
    <row r="10" spans="2:13">
      <c r="B10" s="3">
        <v>9</v>
      </c>
      <c r="C10" t="s">
        <v>438</v>
      </c>
      <c r="D10" s="4"/>
      <c r="E10" s="88">
        <v>2</v>
      </c>
      <c r="F10" s="101">
        <f t="shared" si="0"/>
        <v>40</v>
      </c>
      <c r="G10">
        <f>VLOOKUP($C10,약재관리!A:J,10,FALSE)</f>
        <v>9.5</v>
      </c>
      <c r="H10" s="5">
        <f t="shared" si="3"/>
        <v>19</v>
      </c>
      <c r="I10" s="6">
        <f t="shared" si="2"/>
        <v>380</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430</v>
      </c>
      <c r="D12" s="4"/>
      <c r="E12" s="88">
        <v>4</v>
      </c>
      <c r="F12" s="101">
        <f t="shared" si="0"/>
        <v>80</v>
      </c>
      <c r="G12">
        <f>VLOOKUP($C12,약재관리!A:J,10,FALSE)</f>
        <v>44.2</v>
      </c>
      <c r="H12" s="5">
        <f t="shared" si="1"/>
        <v>176.8</v>
      </c>
      <c r="I12" s="6">
        <f t="shared" si="2"/>
        <v>3536</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2</v>
      </c>
      <c r="F14" s="101">
        <f t="shared" si="0"/>
        <v>40</v>
      </c>
      <c r="G14">
        <f>VLOOKUP($C14,약재관리!A:J,10,FALSE)</f>
        <v>136.69999999999999</v>
      </c>
      <c r="H14" s="5">
        <f t="shared" si="1"/>
        <v>273.39999999999998</v>
      </c>
      <c r="I14" s="6">
        <f t="shared" si="2"/>
        <v>5468</v>
      </c>
      <c r="K14" s="92" t="s">
        <v>16</v>
      </c>
      <c r="L14" s="9">
        <v>15</v>
      </c>
      <c r="M14" s="10" t="s">
        <v>17</v>
      </c>
    </row>
    <row r="15" spans="2:13">
      <c r="B15" s="3">
        <v>14</v>
      </c>
      <c r="D15" s="4"/>
      <c r="F15" s="101"/>
      <c r="H15" s="5"/>
      <c r="I15" s="6"/>
      <c r="K15" s="91" t="s">
        <v>18</v>
      </c>
      <c r="L15">
        <v>20</v>
      </c>
      <c r="M15" s="4" t="s">
        <v>19</v>
      </c>
    </row>
    <row r="16" spans="2:13">
      <c r="B16" s="3">
        <v>15</v>
      </c>
      <c r="C16" t="s">
        <v>431</v>
      </c>
      <c r="D16" s="4"/>
      <c r="E16" s="88">
        <v>4</v>
      </c>
      <c r="F16" s="101">
        <f t="shared" si="0"/>
        <v>80</v>
      </c>
      <c r="G16">
        <f>VLOOKUP($C16,약재관리!A:J,10,FALSE)</f>
        <v>21.8</v>
      </c>
      <c r="H16" s="5">
        <f t="shared" si="1"/>
        <v>87.2</v>
      </c>
      <c r="I16" s="6">
        <f t="shared" si="2"/>
        <v>1744</v>
      </c>
      <c r="K16" s="91" t="s">
        <v>20</v>
      </c>
      <c r="L16">
        <v>45</v>
      </c>
      <c r="M16" s="4" t="s">
        <v>21</v>
      </c>
    </row>
    <row r="17" spans="2:13" ht="17.25" thickBot="1">
      <c r="B17" s="3">
        <v>16</v>
      </c>
      <c r="C17" t="s">
        <v>437</v>
      </c>
      <c r="D17" s="4"/>
      <c r="E17" s="88">
        <v>3</v>
      </c>
      <c r="F17" s="101">
        <f t="shared" si="0"/>
        <v>60</v>
      </c>
      <c r="G17">
        <f>VLOOKUP($C17,약재관리!A:J,10,FALSE)</f>
        <v>10</v>
      </c>
      <c r="H17" s="5">
        <f t="shared" si="1"/>
        <v>30</v>
      </c>
      <c r="I17" s="6">
        <f t="shared" si="2"/>
        <v>600</v>
      </c>
      <c r="K17" s="14" t="s">
        <v>22</v>
      </c>
      <c r="L17" s="11">
        <v>100</v>
      </c>
      <c r="M17" s="12" t="s">
        <v>23</v>
      </c>
    </row>
    <row r="18" spans="2:13">
      <c r="B18" s="3">
        <v>17</v>
      </c>
      <c r="C18" t="s">
        <v>432</v>
      </c>
      <c r="D18" s="4"/>
      <c r="E18" s="88">
        <v>2</v>
      </c>
      <c r="F18" s="101">
        <f t="shared" si="0"/>
        <v>40</v>
      </c>
      <c r="G18">
        <f>VLOOKUP($C18,약재관리!A:J,10,FALSE)</f>
        <v>9.1999999999999993</v>
      </c>
      <c r="H18" s="5">
        <f t="shared" si="1"/>
        <v>18.399999999999999</v>
      </c>
      <c r="I18" s="6">
        <f t="shared" si="2"/>
        <v>368</v>
      </c>
      <c r="K18" s="92" t="s">
        <v>24</v>
      </c>
      <c r="L18" s="9">
        <f>SUM(E2:E31)</f>
        <v>83</v>
      </c>
      <c r="M18" s="10" t="s">
        <v>25</v>
      </c>
    </row>
    <row r="19" spans="2:13">
      <c r="B19" s="3">
        <v>18</v>
      </c>
      <c r="C19" t="s">
        <v>433</v>
      </c>
      <c r="D19" s="4"/>
      <c r="E19" s="88">
        <v>2</v>
      </c>
      <c r="F19" s="101">
        <f t="shared" si="0"/>
        <v>40</v>
      </c>
      <c r="G19">
        <f>VLOOKUP($C19,약재관리!A:J,10,FALSE)</f>
        <v>10.8</v>
      </c>
      <c r="H19" s="5">
        <f t="shared" si="1"/>
        <v>21.6</v>
      </c>
      <c r="I19" s="6">
        <f t="shared" si="2"/>
        <v>432</v>
      </c>
      <c r="K19" s="91" t="s">
        <v>26</v>
      </c>
      <c r="L19">
        <f>L15*L18</f>
        <v>1660</v>
      </c>
      <c r="M19" s="4" t="s">
        <v>25</v>
      </c>
    </row>
    <row r="20" spans="2:13" ht="17.25" thickBot="1">
      <c r="B20" s="3">
        <v>19</v>
      </c>
      <c r="C20" t="s">
        <v>435</v>
      </c>
      <c r="D20" s="4"/>
      <c r="E20" s="88">
        <v>2</v>
      </c>
      <c r="F20" s="101">
        <f t="shared" ref="F20:F31" si="4">E20*$L$15</f>
        <v>40</v>
      </c>
      <c r="G20">
        <f>VLOOKUP($C20,약재관리!A:J,10,FALSE)</f>
        <v>46.7</v>
      </c>
      <c r="H20" s="5">
        <f t="shared" si="1"/>
        <v>93.4</v>
      </c>
      <c r="I20" s="6">
        <f t="shared" si="2"/>
        <v>1868</v>
      </c>
      <c r="K20" s="14" t="s">
        <v>27</v>
      </c>
      <c r="L20" s="11">
        <f>L16*L17+L19</f>
        <v>6160</v>
      </c>
      <c r="M20" s="12" t="s">
        <v>23</v>
      </c>
    </row>
    <row r="21" spans="2:13" ht="17.25" thickBot="1">
      <c r="B21" s="3">
        <v>20</v>
      </c>
      <c r="C21" t="s">
        <v>439</v>
      </c>
      <c r="D21" s="4"/>
      <c r="E21" s="88">
        <v>10</v>
      </c>
      <c r="F21" s="101">
        <f t="shared" si="4"/>
        <v>200</v>
      </c>
      <c r="G21">
        <f>VLOOKUP($C21,약재관리!A:J,10,FALSE)</f>
        <v>52</v>
      </c>
      <c r="H21" s="5">
        <f t="shared" si="1"/>
        <v>520</v>
      </c>
      <c r="I21" s="6">
        <f t="shared" si="2"/>
        <v>10400</v>
      </c>
      <c r="J21" s="91"/>
      <c r="M21" s="94"/>
    </row>
    <row r="22" spans="2:13" ht="17.25" thickBot="1">
      <c r="B22" s="3">
        <v>21</v>
      </c>
      <c r="D22" s="4"/>
      <c r="F22" s="101">
        <f t="shared" si="4"/>
        <v>0</v>
      </c>
      <c r="H22" s="5">
        <f t="shared" si="1"/>
        <v>0</v>
      </c>
      <c r="I22" s="6">
        <f t="shared" si="2"/>
        <v>0</v>
      </c>
      <c r="K22" s="149" t="s">
        <v>388</v>
      </c>
      <c r="L22" s="150"/>
      <c r="M22" s="151"/>
    </row>
    <row r="23" spans="2:13">
      <c r="B23" s="3">
        <v>22</v>
      </c>
      <c r="D23" s="4"/>
      <c r="F23" s="101">
        <f t="shared" si="4"/>
        <v>0</v>
      </c>
      <c r="H23" s="5">
        <f t="shared" si="1"/>
        <v>0</v>
      </c>
      <c r="I23" s="6">
        <f t="shared" si="2"/>
        <v>0</v>
      </c>
      <c r="K23" s="91" t="s">
        <v>382</v>
      </c>
      <c r="L23">
        <f>SUM(F2:F31)</f>
        <v>1660</v>
      </c>
      <c r="M23" s="4" t="s">
        <v>25</v>
      </c>
    </row>
    <row r="24" spans="2:13">
      <c r="B24" s="3">
        <v>23</v>
      </c>
      <c r="D24" s="4"/>
      <c r="F24" s="101">
        <f t="shared" si="4"/>
        <v>0</v>
      </c>
      <c r="H24" s="5">
        <f t="shared" si="1"/>
        <v>0</v>
      </c>
      <c r="I24" s="6">
        <f t="shared" si="2"/>
        <v>0</v>
      </c>
      <c r="K24" s="91" t="s">
        <v>389</v>
      </c>
      <c r="L24">
        <v>5000</v>
      </c>
      <c r="M24" s="4" t="s">
        <v>23</v>
      </c>
    </row>
    <row r="25" spans="2:13">
      <c r="B25" s="3">
        <v>24</v>
      </c>
      <c r="D25" s="4"/>
      <c r="F25" s="101">
        <f t="shared" si="4"/>
        <v>0</v>
      </c>
      <c r="H25" s="5">
        <f t="shared" si="1"/>
        <v>0</v>
      </c>
      <c r="I25" s="6">
        <f t="shared" si="2"/>
        <v>0</v>
      </c>
      <c r="K25" s="91" t="s">
        <v>28</v>
      </c>
      <c r="L25" s="93" t="s">
        <v>384</v>
      </c>
      <c r="M25" s="4" t="s">
        <v>25</v>
      </c>
    </row>
    <row r="26" spans="2:13">
      <c r="B26" s="3">
        <v>25</v>
      </c>
      <c r="D26" s="4"/>
      <c r="F26" s="101">
        <f t="shared" si="4"/>
        <v>0</v>
      </c>
      <c r="H26" s="5">
        <f t="shared" si="1"/>
        <v>0</v>
      </c>
      <c r="I26" s="6">
        <f t="shared" si="2"/>
        <v>0</v>
      </c>
      <c r="K26" s="91" t="s">
        <v>29</v>
      </c>
      <c r="L26" s="93">
        <v>1600</v>
      </c>
      <c r="M26" s="4" t="s">
        <v>25</v>
      </c>
    </row>
    <row r="27" spans="2:13" ht="17.25" thickBot="1">
      <c r="B27" s="3">
        <v>26</v>
      </c>
      <c r="D27" s="4"/>
      <c r="F27" s="101">
        <f t="shared" si="4"/>
        <v>0</v>
      </c>
      <c r="H27" s="5">
        <f t="shared" si="1"/>
        <v>0</v>
      </c>
      <c r="I27" s="6">
        <f t="shared" si="2"/>
        <v>0</v>
      </c>
      <c r="K27" s="14" t="s">
        <v>383</v>
      </c>
      <c r="L27" s="11">
        <v>4</v>
      </c>
      <c r="M27" s="12" t="s">
        <v>25</v>
      </c>
    </row>
    <row r="28" spans="2:13" ht="17.25" thickBot="1">
      <c r="B28" s="3">
        <v>27</v>
      </c>
      <c r="D28" s="4"/>
      <c r="F28" s="101">
        <f t="shared" si="4"/>
        <v>0</v>
      </c>
      <c r="H28" s="5">
        <f t="shared" si="1"/>
        <v>0</v>
      </c>
      <c r="I28" s="6">
        <f t="shared" si="2"/>
        <v>0</v>
      </c>
      <c r="J28" s="91"/>
      <c r="K28" s="11"/>
      <c r="L28" s="11"/>
      <c r="M28" s="94"/>
    </row>
    <row r="29" spans="2:13" ht="17.25" thickBot="1">
      <c r="B29" s="3">
        <v>28</v>
      </c>
      <c r="D29" s="4"/>
      <c r="F29" s="101">
        <f t="shared" si="4"/>
        <v>0</v>
      </c>
      <c r="H29" s="5">
        <f t="shared" si="1"/>
        <v>0</v>
      </c>
      <c r="I29" s="6">
        <f t="shared" si="2"/>
        <v>0</v>
      </c>
      <c r="K29" s="149" t="s">
        <v>387</v>
      </c>
      <c r="L29" s="150"/>
      <c r="M29" s="151"/>
    </row>
    <row r="30" spans="2:13">
      <c r="B30" s="3">
        <v>29</v>
      </c>
      <c r="D30" s="4"/>
      <c r="F30" s="101">
        <f t="shared" si="4"/>
        <v>0</v>
      </c>
      <c r="H30" s="5">
        <f t="shared" si="1"/>
        <v>0</v>
      </c>
      <c r="I30" s="6">
        <f t="shared" si="2"/>
        <v>0</v>
      </c>
      <c r="K30" s="91" t="s">
        <v>28</v>
      </c>
      <c r="L30" s="5">
        <f>SUM(H2:H31)</f>
        <v>2430.1999999999998</v>
      </c>
      <c r="M30" s="4" t="s">
        <v>386</v>
      </c>
    </row>
    <row r="31" spans="2:13" ht="17.25" thickBot="1">
      <c r="B31" s="13">
        <v>30</v>
      </c>
      <c r="C31" s="14"/>
      <c r="D31" s="12"/>
      <c r="E31" s="95"/>
      <c r="F31" s="102">
        <f t="shared" si="4"/>
        <v>0</v>
      </c>
      <c r="G31" s="14"/>
      <c r="H31" s="15">
        <f t="shared" si="1"/>
        <v>0</v>
      </c>
      <c r="I31" s="16">
        <f t="shared" si="2"/>
        <v>0</v>
      </c>
      <c r="K31" s="14" t="s">
        <v>385</v>
      </c>
      <c r="L31" s="15">
        <f>SUM(I2:I31)</f>
        <v>48604</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99986-2F5D-434A-ADAC-F3D83C6F3559}">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6</v>
      </c>
      <c r="F2" s="101">
        <f>E2*$L$15</f>
        <v>120</v>
      </c>
      <c r="G2">
        <f>VLOOKUP($C2,약재관리!A:J,10,FALSE)</f>
        <v>19.600000000000001</v>
      </c>
      <c r="H2" s="5">
        <f>G2*E2</f>
        <v>117.60000000000001</v>
      </c>
      <c r="I2" s="90">
        <f>G2*F2</f>
        <v>2352</v>
      </c>
      <c r="K2" s="7" t="s">
        <v>9</v>
      </c>
      <c r="L2" s="161">
        <v>47</v>
      </c>
      <c r="M2" s="162"/>
    </row>
    <row r="3" spans="2:13">
      <c r="B3" s="3">
        <v>2</v>
      </c>
      <c r="C3" t="s">
        <v>425</v>
      </c>
      <c r="D3" s="4"/>
      <c r="E3" s="88">
        <v>6</v>
      </c>
      <c r="F3" s="101">
        <f t="shared" ref="F3:F31" si="0">E3*$L$15</f>
        <v>120</v>
      </c>
      <c r="G3">
        <f>VLOOKUP($C3,약재관리!A:J,10,FALSE)</f>
        <v>24</v>
      </c>
      <c r="H3" s="5">
        <f t="shared" ref="H3:H31" si="1">G3*E3</f>
        <v>144</v>
      </c>
      <c r="I3" s="6">
        <f t="shared" ref="I3:I31" si="2">G3*F3</f>
        <v>2880</v>
      </c>
      <c r="K3" s="8" t="s">
        <v>10</v>
      </c>
      <c r="L3" s="163" t="s">
        <v>429</v>
      </c>
      <c r="M3" s="164"/>
    </row>
    <row r="4" spans="2:13">
      <c r="B4" s="3">
        <v>3</v>
      </c>
      <c r="C4" t="s">
        <v>419</v>
      </c>
      <c r="D4" s="4"/>
      <c r="E4" s="88">
        <v>6</v>
      </c>
      <c r="F4" s="101">
        <f t="shared" si="0"/>
        <v>120</v>
      </c>
      <c r="G4">
        <f>VLOOKUP($C4,약재관리!A:J,10,FALSE)</f>
        <v>25</v>
      </c>
      <c r="H4" s="5">
        <f t="shared" si="1"/>
        <v>150</v>
      </c>
      <c r="I4" s="6">
        <f t="shared" si="2"/>
        <v>3000</v>
      </c>
      <c r="K4" s="8" t="s">
        <v>11</v>
      </c>
      <c r="L4" s="165">
        <v>45636</v>
      </c>
      <c r="M4" s="164"/>
    </row>
    <row r="5" spans="2:13">
      <c r="B5" s="3">
        <v>4</v>
      </c>
      <c r="C5" t="s">
        <v>411</v>
      </c>
      <c r="D5" s="4"/>
      <c r="E5" s="88">
        <v>4</v>
      </c>
      <c r="F5" s="101">
        <f t="shared" si="0"/>
        <v>80</v>
      </c>
      <c r="G5">
        <f>VLOOKUP($C5,약재관리!A:J,10,FALSE)</f>
        <v>11</v>
      </c>
      <c r="H5" s="5">
        <f t="shared" si="1"/>
        <v>44</v>
      </c>
      <c r="I5" s="6">
        <f t="shared" si="2"/>
        <v>880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6</v>
      </c>
      <c r="F7" s="101">
        <f t="shared" si="0"/>
        <v>120</v>
      </c>
      <c r="G7">
        <f>VLOOKUP($C7,약재관리!A:J,10,FALSE)</f>
        <v>17.399999999999999</v>
      </c>
      <c r="H7" s="5">
        <f t="shared" si="1"/>
        <v>104.39999999999999</v>
      </c>
      <c r="I7" s="6">
        <f t="shared" si="2"/>
        <v>2088</v>
      </c>
      <c r="K7" s="8" t="s">
        <v>14</v>
      </c>
      <c r="L7" s="147" t="s">
        <v>408</v>
      </c>
      <c r="M7" s="148"/>
    </row>
    <row r="8" spans="2:13" ht="17.25" thickBot="1">
      <c r="B8" s="3">
        <v>7</v>
      </c>
      <c r="C8" t="s">
        <v>414</v>
      </c>
      <c r="D8" s="4" t="s">
        <v>422</v>
      </c>
      <c r="E8" s="88">
        <v>2</v>
      </c>
      <c r="F8" s="101">
        <f t="shared" si="0"/>
        <v>40</v>
      </c>
      <c r="G8">
        <f>VLOOKUP($C8,약재관리!A:J,10,FALSE)</f>
        <v>21.3</v>
      </c>
      <c r="H8" s="5">
        <f t="shared" si="1"/>
        <v>42.6</v>
      </c>
      <c r="I8" s="6">
        <f t="shared" si="2"/>
        <v>852</v>
      </c>
      <c r="K8" s="149" t="s">
        <v>15</v>
      </c>
      <c r="L8" s="150"/>
      <c r="M8" s="151"/>
    </row>
    <row r="9" spans="2:13">
      <c r="B9" s="3">
        <v>8</v>
      </c>
      <c r="C9" t="s">
        <v>415</v>
      </c>
      <c r="D9" s="4"/>
      <c r="E9" s="88">
        <v>3</v>
      </c>
      <c r="F9" s="101">
        <f t="shared" si="0"/>
        <v>60</v>
      </c>
      <c r="G9">
        <f>VLOOKUP($C9,약재관리!A:J,10,FALSE)</f>
        <v>16.7</v>
      </c>
      <c r="H9" s="5">
        <f t="shared" si="1"/>
        <v>50.099999999999994</v>
      </c>
      <c r="I9" s="6">
        <f t="shared" si="2"/>
        <v>1002</v>
      </c>
      <c r="K9" s="152" t="s">
        <v>436</v>
      </c>
      <c r="L9" s="153"/>
      <c r="M9" s="154"/>
    </row>
    <row r="10" spans="2:13">
      <c r="B10" s="3">
        <v>9</v>
      </c>
      <c r="C10" t="s">
        <v>416</v>
      </c>
      <c r="D10" s="4"/>
      <c r="E10" s="88">
        <v>3</v>
      </c>
      <c r="F10" s="101">
        <f t="shared" si="0"/>
        <v>60</v>
      </c>
      <c r="G10">
        <f>VLOOKUP($C10,약재관리!A:J,10,FALSE)</f>
        <v>27.7</v>
      </c>
      <c r="H10" s="5">
        <f t="shared" si="1"/>
        <v>83.1</v>
      </c>
      <c r="I10" s="6">
        <f t="shared" si="2"/>
        <v>1662</v>
      </c>
      <c r="K10" s="155"/>
      <c r="L10" s="156"/>
      <c r="M10" s="157"/>
    </row>
    <row r="11" spans="2:13">
      <c r="B11" s="3">
        <v>10</v>
      </c>
      <c r="C11" t="s">
        <v>418</v>
      </c>
      <c r="D11" s="4"/>
      <c r="E11" s="88">
        <v>2</v>
      </c>
      <c r="F11" s="101">
        <f t="shared" si="0"/>
        <v>40</v>
      </c>
      <c r="G11">
        <f>VLOOKUP($C11,약재관리!A:J,10,FALSE)</f>
        <v>28.3</v>
      </c>
      <c r="H11" s="5">
        <f t="shared" si="1"/>
        <v>56.6</v>
      </c>
      <c r="I11" s="6">
        <f t="shared" si="2"/>
        <v>1132</v>
      </c>
      <c r="K11" s="155"/>
      <c r="L11" s="156"/>
      <c r="M11" s="157"/>
    </row>
    <row r="12" spans="2:13">
      <c r="B12" s="3">
        <v>11</v>
      </c>
      <c r="C12" t="s">
        <v>430</v>
      </c>
      <c r="D12" s="4"/>
      <c r="E12" s="88">
        <v>4</v>
      </c>
      <c r="F12" s="101">
        <f t="shared" si="0"/>
        <v>80</v>
      </c>
      <c r="G12">
        <f>VLOOKUP($C12,약재관리!A:J,10,FALSE)</f>
        <v>44.2</v>
      </c>
      <c r="H12" s="5">
        <f t="shared" si="1"/>
        <v>176.8</v>
      </c>
      <c r="I12" s="6">
        <f t="shared" si="2"/>
        <v>3536</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2</v>
      </c>
      <c r="F14" s="101">
        <f t="shared" si="0"/>
        <v>40</v>
      </c>
      <c r="G14">
        <f>VLOOKUP($C14,약재관리!A:J,10,FALSE)</f>
        <v>136.69999999999999</v>
      </c>
      <c r="H14" s="5">
        <f t="shared" si="1"/>
        <v>273.39999999999998</v>
      </c>
      <c r="I14" s="6">
        <f t="shared" si="2"/>
        <v>5468</v>
      </c>
      <c r="K14" s="92" t="s">
        <v>16</v>
      </c>
      <c r="L14" s="9">
        <v>15</v>
      </c>
      <c r="M14" s="10" t="s">
        <v>17</v>
      </c>
    </row>
    <row r="15" spans="2:13">
      <c r="B15" s="3">
        <v>14</v>
      </c>
      <c r="C15" t="s">
        <v>424</v>
      </c>
      <c r="D15" s="4"/>
      <c r="E15" s="88">
        <v>4</v>
      </c>
      <c r="F15" s="101">
        <f t="shared" si="0"/>
        <v>80</v>
      </c>
      <c r="G15">
        <f>VLOOKUP($C15,약재관리!A:J,10,FALSE)</f>
        <v>10.8</v>
      </c>
      <c r="H15" s="5">
        <f t="shared" si="1"/>
        <v>43.2</v>
      </c>
      <c r="I15" s="6">
        <f t="shared" si="2"/>
        <v>864</v>
      </c>
      <c r="K15" s="91" t="s">
        <v>18</v>
      </c>
      <c r="L15">
        <v>20</v>
      </c>
      <c r="M15" s="4" t="s">
        <v>19</v>
      </c>
    </row>
    <row r="16" spans="2:13">
      <c r="B16" s="3">
        <v>15</v>
      </c>
      <c r="C16" t="s">
        <v>431</v>
      </c>
      <c r="D16" s="4"/>
      <c r="E16" s="88">
        <v>2</v>
      </c>
      <c r="F16" s="101">
        <f t="shared" si="0"/>
        <v>40</v>
      </c>
      <c r="G16">
        <f>VLOOKUP($C16,약재관리!A:J,10,FALSE)</f>
        <v>21.8</v>
      </c>
      <c r="H16" s="5">
        <f t="shared" si="1"/>
        <v>43.6</v>
      </c>
      <c r="I16" s="6">
        <f t="shared" si="2"/>
        <v>872</v>
      </c>
      <c r="K16" s="91" t="s">
        <v>20</v>
      </c>
      <c r="L16">
        <v>45</v>
      </c>
      <c r="M16" s="4" t="s">
        <v>21</v>
      </c>
    </row>
    <row r="17" spans="2:13" ht="17.25" thickBot="1">
      <c r="B17" s="3">
        <v>16</v>
      </c>
      <c r="C17" t="s">
        <v>434</v>
      </c>
      <c r="D17" s="4"/>
      <c r="E17" s="88">
        <v>2</v>
      </c>
      <c r="F17" s="101">
        <v>40</v>
      </c>
      <c r="G17">
        <f>VLOOKUP($C17,약재관리!A:J,10,FALSE)</f>
        <v>16.8</v>
      </c>
      <c r="H17" s="5">
        <f t="shared" si="1"/>
        <v>33.6</v>
      </c>
      <c r="I17" s="6">
        <f t="shared" si="2"/>
        <v>672</v>
      </c>
      <c r="K17" s="14" t="s">
        <v>22</v>
      </c>
      <c r="L17" s="11">
        <v>100</v>
      </c>
      <c r="M17" s="12" t="s">
        <v>23</v>
      </c>
    </row>
    <row r="18" spans="2:13">
      <c r="B18" s="3">
        <v>17</v>
      </c>
      <c r="C18" t="s">
        <v>432</v>
      </c>
      <c r="D18" s="4"/>
      <c r="E18" s="88">
        <v>2</v>
      </c>
      <c r="F18" s="101">
        <f t="shared" si="0"/>
        <v>40</v>
      </c>
      <c r="G18">
        <f>VLOOKUP($C18,약재관리!A:J,10,FALSE)</f>
        <v>9.1999999999999993</v>
      </c>
      <c r="H18" s="5">
        <f t="shared" si="1"/>
        <v>18.399999999999999</v>
      </c>
      <c r="I18" s="6">
        <f t="shared" si="2"/>
        <v>368</v>
      </c>
      <c r="K18" s="92" t="s">
        <v>24</v>
      </c>
      <c r="L18" s="9">
        <f>SUM(E2:E31)</f>
        <v>66</v>
      </c>
      <c r="M18" s="10" t="s">
        <v>25</v>
      </c>
    </row>
    <row r="19" spans="2:13">
      <c r="B19" s="3">
        <v>18</v>
      </c>
      <c r="C19" t="s">
        <v>433</v>
      </c>
      <c r="D19" s="4"/>
      <c r="E19" s="88">
        <v>2</v>
      </c>
      <c r="F19" s="101">
        <f t="shared" si="0"/>
        <v>40</v>
      </c>
      <c r="G19">
        <f>VLOOKUP($C19,약재관리!A:J,10,FALSE)</f>
        <v>10.8</v>
      </c>
      <c r="H19" s="5">
        <f t="shared" si="1"/>
        <v>21.6</v>
      </c>
      <c r="I19" s="6">
        <f t="shared" si="2"/>
        <v>432</v>
      </c>
      <c r="K19" s="91" t="s">
        <v>26</v>
      </c>
      <c r="L19">
        <f>L15*L18</f>
        <v>1320</v>
      </c>
      <c r="M19" s="4" t="s">
        <v>25</v>
      </c>
    </row>
    <row r="20" spans="2:13" ht="17.25" thickBot="1">
      <c r="B20" s="3">
        <v>19</v>
      </c>
      <c r="C20" t="s">
        <v>435</v>
      </c>
      <c r="D20" s="4"/>
      <c r="E20" s="88">
        <v>2</v>
      </c>
      <c r="F20" s="101">
        <f t="shared" si="0"/>
        <v>40</v>
      </c>
      <c r="G20">
        <f>VLOOKUP($C20,약재관리!A:J,10,FALSE)</f>
        <v>46.7</v>
      </c>
      <c r="H20" s="5">
        <f t="shared" si="1"/>
        <v>93.4</v>
      </c>
      <c r="I20" s="6">
        <f t="shared" si="2"/>
        <v>1868</v>
      </c>
      <c r="K20" s="14" t="s">
        <v>27</v>
      </c>
      <c r="L20" s="11">
        <f>L16*L17+L19</f>
        <v>5820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1320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1799.6000000000001</v>
      </c>
      <c r="M30" s="4" t="s">
        <v>386</v>
      </c>
    </row>
    <row r="31" spans="2:13" ht="17.25" thickBot="1">
      <c r="B31" s="13">
        <v>30</v>
      </c>
      <c r="C31" s="14"/>
      <c r="D31" s="12"/>
      <c r="E31" s="95"/>
      <c r="F31" s="102">
        <f t="shared" si="0"/>
        <v>0</v>
      </c>
      <c r="G31" s="14"/>
      <c r="H31" s="15">
        <f t="shared" si="1"/>
        <v>0</v>
      </c>
      <c r="I31" s="16">
        <f t="shared" si="2"/>
        <v>0</v>
      </c>
      <c r="K31" s="14" t="s">
        <v>385</v>
      </c>
      <c r="L31" s="15">
        <f>SUM(I2:I31)</f>
        <v>35992</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3" sqref="L3:M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6</v>
      </c>
      <c r="F2" s="101">
        <f>E2*$L$15</f>
        <v>120</v>
      </c>
      <c r="G2">
        <f>VLOOKUP($C2,약재관리!A:J,10,FALSE)</f>
        <v>19.600000000000001</v>
      </c>
      <c r="H2" s="5">
        <f>G2*E2</f>
        <v>117.60000000000001</v>
      </c>
      <c r="I2" s="90">
        <f>G2*F2</f>
        <v>2352</v>
      </c>
      <c r="K2" s="7" t="s">
        <v>9</v>
      </c>
      <c r="L2" s="161">
        <v>47</v>
      </c>
      <c r="M2" s="162"/>
    </row>
    <row r="3" spans="2:13">
      <c r="B3" s="3">
        <v>2</v>
      </c>
      <c r="C3" t="s">
        <v>425</v>
      </c>
      <c r="D3" s="4"/>
      <c r="E3" s="88">
        <v>6</v>
      </c>
      <c r="F3" s="101">
        <f t="shared" ref="F3:F31" si="0">E3*$L$15</f>
        <v>120</v>
      </c>
      <c r="G3">
        <f>VLOOKUP($C3,약재관리!A:J,10,FALSE)</f>
        <v>24</v>
      </c>
      <c r="H3" s="5">
        <f t="shared" ref="H3:H31" si="1">G3*E3</f>
        <v>144</v>
      </c>
      <c r="I3" s="6">
        <f t="shared" ref="I3:I31" si="2">G3*F3</f>
        <v>2880</v>
      </c>
      <c r="K3" s="8" t="s">
        <v>10</v>
      </c>
      <c r="L3" s="163" t="s">
        <v>428</v>
      </c>
      <c r="M3" s="164"/>
    </row>
    <row r="4" spans="2:13">
      <c r="B4" s="3">
        <v>3</v>
      </c>
      <c r="C4" t="s">
        <v>419</v>
      </c>
      <c r="D4" s="4"/>
      <c r="E4" s="88">
        <v>6</v>
      </c>
      <c r="F4" s="101">
        <f t="shared" si="0"/>
        <v>120</v>
      </c>
      <c r="G4">
        <f>VLOOKUP($C4,약재관리!A:J,10,FALSE)</f>
        <v>25</v>
      </c>
      <c r="H4" s="5">
        <f t="shared" si="1"/>
        <v>150</v>
      </c>
      <c r="I4" s="6">
        <f t="shared" si="2"/>
        <v>3000</v>
      </c>
      <c r="K4" s="8" t="s">
        <v>11</v>
      </c>
      <c r="L4" s="165">
        <v>45621</v>
      </c>
      <c r="M4" s="164"/>
    </row>
    <row r="5" spans="2:13">
      <c r="B5" s="3">
        <v>4</v>
      </c>
      <c r="C5" t="s">
        <v>411</v>
      </c>
      <c r="D5" s="4"/>
      <c r="E5" s="88">
        <v>4</v>
      </c>
      <c r="F5" s="101">
        <f t="shared" si="0"/>
        <v>80</v>
      </c>
      <c r="G5">
        <f>VLOOKUP($C5,약재관리!A:J,10,FALSE)</f>
        <v>11</v>
      </c>
      <c r="H5" s="5">
        <f t="shared" si="1"/>
        <v>44</v>
      </c>
      <c r="I5" s="6">
        <f t="shared" si="2"/>
        <v>880</v>
      </c>
      <c r="K5" s="8" t="s">
        <v>12</v>
      </c>
      <c r="L5" s="163" t="s">
        <v>427</v>
      </c>
      <c r="M5" s="164"/>
    </row>
    <row r="6" spans="2:13">
      <c r="B6" s="3">
        <v>5</v>
      </c>
      <c r="C6" t="s">
        <v>412</v>
      </c>
      <c r="D6" s="4"/>
      <c r="E6" s="88">
        <v>4</v>
      </c>
      <c r="F6" s="101">
        <f t="shared" si="0"/>
        <v>80</v>
      </c>
      <c r="G6">
        <f>VLOOKUP($C6,약재관리!A:J,10,FALSE)</f>
        <v>44.3</v>
      </c>
      <c r="H6" s="5">
        <f t="shared" si="1"/>
        <v>177.2</v>
      </c>
      <c r="I6" s="6">
        <f t="shared" si="2"/>
        <v>3544</v>
      </c>
      <c r="K6" s="8" t="s">
        <v>13</v>
      </c>
      <c r="L6" s="163">
        <v>41</v>
      </c>
      <c r="M6" s="164"/>
    </row>
    <row r="7" spans="2:13" ht="17.25" thickBot="1">
      <c r="B7" s="3">
        <v>6</v>
      </c>
      <c r="C7" t="s">
        <v>413</v>
      </c>
      <c r="D7" s="4"/>
      <c r="E7" s="88">
        <v>6</v>
      </c>
      <c r="F7" s="101">
        <f t="shared" si="0"/>
        <v>120</v>
      </c>
      <c r="G7">
        <f>VLOOKUP($C7,약재관리!A:J,10,FALSE)</f>
        <v>17.399999999999999</v>
      </c>
      <c r="H7" s="5">
        <f t="shared" si="1"/>
        <v>104.39999999999999</v>
      </c>
      <c r="I7" s="6">
        <f t="shared" si="2"/>
        <v>2088</v>
      </c>
      <c r="K7" s="8" t="s">
        <v>14</v>
      </c>
      <c r="L7" s="147" t="s">
        <v>408</v>
      </c>
      <c r="M7" s="148"/>
    </row>
    <row r="8" spans="2:13" ht="17.25" thickBot="1">
      <c r="B8" s="3">
        <v>7</v>
      </c>
      <c r="C8" t="s">
        <v>414</v>
      </c>
      <c r="D8" s="4" t="s">
        <v>422</v>
      </c>
      <c r="E8" s="88">
        <v>2</v>
      </c>
      <c r="F8" s="101">
        <f t="shared" si="0"/>
        <v>40</v>
      </c>
      <c r="G8">
        <f>VLOOKUP($C8,약재관리!A:J,10,FALSE)</f>
        <v>21.3</v>
      </c>
      <c r="H8" s="5">
        <f t="shared" si="1"/>
        <v>42.6</v>
      </c>
      <c r="I8" s="6">
        <f t="shared" si="2"/>
        <v>852</v>
      </c>
      <c r="K8" s="149" t="s">
        <v>15</v>
      </c>
      <c r="L8" s="150"/>
      <c r="M8" s="151"/>
    </row>
    <row r="9" spans="2:13">
      <c r="B9" s="3">
        <v>8</v>
      </c>
      <c r="C9" t="s">
        <v>415</v>
      </c>
      <c r="D9" s="4"/>
      <c r="E9" s="88">
        <v>4</v>
      </c>
      <c r="F9" s="101">
        <f t="shared" si="0"/>
        <v>80</v>
      </c>
      <c r="G9">
        <f>VLOOKUP($C9,약재관리!A:J,10,FALSE)</f>
        <v>16.7</v>
      </c>
      <c r="H9" s="5">
        <f t="shared" si="1"/>
        <v>66.8</v>
      </c>
      <c r="I9" s="6">
        <f t="shared" si="2"/>
        <v>1336</v>
      </c>
      <c r="K9" s="166" t="s">
        <v>409</v>
      </c>
      <c r="L9" s="153"/>
      <c r="M9" s="154"/>
    </row>
    <row r="10" spans="2:13">
      <c r="B10" s="3">
        <v>9</v>
      </c>
      <c r="C10" t="s">
        <v>416</v>
      </c>
      <c r="D10" s="4"/>
      <c r="E10" s="88">
        <v>2</v>
      </c>
      <c r="F10" s="101">
        <f t="shared" si="0"/>
        <v>40</v>
      </c>
      <c r="G10">
        <f>VLOOKUP($C10,약재관리!A:J,10,FALSE)</f>
        <v>27.7</v>
      </c>
      <c r="H10" s="5">
        <f t="shared" si="1"/>
        <v>55.4</v>
      </c>
      <c r="I10" s="6">
        <f t="shared" si="2"/>
        <v>1108</v>
      </c>
      <c r="K10" s="155"/>
      <c r="L10" s="156"/>
      <c r="M10" s="157"/>
    </row>
    <row r="11" spans="2:13">
      <c r="B11" s="3">
        <v>10</v>
      </c>
      <c r="C11" t="s">
        <v>417</v>
      </c>
      <c r="D11" s="4"/>
      <c r="E11" s="88">
        <v>1.2</v>
      </c>
      <c r="F11" s="101">
        <f t="shared" si="0"/>
        <v>24</v>
      </c>
      <c r="G11">
        <f>VLOOKUP($C11,약재관리!A:J,10,FALSE)</f>
        <v>11.2</v>
      </c>
      <c r="H11" s="5">
        <f t="shared" si="1"/>
        <v>13.44</v>
      </c>
      <c r="I11" s="6">
        <f t="shared" si="2"/>
        <v>268.79999999999995</v>
      </c>
      <c r="K11" s="155"/>
      <c r="L11" s="156"/>
      <c r="M11" s="157"/>
    </row>
    <row r="12" spans="2:13">
      <c r="B12" s="3">
        <v>11</v>
      </c>
      <c r="C12" t="s">
        <v>418</v>
      </c>
      <c r="D12" s="4"/>
      <c r="E12" s="88">
        <v>1.2</v>
      </c>
      <c r="F12" s="101">
        <f t="shared" si="0"/>
        <v>24</v>
      </c>
      <c r="G12">
        <f>VLOOKUP($C12,약재관리!A:J,10,FALSE)</f>
        <v>28.3</v>
      </c>
      <c r="H12" s="5">
        <f t="shared" si="1"/>
        <v>33.96</v>
      </c>
      <c r="I12" s="6">
        <f t="shared" si="2"/>
        <v>679.2</v>
      </c>
      <c r="K12" s="155"/>
      <c r="L12" s="156"/>
      <c r="M12" s="157"/>
    </row>
    <row r="13" spans="2:13" ht="17.25" thickBot="1">
      <c r="B13" s="3">
        <v>12</v>
      </c>
      <c r="C13" t="s">
        <v>420</v>
      </c>
      <c r="D13" s="4"/>
      <c r="E13" s="88">
        <v>4</v>
      </c>
      <c r="F13" s="101">
        <f t="shared" si="0"/>
        <v>80</v>
      </c>
      <c r="G13">
        <f>VLOOKUP($C13,약재관리!A:J,10,FALSE)</f>
        <v>31.5</v>
      </c>
      <c r="H13" s="5">
        <f t="shared" si="1"/>
        <v>126</v>
      </c>
      <c r="I13" s="6">
        <f t="shared" si="2"/>
        <v>2520</v>
      </c>
      <c r="K13" s="158"/>
      <c r="L13" s="159"/>
      <c r="M13" s="160"/>
    </row>
    <row r="14" spans="2:13">
      <c r="B14" s="3">
        <v>13</v>
      </c>
      <c r="C14" t="s">
        <v>421</v>
      </c>
      <c r="D14" s="4" t="s">
        <v>423</v>
      </c>
      <c r="E14" s="88">
        <v>2</v>
      </c>
      <c r="F14" s="101">
        <f t="shared" si="0"/>
        <v>40</v>
      </c>
      <c r="G14">
        <f>VLOOKUP($C14,약재관리!A:J,10,FALSE)</f>
        <v>136.69999999999999</v>
      </c>
      <c r="H14" s="5">
        <f t="shared" si="1"/>
        <v>273.39999999999998</v>
      </c>
      <c r="I14" s="6">
        <f t="shared" si="2"/>
        <v>5468</v>
      </c>
      <c r="K14" s="92" t="s">
        <v>16</v>
      </c>
      <c r="L14" s="9">
        <v>15</v>
      </c>
      <c r="M14" s="10" t="s">
        <v>17</v>
      </c>
    </row>
    <row r="15" spans="2:13">
      <c r="B15" s="3">
        <v>14</v>
      </c>
      <c r="C15" t="s">
        <v>424</v>
      </c>
      <c r="D15" s="4"/>
      <c r="E15" s="88">
        <v>4</v>
      </c>
      <c r="F15" s="101">
        <f t="shared" si="0"/>
        <v>80</v>
      </c>
      <c r="G15">
        <f>VLOOKUP($C15,약재관리!A:J,10,FALSE)</f>
        <v>10.8</v>
      </c>
      <c r="H15" s="5">
        <f t="shared" si="1"/>
        <v>43.2</v>
      </c>
      <c r="I15" s="6">
        <f t="shared" si="2"/>
        <v>864</v>
      </c>
      <c r="K15" s="91" t="s">
        <v>18</v>
      </c>
      <c r="L15">
        <v>20</v>
      </c>
      <c r="M15" s="4" t="s">
        <v>19</v>
      </c>
    </row>
    <row r="16" spans="2:13">
      <c r="B16" s="3">
        <v>15</v>
      </c>
      <c r="C16" t="s">
        <v>426</v>
      </c>
      <c r="D16" s="4"/>
      <c r="E16" s="88">
        <v>2</v>
      </c>
      <c r="F16" s="101">
        <f t="shared" si="0"/>
        <v>40</v>
      </c>
      <c r="G16">
        <f>VLOOKUP($C16,약재관리!A:J,10,FALSE)</f>
        <v>12.5</v>
      </c>
      <c r="H16" s="5">
        <f t="shared" si="1"/>
        <v>25</v>
      </c>
      <c r="I16" s="6">
        <f t="shared" si="2"/>
        <v>500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54.400000000000006</v>
      </c>
      <c r="M18" s="10" t="s">
        <v>25</v>
      </c>
    </row>
    <row r="19" spans="2:13">
      <c r="B19" s="3">
        <v>18</v>
      </c>
      <c r="D19" s="4"/>
      <c r="F19" s="101">
        <f t="shared" si="0"/>
        <v>0</v>
      </c>
      <c r="H19" s="5">
        <f t="shared" si="1"/>
        <v>0</v>
      </c>
      <c r="I19" s="6">
        <f t="shared" si="2"/>
        <v>0</v>
      </c>
      <c r="K19" s="91" t="s">
        <v>26</v>
      </c>
      <c r="L19">
        <f>L15*L18</f>
        <v>1088</v>
      </c>
      <c r="M19" s="4" t="s">
        <v>25</v>
      </c>
    </row>
    <row r="20" spans="2:13" ht="17.25" thickBot="1">
      <c r="B20" s="3">
        <v>19</v>
      </c>
      <c r="D20" s="4"/>
      <c r="F20" s="101">
        <f t="shared" si="0"/>
        <v>0</v>
      </c>
      <c r="H20" s="5">
        <f t="shared" si="1"/>
        <v>0</v>
      </c>
      <c r="I20" s="6">
        <f t="shared" si="2"/>
        <v>0</v>
      </c>
      <c r="K20" s="14" t="s">
        <v>27</v>
      </c>
      <c r="L20" s="11">
        <f>L16*L17+L19</f>
        <v>5588</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1088</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1417.0000000000002</v>
      </c>
      <c r="M30" s="4" t="s">
        <v>386</v>
      </c>
    </row>
    <row r="31" spans="2:13" ht="17.25" thickBot="1">
      <c r="B31" s="13">
        <v>30</v>
      </c>
      <c r="C31" s="14"/>
      <c r="D31" s="12"/>
      <c r="E31" s="95"/>
      <c r="F31" s="102">
        <f t="shared" si="0"/>
        <v>0</v>
      </c>
      <c r="G31" s="14"/>
      <c r="H31" s="15">
        <f t="shared" si="1"/>
        <v>0</v>
      </c>
      <c r="I31" s="16">
        <f t="shared" si="2"/>
        <v>0</v>
      </c>
      <c r="K31" s="14" t="s">
        <v>385</v>
      </c>
      <c r="L31" s="15">
        <f>SUM(I2:I31)</f>
        <v>28340</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66" zoomScaleNormal="100" workbookViewId="0">
      <selection activeCell="J186" sqref="J186"/>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22000</v>
      </c>
      <c r="D31" s="36"/>
      <c r="E31" s="37">
        <v>30800</v>
      </c>
      <c r="F31" s="115">
        <f t="shared" si="3"/>
        <v>0</v>
      </c>
      <c r="G31" s="38">
        <f>C31/500</f>
        <v>44</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15900</v>
      </c>
      <c r="D46" s="36">
        <v>19000</v>
      </c>
      <c r="E46" s="37">
        <v>23100</v>
      </c>
      <c r="F46" s="115">
        <f t="shared" si="8"/>
        <v>0</v>
      </c>
      <c r="G46" s="44">
        <f t="shared" si="9"/>
        <v>31.8</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v>15500</v>
      </c>
      <c r="F135" s="115">
        <f t="shared" si="26"/>
        <v>0</v>
      </c>
      <c r="G135" s="38">
        <f>C135/500</f>
        <v>27.6</v>
      </c>
      <c r="H135" s="38">
        <f t="shared" si="25"/>
        <v>29.166666666666668</v>
      </c>
      <c r="I135" s="39">
        <f t="shared" si="24"/>
        <v>25.833333333333332</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J139" s="40">
        <v>12.5</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4000</v>
      </c>
      <c r="D177" s="36">
        <v>5800</v>
      </c>
      <c r="E177" s="37">
        <v>4400</v>
      </c>
      <c r="F177" s="115">
        <f t="shared" si="30"/>
        <v>0</v>
      </c>
      <c r="G177" s="38">
        <f t="shared" si="31"/>
        <v>8</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12500</v>
      </c>
      <c r="D182" s="49">
        <v>7500</v>
      </c>
      <c r="E182" s="50">
        <v>12800</v>
      </c>
      <c r="F182" s="73">
        <f t="shared" si="30"/>
        <v>21.6</v>
      </c>
      <c r="G182" s="51">
        <f t="shared" si="31"/>
        <v>25</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v>16.7</v>
      </c>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48">
        <f>E194/1000</f>
        <v>39</v>
      </c>
      <c r="J194" s="40">
        <v>39</v>
      </c>
      <c r="K194" s="41"/>
      <c r="L194" s="42"/>
      <c r="M194" s="42"/>
      <c r="N194" s="43" t="s">
        <v>352</v>
      </c>
    </row>
    <row r="195" spans="1:14" ht="15" customHeight="1">
      <c r="A195" s="120" t="s">
        <v>353</v>
      </c>
      <c r="B195" s="125"/>
      <c r="C195" s="36">
        <v>12000</v>
      </c>
      <c r="D195" s="36">
        <v>6000</v>
      </c>
      <c r="E195" s="37"/>
      <c r="F195" s="115">
        <f t="shared" si="33"/>
        <v>0</v>
      </c>
      <c r="G195" s="38">
        <f t="shared" si="36"/>
        <v>24</v>
      </c>
      <c r="H195" s="38">
        <f>D195/600</f>
        <v>10</v>
      </c>
      <c r="I195" s="39">
        <f t="shared" ref="I195:I206" si="37">E195/600</f>
        <v>0</v>
      </c>
      <c r="J195" s="40">
        <v>24</v>
      </c>
      <c r="K195" s="41"/>
      <c r="L195" s="42" t="s">
        <v>354</v>
      </c>
      <c r="M195" s="42" t="s">
        <v>253</v>
      </c>
      <c r="N195" s="43"/>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84800</v>
      </c>
      <c r="F202" s="115">
        <f t="shared" si="33"/>
        <v>0</v>
      </c>
      <c r="G202" s="38">
        <f t="shared" si="36"/>
        <v>136.80000000000001</v>
      </c>
      <c r="H202" s="44">
        <f t="shared" si="38"/>
        <v>113.33333333333333</v>
      </c>
      <c r="I202" s="39">
        <f t="shared" si="37"/>
        <v>141.33333333333334</v>
      </c>
      <c r="J202" s="40">
        <v>136.69999999999999</v>
      </c>
      <c r="K202" s="41"/>
      <c r="L202" s="42" t="s">
        <v>369</v>
      </c>
      <c r="M202" s="58" t="s">
        <v>370</v>
      </c>
      <c r="N202" s="43" t="s">
        <v>371</v>
      </c>
    </row>
    <row r="203" spans="1:14" ht="15" customHeight="1">
      <c r="A203" s="120" t="s">
        <v>372</v>
      </c>
      <c r="B203" s="125"/>
      <c r="C203" s="36">
        <v>13500</v>
      </c>
      <c r="D203" s="36">
        <v>9500</v>
      </c>
      <c r="E203" s="37">
        <v>16600</v>
      </c>
      <c r="F203" s="115">
        <f t="shared" si="33"/>
        <v>0</v>
      </c>
      <c r="G203" s="38">
        <f t="shared" si="36"/>
        <v>27</v>
      </c>
      <c r="H203" s="38">
        <f t="shared" si="38"/>
        <v>15.833333333333334</v>
      </c>
      <c r="I203" s="39">
        <f t="shared" si="37"/>
        <v>27.666666666666668</v>
      </c>
      <c r="J203" s="40">
        <v>27.7</v>
      </c>
      <c r="K203" s="41"/>
      <c r="L203" s="42" t="s">
        <v>407</v>
      </c>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thickBot="1">
      <c r="A206" s="146" t="s">
        <v>440</v>
      </c>
      <c r="B206" s="76"/>
      <c r="C206" s="76"/>
      <c r="D206" s="76"/>
      <c r="E206" s="76">
        <v>31200</v>
      </c>
      <c r="F206" s="77"/>
      <c r="G206" s="77"/>
      <c r="H206" s="77"/>
      <c r="I206" s="77">
        <f t="shared" si="37"/>
        <v>52</v>
      </c>
      <c r="J206" s="52">
        <v>52</v>
      </c>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처방전양식 (12)</vt:lpstr>
      <vt:lpstr>처방전양식 (11)</vt:lpstr>
      <vt:lpstr>처방전양식 (10)</vt:lpstr>
      <vt:lpstr>처방전양식 (9)</vt:lpstr>
      <vt:lpstr>처방전양식 (8)</vt:lpstr>
      <vt:lpstr>처방전양식 (7)</vt:lpstr>
      <vt:lpstr>처방전양식 (6)</vt:lpstr>
      <vt:lpstr>처방전양식 (5)</vt: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2025-06-05T04:30:54Z</cp:lastPrinted>
  <dcterms:created xsi:type="dcterms:W3CDTF">2024-09-12T16:35:01Z</dcterms:created>
  <dcterms:modified xsi:type="dcterms:W3CDTF">2025-06-05T04:31:02Z</dcterms:modified>
</cp:coreProperties>
</file>