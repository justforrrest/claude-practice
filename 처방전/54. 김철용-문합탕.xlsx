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feelw\OneDrive\#한의원구상\@처방전@\"/>
    </mc:Choice>
  </mc:AlternateContent>
  <xr:revisionPtr revIDLastSave="0" documentId="13_ncr:1_{20BC0A29-9E7D-4D83-8D97-F777FE8BEF33}" xr6:coauthVersionLast="47" xr6:coauthVersionMax="47" xr10:uidLastSave="{00000000-0000-0000-0000-000000000000}"/>
  <bookViews>
    <workbookView xWindow="-120" yWindow="-120" windowWidth="29040" windowHeight="15720" xr2:uid="{8B9F1886-173A-4475-B0CF-D9F36CE30773}"/>
  </bookViews>
  <sheets>
    <sheet name="처방전양식 (2)" sheetId="5" r:id="rId1"/>
    <sheet name="처방전양식"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5" l="1"/>
  <c r="H9" i="5" s="1"/>
  <c r="H31" i="5"/>
  <c r="F31" i="5"/>
  <c r="I31" i="5" s="1"/>
  <c r="H30" i="5"/>
  <c r="F30" i="5"/>
  <c r="I30" i="5" s="1"/>
  <c r="H29" i="5"/>
  <c r="F29" i="5"/>
  <c r="I29" i="5" s="1"/>
  <c r="H28" i="5"/>
  <c r="F28" i="5"/>
  <c r="I28" i="5" s="1"/>
  <c r="H27" i="5"/>
  <c r="F27" i="5"/>
  <c r="I27" i="5" s="1"/>
  <c r="H26" i="5"/>
  <c r="F26" i="5"/>
  <c r="I26" i="5" s="1"/>
  <c r="H25" i="5"/>
  <c r="F25" i="5"/>
  <c r="I25" i="5" s="1"/>
  <c r="H24" i="5"/>
  <c r="F24" i="5"/>
  <c r="I24" i="5" s="1"/>
  <c r="H23" i="5"/>
  <c r="F23" i="5"/>
  <c r="I23" i="5" s="1"/>
  <c r="I22" i="5"/>
  <c r="H22" i="5"/>
  <c r="F22" i="5"/>
  <c r="I21" i="5"/>
  <c r="H21" i="5"/>
  <c r="F21" i="5"/>
  <c r="I20" i="5"/>
  <c r="H20" i="5"/>
  <c r="F20" i="5"/>
  <c r="I19" i="5"/>
  <c r="H19" i="5"/>
  <c r="F19" i="5"/>
  <c r="L18" i="5"/>
  <c r="L19" i="5" s="1"/>
  <c r="L20" i="5" s="1"/>
  <c r="I18" i="5"/>
  <c r="H18" i="5"/>
  <c r="F18" i="5"/>
  <c r="H17" i="5"/>
  <c r="F17" i="5"/>
  <c r="I17" i="5" s="1"/>
  <c r="H16" i="5"/>
  <c r="F16" i="5"/>
  <c r="I16" i="5" s="1"/>
  <c r="I15" i="5"/>
  <c r="H15" i="5"/>
  <c r="F15" i="5"/>
  <c r="I14" i="5"/>
  <c r="H14" i="5"/>
  <c r="F14" i="5"/>
  <c r="H13" i="5"/>
  <c r="F13" i="5"/>
  <c r="I13" i="5" s="1"/>
  <c r="H12" i="5"/>
  <c r="F12" i="5"/>
  <c r="I12" i="5" s="1"/>
  <c r="I11" i="5"/>
  <c r="H11" i="5"/>
  <c r="F11" i="5"/>
  <c r="I10" i="5"/>
  <c r="H10" i="5"/>
  <c r="F10" i="5"/>
  <c r="F9" i="5"/>
  <c r="F8" i="5"/>
  <c r="G7" i="5"/>
  <c r="I7" i="5" s="1"/>
  <c r="F7" i="5"/>
  <c r="G6" i="5"/>
  <c r="H6" i="5" s="1"/>
  <c r="F6" i="5"/>
  <c r="G5" i="5"/>
  <c r="I5" i="5" s="1"/>
  <c r="F5" i="5"/>
  <c r="G4" i="5"/>
  <c r="I4" i="5" s="1"/>
  <c r="F4" i="5"/>
  <c r="G3" i="5"/>
  <c r="I3" i="5" s="1"/>
  <c r="F3" i="5"/>
  <c r="G2" i="5"/>
  <c r="F2" i="5"/>
  <c r="L23" i="5" s="1"/>
  <c r="I26" i="3"/>
  <c r="H26" i="3"/>
  <c r="G26" i="3"/>
  <c r="F26" i="3"/>
  <c r="G2" i="4"/>
  <c r="I174" i="3"/>
  <c r="G40" i="3"/>
  <c r="I9" i="5" l="1"/>
  <c r="I8" i="5"/>
  <c r="I2" i="5"/>
  <c r="I6" i="5"/>
  <c r="H3" i="5"/>
  <c r="H4" i="5"/>
  <c r="H7" i="5"/>
  <c r="H2" i="5"/>
  <c r="H5" i="5"/>
  <c r="H8" i="5"/>
  <c r="I63" i="3"/>
  <c r="G121" i="3"/>
  <c r="I121" i="3"/>
  <c r="H121" i="3"/>
  <c r="F121" i="3"/>
  <c r="F2" i="4"/>
  <c r="I52" i="3"/>
  <c r="H52" i="3"/>
  <c r="G52" i="3"/>
  <c r="F52" i="3"/>
  <c r="L31" i="5" l="1"/>
  <c r="L30" i="5"/>
  <c r="G3" i="4"/>
  <c r="G4" i="4"/>
  <c r="H4" i="4" s="1"/>
  <c r="G5" i="4"/>
  <c r="H5" i="4" s="1"/>
  <c r="G6" i="4"/>
  <c r="H6" i="4" s="1"/>
  <c r="G7" i="4"/>
  <c r="H7" i="4" s="1"/>
  <c r="G8" i="4"/>
  <c r="H8" i="4" s="1"/>
  <c r="I9" i="4"/>
  <c r="I10" i="4"/>
  <c r="H12" i="4"/>
  <c r="H13" i="4"/>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<sst xmlns="http://schemas.openxmlformats.org/spreadsheetml/2006/main" count="638" uniqueCount="420">
  <si>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</si>
  <si>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</si>
  <si>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</si>
  <si>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</si>
  <si>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</si>
  <si>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</si>
  <si>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</si>
  <si>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</si>
  <si>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</si>
  <si>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</si>
  <si>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</si>
  <si>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</si>
  <si>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</si>
  <si>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</si>
  <si>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</si>
  <si>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</si>
  <si>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</si>
  <si>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</si>
  <si>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</si>
  <si>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</si>
  <si>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</si>
  <si>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</si>
  <si>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</si>
  <si>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</si>
  <si>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</si>
  <si>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</si>
  <si>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</si>
  <si>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</si>
  <si>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</si>
  <si>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</si>
  <si>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</si>
  <si>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</si>
  <si>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</si>
  <si>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</si>
  <si>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</si>
  <si>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</si>
  <si>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</si>
  <si>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</si>
  <si>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</si>
  <si>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</si>
  <si>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</si>
  <si>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</si>
  <si>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</si>
  <si>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</si>
  <si>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</si>
  <si>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</si>
  <si>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</si>
  <si>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</si>
  <si>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</si>
  <si>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</si>
  <si>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</si>
  <si>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</si>
  <si>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</si>
  <si>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</si>
  <si>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</si>
  <si>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</si>
  <si>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</si>
  <si>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</si>
  <si>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</si>
  <si>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</si>
  <si>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</si>
  <si>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</si>
  <si>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</si>
  <si>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</si>
  <si>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</si>
  <si>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</si>
  <si>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</si>
  <si>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</si>
  <si>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</si>
  <si>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</si>
  <si>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</si>
  <si>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</si>
  <si>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</si>
  <si>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</si>
  <si>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</si>
  <si>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</si>
  <si>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</si>
  <si>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</si>
  <si>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</si>
  <si>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</si>
  <si>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</si>
  <si>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</si>
  <si>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</si>
  <si>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</si>
  <si>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</si>
  <si>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</si>
  <si>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</si>
  <si>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</si>
  <si>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</si>
  <si>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</si>
  <si>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</si>
  <si>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</si>
  <si>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</si>
  <si>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</si>
  <si>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</si>
  <si>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</si>
  <si>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</si>
  <si>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</si>
  <si>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</si>
  <si>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</si>
  <si>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</si>
  <si>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</si>
  <si>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</si>
  <si>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</si>
  <si>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</si>
  <si>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</si>
  <si>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</si>
  <si>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</si>
  <si>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</si>
  <si>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</si>
  <si>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</si>
  <si>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</si>
  <si>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</si>
  <si>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</si>
  <si>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</si>
  <si>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</si>
  <si>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</si>
  <si>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</si>
  <si>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</si>
  <si>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</si>
  <si>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</si>
  <si>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</si>
  <si>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</si>
  <si>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</si>
  <si>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</si>
  <si>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</si>
  <si>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</si>
  <si>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</si>
  <si>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</si>
  <si>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</si>
  <si>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</si>
  <si>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</si>
  <si>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</si>
  <si>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</si>
  <si>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</si>
  <si>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</si>
  <si>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</si>
  <si>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</si>
  <si>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</si>
  <si>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</si>
  <si>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</si>
  <si>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</si>
  <si>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</si>
  <si>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</si>
  <si>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</si>
  <si>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</si>
  <si>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</si>
  <si>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</si>
  <si>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</si>
  <si>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</si>
  <si>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</si>
  <si>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</si>
  <si>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</si>
  <si>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</si>
  <si>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</si>
  <si>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</si>
  <si>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</si>
  <si>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</si>
  <si>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</si>
  <si>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</si>
  <si>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</si>
  <si>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</si>
  <si>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</si>
  <si>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</si>
  <si>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</si>
  <si>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</si>
  <si>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</si>
  <si>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</si>
  <si>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</si>
  <si>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</si>
  <si>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</si>
  <si>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</si>
  <si>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</si>
  <si>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</si>
  <si>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</si>
  <si>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</si>
  <si>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</si>
  <si>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</si>
  <si>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</si>
  <si>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</si>
  <si>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</si>
  <si>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</si>
  <si>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</si>
  <si>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</si>
  <si>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</si>
  <si>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</si>
  <si>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</si>
  <si>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</si>
  <si>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</si>
  <si>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</si>
  <si>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</si>
  <si>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</si>
  <si>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</si>
  <si>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</si>
  <si>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</si>
  <si>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</si>
  <si>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</si>
  <si>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</si>
  <si>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</si>
  <si>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</si>
  <si>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</si>
  <si>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</si>
  <si>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</si>
  <si>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</si>
  <si>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</si>
  <si>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</si>
  <si>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</si>
  <si>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</si>
  <si>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</si>
  <si>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</si>
  <si>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</si>
  <si>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</si>
  <si>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</si>
  <si>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</si>
  <si>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</si>
  <si>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</si>
  <si>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</si>
  <si>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</si>
  <si>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</si>
  <si>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</si>
  <si>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</si>
  <si>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</si>
  <si>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</si>
  <si>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</si>
  <si>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</si>
  <si>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</si>
  <si>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</si>
  <si>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</si>
  <si>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</si>
  <si>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</si>
  <si>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</si>
  <si>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</si>
  <si>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</si>
  <si>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</si>
  <si>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</si>
  <si>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</si>
  <si>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</si>
  <si>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</si>
  <si>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</si>
  <si>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</si>
  <si>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</si>
  <si>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</si>
  <si>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</si>
  <si>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</si>
  <si>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</si>
  <si>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</si>
  <si>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</si>
  <si>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</si>
  <si>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</si>
  <si>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</si>
  <si>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</si>
  <si>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</si>
  <si>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</si>
  <si>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</si>
  <si>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</si>
  <si>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</si>
  <si>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</si>
  <si>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</si>
  <si>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</si>
  <si>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</si>
  <si>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</si>
  <si>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</si>
  <si>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</si>
  <si>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</si>
  <si>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</si>
  <si>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</si>
  <si>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</si>
  <si>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</si>
  <si>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</si>
  <si>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</si>
  <si>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</si>
  <si>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</si>
  <si>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</si>
  <si>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</si>
  <si>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</si>
  <si>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</si>
  <si>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</si>
  <si>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</si>
  <si>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</si>
  <si>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</si>
  <si>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</si>
  <si>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</si>
  <si>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</si>
  <si>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</si>
  <si>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</si>
  <si>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</si>
  <si>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</si>
  <si>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</si>
  <si>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</si>
  <si>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</si>
  <si>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</si>
  <si>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</si>
  <si>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</si>
  <si>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</si>
  <si>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</si>
  <si>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</si>
  <si>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</si>
  <si>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</si>
  <si>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</si>
  <si>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</si>
  <si>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</si>
  <si>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</si>
  <si>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</si>
  <si>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</si>
  <si>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</si>
  <si>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</si>
  <si>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</si>
  <si>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</si>
  <si>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</si>
  <si>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</si>
  <si>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</si>
  <si>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</si>
  <si>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</si>
  <si>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</si>
  <si>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</si>
  <si>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</si>
  <si>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</si>
  <si>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</si>
  <si>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</si>
  <si>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</si>
  <si>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</si>
  <si>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</si>
  <si>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</si>
  <si>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</si>
  <si>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</si>
  <si>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</si>
  <si>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</si>
  <si>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</si>
  <si>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</si>
  <si>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</si>
  <si>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</si>
  <si>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</si>
  <si>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</si>
  <si>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</si>
  <si>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</si>
  <si>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</si>
  <si>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</si>
  <si>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</si>
  <si>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</si>
  <si>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</si>
  <si>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</si>
  <si>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</si>
  <si>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</si>
  <si>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</si>
  <si>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</si>
  <si>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</si>
  <si>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</si>
  <si>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</si>
  <si>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</si>
  <si>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</si>
  <si>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</si>
  <si>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</si>
  <si>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</si>
  <si>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</si>
  <si>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</si>
  <si>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</si>
  <si>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</si>
  <si>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</si>
  <si>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</si>
  <si>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</si>
  <si>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</si>
  <si>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</si>
  <si>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</si>
  <si>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</si>
  <si>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</si>
  <si>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</si>
  <si>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</si>
  <si>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</si>
  <si>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</si>
  <si>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</si>
  <si>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</si>
  <si>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</si>
  <si>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</si>
  <si>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</si>
  <si>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</si>
  <si>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</si>
  <si>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</si>
  <si>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</si>
  <si>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</si>
  <si>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</si>
  <si>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</si>
  <si>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</si>
  <si>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</si>
  <si>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</si>
  <si>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</si>
  <si>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</si>
  <si>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</si>
  <si>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</si>
  <si>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</si>
  <si>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</si>
  <si>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</si>
  <si>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</si>
  <si>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</si>
  <si>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</si>
  <si>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</si>
  <si>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</si>
  <si>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</si>
  <si>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</si>
  <si>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</si>
  <si>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</si>
  <si>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</si>
  <si>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</si>
  <si>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</si>
  <si>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</si>
  <si>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</si>
  <si>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</si>
  <si>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</si>
  <si>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문합탕</t>
    <phoneticPr fontId="5" type="noConversion"/>
  </si>
  <si>
    <t>M</t>
    <phoneticPr fontId="5" type="noConversion"/>
  </si>
  <si>
    <t>김철영</t>
    <phoneticPr fontId="5" type="noConversion"/>
  </si>
  <si>
    <t>마황</t>
    <phoneticPr fontId="5" type="noConversion"/>
  </si>
  <si>
    <t>석고</t>
    <phoneticPr fontId="5" type="noConversion"/>
  </si>
  <si>
    <t>대추</t>
    <phoneticPr fontId="5" type="noConversion"/>
  </si>
  <si>
    <t>생강</t>
    <phoneticPr fontId="5" type="noConversion"/>
  </si>
  <si>
    <t>감초</t>
    <phoneticPr fontId="5" type="noConversion"/>
  </si>
  <si>
    <t>행인</t>
    <phoneticPr fontId="5" type="noConversion"/>
  </si>
  <si>
    <t>패모</t>
    <phoneticPr fontId="5" type="noConversion"/>
  </si>
  <si>
    <t xml:space="preserve">문합탕 (문합 대 석고,패모)
#숨참 + 맑은 콧물, 경미한 가래, 기침
</t>
    <phoneticPr fontId="5" type="noConversion"/>
  </si>
  <si>
    <t>문합</t>
    <phoneticPr fontId="5" type="noConversion"/>
  </si>
  <si>
    <t xml:space="preserve">문합탕 + 패모
#숨참 + 맑은 콧물, 중등도 가래, 기침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</si>
</sst>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7D5E-AE66-420A-B71C-F817964A66CE}">
  <sheetPr>
    <pageSetUpPr fitToPage="1"/>
  </sheetPr>
  <dimension ref="B1:M31"/>
  <sheetViews>
    <sheetView tabSelected="1" workbookViewId="0">
      <selection activeCell="F14" sqref="F14"/>
    </sheetView>
  </sheetViews>
  <sheetFormatPr defaultRowHeight="16.5"/>
  <cols>
    <col min="1" max="1" width="2.875" customWidth="1"/>
    <col min="2" max="2" width="6.37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411</v>
      </c>
      <c r="D2" s="4"/>
      <c r="E2" s="88">
        <v>10</v>
      </c>
      <c r="F2" s="101">
        <f>E2*$L$15</f>
        <v>200</v>
      </c>
      <c r="G2">
        <f>VLOOKUP($C2,약재관리!A:J,10,FALSE)</f>
        <v>5.5</v>
      </c>
      <c r="H2" s="5">
        <f>G2*E2</f>
        <v>55</v>
      </c>
      <c r="I2" s="90">
        <f>G2*F2</f>
        <v>1100</v>
      </c>
      <c r="K2" s="7" t="s">
        <v>9</v>
      </c>
      <c r="L2" s="151">
        <v>54</v>
      </c>
      <c r="M2" s="152"/>
    </row>
    <row r="3" spans="2:13">
      <c r="B3" s="3">
        <v>2</v>
      </c>
      <c r="C3" t="s">
        <v>412</v>
      </c>
      <c r="D3" s="4"/>
      <c r="E3" s="88">
        <v>8</v>
      </c>
      <c r="F3" s="101">
        <f t="shared" ref="F3:F31" si="0">E3*$L$15</f>
        <v>160</v>
      </c>
      <c r="G3">
        <f>VLOOKUP($C3,약재관리!A:J,10,FALSE)</f>
        <v>20.8</v>
      </c>
      <c r="H3" s="5">
        <f t="shared" ref="H3:H31" si="1">G3*E3</f>
        <v>166.4</v>
      </c>
      <c r="I3" s="6">
        <f t="shared" ref="I3:I31" si="2">G3*F3</f>
        <v>3328</v>
      </c>
      <c r="K3" s="8" t="s">
        <v>10</v>
      </c>
      <c r="L3" s="146" t="s">
        <v>407</v>
      </c>
      <c r="M3" s="147"/>
    </row>
    <row r="4" spans="2:13">
      <c r="B4" s="3">
        <v>3</v>
      </c>
      <c r="C4" t="s">
        <v>410</v>
      </c>
      <c r="D4" s="4"/>
      <c r="E4" s="88">
        <v>6</v>
      </c>
      <c r="F4" s="101">
        <f t="shared" si="0"/>
        <v>120</v>
      </c>
      <c r="G4">
        <f>VLOOKUP($C4,약재관리!A:J,10,FALSE)</f>
        <v>8.5</v>
      </c>
      <c r="H4" s="5">
        <f t="shared" si="1"/>
        <v>51</v>
      </c>
      <c r="I4" s="6">
        <f t="shared" si="2"/>
        <v>1020</v>
      </c>
      <c r="K4" s="8" t="s">
        <v>11</v>
      </c>
      <c r="L4" s="153">
        <v>45940</v>
      </c>
      <c r="M4" s="147"/>
    </row>
    <row r="5" spans="2:13">
      <c r="B5" s="3">
        <v>4</v>
      </c>
      <c r="C5" t="s">
        <v>413</v>
      </c>
      <c r="D5" s="4"/>
      <c r="E5" s="88">
        <v>6</v>
      </c>
      <c r="F5" s="101">
        <f t="shared" si="0"/>
        <v>120</v>
      </c>
      <c r="G5">
        <f>VLOOKUP($C5,약재관리!A:J,10,FALSE)</f>
        <v>15</v>
      </c>
      <c r="H5" s="5">
        <f t="shared" si="1"/>
        <v>90</v>
      </c>
      <c r="I5" s="6">
        <f t="shared" si="2"/>
        <v>1800</v>
      </c>
      <c r="K5" s="8" t="s">
        <v>12</v>
      </c>
      <c r="L5" s="146" t="s">
        <v>409</v>
      </c>
      <c r="M5" s="147"/>
    </row>
    <row r="6" spans="2:13">
      <c r="B6" s="3">
        <v>5</v>
      </c>
      <c r="C6" t="s">
        <v>414</v>
      </c>
      <c r="D6" s="4"/>
      <c r="E6" s="88">
        <v>6</v>
      </c>
      <c r="F6" s="101">
        <f t="shared" si="0"/>
        <v>120</v>
      </c>
      <c r="G6">
        <f>VLOOKUP($C6,약재관리!A:J,10,FALSE)</f>
        <v>28.3</v>
      </c>
      <c r="H6" s="5">
        <f t="shared" si="1"/>
        <v>169.8</v>
      </c>
      <c r="I6" s="6">
        <f t="shared" si="2"/>
        <v>3396</v>
      </c>
      <c r="K6" s="8" t="s">
        <v>13</v>
      </c>
      <c r="L6" s="146">
        <v>60</v>
      </c>
      <c r="M6" s="147"/>
    </row>
    <row r="7" spans="2:13" ht="17.25" thickBot="1">
      <c r="B7" s="3">
        <v>6</v>
      </c>
      <c r="C7" t="s">
        <v>415</v>
      </c>
      <c r="D7" s="4"/>
      <c r="E7" s="88">
        <v>4</v>
      </c>
      <c r="F7" s="101">
        <f t="shared" si="0"/>
        <v>80</v>
      </c>
      <c r="G7">
        <f>VLOOKUP($C7,약재관리!A:J,10,FALSE)</f>
        <v>12</v>
      </c>
      <c r="H7" s="5">
        <f t="shared" si="1"/>
        <v>48</v>
      </c>
      <c r="I7" s="6">
        <f t="shared" si="2"/>
        <v>960</v>
      </c>
      <c r="K7" s="8" t="s">
        <v>14</v>
      </c>
      <c r="L7" s="154" t="s">
        <v>408</v>
      </c>
      <c r="M7" s="155"/>
    </row>
    <row r="8" spans="2:13" ht="17.25" thickBot="1">
      <c r="B8" s="3">
        <v>7</v>
      </c>
      <c r="C8" t="s">
        <v>418</v>
      </c>
      <c r="D8" s="4"/>
      <c r="E8" s="88">
        <v>10</v>
      </c>
      <c r="F8" s="101">
        <f t="shared" si="0"/>
        <v>200</v>
      </c>
      <c r="H8" s="5">
        <f t="shared" si="1"/>
        <v>0</v>
      </c>
      <c r="I8" s="6">
        <f t="shared" si="2"/>
        <v>0</v>
      </c>
      <c r="K8" s="148" t="s">
        <v>15</v>
      </c>
      <c r="L8" s="149"/>
      <c r="M8" s="150"/>
    </row>
    <row r="9" spans="2:13">
      <c r="B9" s="3">
        <v>8</v>
      </c>
      <c r="C9" t="s">
        <v>416</v>
      </c>
      <c r="D9" s="4"/>
      <c r="E9" s="88">
        <v>4</v>
      </c>
      <c r="F9" s="101">
        <f t="shared" si="0"/>
        <v>80</v>
      </c>
      <c r="G9">
        <f>VLOOKUP($C9,약재관리!A:J,10,FALSE)</f>
        <v>30</v>
      </c>
      <c r="H9" s="5">
        <f t="shared" si="1"/>
        <v>120</v>
      </c>
      <c r="I9" s="6">
        <f t="shared" si="2"/>
        <v>2400</v>
      </c>
      <c r="K9" s="156" t="s">
        <v>419</v>
      </c>
      <c r="L9" s="157"/>
      <c r="M9" s="158"/>
    </row>
    <row r="10" spans="2:13">
      <c r="B10" s="3">
        <v>9</v>
      </c>
      <c r="D10" s="4"/>
      <c r="F10" s="101">
        <f t="shared" si="0"/>
        <v>0</v>
      </c>
      <c r="H10" s="5">
        <f t="shared" si="1"/>
        <v>0</v>
      </c>
      <c r="I10" s="6">
        <f t="shared" si="2"/>
        <v>0</v>
      </c>
      <c r="K10" s="159"/>
      <c r="L10" s="160"/>
      <c r="M10" s="161"/>
    </row>
    <row r="11" spans="2:13">
      <c r="B11" s="3">
        <v>10</v>
      </c>
      <c r="D11" s="4"/>
      <c r="F11" s="101">
        <f t="shared" si="0"/>
        <v>0</v>
      </c>
      <c r="H11" s="5">
        <f t="shared" si="1"/>
        <v>0</v>
      </c>
      <c r="I11" s="6">
        <f t="shared" si="2"/>
        <v>0</v>
      </c>
      <c r="K11" s="159"/>
      <c r="L11" s="160"/>
      <c r="M11" s="161"/>
    </row>
    <row r="12" spans="2:13">
      <c r="B12" s="3">
        <v>11</v>
      </c>
      <c r="D12" s="4"/>
      <c r="F12" s="101">
        <f t="shared" si="0"/>
        <v>0</v>
      </c>
      <c r="H12" s="5">
        <f t="shared" si="1"/>
        <v>0</v>
      </c>
      <c r="I12" s="6">
        <f t="shared" si="2"/>
        <v>0</v>
      </c>
      <c r="K12" s="159"/>
      <c r="L12" s="160"/>
      <c r="M12" s="161"/>
    </row>
    <row r="13" spans="2:13" ht="17.25" thickBot="1">
      <c r="B13" s="3">
        <v>12</v>
      </c>
      <c r="D13" s="4"/>
      <c r="F13" s="101">
        <f t="shared" si="0"/>
        <v>0</v>
      </c>
      <c r="H13" s="5">
        <f t="shared" si="1"/>
        <v>0</v>
      </c>
      <c r="I13" s="6">
        <f t="shared" si="2"/>
        <v>0</v>
      </c>
      <c r="K13" s="162"/>
      <c r="L13" s="163"/>
      <c r="M13" s="164"/>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54</v>
      </c>
      <c r="M18" s="10" t="s">
        <v>25</v>
      </c>
    </row>
    <row r="19" spans="2:13">
      <c r="B19" s="3">
        <v>18</v>
      </c>
      <c r="D19" s="4"/>
      <c r="F19" s="101">
        <f t="shared" si="0"/>
        <v>0</v>
      </c>
      <c r="H19" s="5">
        <f t="shared" si="1"/>
        <v>0</v>
      </c>
      <c r="I19" s="6">
        <f t="shared" si="2"/>
        <v>0</v>
      </c>
      <c r="K19" s="91" t="s">
        <v>26</v>
      </c>
      <c r="L19">
        <f>L15*L18</f>
        <v>1080</v>
      </c>
      <c r="M19" s="4" t="s">
        <v>25</v>
      </c>
    </row>
    <row r="20" spans="2:13" ht="17.25" thickBot="1">
      <c r="B20" s="3">
        <v>19</v>
      </c>
      <c r="D20" s="4"/>
      <c r="F20" s="101">
        <f t="shared" si="0"/>
        <v>0</v>
      </c>
      <c r="H20" s="5">
        <f t="shared" si="1"/>
        <v>0</v>
      </c>
      <c r="I20" s="6">
        <f t="shared" si="2"/>
        <v>0</v>
      </c>
      <c r="K20" s="14" t="s">
        <v>27</v>
      </c>
      <c r="L20" s="11">
        <f>L16*L17+L19</f>
        <v>5580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1080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700.2</v>
      </c>
      <c r="M30" s="4" t="s">
        <v>386</v>
      </c>
    </row>
    <row r="31" spans="2:13" ht="17.25" thickBot="1">
      <c r="B31" s="13">
        <v>30</v>
      </c>
      <c r="C31" s="14"/>
      <c r="D31" s="12"/>
      <c r="E31" s="95"/>
      <c r="F31" s="102">
        <f t="shared" si="0"/>
        <v>0</v>
      </c>
      <c r="G31" s="14"/>
      <c r="H31" s="15">
        <f t="shared" si="1"/>
        <v>0</v>
      </c>
      <c r="I31" s="16">
        <f t="shared" si="2"/>
        <v>0</v>
      </c>
      <c r="K31" s="14" t="s">
        <v>385</v>
      </c>
      <c r="L31" s="15">
        <f>SUM(I2:I31)</f>
        <v>14004</v>
      </c>
      <c r="M31" s="12" t="s">
        <v>386</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4" sqref="L4:M4"/>
    </sheetView>
  </sheetViews>
  <sheetFormatPr defaultRowHeight="16.5"/>
  <cols>
    <col min="1" max="1" width="2.875" customWidth="1"/>
    <col min="2" max="2" width="6.37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8" t="s">
        <v>8</v>
      </c>
      <c r="L1" s="149"/>
      <c r="M1" s="150"/>
    </row>
    <row r="2" spans="2:13">
      <c r="B2" s="3">
        <v>1</v>
      </c>
      <c r="C2" t="s">
        <v>411</v>
      </c>
      <c r="D2" s="4"/>
      <c r="E2" s="88">
        <v>16</v>
      </c>
      <c r="F2" s="101">
        <f>E2*$L$15</f>
        <v>320</v>
      </c>
      <c r="G2">
        <f>VLOOKUP($C2,약재관리!A:J,10,FALSE)</f>
        <v>5.5</v>
      </c>
      <c r="H2" s="5">
        <f>G2*E2</f>
        <v>88</v>
      </c>
      <c r="I2" s="90">
        <f>G2*F2</f>
        <v>1760</v>
      </c>
      <c r="K2" s="7" t="s">
        <v>9</v>
      </c>
      <c r="L2" s="151">
        <v>54</v>
      </c>
      <c r="M2" s="152"/>
    </row>
    <row r="3" spans="2:13">
      <c r="B3" s="3">
        <v>2</v>
      </c>
      <c r="C3" t="s">
        <v>412</v>
      </c>
      <c r="D3" s="4"/>
      <c r="E3" s="88">
        <v>8</v>
      </c>
      <c r="F3" s="101">
        <f t="shared" ref="F3:F31" si="0">E3*$L$15</f>
        <v>160</v>
      </c>
      <c r="G3">
        <f>VLOOKUP($C3,약재관리!A:J,10,FALSE)</f>
        <v>20.8</v>
      </c>
      <c r="H3" s="5">
        <f t="shared" ref="H3:H31" si="1">G3*E3</f>
        <v>166.4</v>
      </c>
      <c r="I3" s="6">
        <f t="shared" ref="I3:I31" si="2">G3*F3</f>
        <v>3328</v>
      </c>
      <c r="K3" s="8" t="s">
        <v>10</v>
      </c>
      <c r="L3" s="146" t="s">
        <v>407</v>
      </c>
      <c r="M3" s="147"/>
    </row>
    <row r="4" spans="2:13">
      <c r="B4" s="3">
        <v>3</v>
      </c>
      <c r="C4" t="s">
        <v>410</v>
      </c>
      <c r="D4" s="4"/>
      <c r="E4" s="88">
        <v>6</v>
      </c>
      <c r="F4" s="101">
        <f t="shared" si="0"/>
        <v>120</v>
      </c>
      <c r="G4">
        <f>VLOOKUP($C4,약재관리!A:J,10,FALSE)</f>
        <v>8.5</v>
      </c>
      <c r="H4" s="5">
        <f t="shared" si="1"/>
        <v>51</v>
      </c>
      <c r="I4" s="6">
        <f t="shared" si="2"/>
        <v>1020</v>
      </c>
      <c r="K4" s="8" t="s">
        <v>11</v>
      </c>
      <c r="L4" s="153">
        <v>45637</v>
      </c>
      <c r="M4" s="147"/>
    </row>
    <row r="5" spans="2:13">
      <c r="B5" s="3">
        <v>4</v>
      </c>
      <c r="C5" t="s">
        <v>413</v>
      </c>
      <c r="D5" s="4"/>
      <c r="E5" s="88">
        <v>6</v>
      </c>
      <c r="F5" s="101">
        <f t="shared" si="0"/>
        <v>120</v>
      </c>
      <c r="G5">
        <f>VLOOKUP($C5,약재관리!A:J,10,FALSE)</f>
        <v>15</v>
      </c>
      <c r="H5" s="5">
        <f t="shared" si="1"/>
        <v>90</v>
      </c>
      <c r="I5" s="6">
        <f t="shared" si="2"/>
        <v>1800</v>
      </c>
      <c r="K5" s="8" t="s">
        <v>12</v>
      </c>
      <c r="L5" s="146" t="s">
        <v>409</v>
      </c>
      <c r="M5" s="147"/>
    </row>
    <row r="6" spans="2:13">
      <c r="B6" s="3">
        <v>5</v>
      </c>
      <c r="C6" t="s">
        <v>414</v>
      </c>
      <c r="D6" s="4"/>
      <c r="E6" s="88">
        <v>6</v>
      </c>
      <c r="F6" s="101">
        <f t="shared" si="0"/>
        <v>120</v>
      </c>
      <c r="G6">
        <f>VLOOKUP($C6,약재관리!A:J,10,FALSE)</f>
        <v>28.3</v>
      </c>
      <c r="H6" s="5">
        <f t="shared" si="1"/>
        <v>169.8</v>
      </c>
      <c r="I6" s="6">
        <f t="shared" si="2"/>
        <v>3396</v>
      </c>
      <c r="K6" s="8" t="s">
        <v>13</v>
      </c>
      <c r="L6" s="146">
        <v>60</v>
      </c>
      <c r="M6" s="147"/>
    </row>
    <row r="7" spans="2:13" ht="17.25" thickBot="1">
      <c r="B7" s="3">
        <v>6</v>
      </c>
      <c r="C7" t="s">
        <v>415</v>
      </c>
      <c r="D7" s="4"/>
      <c r="E7" s="88">
        <v>4</v>
      </c>
      <c r="F7" s="101">
        <f t="shared" si="0"/>
        <v>80</v>
      </c>
      <c r="G7">
        <f>VLOOKUP($C7,약재관리!A:J,10,FALSE)</f>
        <v>12</v>
      </c>
      <c r="H7" s="5">
        <f t="shared" si="1"/>
        <v>48</v>
      </c>
      <c r="I7" s="6">
        <f t="shared" si="2"/>
        <v>960</v>
      </c>
      <c r="K7" s="8" t="s">
        <v>14</v>
      </c>
      <c r="L7" s="154" t="s">
        <v>408</v>
      </c>
      <c r="M7" s="155"/>
    </row>
    <row r="8" spans="2:13" ht="17.25" thickBot="1">
      <c r="B8" s="3">
        <v>7</v>
      </c>
      <c r="C8" t="s">
        <v>416</v>
      </c>
      <c r="D8" s="4"/>
      <c r="E8" s="88">
        <v>4</v>
      </c>
      <c r="F8" s="101">
        <f t="shared" si="0"/>
        <v>80</v>
      </c>
      <c r="G8">
        <f>VLOOKUP($C8,약재관리!A:J,10,FALSE)</f>
        <v>30</v>
      </c>
      <c r="H8" s="5">
        <f t="shared" si="1"/>
        <v>120</v>
      </c>
      <c r="I8" s="6">
        <f t="shared" si="2"/>
        <v>2400</v>
      </c>
      <c r="K8" s="148" t="s">
        <v>15</v>
      </c>
      <c r="L8" s="149"/>
      <c r="M8" s="150"/>
    </row>
    <row r="9" spans="2:13">
      <c r="B9" s="3">
        <v>8</v>
      </c>
      <c r="D9" s="4"/>
      <c r="F9" s="101">
        <f t="shared" si="0"/>
        <v>0</v>
      </c>
      <c r="H9" s="5">
        <f t="shared" si="1"/>
        <v>0</v>
      </c>
      <c r="I9" s="6">
        <f t="shared" si="2"/>
        <v>0</v>
      </c>
      <c r="K9" s="156" t="s">
        <v>417</v>
      </c>
      <c r="L9" s="157"/>
      <c r="M9" s="158"/>
    </row>
    <row r="10" spans="2:13">
      <c r="B10" s="3">
        <v>9</v>
      </c>
      <c r="D10" s="4"/>
      <c r="F10" s="101">
        <f t="shared" si="0"/>
        <v>0</v>
      </c>
      <c r="H10" s="5">
        <f t="shared" si="1"/>
        <v>0</v>
      </c>
      <c r="I10" s="6">
        <f t="shared" si="2"/>
        <v>0</v>
      </c>
      <c r="K10" s="159"/>
      <c r="L10" s="160"/>
      <c r="M10" s="161"/>
    </row>
    <row r="11" spans="2:13">
      <c r="B11" s="3">
        <v>10</v>
      </c>
      <c r="D11" s="4"/>
      <c r="F11" s="101">
        <f t="shared" si="0"/>
        <v>0</v>
      </c>
      <c r="H11" s="5">
        <f t="shared" si="1"/>
        <v>0</v>
      </c>
      <c r="I11" s="6">
        <f t="shared" si="2"/>
        <v>0</v>
      </c>
      <c r="K11" s="159"/>
      <c r="L11" s="160"/>
      <c r="M11" s="161"/>
    </row>
    <row r="12" spans="2:13">
      <c r="B12" s="3">
        <v>11</v>
      </c>
      <c r="D12" s="4"/>
      <c r="F12" s="101">
        <f t="shared" si="0"/>
        <v>0</v>
      </c>
      <c r="H12" s="5">
        <f t="shared" si="1"/>
        <v>0</v>
      </c>
      <c r="I12" s="6">
        <f t="shared" si="2"/>
        <v>0</v>
      </c>
      <c r="K12" s="159"/>
      <c r="L12" s="160"/>
      <c r="M12" s="161"/>
    </row>
    <row r="13" spans="2:13" ht="17.25" thickBot="1">
      <c r="B13" s="3">
        <v>12</v>
      </c>
      <c r="D13" s="4"/>
      <c r="F13" s="101">
        <f t="shared" si="0"/>
        <v>0</v>
      </c>
      <c r="H13" s="5">
        <f t="shared" si="1"/>
        <v>0</v>
      </c>
      <c r="I13" s="6">
        <f t="shared" si="2"/>
        <v>0</v>
      </c>
      <c r="K13" s="162"/>
      <c r="L13" s="163"/>
      <c r="M13" s="164"/>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50</v>
      </c>
      <c r="M18" s="10" t="s">
        <v>25</v>
      </c>
    </row>
    <row r="19" spans="2:13">
      <c r="B19" s="3">
        <v>18</v>
      </c>
      <c r="D19" s="4"/>
      <c r="F19" s="101">
        <f t="shared" si="0"/>
        <v>0</v>
      </c>
      <c r="H19" s="5">
        <f t="shared" si="1"/>
        <v>0</v>
      </c>
      <c r="I19" s="6">
        <f t="shared" si="2"/>
        <v>0</v>
      </c>
      <c r="K19" s="91" t="s">
        <v>26</v>
      </c>
      <c r="L19">
        <f>L15*L18</f>
        <v>1000</v>
      </c>
      <c r="M19" s="4" t="s">
        <v>25</v>
      </c>
    </row>
    <row r="20" spans="2:13" ht="17.25" thickBot="1">
      <c r="B20" s="3">
        <v>19</v>
      </c>
      <c r="D20" s="4"/>
      <c r="F20" s="101">
        <f t="shared" si="0"/>
        <v>0</v>
      </c>
      <c r="H20" s="5">
        <f t="shared" si="1"/>
        <v>0</v>
      </c>
      <c r="I20" s="6">
        <f t="shared" si="2"/>
        <v>0</v>
      </c>
      <c r="K20" s="14" t="s">
        <v>27</v>
      </c>
      <c r="L20" s="11">
        <f>L16*L17+L19</f>
        <v>5500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8" t="s">
        <v>388</v>
      </c>
      <c r="L22" s="149"/>
      <c r="M22" s="150"/>
    </row>
    <row r="23" spans="2:13">
      <c r="B23" s="3">
        <v>22</v>
      </c>
      <c r="D23" s="4"/>
      <c r="F23" s="101">
        <f t="shared" si="0"/>
        <v>0</v>
      </c>
      <c r="H23" s="5">
        <f t="shared" si="1"/>
        <v>0</v>
      </c>
      <c r="I23" s="6">
        <f t="shared" si="2"/>
        <v>0</v>
      </c>
      <c r="K23" s="91" t="s">
        <v>382</v>
      </c>
      <c r="L23">
        <f>SUM(F2:F31)</f>
        <v>1000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8" t="s">
        <v>387</v>
      </c>
      <c r="L29" s="149"/>
      <c r="M29" s="150"/>
    </row>
    <row r="30" spans="2:13">
      <c r="B30" s="3">
        <v>29</v>
      </c>
      <c r="D30" s="4"/>
      <c r="F30" s="101">
        <f t="shared" si="0"/>
        <v>0</v>
      </c>
      <c r="H30" s="5">
        <f t="shared" si="1"/>
        <v>0</v>
      </c>
      <c r="I30" s="6">
        <f t="shared" si="2"/>
        <v>0</v>
      </c>
      <c r="K30" s="91" t="s">
        <v>28</v>
      </c>
      <c r="L30" s="5">
        <f>SUM(H2:H31)</f>
        <v>733.2</v>
      </c>
      <c r="M30" s="4" t="s">
        <v>386</v>
      </c>
    </row>
    <row r="31" spans="2:13" ht="17.25" thickBot="1">
      <c r="B31" s="13">
        <v>30</v>
      </c>
      <c r="C31" s="14"/>
      <c r="D31" s="12"/>
      <c r="E31" s="95"/>
      <c r="F31" s="102">
        <f t="shared" si="0"/>
        <v>0</v>
      </c>
      <c r="G31" s="14"/>
      <c r="H31" s="15">
        <f t="shared" si="1"/>
        <v>0</v>
      </c>
      <c r="I31" s="16">
        <f t="shared" si="2"/>
        <v>0</v>
      </c>
      <c r="K31" s="14" t="s">
        <v>385</v>
      </c>
      <c r="L31" s="15">
        <f>SUM(I2:I31)</f>
        <v>14664</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32" zoomScaleNormal="100" workbookViewId="0">
      <selection activeCell="G54" sqref="G5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45602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6700</v>
      </c>
      <c r="F32" s="73">
        <f t="shared" si="3"/>
        <v>23</v>
      </c>
      <c r="G32" s="51">
        <f>C32/500</f>
        <v>25.8</v>
      </c>
      <c r="H32" s="51">
        <f t="shared" si="1"/>
        <v>12.5</v>
      </c>
      <c r="I32" s="138">
        <f t="shared" si="2"/>
        <v>11.166666666666666</v>
      </c>
      <c r="J32" s="52">
        <v>11.2</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12000</v>
      </c>
      <c r="D38" s="36">
        <v>15000</v>
      </c>
      <c r="E38" s="37">
        <v>15000</v>
      </c>
      <c r="F38" s="115">
        <f t="shared" ref="F38:F69" si="8">B38/500</f>
        <v>29.8</v>
      </c>
      <c r="G38" s="38">
        <f>C38/500</f>
        <v>24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15000</v>
      </c>
      <c r="E76" s="37">
        <v>16300</v>
      </c>
      <c r="F76" s="115">
        <f t="shared" si="15"/>
        <v>33.799999999999997</v>
      </c>
      <c r="G76" s="38">
        <f t="shared" si="12"/>
        <v>26.4</v>
      </c>
      <c r="H76" s="44">
        <f t="shared" si="13"/>
        <v>25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c r="D78" s="36"/>
      <c r="E78" s="37">
        <v>17000</v>
      </c>
      <c r="F78" s="115">
        <f t="shared" si="15"/>
        <v>0</v>
      </c>
      <c r="G78" s="38">
        <f t="shared" si="12"/>
        <v>0</v>
      </c>
      <c r="H78" s="38">
        <f t="shared" si="13"/>
        <v>0</v>
      </c>
      <c r="I78" s="39">
        <f t="shared" si="14"/>
        <v>28.333333333333332</v>
      </c>
      <c r="J78" s="40">
        <v>28.3</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5500</v>
      </c>
      <c r="D82" s="36">
        <v>7000</v>
      </c>
      <c r="E82" s="37">
        <v>6600</v>
      </c>
      <c r="F82" s="115">
        <f t="shared" si="15"/>
        <v>19.8</v>
      </c>
      <c r="G82" s="38">
        <f t="shared" ref="G82:G99" si="16">C82/500</f>
        <v>11</v>
      </c>
      <c r="H82" s="38">
        <f t="shared" si="13"/>
        <v>11.666666666666666</v>
      </c>
      <c r="I82" s="48">
        <f t="shared" si="14"/>
        <v>11</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11000</v>
      </c>
      <c r="D89" s="36">
        <v>15000</v>
      </c>
      <c r="E89" s="37">
        <v>13100</v>
      </c>
      <c r="F89" s="115">
        <f t="shared" si="15"/>
        <v>0</v>
      </c>
      <c r="G89" s="38">
        <f t="shared" si="16"/>
        <v>22</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9000</v>
      </c>
      <c r="D98" s="36">
        <v>9000</v>
      </c>
      <c r="E98" s="37"/>
      <c r="F98" s="115">
        <f t="shared" si="15"/>
        <v>15</v>
      </c>
      <c r="G98" s="44">
        <f t="shared" si="16"/>
        <v>18</v>
      </c>
      <c r="H98" s="38">
        <f t="shared" si="13"/>
        <v>15</v>
      </c>
      <c r="I98" s="39">
        <f t="shared" si="14"/>
        <v>0</v>
      </c>
      <c r="J98" s="40">
        <v>15</v>
      </c>
      <c r="K98" s="67"/>
      <c r="L98" s="68" t="s">
        <v>152</v>
      </c>
      <c r="M98" s="47" t="s">
        <v>270</v>
      </c>
      <c r="N98" s="43"/>
    </row>
    <row r="99" spans="1:14" ht="15.75" customHeight="1">
      <c r="A99" s="119" t="s">
        <v>212</v>
      </c>
      <c r="B99" s="125">
        <v>10300</v>
      </c>
      <c r="C99" s="36">
        <v>8700</v>
      </c>
      <c r="D99" s="36">
        <v>9000</v>
      </c>
      <c r="E99" s="37"/>
      <c r="F99" s="115">
        <f t="shared" si="15"/>
        <v>20.6</v>
      </c>
      <c r="G99" s="44">
        <f t="shared" si="16"/>
        <v>17.399999999999999</v>
      </c>
      <c r="H99" s="38">
        <f t="shared" si="13"/>
        <v>15</v>
      </c>
      <c r="I99" s="39">
        <f t="shared" si="14"/>
        <v>0</v>
      </c>
      <c r="J99" s="40">
        <v>17.399999999999999</v>
      </c>
      <c r="K99" s="67"/>
      <c r="L99" s="57" t="s">
        <v>152</v>
      </c>
      <c r="M99" s="47"/>
      <c r="N99" s="43"/>
    </row>
    <row r="100" spans="1:14" ht="15.75" customHeight="1">
      <c r="A100" s="119" t="s">
        <v>213</v>
      </c>
      <c r="B100" s="125"/>
      <c r="C100" s="36">
        <v>5500</v>
      </c>
      <c r="D100" s="36"/>
      <c r="E100" s="37">
        <v>3000</v>
      </c>
      <c r="F100" s="115">
        <f t="shared" si="15"/>
        <v>0</v>
      </c>
      <c r="G100" s="44">
        <f>C100/1000</f>
        <v>5.5</v>
      </c>
      <c r="H100" s="38">
        <f t="shared" ref="H100:H108" si="17">D100/600</f>
        <v>0</v>
      </c>
      <c r="I100" s="39">
        <f>E100/1000</f>
        <v>3</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8">C101/500</f>
        <v>0</v>
      </c>
      <c r="H101" s="38">
        <f t="shared" si="17"/>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8"/>
        <v>27.6</v>
      </c>
      <c r="H102" s="38">
        <f t="shared" si="17"/>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8"/>
        <v>30</v>
      </c>
      <c r="H103" s="38">
        <f t="shared" si="17"/>
        <v>33.333333333333336</v>
      </c>
      <c r="I103" s="39">
        <f t="shared" si="19"/>
        <v>0</v>
      </c>
      <c r="J103" s="40">
        <v>33.299999999999997</v>
      </c>
      <c r="K103" s="41"/>
      <c r="L103" s="42"/>
      <c r="M103" s="42"/>
      <c r="N103" s="43"/>
    </row>
    <row r="104" spans="1:14" ht="15" customHeight="1">
      <c r="A104" s="119" t="s">
        <v>219</v>
      </c>
      <c r="B104" s="125"/>
      <c r="C104" s="36">
        <v>58500</v>
      </c>
      <c r="D104" s="36"/>
      <c r="E104" s="37">
        <v>81200</v>
      </c>
      <c r="F104" s="115">
        <f t="shared" si="20"/>
        <v>0</v>
      </c>
      <c r="G104" s="44">
        <f t="shared" si="18"/>
        <v>117</v>
      </c>
      <c r="H104" s="38">
        <f t="shared" si="17"/>
        <v>0</v>
      </c>
      <c r="I104" s="39">
        <f t="shared" si="19"/>
        <v>135.33333333333334</v>
      </c>
      <c r="J104" s="40">
        <v>117</v>
      </c>
      <c r="K104" s="41"/>
      <c r="L104" s="57" t="s">
        <v>65</v>
      </c>
      <c r="M104" s="42"/>
      <c r="N104" s="43" t="s">
        <v>84</v>
      </c>
    </row>
    <row r="105" spans="1:14" ht="15" customHeight="1">
      <c r="A105" s="119" t="s">
        <v>220</v>
      </c>
      <c r="B105" s="125"/>
      <c r="C105" s="36">
        <v>3100</v>
      </c>
      <c r="D105" s="36">
        <v>5000</v>
      </c>
      <c r="E105" s="37">
        <v>3700</v>
      </c>
      <c r="F105" s="115">
        <f t="shared" si="20"/>
        <v>0</v>
      </c>
      <c r="G105" s="38">
        <f t="shared" si="18"/>
        <v>6.2</v>
      </c>
      <c r="H105" s="38">
        <f t="shared" si="17"/>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8"/>
        <v>11.4</v>
      </c>
      <c r="H106" s="38">
        <f t="shared" si="17"/>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8"/>
        <v>11.6</v>
      </c>
      <c r="H107" s="38">
        <f t="shared" si="17"/>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8"/>
        <v>11.4</v>
      </c>
      <c r="H108" s="38">
        <f t="shared" si="17"/>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9200</v>
      </c>
      <c r="F112" s="115">
        <f t="shared" si="20"/>
        <v>59.8</v>
      </c>
      <c r="G112" s="38">
        <f>C112/500</f>
        <v>15.6</v>
      </c>
      <c r="H112" s="38">
        <f t="shared" si="21"/>
        <v>16.666666666666668</v>
      </c>
      <c r="I112" s="39">
        <f t="shared" si="21"/>
        <v>15.333333333333334</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11500</v>
      </c>
      <c r="D130" s="36">
        <v>11500</v>
      </c>
      <c r="E130" s="37">
        <v>11100</v>
      </c>
      <c r="F130" s="115">
        <f t="shared" si="20"/>
        <v>0</v>
      </c>
      <c r="G130" s="38">
        <f>C130/600</f>
        <v>19.166666666666668</v>
      </c>
      <c r="H130" s="38">
        <f t="shared" si="25"/>
        <v>19.166666666666668</v>
      </c>
      <c r="I130" s="39">
        <f t="shared" si="24"/>
        <v>18.5</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54000</v>
      </c>
      <c r="D141" s="36">
        <v>30000</v>
      </c>
      <c r="E141" s="37"/>
      <c r="F141" s="115">
        <f t="shared" si="26"/>
        <v>0</v>
      </c>
      <c r="G141" s="44">
        <f>C141/600</f>
        <v>90</v>
      </c>
      <c r="H141" s="38">
        <f>D141/300</f>
        <v>100</v>
      </c>
      <c r="I141" s="39">
        <f t="shared" si="24"/>
        <v>0</v>
      </c>
      <c r="J141" s="40">
        <v>90</v>
      </c>
      <c r="K141" s="69"/>
      <c r="L141" s="57" t="s">
        <v>275</v>
      </c>
      <c r="M141" s="71" t="s">
        <v>276</v>
      </c>
      <c r="N141" s="70"/>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6300</v>
      </c>
      <c r="F162" s="115">
        <f t="shared" si="26"/>
        <v>17.600000000000001</v>
      </c>
      <c r="G162" s="38">
        <f t="shared" si="29"/>
        <v>10.199999999999999</v>
      </c>
      <c r="H162" s="38">
        <f t="shared" si="27"/>
        <v>9.6666666666666661</v>
      </c>
      <c r="I162" s="48">
        <f t="shared" si="28"/>
        <v>10.5</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12000</v>
      </c>
      <c r="D167" s="36"/>
      <c r="E167" s="37">
        <v>13400</v>
      </c>
      <c r="F167" s="115">
        <f t="shared" si="30"/>
        <v>0</v>
      </c>
      <c r="G167" s="72">
        <f t="shared" si="29"/>
        <v>24</v>
      </c>
      <c r="H167" s="38">
        <f t="shared" si="27"/>
        <v>0</v>
      </c>
      <c r="I167" s="48">
        <f t="shared" si="28"/>
        <v>22.333333333333332</v>
      </c>
      <c r="J167" s="40">
        <v>24</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14000</v>
      </c>
      <c r="E183" s="27">
        <v>14200</v>
      </c>
      <c r="F183" s="28">
        <f t="shared" si="30"/>
        <v>0</v>
      </c>
      <c r="G183" s="29">
        <f t="shared" si="31"/>
        <v>23.6</v>
      </c>
      <c r="H183" s="29">
        <f t="shared" si="27"/>
        <v>23.333333333333332</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14000</v>
      </c>
      <c r="D188" s="36">
        <v>18000</v>
      </c>
      <c r="E188" s="37"/>
      <c r="F188" s="115">
        <f t="shared" si="33"/>
        <v>0</v>
      </c>
      <c r="G188" s="38">
        <f>C188/500</f>
        <v>28</v>
      </c>
      <c r="H188" s="38">
        <f t="shared" ref="H188:I193" si="35">D188/600</f>
        <v>30</v>
      </c>
      <c r="I188" s="39">
        <f t="shared" si="35"/>
        <v>0</v>
      </c>
      <c r="J188" s="40">
        <v>30</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8800</v>
      </c>
      <c r="F193" s="115">
        <f t="shared" si="33"/>
        <v>0</v>
      </c>
      <c r="G193" s="38">
        <f t="shared" si="36"/>
        <v>14.4</v>
      </c>
      <c r="H193" s="38">
        <f t="shared" si="35"/>
        <v>15.833333333333334</v>
      </c>
      <c r="I193" s="98">
        <f t="shared" si="35"/>
        <v>14.666666666666666</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23000</v>
      </c>
      <c r="D196" s="36">
        <v>28000</v>
      </c>
      <c r="E196" s="37"/>
      <c r="F196" s="115">
        <f t="shared" si="33"/>
        <v>0</v>
      </c>
      <c r="G196" s="38">
        <f t="shared" si="36"/>
        <v>46</v>
      </c>
      <c r="H196" s="38">
        <f>D196/600</f>
        <v>46.666666666666664</v>
      </c>
      <c r="I196" s="39">
        <f t="shared" si="37"/>
        <v>0</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20500</v>
      </c>
      <c r="D198" s="36">
        <v>30000</v>
      </c>
      <c r="E198" s="37">
        <v>26500</v>
      </c>
      <c r="F198" s="115">
        <f t="shared" si="33"/>
        <v>0</v>
      </c>
      <c r="G198" s="38">
        <f t="shared" si="36"/>
        <v>41</v>
      </c>
      <c r="H198" s="38">
        <f>D198/600</f>
        <v>50</v>
      </c>
      <c r="I198" s="39">
        <f t="shared" si="37"/>
        <v>44.166666666666664</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5300</v>
      </c>
      <c r="F205" s="73">
        <f t="shared" si="33"/>
        <v>0</v>
      </c>
      <c r="G205" s="51">
        <f t="shared" si="36"/>
        <v>9</v>
      </c>
      <c r="H205" s="51">
        <f t="shared" si="38"/>
        <v>7.5</v>
      </c>
      <c r="I205" s="74">
        <f t="shared" si="37"/>
        <v>8.8333333333333339</v>
      </c>
      <c r="J205" s="52">
        <v>8.8000000000000007</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2025-10-09T23:59:13Z</cp:lastPrinted>
  <dcterms:created xsi:type="dcterms:W3CDTF">2024-09-12T16:35:01Z</dcterms:created>
  <dcterms:modified xsi:type="dcterms:W3CDTF">2025-10-10T00:13:45Z</dcterms:modified>
</cp:coreProperties>
</file>