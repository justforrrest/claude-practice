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36" documentId="8_{6EB8DC0A-AB56-415F-A9F3-EA1534264548}" xr6:coauthVersionLast="47" xr6:coauthVersionMax="47" xr10:uidLastSave="{66EA20AF-1940-4056-BA7B-95C37CFE7BD6}"/>
  <bookViews>
    <workbookView xWindow="-120" yWindow="-120" windowWidth="29040" windowHeight="15720" xr2:uid="{8B9F1886-173A-4475-B0CF-D9F36CE30773}"/>
  </bookViews>
  <sheets>
    <sheet name="처방전양식 (5)" sheetId="8" r:id="rId1"/>
    <sheet name="처방전양식 (4)" sheetId="7" r:id="rId2"/>
    <sheet name="처방전양식 (3)" sheetId="6" r:id="rId3"/>
    <sheet name="처방전양식 (2)" sheetId="5" r:id="rId4"/>
    <sheet name="처방전양식" sheetId="4" r:id="rId5"/>
    <sheet name="약재관리" sheetId="3"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8" l="1"/>
  <c r="H16"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F16" i="8"/>
  <c r="G15" i="8"/>
  <c r="F15" i="8"/>
  <c r="G14" i="8"/>
  <c r="F14" i="8"/>
  <c r="G13" i="8"/>
  <c r="F13" i="8"/>
  <c r="G12" i="8"/>
  <c r="F12" i="8"/>
  <c r="G11" i="8"/>
  <c r="F11" i="8"/>
  <c r="G10" i="8"/>
  <c r="F10" i="8"/>
  <c r="G9" i="8"/>
  <c r="F9" i="8"/>
  <c r="G8" i="8"/>
  <c r="F8" i="8"/>
  <c r="G7" i="8"/>
  <c r="F7" i="8"/>
  <c r="G6" i="8"/>
  <c r="F6" i="8"/>
  <c r="G5" i="8"/>
  <c r="F5" i="8"/>
  <c r="G4" i="8"/>
  <c r="F4" i="8"/>
  <c r="G3" i="8"/>
  <c r="F3" i="8"/>
  <c r="G2" i="8"/>
  <c r="F2" i="8"/>
  <c r="G15" i="7"/>
  <c r="G14" i="7"/>
  <c r="G13" i="7"/>
  <c r="G11" i="7"/>
  <c r="G12" i="7"/>
  <c r="G10" i="7"/>
  <c r="H31" i="7"/>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F21" i="7"/>
  <c r="F20" i="7"/>
  <c r="F19" i="7"/>
  <c r="L18" i="7"/>
  <c r="L19" i="7" s="1"/>
  <c r="L20" i="7" s="1"/>
  <c r="F18" i="7"/>
  <c r="F17" i="7"/>
  <c r="F16" i="7"/>
  <c r="F15" i="7"/>
  <c r="F14" i="7"/>
  <c r="F13" i="7"/>
  <c r="F12" i="7"/>
  <c r="F11" i="7"/>
  <c r="F10" i="7"/>
  <c r="G9" i="7"/>
  <c r="F9" i="7"/>
  <c r="G8" i="7"/>
  <c r="F8" i="7"/>
  <c r="G7" i="7"/>
  <c r="F7" i="7"/>
  <c r="G6" i="7"/>
  <c r="F6" i="7"/>
  <c r="G5" i="7"/>
  <c r="F5" i="7"/>
  <c r="G4" i="7"/>
  <c r="F4" i="7"/>
  <c r="G3" i="7"/>
  <c r="F3" i="7"/>
  <c r="G2" i="7"/>
  <c r="F2" i="7"/>
  <c r="G14" i="6"/>
  <c r="H14" i="6" s="1"/>
  <c r="G12" i="6"/>
  <c r="H12" i="6" s="1"/>
  <c r="G13" i="6"/>
  <c r="H13" i="6" s="1"/>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H17" i="6"/>
  <c r="F17" i="6"/>
  <c r="I17" i="6" s="1"/>
  <c r="H16" i="6"/>
  <c r="F16" i="6"/>
  <c r="I16" i="6" s="1"/>
  <c r="H15" i="6"/>
  <c r="F15" i="6"/>
  <c r="I15" i="6" s="1"/>
  <c r="F14" i="6"/>
  <c r="F13" i="6"/>
  <c r="F12" i="6"/>
  <c r="G11" i="6"/>
  <c r="F11" i="6"/>
  <c r="G10" i="6"/>
  <c r="F10" i="6"/>
  <c r="G9" i="6"/>
  <c r="F9" i="6"/>
  <c r="G8" i="6"/>
  <c r="F8" i="6"/>
  <c r="G7" i="6"/>
  <c r="F7" i="6"/>
  <c r="G6" i="6"/>
  <c r="F6" i="6"/>
  <c r="G5" i="6"/>
  <c r="F5" i="6"/>
  <c r="G4" i="6"/>
  <c r="F4" i="6"/>
  <c r="G3" i="6"/>
  <c r="F3" i="6"/>
  <c r="G2" i="6"/>
  <c r="F2" i="6"/>
  <c r="F11" i="5"/>
  <c r="G11" i="5"/>
  <c r="G7" i="5"/>
  <c r="G8" i="5"/>
  <c r="G9" i="5"/>
  <c r="G10" i="5"/>
  <c r="H31" i="5"/>
  <c r="F31" i="5"/>
  <c r="I31" i="5" s="1"/>
  <c r="H30" i="5"/>
  <c r="F30" i="5"/>
  <c r="I30" i="5" s="1"/>
  <c r="H29" i="5"/>
  <c r="F29" i="5"/>
  <c r="I29" i="5" s="1"/>
  <c r="H28" i="5"/>
  <c r="F28" i="5"/>
  <c r="I28" i="5" s="1"/>
  <c r="H27" i="5"/>
  <c r="F27" i="5"/>
  <c r="I27" i="5" s="1"/>
  <c r="H26" i="5"/>
  <c r="F26" i="5"/>
  <c r="I26" i="5" s="1"/>
  <c r="I25" i="5"/>
  <c r="H25" i="5"/>
  <c r="F25" i="5"/>
  <c r="H24" i="5"/>
  <c r="F24" i="5"/>
  <c r="I24" i="5" s="1"/>
  <c r="H23" i="5"/>
  <c r="F23" i="5"/>
  <c r="I23" i="5" s="1"/>
  <c r="H22" i="5"/>
  <c r="F22" i="5"/>
  <c r="I22" i="5" s="1"/>
  <c r="H21" i="5"/>
  <c r="F21" i="5"/>
  <c r="I21" i="5" s="1"/>
  <c r="I20" i="5"/>
  <c r="H20" i="5"/>
  <c r="F20" i="5"/>
  <c r="H19" i="5"/>
  <c r="F19" i="5"/>
  <c r="I19" i="5" s="1"/>
  <c r="L18" i="5"/>
  <c r="L19" i="5" s="1"/>
  <c r="L20" i="5" s="1"/>
  <c r="H18" i="5"/>
  <c r="F18" i="5"/>
  <c r="I18" i="5" s="1"/>
  <c r="F17" i="5"/>
  <c r="F16" i="5"/>
  <c r="H15" i="5"/>
  <c r="F15" i="5"/>
  <c r="F14" i="5"/>
  <c r="F13" i="5"/>
  <c r="F12" i="5"/>
  <c r="F10" i="5"/>
  <c r="F9" i="5"/>
  <c r="F8" i="5"/>
  <c r="F7" i="5"/>
  <c r="G6" i="5"/>
  <c r="F6" i="5"/>
  <c r="G5" i="5"/>
  <c r="F5" i="5"/>
  <c r="G4" i="5"/>
  <c r="F4" i="5"/>
  <c r="G3" i="5"/>
  <c r="F3" i="5"/>
  <c r="G2" i="5"/>
  <c r="F2" i="5"/>
  <c r="H100" i="3"/>
  <c r="I26" i="3"/>
  <c r="H26" i="3"/>
  <c r="G26" i="3"/>
  <c r="F26" i="3"/>
  <c r="G2" i="4"/>
  <c r="I174" i="3"/>
  <c r="G40" i="3"/>
  <c r="L23" i="8" l="1"/>
  <c r="I16" i="8"/>
  <c r="I15" i="8"/>
  <c r="H15" i="8"/>
  <c r="I14" i="8"/>
  <c r="H14" i="8"/>
  <c r="H13" i="8"/>
  <c r="I13" i="8"/>
  <c r="I12" i="8"/>
  <c r="H12" i="8"/>
  <c r="H11" i="8"/>
  <c r="I11" i="8"/>
  <c r="H10" i="8"/>
  <c r="I10" i="8"/>
  <c r="H9" i="8"/>
  <c r="I9" i="8"/>
  <c r="H8" i="8"/>
  <c r="I8" i="8"/>
  <c r="I7" i="8"/>
  <c r="H7" i="8"/>
  <c r="I6" i="8"/>
  <c r="H6" i="8"/>
  <c r="I5" i="8"/>
  <c r="H5" i="8"/>
  <c r="I4" i="8"/>
  <c r="H4" i="8"/>
  <c r="H3" i="8"/>
  <c r="I3" i="8"/>
  <c r="I2" i="8"/>
  <c r="H2" i="8"/>
  <c r="L30" i="8" s="1"/>
  <c r="L23" i="7"/>
  <c r="H21" i="7"/>
  <c r="I21" i="7"/>
  <c r="H20" i="7"/>
  <c r="I20" i="7"/>
  <c r="I19" i="7"/>
  <c r="H19" i="7"/>
  <c r="H18" i="7"/>
  <c r="I18" i="7"/>
  <c r="H17" i="7"/>
  <c r="I17" i="7"/>
  <c r="H16" i="7"/>
  <c r="I16" i="7"/>
  <c r="H15" i="7"/>
  <c r="I15" i="7"/>
  <c r="I14" i="7"/>
  <c r="H14" i="7"/>
  <c r="I13" i="7"/>
  <c r="H13" i="7"/>
  <c r="I12" i="7"/>
  <c r="H12" i="7"/>
  <c r="I11" i="7"/>
  <c r="H11" i="7"/>
  <c r="I10" i="7"/>
  <c r="H10" i="7"/>
  <c r="I9" i="7"/>
  <c r="H9" i="7"/>
  <c r="H8" i="7"/>
  <c r="I8" i="7"/>
  <c r="H7" i="7"/>
  <c r="I7" i="7"/>
  <c r="H6" i="7"/>
  <c r="I6" i="7"/>
  <c r="H5" i="7"/>
  <c r="I5" i="7"/>
  <c r="H4" i="7"/>
  <c r="I4" i="7"/>
  <c r="H3" i="7"/>
  <c r="I3" i="7"/>
  <c r="I2" i="7"/>
  <c r="H2" i="7"/>
  <c r="I14" i="6"/>
  <c r="I13" i="6"/>
  <c r="I12" i="6"/>
  <c r="I11" i="6"/>
  <c r="I10" i="6"/>
  <c r="I9" i="6"/>
  <c r="I7" i="6"/>
  <c r="I6" i="6"/>
  <c r="I5" i="6"/>
  <c r="I4" i="6"/>
  <c r="I3" i="6"/>
  <c r="I2" i="6"/>
  <c r="L23" i="6"/>
  <c r="I8" i="6"/>
  <c r="H10" i="6"/>
  <c r="H2" i="6"/>
  <c r="H5" i="6"/>
  <c r="H8" i="6"/>
  <c r="H11" i="6"/>
  <c r="H3" i="6"/>
  <c r="H6" i="6"/>
  <c r="H9" i="6"/>
  <c r="H4" i="6"/>
  <c r="H7" i="6"/>
  <c r="I9" i="5"/>
  <c r="I13" i="5"/>
  <c r="I8" i="5"/>
  <c r="I14" i="5"/>
  <c r="I10" i="5"/>
  <c r="I16" i="5"/>
  <c r="I7" i="5"/>
  <c r="I12" i="5"/>
  <c r="I11" i="5"/>
  <c r="I17" i="5"/>
  <c r="I6" i="5"/>
  <c r="I5" i="5"/>
  <c r="I4" i="5"/>
  <c r="I3" i="5"/>
  <c r="I2" i="5"/>
  <c r="L23" i="5"/>
  <c r="H6" i="5"/>
  <c r="H12" i="5"/>
  <c r="H3" i="5"/>
  <c r="H9" i="5"/>
  <c r="I15" i="5"/>
  <c r="H4" i="5"/>
  <c r="H7" i="5"/>
  <c r="H10" i="5"/>
  <c r="H13" i="5"/>
  <c r="H16" i="5"/>
  <c r="H2" i="5"/>
  <c r="H5" i="5"/>
  <c r="H8" i="5"/>
  <c r="H11" i="5"/>
  <c r="H14" i="5"/>
  <c r="H17" i="5"/>
  <c r="I63" i="3"/>
  <c r="G121" i="3"/>
  <c r="I121" i="3"/>
  <c r="H121" i="3"/>
  <c r="F121" i="3"/>
  <c r="F2" i="4"/>
  <c r="I52" i="3"/>
  <c r="H52" i="3"/>
  <c r="G52" i="3"/>
  <c r="F52" i="3"/>
  <c r="L31" i="8" l="1"/>
  <c r="L30" i="7"/>
  <c r="L31" i="7"/>
  <c r="L31" i="6"/>
  <c r="L30" i="6"/>
  <c r="L31" i="5"/>
  <c r="L30" i="5"/>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<sst xmlns="http://schemas.openxmlformats.org/spreadsheetml/2006/main" count="838" uniqueCount="444">
  <si>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</si>
  <si>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</si>
  <si>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</si>
  <si>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</si>
  <si>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</si>
  <si>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</si>
  <si>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</si>
  <si>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</si>
  <si>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</si>
  <si>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</si>
  <si>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</si>
  <si>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</si>
  <si>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</si>
  <si>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</si>
  <si>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</si>
  <si>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</si>
  <si>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</si>
  <si>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</si>
  <si>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</si>
  <si>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</si>
  <si>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</si>
  <si>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</si>
  <si>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</si>
  <si>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</si>
  <si>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</si>
  <si>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</si>
  <si>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</si>
  <si>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</si>
  <si>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</si>
  <si>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</si>
  <si>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</si>
  <si>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</si>
  <si>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</si>
  <si>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</si>
  <si>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</si>
  <si>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</si>
  <si>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</si>
  <si>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</si>
  <si>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</si>
  <si>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</si>
  <si>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</si>
  <si>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</si>
  <si>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</si>
  <si>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</si>
  <si>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</si>
  <si>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</si>
  <si>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</si>
  <si>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</si>
  <si>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</si>
  <si>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</si>
  <si>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</si>
  <si>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</si>
  <si>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</si>
  <si>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</si>
  <si>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</si>
  <si>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</si>
  <si>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</si>
  <si>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</si>
  <si>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</si>
  <si>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</si>
  <si>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</si>
  <si>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</si>
  <si>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</si>
  <si>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</si>
  <si>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</si>
  <si>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</si>
  <si>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</si>
  <si>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</si>
  <si>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</si>
  <si>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</si>
  <si>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</si>
  <si>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</si>
  <si>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</si>
  <si>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</si>
  <si>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</si>
  <si>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</si>
  <si>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</si>
  <si>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</si>
  <si>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</si>
  <si>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</si>
  <si>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</si>
  <si>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</si>
  <si>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</si>
  <si>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</si>
  <si>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</si>
  <si>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</si>
  <si>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</si>
  <si>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</si>
  <si>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</si>
  <si>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</si>
  <si>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</si>
  <si>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</si>
  <si>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</si>
  <si>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</si>
  <si>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</si>
  <si>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</si>
  <si>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</si>
  <si>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</si>
  <si>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</si>
  <si>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</si>
  <si>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</si>
  <si>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</si>
  <si>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</si>
  <si>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</si>
  <si>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</si>
  <si>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</si>
  <si>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</si>
  <si>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</si>
  <si>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</si>
  <si>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</si>
  <si>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</si>
  <si>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</si>
  <si>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</si>
  <si>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</si>
  <si>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</si>
  <si>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</si>
  <si>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</si>
  <si>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</si>
  <si>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</si>
  <si>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</si>
  <si>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</si>
  <si>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</si>
  <si>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</si>
  <si>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</si>
  <si>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</si>
  <si>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</si>
  <si>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</si>
  <si>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</si>
  <si>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</si>
  <si>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</si>
  <si>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</si>
  <si>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</si>
  <si>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</si>
  <si>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</si>
  <si>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</si>
  <si>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</si>
  <si>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</si>
  <si>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</si>
  <si>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</si>
  <si>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</si>
  <si>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</si>
  <si>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</si>
  <si>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</si>
  <si>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</si>
  <si>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</si>
  <si>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</si>
  <si>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</si>
  <si>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</si>
  <si>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</si>
  <si>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</si>
  <si>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</si>
  <si>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</si>
  <si>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</si>
  <si>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</si>
  <si>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</si>
  <si>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</si>
  <si>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</si>
  <si>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</si>
  <si>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</si>
  <si>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</si>
  <si>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</si>
  <si>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</si>
  <si>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</si>
  <si>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</si>
  <si>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</si>
  <si>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</si>
  <si>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</si>
  <si>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</si>
  <si>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</si>
  <si>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</si>
  <si>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</si>
  <si>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</si>
  <si>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</si>
  <si>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</si>
  <si>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</si>
  <si>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</si>
  <si>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</si>
  <si>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</si>
  <si>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</si>
  <si>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</si>
  <si>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</si>
  <si>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</si>
  <si>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</si>
  <si>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</si>
  <si>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</si>
  <si>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</si>
  <si>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</si>
  <si>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</si>
  <si>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</si>
  <si>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</si>
  <si>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</si>
  <si>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</si>
  <si>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</si>
  <si>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</si>
  <si>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</si>
  <si>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</si>
  <si>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</si>
  <si>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</si>
  <si>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</si>
  <si>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</si>
  <si>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</si>
  <si>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</si>
  <si>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</si>
  <si>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</si>
  <si>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</si>
  <si>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</si>
  <si>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</si>
  <si>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</si>
  <si>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</si>
  <si>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</si>
  <si>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</si>
  <si>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</si>
  <si>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</si>
  <si>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</si>
  <si>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</si>
  <si>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</si>
  <si>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</si>
  <si>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</si>
  <si>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</si>
  <si>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</si>
  <si>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</si>
  <si>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</si>
  <si>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</si>
  <si>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</si>
  <si>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</si>
  <si>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</si>
  <si>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</si>
  <si>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</si>
  <si>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</si>
  <si>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</si>
  <si>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</si>
  <si>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</si>
  <si>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</si>
  <si>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</si>
  <si>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</si>
  <si>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</si>
  <si>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</si>
  <si>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</si>
  <si>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</si>
  <si>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</si>
  <si>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</si>
  <si>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</si>
  <si>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</si>
  <si>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</si>
  <si>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</si>
  <si>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</si>
  <si>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</si>
  <si>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</si>
  <si>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</si>
  <si>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</si>
  <si>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</si>
  <si>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</si>
  <si>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</si>
  <si>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</si>
  <si>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</si>
  <si>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</si>
  <si>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</si>
  <si>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</si>
  <si>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</si>
  <si>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</si>
  <si>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</si>
  <si>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</si>
  <si>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</si>
  <si>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</si>
  <si>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</si>
  <si>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</si>
  <si>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</si>
  <si>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</si>
  <si>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</si>
  <si>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</si>
  <si>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</si>
  <si>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</si>
  <si>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</si>
  <si>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</si>
  <si>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</si>
  <si>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</si>
  <si>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</si>
  <si>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</si>
  <si>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</si>
  <si>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</si>
  <si>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</si>
  <si>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</si>
  <si>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</si>
  <si>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</si>
  <si>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</si>
  <si>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</si>
  <si>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</si>
  <si>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</si>
  <si>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</si>
  <si>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</si>
  <si>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</si>
  <si>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</si>
  <si>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</si>
  <si>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</si>
  <si>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</si>
  <si>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</si>
  <si>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</si>
  <si>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</si>
  <si>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</si>
  <si>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</si>
  <si>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</si>
  <si>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</si>
  <si>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</si>
  <si>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</si>
  <si>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</si>
  <si>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</si>
  <si>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</si>
  <si>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</si>
  <si>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</si>
  <si>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</si>
  <si>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</si>
  <si>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</si>
  <si>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</si>
  <si>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</si>
  <si>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</si>
  <si>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</si>
  <si>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</si>
  <si>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</si>
  <si>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</si>
  <si>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</si>
  <si>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</si>
  <si>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</si>
  <si>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</si>
  <si>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</si>
  <si>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</si>
  <si>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</si>
  <si>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</si>
  <si>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</si>
  <si>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</si>
  <si>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</si>
  <si>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</si>
  <si>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</si>
  <si>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</si>
  <si>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</si>
  <si>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</si>
  <si>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</si>
  <si>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</si>
  <si>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</si>
  <si>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</si>
  <si>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</si>
  <si>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</si>
  <si>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</si>
  <si>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</si>
  <si>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</si>
  <si>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</si>
  <si>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</si>
  <si>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</si>
  <si>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</si>
  <si>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</si>
  <si>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</si>
  <si>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</si>
  <si>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</si>
  <si>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</si>
  <si>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</si>
  <si>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</si>
  <si>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</si>
  <si>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</si>
  <si>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</si>
  <si>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</si>
  <si>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</si>
  <si>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</si>
  <si>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</si>
  <si>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</si>
  <si>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</si>
  <si>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</si>
  <si>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</si>
  <si>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</si>
  <si>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</si>
  <si>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</si>
  <si>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</si>
  <si>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</si>
  <si>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</si>
  <si>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</si>
  <si>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</si>
  <si>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</si>
  <si>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</si>
  <si>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</si>
  <si>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</si>
  <si>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</si>
  <si>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</si>
  <si>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</si>
  <si>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</si>
  <si>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</si>
  <si>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</si>
  <si>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</si>
  <si>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</si>
  <si>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</si>
  <si>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</si>
  <si>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</si>
  <si>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</si>
  <si>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</si>
  <si>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</si>
  <si>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</si>
  <si>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</si>
  <si>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</si>
  <si>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</si>
  <si>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</si>
  <si>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</si>
  <si>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</si>
  <si>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</si>
  <si>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</si>
  <si>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</si>
  <si>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</si>
  <si>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</si>
  <si>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</si>
  <si>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</si>
  <si>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</si>
  <si>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인삼</t>
    <phoneticPr fontId="5" type="noConversion"/>
  </si>
  <si>
    <t>백출</t>
    <phoneticPr fontId="5" type="noConversion"/>
  </si>
  <si>
    <t>복령</t>
    <phoneticPr fontId="5" type="noConversion"/>
  </si>
  <si>
    <t>맥문동</t>
    <phoneticPr fontId="5" type="noConversion"/>
  </si>
  <si>
    <t>목통</t>
    <phoneticPr fontId="5" type="noConversion"/>
  </si>
  <si>
    <t>황금</t>
    <phoneticPr fontId="5" type="noConversion"/>
  </si>
  <si>
    <t>후박</t>
    <phoneticPr fontId="5" type="noConversion"/>
  </si>
  <si>
    <t>승마</t>
    <phoneticPr fontId="5" type="noConversion"/>
  </si>
  <si>
    <t>당귀1</t>
    <phoneticPr fontId="5" type="noConversion"/>
  </si>
  <si>
    <t>창출1</t>
    <phoneticPr fontId="5" type="noConversion"/>
  </si>
  <si>
    <t>진피1</t>
    <phoneticPr fontId="5" type="noConversion"/>
  </si>
  <si>
    <t>생강</t>
    <phoneticPr fontId="5" type="noConversion"/>
  </si>
  <si>
    <t>황기</t>
    <phoneticPr fontId="5" type="noConversion"/>
  </si>
  <si>
    <t>반하</t>
    <phoneticPr fontId="5" type="noConversion"/>
  </si>
  <si>
    <t>길경</t>
    <phoneticPr fontId="5" type="noConversion"/>
  </si>
  <si>
    <t>사인</t>
    <phoneticPr fontId="5" type="noConversion"/>
  </si>
  <si>
    <t>녹용</t>
    <phoneticPr fontId="5" type="noConversion"/>
  </si>
  <si>
    <t>보중치습탕가감</t>
    <phoneticPr fontId="5" type="noConversion"/>
  </si>
  <si>
    <t>송정희</t>
    <phoneticPr fontId="5" type="noConversion"/>
  </si>
  <si>
    <t>F</t>
    <phoneticPr fontId="5" type="noConversion"/>
  </si>
  <si>
    <t>방기복령탕가감</t>
    <phoneticPr fontId="5" type="noConversion"/>
  </si>
  <si>
    <t>육계</t>
    <phoneticPr fontId="5" type="noConversion"/>
  </si>
  <si>
    <t>감초</t>
    <phoneticPr fontId="5" type="noConversion"/>
  </si>
  <si>
    <t>방기1</t>
    <phoneticPr fontId="5" type="noConversion"/>
  </si>
  <si>
    <t>세신</t>
    <phoneticPr fontId="5" type="noConversion"/>
  </si>
  <si>
    <t>건강</t>
    <phoneticPr fontId="5" type="noConversion"/>
  </si>
  <si>
    <t>오미자</t>
    <phoneticPr fontId="5" type="noConversion"/>
  </si>
  <si>
    <t>방기복령 합 영감강미신하탕</t>
    <phoneticPr fontId="5" type="noConversion"/>
  </si>
  <si>
    <t>방기황기탕가감</t>
    <phoneticPr fontId="5" type="noConversion"/>
  </si>
  <si>
    <t>방기황기 합 영감강미신하탕</t>
    <phoneticPr fontId="5" type="noConversion"/>
  </si>
  <si>
    <t>대추</t>
    <phoneticPr fontId="5" type="noConversion"/>
  </si>
  <si>
    <t>보중익기탕</t>
    <phoneticPr fontId="5" type="noConversion"/>
  </si>
  <si>
    <t>시호2</t>
    <phoneticPr fontId="5" type="noConversion"/>
  </si>
  <si>
    <t>택사1</t>
    <phoneticPr fontId="5" type="noConversion"/>
  </si>
  <si>
    <t>보중익기탕 + 녹용 반하 복령 택사 맥문동 오미자</t>
    <phoneticPr fontId="5" type="noConversion"/>
  </si>
  <si>
    <t>산약</t>
    <phoneticPr fontId="5" type="noConversion"/>
  </si>
  <si>
    <t>보중익기탕 + 녹용 반하 복령 택사 맥문동 오미자 + 산약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</si>
</sst>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cell r="J101">
            <v>251.6</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571F-C1F4-43BE-B4C4-1F3BBE52CA79}">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49" t="s">
        <v>8</v>
      </c>
      <c r="L1" s="150"/>
      <c r="M1" s="151"/>
    </row>
    <row r="2" spans="2:13">
      <c r="B2" s="3">
        <v>1</v>
      </c>
      <c r="C2" t="s">
        <v>419</v>
      </c>
      <c r="D2" s="4"/>
      <c r="E2" s="88">
        <v>12</v>
      </c>
      <c r="F2" s="146">
        <f>E2*$L$15</f>
        <v>264</v>
      </c>
      <c r="G2">
        <f>VLOOKUP($C2,[1]약재관리!$A:$J,10,FALSE)</f>
        <v>22.3</v>
      </c>
      <c r="H2" s="5">
        <f>G2*E2</f>
        <v>267.60000000000002</v>
      </c>
      <c r="I2" s="6">
        <f t="shared" ref="I2:I31" si="0">G2*F2</f>
        <v>5887.2</v>
      </c>
      <c r="K2" s="7" t="s">
        <v>9</v>
      </c>
      <c r="L2" s="161">
        <v>56</v>
      </c>
      <c r="M2" s="162"/>
    </row>
    <row r="3" spans="2:13">
      <c r="B3" s="3">
        <v>2</v>
      </c>
      <c r="C3" t="s">
        <v>408</v>
      </c>
      <c r="D3" s="4"/>
      <c r="E3" s="88">
        <v>6</v>
      </c>
      <c r="F3" s="101">
        <f t="shared" ref="F3:F31" si="1">E3*$L$15</f>
        <v>132</v>
      </c>
      <c r="G3">
        <f>VLOOKUP($C3,[1]약재관리!$A:$J,10,FALSE)</f>
        <v>27.8</v>
      </c>
      <c r="H3" s="5">
        <f t="shared" ref="H3:H31" si="2">G3*E3</f>
        <v>166.8</v>
      </c>
      <c r="I3" s="6">
        <f t="shared" si="0"/>
        <v>3669.6</v>
      </c>
      <c r="K3" s="8" t="s">
        <v>10</v>
      </c>
      <c r="L3" s="163" t="s">
        <v>438</v>
      </c>
      <c r="M3" s="164"/>
    </row>
    <row r="4" spans="2:13">
      <c r="B4" s="3">
        <v>3</v>
      </c>
      <c r="C4" t="s">
        <v>407</v>
      </c>
      <c r="D4" s="4"/>
      <c r="E4" s="88">
        <v>4</v>
      </c>
      <c r="F4" s="101">
        <f t="shared" si="1"/>
        <v>88</v>
      </c>
      <c r="G4">
        <f>VLOOKUP($C4,[1]약재관리!$A:$J,10,FALSE)</f>
        <v>116.7</v>
      </c>
      <c r="H4" s="5">
        <f t="shared" si="2"/>
        <v>466.8</v>
      </c>
      <c r="I4" s="6">
        <f t="shared" si="0"/>
        <v>10269.6</v>
      </c>
      <c r="K4" s="8" t="s">
        <v>11</v>
      </c>
      <c r="L4" s="165">
        <v>46048</v>
      </c>
      <c r="M4" s="164"/>
    </row>
    <row r="5" spans="2:13">
      <c r="B5" s="3">
        <v>4</v>
      </c>
      <c r="C5" t="s">
        <v>417</v>
      </c>
      <c r="D5" s="4"/>
      <c r="E5" s="88">
        <v>4</v>
      </c>
      <c r="F5" s="101">
        <f t="shared" si="1"/>
        <v>88</v>
      </c>
      <c r="G5">
        <f>VLOOKUP($C5,[1]약재관리!$A:$J,10,FALSE)</f>
        <v>17.600000000000001</v>
      </c>
      <c r="H5" s="5">
        <f t="shared" si="2"/>
        <v>70.400000000000006</v>
      </c>
      <c r="I5" s="6">
        <f t="shared" si="0"/>
        <v>1548.8000000000002</v>
      </c>
      <c r="K5" s="8" t="s">
        <v>12</v>
      </c>
      <c r="L5" s="163" t="s">
        <v>425</v>
      </c>
      <c r="M5" s="164"/>
    </row>
    <row r="6" spans="2:13">
      <c r="B6" s="3">
        <v>5</v>
      </c>
      <c r="C6" t="s">
        <v>415</v>
      </c>
      <c r="D6" s="4"/>
      <c r="E6" s="88">
        <v>4</v>
      </c>
      <c r="F6" s="101">
        <f t="shared" si="1"/>
        <v>88</v>
      </c>
      <c r="G6">
        <f>VLOOKUP($C6,[1]약재관리!$A:$J,10,FALSE)</f>
        <v>31.7</v>
      </c>
      <c r="H6" s="5">
        <f t="shared" si="2"/>
        <v>126.8</v>
      </c>
      <c r="I6" s="6">
        <f t="shared" si="0"/>
        <v>2789.6</v>
      </c>
      <c r="K6" s="8" t="s">
        <v>13</v>
      </c>
      <c r="L6" s="163">
        <v>67</v>
      </c>
      <c r="M6" s="164"/>
    </row>
    <row r="7" spans="2:13" ht="17.25" thickBot="1">
      <c r="B7" s="3">
        <v>6</v>
      </c>
      <c r="C7" t="s">
        <v>429</v>
      </c>
      <c r="D7" s="4"/>
      <c r="E7" s="88">
        <v>4</v>
      </c>
      <c r="F7" s="101">
        <f t="shared" si="1"/>
        <v>88</v>
      </c>
      <c r="G7">
        <f>VLOOKUP($C7,[1]약재관리!$A:$J,10,FALSE)</f>
        <v>28.3</v>
      </c>
      <c r="H7" s="5">
        <f t="shared" si="2"/>
        <v>113.2</v>
      </c>
      <c r="I7" s="6">
        <f t="shared" si="0"/>
        <v>2490.4</v>
      </c>
      <c r="K7" s="8" t="s">
        <v>14</v>
      </c>
      <c r="L7" s="147" t="s">
        <v>426</v>
      </c>
      <c r="M7" s="148"/>
    </row>
    <row r="8" spans="2:13" ht="17.25" thickBot="1">
      <c r="B8" s="3">
        <v>7</v>
      </c>
      <c r="C8" t="s">
        <v>439</v>
      </c>
      <c r="D8" s="4"/>
      <c r="E8" s="88">
        <v>2</v>
      </c>
      <c r="F8" s="101">
        <f t="shared" si="1"/>
        <v>44</v>
      </c>
      <c r="G8">
        <f>VLOOKUP($C8,[1]약재관리!$A:$J,10,FALSE)</f>
        <v>15.3</v>
      </c>
      <c r="H8" s="5">
        <f t="shared" si="2"/>
        <v>30.6</v>
      </c>
      <c r="I8" s="6">
        <f t="shared" si="0"/>
        <v>673.2</v>
      </c>
      <c r="K8" s="149" t="s">
        <v>15</v>
      </c>
      <c r="L8" s="150"/>
      <c r="M8" s="151"/>
    </row>
    <row r="9" spans="2:13">
      <c r="B9" s="3">
        <v>8</v>
      </c>
      <c r="C9" t="s">
        <v>414</v>
      </c>
      <c r="D9" s="4"/>
      <c r="E9" s="88">
        <v>2</v>
      </c>
      <c r="F9" s="101">
        <f t="shared" si="1"/>
        <v>44</v>
      </c>
      <c r="G9">
        <f>VLOOKUP($C9,[1]약재관리!$A:$J,10,FALSE)</f>
        <v>31</v>
      </c>
      <c r="H9" s="5">
        <f t="shared" si="2"/>
        <v>62</v>
      </c>
      <c r="I9" s="6">
        <f t="shared" si="0"/>
        <v>1364</v>
      </c>
      <c r="K9" s="152" t="s">
        <v>443</v>
      </c>
      <c r="L9" s="153"/>
      <c r="M9" s="154"/>
    </row>
    <row r="10" spans="2:13">
      <c r="B10" s="3">
        <v>9</v>
      </c>
      <c r="C10" t="s">
        <v>423</v>
      </c>
      <c r="D10" s="4"/>
      <c r="E10" s="88">
        <v>4</v>
      </c>
      <c r="F10" s="101">
        <f t="shared" si="1"/>
        <v>88</v>
      </c>
      <c r="G10">
        <f>VLOOKUP($C10,[1]약재관리!$A:$J,10,FALSE)</f>
        <v>463.3</v>
      </c>
      <c r="H10" s="5">
        <f t="shared" si="2"/>
        <v>1853.2</v>
      </c>
      <c r="I10" s="6">
        <f t="shared" si="0"/>
        <v>40770.400000000001</v>
      </c>
      <c r="K10" s="155"/>
      <c r="L10" s="156"/>
      <c r="M10" s="157"/>
    </row>
    <row r="11" spans="2:13">
      <c r="B11" s="3">
        <v>10</v>
      </c>
      <c r="C11" t="s">
        <v>420</v>
      </c>
      <c r="D11" s="4"/>
      <c r="E11" s="88">
        <v>4</v>
      </c>
      <c r="F11" s="101">
        <f t="shared" si="1"/>
        <v>88</v>
      </c>
      <c r="G11">
        <f>VLOOKUP($C11,[1]약재관리!$A:$J,10,FALSE)</f>
        <v>41</v>
      </c>
      <c r="H11" s="5">
        <f t="shared" si="2"/>
        <v>164</v>
      </c>
      <c r="I11" s="6">
        <f t="shared" si="0"/>
        <v>3608</v>
      </c>
      <c r="K11" s="155"/>
      <c r="L11" s="156"/>
      <c r="M11" s="157"/>
    </row>
    <row r="12" spans="2:13">
      <c r="B12" s="3">
        <v>11</v>
      </c>
      <c r="C12" t="s">
        <v>409</v>
      </c>
      <c r="D12" s="4"/>
      <c r="E12" s="88">
        <v>6</v>
      </c>
      <c r="F12" s="101">
        <f t="shared" si="1"/>
        <v>132</v>
      </c>
      <c r="G12">
        <f>VLOOKUP($C12,[1]약재관리!$A:$J,10,FALSE)</f>
        <v>8.6999999999999993</v>
      </c>
      <c r="H12" s="5">
        <f t="shared" si="2"/>
        <v>52.199999999999996</v>
      </c>
      <c r="I12" s="6">
        <f t="shared" si="0"/>
        <v>1148.3999999999999</v>
      </c>
      <c r="K12" s="155"/>
      <c r="L12" s="156"/>
      <c r="M12" s="157"/>
    </row>
    <row r="13" spans="2:13" ht="17.25" thickBot="1">
      <c r="B13" s="3">
        <v>12</v>
      </c>
      <c r="C13" t="s">
        <v>440</v>
      </c>
      <c r="D13" s="4"/>
      <c r="E13" s="88">
        <v>4</v>
      </c>
      <c r="F13" s="101">
        <f t="shared" si="1"/>
        <v>88</v>
      </c>
      <c r="G13">
        <f>VLOOKUP($C13,[1]약재관리!$A:$J,10,FALSE)</f>
        <v>28.2</v>
      </c>
      <c r="H13" s="5">
        <f t="shared" si="2"/>
        <v>112.8</v>
      </c>
      <c r="I13" s="6">
        <f t="shared" si="0"/>
        <v>2481.6</v>
      </c>
      <c r="K13" s="158"/>
      <c r="L13" s="159"/>
      <c r="M13" s="160"/>
    </row>
    <row r="14" spans="2:13">
      <c r="B14" s="3">
        <v>13</v>
      </c>
      <c r="C14" t="s">
        <v>410</v>
      </c>
      <c r="D14" s="4"/>
      <c r="E14" s="88">
        <v>8</v>
      </c>
      <c r="F14" s="101">
        <f t="shared" si="1"/>
        <v>176</v>
      </c>
      <c r="G14">
        <f>VLOOKUP($C14,[1]약재관리!$A:$J,10,FALSE)</f>
        <v>39.200000000000003</v>
      </c>
      <c r="H14" s="5">
        <f>G14*E14</f>
        <v>313.60000000000002</v>
      </c>
      <c r="I14" s="6">
        <f>G14*F14</f>
        <v>6899.2000000000007</v>
      </c>
      <c r="K14" s="92" t="s">
        <v>16</v>
      </c>
      <c r="L14" s="9">
        <v>20</v>
      </c>
      <c r="M14" s="10" t="s">
        <v>17</v>
      </c>
    </row>
    <row r="15" spans="2:13">
      <c r="B15" s="3">
        <v>14</v>
      </c>
      <c r="C15" t="s">
        <v>433</v>
      </c>
      <c r="D15" s="4"/>
      <c r="E15" s="88">
        <v>3</v>
      </c>
      <c r="F15" s="101">
        <f t="shared" si="1"/>
        <v>66</v>
      </c>
      <c r="G15">
        <f>VLOOKUP($C15,[1]약재관리!$A:$J,10,FALSE)</f>
        <v>23.5</v>
      </c>
      <c r="H15" s="5">
        <f>G15*E15</f>
        <v>70.5</v>
      </c>
      <c r="I15" s="6">
        <f>G15*F15</f>
        <v>1551</v>
      </c>
      <c r="K15" s="91" t="s">
        <v>18</v>
      </c>
      <c r="L15">
        <v>22</v>
      </c>
      <c r="M15" s="4" t="s">
        <v>19</v>
      </c>
    </row>
    <row r="16" spans="2:13">
      <c r="B16" s="3">
        <v>15</v>
      </c>
      <c r="C16" t="s">
        <v>442</v>
      </c>
      <c r="D16" s="4"/>
      <c r="E16" s="88">
        <v>6</v>
      </c>
      <c r="F16" s="101">
        <f t="shared" si="1"/>
        <v>132</v>
      </c>
      <c r="G16">
        <f>VLOOKUP($C16,[1]약재관리!$A:$J,10,FALSE)</f>
        <v>18.3</v>
      </c>
      <c r="H16" s="5">
        <f t="shared" si="2"/>
        <v>109.80000000000001</v>
      </c>
      <c r="I16" s="6">
        <f t="shared" si="0"/>
        <v>2415.6</v>
      </c>
      <c r="K16" s="91" t="s">
        <v>20</v>
      </c>
      <c r="L16">
        <v>50</v>
      </c>
      <c r="M16" s="4" t="s">
        <v>21</v>
      </c>
    </row>
    <row r="17" spans="2:13" ht="17.25" thickBot="1">
      <c r="B17" s="3">
        <v>16</v>
      </c>
      <c r="D17" s="4"/>
      <c r="F17" s="101">
        <f t="shared" si="1"/>
        <v>0</v>
      </c>
      <c r="H17" s="5">
        <f t="shared" si="2"/>
        <v>0</v>
      </c>
      <c r="I17" s="6">
        <f t="shared" si="0"/>
        <v>0</v>
      </c>
      <c r="K17" s="14" t="s">
        <v>22</v>
      </c>
      <c r="L17" s="11">
        <v>110</v>
      </c>
      <c r="M17" s="12" t="s">
        <v>23</v>
      </c>
    </row>
    <row r="18" spans="2:13">
      <c r="B18" s="3">
        <v>17</v>
      </c>
      <c r="D18" s="4"/>
      <c r="F18" s="101">
        <f t="shared" si="1"/>
        <v>0</v>
      </c>
      <c r="H18" s="5">
        <f t="shared" si="2"/>
        <v>0</v>
      </c>
      <c r="I18" s="6">
        <f t="shared" si="0"/>
        <v>0</v>
      </c>
      <c r="K18" s="92" t="s">
        <v>24</v>
      </c>
      <c r="L18" s="9">
        <f>SUM(E2:E31)</f>
        <v>73</v>
      </c>
      <c r="M18" s="10" t="s">
        <v>25</v>
      </c>
    </row>
    <row r="19" spans="2:13">
      <c r="B19" s="3">
        <v>18</v>
      </c>
      <c r="D19" s="4"/>
      <c r="F19" s="101">
        <f t="shared" si="1"/>
        <v>0</v>
      </c>
      <c r="H19" s="5">
        <f t="shared" si="2"/>
        <v>0</v>
      </c>
      <c r="I19" s="6">
        <f t="shared" si="0"/>
        <v>0</v>
      </c>
      <c r="K19" s="91" t="s">
        <v>26</v>
      </c>
      <c r="L19">
        <f>L15*L18</f>
        <v>1606</v>
      </c>
      <c r="M19" s="4" t="s">
        <v>25</v>
      </c>
    </row>
    <row r="20" spans="2:13" ht="17.25" thickBot="1">
      <c r="B20" s="3">
        <v>19</v>
      </c>
      <c r="D20" s="4"/>
      <c r="F20" s="101">
        <f t="shared" si="1"/>
        <v>0</v>
      </c>
      <c r="H20" s="5">
        <f t="shared" si="2"/>
        <v>0</v>
      </c>
      <c r="I20" s="6">
        <f t="shared" si="0"/>
        <v>0</v>
      </c>
      <c r="K20" s="14" t="s">
        <v>27</v>
      </c>
      <c r="L20" s="11">
        <f>L16*L17+L19</f>
        <v>7106</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49" t="s">
        <v>388</v>
      </c>
      <c r="L22" s="150"/>
      <c r="M22" s="151"/>
    </row>
    <row r="23" spans="2:13">
      <c r="B23" s="3">
        <v>22</v>
      </c>
      <c r="D23" s="4"/>
      <c r="F23" s="101">
        <f t="shared" si="1"/>
        <v>0</v>
      </c>
      <c r="H23" s="5">
        <f t="shared" si="2"/>
        <v>0</v>
      </c>
      <c r="I23" s="6">
        <f t="shared" si="0"/>
        <v>0</v>
      </c>
      <c r="K23" s="91" t="s">
        <v>382</v>
      </c>
      <c r="L23">
        <f>SUM(F2:F31)</f>
        <v>1606</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49" t="s">
        <v>387</v>
      </c>
      <c r="L29" s="150"/>
      <c r="M29" s="151"/>
    </row>
    <row r="30" spans="2:13">
      <c r="B30" s="3">
        <v>29</v>
      </c>
      <c r="D30" s="4"/>
      <c r="F30" s="101">
        <f t="shared" si="1"/>
        <v>0</v>
      </c>
      <c r="H30" s="5">
        <f t="shared" si="2"/>
        <v>0</v>
      </c>
      <c r="I30" s="6">
        <f t="shared" si="0"/>
        <v>0</v>
      </c>
      <c r="K30" s="91" t="s">
        <v>28</v>
      </c>
      <c r="L30" s="5">
        <f>SUM(H2:H31)</f>
        <v>3980.3</v>
      </c>
      <c r="M30" s="4" t="s">
        <v>386</v>
      </c>
    </row>
    <row r="31" spans="2:13" ht="17.25" thickBot="1">
      <c r="B31" s="13">
        <v>30</v>
      </c>
      <c r="C31" s="14"/>
      <c r="D31" s="12"/>
      <c r="E31" s="95"/>
      <c r="F31" s="102">
        <f t="shared" si="1"/>
        <v>0</v>
      </c>
      <c r="G31" s="11"/>
      <c r="H31" s="15">
        <f t="shared" si="2"/>
        <v>0</v>
      </c>
      <c r="I31" s="16">
        <f t="shared" si="0"/>
        <v>0</v>
      </c>
      <c r="K31" s="14" t="s">
        <v>385</v>
      </c>
      <c r="L31" s="15">
        <f>SUM(I2:I31)</f>
        <v>87566.6</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9FF14-46C5-4C79-84B0-027EFA9D293F}">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49" t="s">
        <v>8</v>
      </c>
      <c r="L1" s="150"/>
      <c r="M1" s="151"/>
    </row>
    <row r="2" spans="2:13">
      <c r="B2" s="3">
        <v>1</v>
      </c>
      <c r="C2" t="s">
        <v>419</v>
      </c>
      <c r="D2" s="4"/>
      <c r="E2" s="88">
        <v>12</v>
      </c>
      <c r="F2" s="146">
        <f>E2*$L$15</f>
        <v>240</v>
      </c>
      <c r="G2">
        <f>VLOOKUP($C2,[1]약재관리!$A:$J,10,FALSE)</f>
        <v>22.3</v>
      </c>
      <c r="H2" s="5">
        <f>G2*E2</f>
        <v>267.60000000000002</v>
      </c>
      <c r="I2" s="6">
        <f t="shared" ref="I2:I31" si="0">G2*F2</f>
        <v>5352</v>
      </c>
      <c r="K2" s="7" t="s">
        <v>9</v>
      </c>
      <c r="L2" s="161">
        <v>56</v>
      </c>
      <c r="M2" s="162"/>
    </row>
    <row r="3" spans="2:13">
      <c r="B3" s="3">
        <v>2</v>
      </c>
      <c r="C3" t="s">
        <v>408</v>
      </c>
      <c r="D3" s="4"/>
      <c r="E3" s="88">
        <v>6</v>
      </c>
      <c r="F3" s="101">
        <f t="shared" ref="F3:F31" si="1">E3*$L$15</f>
        <v>120</v>
      </c>
      <c r="G3">
        <f>VLOOKUP($C3,[1]약재관리!$A:$J,10,FALSE)</f>
        <v>27.8</v>
      </c>
      <c r="H3" s="5">
        <f t="shared" ref="H3:H31" si="2">G3*E3</f>
        <v>166.8</v>
      </c>
      <c r="I3" s="6">
        <f t="shared" si="0"/>
        <v>3336</v>
      </c>
      <c r="K3" s="8" t="s">
        <v>10</v>
      </c>
      <c r="L3" s="163" t="s">
        <v>438</v>
      </c>
      <c r="M3" s="164"/>
    </row>
    <row r="4" spans="2:13">
      <c r="B4" s="3">
        <v>3</v>
      </c>
      <c r="C4" t="s">
        <v>407</v>
      </c>
      <c r="D4" s="4"/>
      <c r="E4" s="88">
        <v>4</v>
      </c>
      <c r="F4" s="101">
        <f t="shared" si="1"/>
        <v>80</v>
      </c>
      <c r="G4">
        <f>VLOOKUP($C4,[1]약재관리!$A:$J,10,FALSE)</f>
        <v>116.7</v>
      </c>
      <c r="H4" s="5">
        <f t="shared" si="2"/>
        <v>466.8</v>
      </c>
      <c r="I4" s="6">
        <f t="shared" si="0"/>
        <v>9336</v>
      </c>
      <c r="K4" s="8" t="s">
        <v>11</v>
      </c>
      <c r="L4" s="165">
        <v>46017</v>
      </c>
      <c r="M4" s="164"/>
    </row>
    <row r="5" spans="2:13">
      <c r="B5" s="3">
        <v>4</v>
      </c>
      <c r="C5" t="s">
        <v>417</v>
      </c>
      <c r="D5" s="4"/>
      <c r="E5" s="88">
        <v>4</v>
      </c>
      <c r="F5" s="101">
        <f t="shared" si="1"/>
        <v>80</v>
      </c>
      <c r="G5">
        <f>VLOOKUP($C5,[1]약재관리!$A:$J,10,FALSE)</f>
        <v>17.600000000000001</v>
      </c>
      <c r="H5" s="5">
        <f t="shared" si="2"/>
        <v>70.400000000000006</v>
      </c>
      <c r="I5" s="6">
        <f t="shared" si="0"/>
        <v>1408</v>
      </c>
      <c r="K5" s="8" t="s">
        <v>12</v>
      </c>
      <c r="L5" s="163" t="s">
        <v>425</v>
      </c>
      <c r="M5" s="164"/>
    </row>
    <row r="6" spans="2:13">
      <c r="B6" s="3">
        <v>5</v>
      </c>
      <c r="C6" t="s">
        <v>415</v>
      </c>
      <c r="D6" s="4"/>
      <c r="E6" s="88">
        <v>4</v>
      </c>
      <c r="F6" s="101">
        <f t="shared" si="1"/>
        <v>80</v>
      </c>
      <c r="G6">
        <f>VLOOKUP($C6,[1]약재관리!$A:$J,10,FALSE)</f>
        <v>31.7</v>
      </c>
      <c r="H6" s="5">
        <f t="shared" si="2"/>
        <v>126.8</v>
      </c>
      <c r="I6" s="6">
        <f t="shared" si="0"/>
        <v>2536</v>
      </c>
      <c r="K6" s="8" t="s">
        <v>13</v>
      </c>
      <c r="L6" s="163">
        <v>67</v>
      </c>
      <c r="M6" s="164"/>
    </row>
    <row r="7" spans="2:13" ht="17.25" thickBot="1">
      <c r="B7" s="3">
        <v>6</v>
      </c>
      <c r="C7" t="s">
        <v>429</v>
      </c>
      <c r="D7" s="4"/>
      <c r="E7" s="88">
        <v>4</v>
      </c>
      <c r="F7" s="101">
        <f t="shared" si="1"/>
        <v>80</v>
      </c>
      <c r="G7">
        <f>VLOOKUP($C7,[1]약재관리!$A:$J,10,FALSE)</f>
        <v>28.3</v>
      </c>
      <c r="H7" s="5">
        <f t="shared" si="2"/>
        <v>113.2</v>
      </c>
      <c r="I7" s="6">
        <f t="shared" si="0"/>
        <v>2264</v>
      </c>
      <c r="K7" s="8" t="s">
        <v>14</v>
      </c>
      <c r="L7" s="147" t="s">
        <v>426</v>
      </c>
      <c r="M7" s="148"/>
    </row>
    <row r="8" spans="2:13" ht="17.25" thickBot="1">
      <c r="B8" s="3">
        <v>7</v>
      </c>
      <c r="C8" t="s">
        <v>439</v>
      </c>
      <c r="D8" s="4"/>
      <c r="E8" s="88">
        <v>2</v>
      </c>
      <c r="F8" s="101">
        <f t="shared" si="1"/>
        <v>40</v>
      </c>
      <c r="G8">
        <f>VLOOKUP($C8,[1]약재관리!$A:$J,10,FALSE)</f>
        <v>15.3</v>
      </c>
      <c r="H8" s="5">
        <f t="shared" si="2"/>
        <v>30.6</v>
      </c>
      <c r="I8" s="6">
        <f t="shared" si="0"/>
        <v>612</v>
      </c>
      <c r="K8" s="149" t="s">
        <v>15</v>
      </c>
      <c r="L8" s="150"/>
      <c r="M8" s="151"/>
    </row>
    <row r="9" spans="2:13">
      <c r="B9" s="3">
        <v>8</v>
      </c>
      <c r="C9" t="s">
        <v>414</v>
      </c>
      <c r="D9" s="4"/>
      <c r="E9" s="88">
        <v>2</v>
      </c>
      <c r="F9" s="101">
        <f t="shared" si="1"/>
        <v>40</v>
      </c>
      <c r="G9">
        <f>VLOOKUP($C9,[1]약재관리!$A:$J,10,FALSE)</f>
        <v>31</v>
      </c>
      <c r="H9" s="5">
        <f t="shared" si="2"/>
        <v>62</v>
      </c>
      <c r="I9" s="6">
        <f t="shared" si="0"/>
        <v>1240</v>
      </c>
      <c r="K9" s="152" t="s">
        <v>441</v>
      </c>
      <c r="L9" s="153"/>
      <c r="M9" s="154"/>
    </row>
    <row r="10" spans="2:13">
      <c r="B10" s="3">
        <v>9</v>
      </c>
      <c r="C10" t="s">
        <v>423</v>
      </c>
      <c r="D10" s="4"/>
      <c r="E10" s="88">
        <v>4</v>
      </c>
      <c r="F10" s="101">
        <f t="shared" si="1"/>
        <v>80</v>
      </c>
      <c r="G10">
        <f>VLOOKUP($C10,[1]약재관리!$A:$J,10,FALSE)</f>
        <v>463.3</v>
      </c>
      <c r="H10" s="5">
        <f t="shared" si="2"/>
        <v>1853.2</v>
      </c>
      <c r="I10" s="6">
        <f t="shared" si="0"/>
        <v>37064</v>
      </c>
      <c r="K10" s="155"/>
      <c r="L10" s="156"/>
      <c r="M10" s="157"/>
    </row>
    <row r="11" spans="2:13">
      <c r="B11" s="3">
        <v>10</v>
      </c>
      <c r="C11" t="s">
        <v>420</v>
      </c>
      <c r="D11" s="4"/>
      <c r="E11" s="88">
        <v>4</v>
      </c>
      <c r="F11" s="101">
        <f t="shared" si="1"/>
        <v>80</v>
      </c>
      <c r="G11">
        <f>VLOOKUP($C11,[1]약재관리!$A:$J,10,FALSE)</f>
        <v>41</v>
      </c>
      <c r="H11" s="5">
        <f t="shared" si="2"/>
        <v>164</v>
      </c>
      <c r="I11" s="6">
        <f t="shared" si="0"/>
        <v>3280</v>
      </c>
      <c r="K11" s="155"/>
      <c r="L11" s="156"/>
      <c r="M11" s="157"/>
    </row>
    <row r="12" spans="2:13">
      <c r="B12" s="3">
        <v>11</v>
      </c>
      <c r="C12" t="s">
        <v>409</v>
      </c>
      <c r="D12" s="4"/>
      <c r="E12" s="88">
        <v>6</v>
      </c>
      <c r="F12" s="101">
        <f t="shared" si="1"/>
        <v>120</v>
      </c>
      <c r="G12">
        <f>VLOOKUP($C12,[1]약재관리!$A:$J,10,FALSE)</f>
        <v>8.6999999999999993</v>
      </c>
      <c r="H12" s="5">
        <f t="shared" si="2"/>
        <v>52.199999999999996</v>
      </c>
      <c r="I12" s="6">
        <f t="shared" si="0"/>
        <v>1044</v>
      </c>
      <c r="K12" s="155"/>
      <c r="L12" s="156"/>
      <c r="M12" s="157"/>
    </row>
    <row r="13" spans="2:13" ht="17.25" thickBot="1">
      <c r="B13" s="3">
        <v>12</v>
      </c>
      <c r="C13" t="s">
        <v>440</v>
      </c>
      <c r="D13" s="4"/>
      <c r="E13" s="88">
        <v>4</v>
      </c>
      <c r="F13" s="101">
        <f t="shared" si="1"/>
        <v>80</v>
      </c>
      <c r="G13">
        <f>VLOOKUP($C13,[1]약재관리!$A:$J,10,FALSE)</f>
        <v>28.2</v>
      </c>
      <c r="H13" s="5">
        <f t="shared" si="2"/>
        <v>112.8</v>
      </c>
      <c r="I13" s="6">
        <f t="shared" si="0"/>
        <v>2256</v>
      </c>
      <c r="K13" s="158"/>
      <c r="L13" s="159"/>
      <c r="M13" s="160"/>
    </row>
    <row r="14" spans="2:13">
      <c r="B14" s="3">
        <v>13</v>
      </c>
      <c r="C14" t="s">
        <v>410</v>
      </c>
      <c r="D14" s="4"/>
      <c r="E14" s="88">
        <v>8</v>
      </c>
      <c r="F14" s="101">
        <f t="shared" si="1"/>
        <v>160</v>
      </c>
      <c r="G14">
        <f>VLOOKUP($C14,[1]약재관리!$A:$J,10,FALSE)</f>
        <v>39.200000000000003</v>
      </c>
      <c r="H14" s="5">
        <f>G14*E14</f>
        <v>313.60000000000002</v>
      </c>
      <c r="I14" s="6">
        <f>G14*F14</f>
        <v>6272</v>
      </c>
      <c r="K14" s="92" t="s">
        <v>16</v>
      </c>
      <c r="L14" s="9">
        <v>20</v>
      </c>
      <c r="M14" s="10" t="s">
        <v>17</v>
      </c>
    </row>
    <row r="15" spans="2:13">
      <c r="B15" s="3">
        <v>14</v>
      </c>
      <c r="C15" t="s">
        <v>433</v>
      </c>
      <c r="D15" s="4"/>
      <c r="E15" s="88">
        <v>3</v>
      </c>
      <c r="F15" s="101">
        <f t="shared" si="1"/>
        <v>60</v>
      </c>
      <c r="G15">
        <f>VLOOKUP($C15,[1]약재관리!$A:$J,10,FALSE)</f>
        <v>23.5</v>
      </c>
      <c r="H15" s="5">
        <f>G15*E15</f>
        <v>70.5</v>
      </c>
      <c r="I15" s="6">
        <f>G15*F15</f>
        <v>1410</v>
      </c>
      <c r="K15" s="91" t="s">
        <v>18</v>
      </c>
      <c r="L15">
        <v>20</v>
      </c>
      <c r="M15" s="4" t="s">
        <v>19</v>
      </c>
    </row>
    <row r="16" spans="2:13">
      <c r="B16" s="3">
        <v>15</v>
      </c>
      <c r="D16" s="4"/>
      <c r="F16" s="101">
        <f t="shared" si="1"/>
        <v>0</v>
      </c>
      <c r="H16" s="5">
        <f t="shared" si="2"/>
        <v>0</v>
      </c>
      <c r="I16" s="6">
        <f t="shared" si="0"/>
        <v>0</v>
      </c>
      <c r="K16" s="91" t="s">
        <v>20</v>
      </c>
      <c r="L16">
        <v>45</v>
      </c>
      <c r="M16" s="4" t="s">
        <v>21</v>
      </c>
    </row>
    <row r="17" spans="2:13" ht="17.25" thickBot="1">
      <c r="B17" s="3">
        <v>16</v>
      </c>
      <c r="D17" s="4"/>
      <c r="F17" s="101">
        <f t="shared" si="1"/>
        <v>0</v>
      </c>
      <c r="H17" s="5">
        <f t="shared" si="2"/>
        <v>0</v>
      </c>
      <c r="I17" s="6">
        <f t="shared" si="0"/>
        <v>0</v>
      </c>
      <c r="K17" s="14" t="s">
        <v>22</v>
      </c>
      <c r="L17" s="11">
        <v>110</v>
      </c>
      <c r="M17" s="12" t="s">
        <v>23</v>
      </c>
    </row>
    <row r="18" spans="2:13">
      <c r="B18" s="3">
        <v>17</v>
      </c>
      <c r="D18" s="4"/>
      <c r="F18" s="101">
        <f t="shared" si="1"/>
        <v>0</v>
      </c>
      <c r="H18" s="5">
        <f t="shared" si="2"/>
        <v>0</v>
      </c>
      <c r="I18" s="6">
        <f t="shared" si="0"/>
        <v>0</v>
      </c>
      <c r="K18" s="92" t="s">
        <v>24</v>
      </c>
      <c r="L18" s="9">
        <f>SUM(E2:E31)</f>
        <v>67</v>
      </c>
      <c r="M18" s="10" t="s">
        <v>25</v>
      </c>
    </row>
    <row r="19" spans="2:13">
      <c r="B19" s="3">
        <v>18</v>
      </c>
      <c r="D19" s="4"/>
      <c r="F19" s="101">
        <f t="shared" si="1"/>
        <v>0</v>
      </c>
      <c r="H19" s="5">
        <f t="shared" si="2"/>
        <v>0</v>
      </c>
      <c r="I19" s="6">
        <f t="shared" si="0"/>
        <v>0</v>
      </c>
      <c r="K19" s="91" t="s">
        <v>26</v>
      </c>
      <c r="L19">
        <f>L15*L18</f>
        <v>1340</v>
      </c>
      <c r="M19" s="4" t="s">
        <v>25</v>
      </c>
    </row>
    <row r="20" spans="2:13" ht="17.25" thickBot="1">
      <c r="B20" s="3">
        <v>19</v>
      </c>
      <c r="D20" s="4"/>
      <c r="F20" s="101">
        <f t="shared" si="1"/>
        <v>0</v>
      </c>
      <c r="H20" s="5">
        <f t="shared" si="2"/>
        <v>0</v>
      </c>
      <c r="I20" s="6">
        <f t="shared" si="0"/>
        <v>0</v>
      </c>
      <c r="K20" s="14" t="s">
        <v>27</v>
      </c>
      <c r="L20" s="11">
        <f>L16*L17+L19</f>
        <v>6290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49" t="s">
        <v>388</v>
      </c>
      <c r="L22" s="150"/>
      <c r="M22" s="151"/>
    </row>
    <row r="23" spans="2:13">
      <c r="B23" s="3">
        <v>22</v>
      </c>
      <c r="D23" s="4"/>
      <c r="F23" s="101">
        <f t="shared" si="1"/>
        <v>0</v>
      </c>
      <c r="H23" s="5">
        <f t="shared" si="2"/>
        <v>0</v>
      </c>
      <c r="I23" s="6">
        <f t="shared" si="0"/>
        <v>0</v>
      </c>
      <c r="K23" s="91" t="s">
        <v>382</v>
      </c>
      <c r="L23">
        <f>SUM(F2:F31)</f>
        <v>1340</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49" t="s">
        <v>387</v>
      </c>
      <c r="L29" s="150"/>
      <c r="M29" s="151"/>
    </row>
    <row r="30" spans="2:13">
      <c r="B30" s="3">
        <v>29</v>
      </c>
      <c r="D30" s="4"/>
      <c r="F30" s="101">
        <f t="shared" si="1"/>
        <v>0</v>
      </c>
      <c r="H30" s="5">
        <f t="shared" si="2"/>
        <v>0</v>
      </c>
      <c r="I30" s="6">
        <f t="shared" si="0"/>
        <v>0</v>
      </c>
      <c r="K30" s="91" t="s">
        <v>28</v>
      </c>
      <c r="L30" s="5">
        <f>SUM(H2:H31)</f>
        <v>3870.5</v>
      </c>
      <c r="M30" s="4" t="s">
        <v>386</v>
      </c>
    </row>
    <row r="31" spans="2:13" ht="17.25" thickBot="1">
      <c r="B31" s="13">
        <v>30</v>
      </c>
      <c r="C31" s="14"/>
      <c r="D31" s="12"/>
      <c r="E31" s="95"/>
      <c r="F31" s="102">
        <f t="shared" si="1"/>
        <v>0</v>
      </c>
      <c r="G31" s="11"/>
      <c r="H31" s="15">
        <f t="shared" si="2"/>
        <v>0</v>
      </c>
      <c r="I31" s="16">
        <f t="shared" si="0"/>
        <v>0</v>
      </c>
      <c r="K31" s="14" t="s">
        <v>385</v>
      </c>
      <c r="L31" s="15">
        <f>SUM(I2:I31)</f>
        <v>77410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F4BD-D10D-4B65-AFD5-E8A380E9DB32}">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419</v>
      </c>
      <c r="D2" s="4"/>
      <c r="E2" s="88">
        <v>10</v>
      </c>
      <c r="F2" s="101">
        <f>E2*$L$15</f>
        <v>250</v>
      </c>
      <c r="G2">
        <f>VLOOKUP($C2,약재관리!A:J,10,FALSE)</f>
        <v>22</v>
      </c>
      <c r="H2" s="5">
        <f>G2*E2</f>
        <v>220</v>
      </c>
      <c r="I2" s="90">
        <f>G2*F2</f>
        <v>5500</v>
      </c>
      <c r="K2" s="7" t="s">
        <v>9</v>
      </c>
      <c r="L2" s="161">
        <v>56</v>
      </c>
      <c r="M2" s="162"/>
    </row>
    <row r="3" spans="2:13">
      <c r="B3" s="3">
        <v>2</v>
      </c>
      <c r="C3" t="s">
        <v>430</v>
      </c>
      <c r="D3" s="4"/>
      <c r="E3" s="88">
        <v>8</v>
      </c>
      <c r="F3" s="101">
        <f t="shared" ref="F3:F31" si="0">E3*$L$15</f>
        <v>200</v>
      </c>
      <c r="G3">
        <f>VLOOKUP($C3,약재관리!A:J,10,FALSE)</f>
        <v>70.2</v>
      </c>
      <c r="H3" s="5">
        <f t="shared" ref="H3:H31" si="1">G3*E3</f>
        <v>561.6</v>
      </c>
      <c r="I3" s="6">
        <f t="shared" ref="I3:I31" si="2">G3*F3</f>
        <v>14040</v>
      </c>
      <c r="K3" s="8" t="s">
        <v>10</v>
      </c>
      <c r="L3" s="163" t="s">
        <v>435</v>
      </c>
      <c r="M3" s="164"/>
    </row>
    <row r="4" spans="2:13">
      <c r="B4" s="3">
        <v>3</v>
      </c>
      <c r="C4" t="s">
        <v>437</v>
      </c>
      <c r="D4" s="4"/>
      <c r="E4" s="88">
        <v>8</v>
      </c>
      <c r="F4" s="101">
        <f t="shared" si="0"/>
        <v>200</v>
      </c>
      <c r="G4">
        <f>VLOOKUP($C4,약재관리!A:J,10,FALSE)</f>
        <v>20.8</v>
      </c>
      <c r="H4" s="5">
        <f t="shared" si="1"/>
        <v>166.4</v>
      </c>
      <c r="I4" s="6">
        <f t="shared" si="2"/>
        <v>4160</v>
      </c>
      <c r="K4" s="8" t="s">
        <v>11</v>
      </c>
      <c r="L4" s="165">
        <v>45672</v>
      </c>
      <c r="M4" s="164"/>
    </row>
    <row r="5" spans="2:13">
      <c r="B5" s="3">
        <v>4</v>
      </c>
      <c r="C5" t="s">
        <v>416</v>
      </c>
      <c r="D5" s="4"/>
      <c r="E5" s="88">
        <v>6</v>
      </c>
      <c r="F5" s="101">
        <f t="shared" si="0"/>
        <v>150</v>
      </c>
      <c r="G5">
        <f>VLOOKUP($C5,약재관리!A:J,10,FALSE)</f>
        <v>24</v>
      </c>
      <c r="H5" s="5">
        <f t="shared" si="1"/>
        <v>144</v>
      </c>
      <c r="I5" s="6">
        <f t="shared" si="2"/>
        <v>3600</v>
      </c>
      <c r="K5" s="8" t="s">
        <v>12</v>
      </c>
      <c r="L5" s="163" t="s">
        <v>425</v>
      </c>
      <c r="M5" s="164"/>
    </row>
    <row r="6" spans="2:13">
      <c r="B6" s="3">
        <v>5</v>
      </c>
      <c r="C6" t="s">
        <v>418</v>
      </c>
      <c r="D6" s="4"/>
      <c r="E6" s="88">
        <v>6</v>
      </c>
      <c r="F6" s="101">
        <f t="shared" si="0"/>
        <v>150</v>
      </c>
      <c r="G6">
        <f>VLOOKUP($C6,약재관리!A:J,10,FALSE)</f>
        <v>15</v>
      </c>
      <c r="H6" s="5">
        <f t="shared" si="1"/>
        <v>90</v>
      </c>
      <c r="I6" s="6">
        <f t="shared" si="2"/>
        <v>2250</v>
      </c>
      <c r="K6" s="8" t="s">
        <v>13</v>
      </c>
      <c r="L6" s="163">
        <v>67</v>
      </c>
      <c r="M6" s="164"/>
    </row>
    <row r="7" spans="2:13" ht="17.25" thickBot="1">
      <c r="B7" s="3">
        <v>6</v>
      </c>
      <c r="C7" t="s">
        <v>429</v>
      </c>
      <c r="D7" s="4"/>
      <c r="E7" s="88">
        <v>4</v>
      </c>
      <c r="F7" s="101">
        <f t="shared" si="0"/>
        <v>100</v>
      </c>
      <c r="G7">
        <f>VLOOKUP($C7,약재관리!A:J,10,FALSE)</f>
        <v>28.3</v>
      </c>
      <c r="H7" s="5">
        <f t="shared" si="1"/>
        <v>113.2</v>
      </c>
      <c r="I7" s="6">
        <f t="shared" si="2"/>
        <v>2830</v>
      </c>
      <c r="K7" s="8" t="s">
        <v>14</v>
      </c>
      <c r="L7" s="147" t="s">
        <v>426</v>
      </c>
      <c r="M7" s="148"/>
    </row>
    <row r="8" spans="2:13" ht="17.25" thickBot="1">
      <c r="B8" s="3">
        <v>7</v>
      </c>
      <c r="C8" t="s">
        <v>431</v>
      </c>
      <c r="D8" s="4"/>
      <c r="E8" s="88">
        <v>6</v>
      </c>
      <c r="F8" s="101">
        <f t="shared" si="0"/>
        <v>150</v>
      </c>
      <c r="G8">
        <f>VLOOKUP($C8,약재관리!A:J,10,FALSE)</f>
        <v>117</v>
      </c>
      <c r="H8" s="5">
        <f t="shared" si="1"/>
        <v>702</v>
      </c>
      <c r="I8" s="6">
        <f t="shared" si="2"/>
        <v>17550</v>
      </c>
      <c r="K8" s="149" t="s">
        <v>15</v>
      </c>
      <c r="L8" s="150"/>
      <c r="M8" s="151"/>
    </row>
    <row r="9" spans="2:13">
      <c r="B9" s="3">
        <v>8</v>
      </c>
      <c r="C9" t="s">
        <v>428</v>
      </c>
      <c r="D9" s="4"/>
      <c r="E9" s="88">
        <v>4</v>
      </c>
      <c r="F9" s="101">
        <f t="shared" si="0"/>
        <v>100</v>
      </c>
      <c r="G9">
        <f>VLOOKUP($C9,약재관리!A:J,10,FALSE)</f>
        <v>14.8</v>
      </c>
      <c r="H9" s="5">
        <f t="shared" si="1"/>
        <v>59.2</v>
      </c>
      <c r="I9" s="6">
        <f t="shared" si="2"/>
        <v>1480</v>
      </c>
      <c r="K9" s="166" t="s">
        <v>436</v>
      </c>
      <c r="L9" s="153"/>
      <c r="M9" s="154"/>
    </row>
    <row r="10" spans="2:13">
      <c r="B10" s="3">
        <v>9</v>
      </c>
      <c r="C10" t="s">
        <v>409</v>
      </c>
      <c r="D10" s="4"/>
      <c r="E10" s="88">
        <v>6</v>
      </c>
      <c r="F10" s="101">
        <f t="shared" si="0"/>
        <v>150</v>
      </c>
      <c r="G10">
        <f>VLOOKUP($C10,약재관리!A:J,10,FALSE)</f>
        <v>11</v>
      </c>
      <c r="H10" s="5">
        <f t="shared" si="1"/>
        <v>66</v>
      </c>
      <c r="I10" s="6">
        <f t="shared" si="2"/>
        <v>1650</v>
      </c>
      <c r="K10" s="155"/>
      <c r="L10" s="156"/>
      <c r="M10" s="157"/>
    </row>
    <row r="11" spans="2:13">
      <c r="B11" s="3">
        <v>10</v>
      </c>
      <c r="C11" t="s">
        <v>420</v>
      </c>
      <c r="D11" s="4"/>
      <c r="E11" s="88">
        <v>8</v>
      </c>
      <c r="F11" s="101">
        <f t="shared" si="0"/>
        <v>200</v>
      </c>
      <c r="G11">
        <f>VLOOKUP($C11,약재관리!A:J,10,FALSE)</f>
        <v>47</v>
      </c>
      <c r="H11" s="5">
        <f t="shared" si="1"/>
        <v>376</v>
      </c>
      <c r="I11" s="6">
        <f t="shared" si="2"/>
        <v>9400</v>
      </c>
      <c r="K11" s="155"/>
      <c r="L11" s="156"/>
      <c r="M11" s="157"/>
    </row>
    <row r="12" spans="2:13">
      <c r="B12" s="3">
        <v>11</v>
      </c>
      <c r="C12" t="s">
        <v>432</v>
      </c>
      <c r="D12" s="4"/>
      <c r="E12" s="88">
        <v>4</v>
      </c>
      <c r="F12" s="101">
        <f t="shared" si="0"/>
        <v>100</v>
      </c>
      <c r="G12">
        <f>VLOOKUP($C12,약재관리!A:J,10,FALSE)</f>
        <v>9.5</v>
      </c>
      <c r="H12" s="5">
        <f t="shared" si="1"/>
        <v>38</v>
      </c>
      <c r="I12" s="6">
        <f t="shared" si="2"/>
        <v>950</v>
      </c>
      <c r="K12" s="155"/>
      <c r="L12" s="156"/>
      <c r="M12" s="157"/>
    </row>
    <row r="13" spans="2:13" ht="17.25" thickBot="1">
      <c r="B13" s="3">
        <v>12</v>
      </c>
      <c r="C13" t="s">
        <v>433</v>
      </c>
      <c r="D13" s="4"/>
      <c r="E13" s="88">
        <v>3</v>
      </c>
      <c r="F13" s="101">
        <f t="shared" si="0"/>
        <v>75</v>
      </c>
      <c r="G13">
        <f>VLOOKUP($C13,약재관리!A:J,10,FALSE)</f>
        <v>25.2</v>
      </c>
      <c r="H13" s="5">
        <f t="shared" si="1"/>
        <v>75.599999999999994</v>
      </c>
      <c r="I13" s="6">
        <f t="shared" si="2"/>
        <v>1890</v>
      </c>
      <c r="K13" s="158"/>
      <c r="L13" s="159"/>
      <c r="M13" s="160"/>
    </row>
    <row r="14" spans="2:13">
      <c r="B14" s="3">
        <v>13</v>
      </c>
      <c r="C14" t="s">
        <v>423</v>
      </c>
      <c r="D14" s="4"/>
      <c r="E14" s="88">
        <v>1.6</v>
      </c>
      <c r="F14" s="101">
        <f t="shared" si="0"/>
        <v>40</v>
      </c>
      <c r="G14">
        <f>VLOOKUP($C14,약재관리!A:J,10,FALSE)</f>
        <v>463.3</v>
      </c>
      <c r="H14" s="5">
        <f t="shared" si="1"/>
        <v>741.28000000000009</v>
      </c>
      <c r="I14" s="6">
        <f t="shared" si="2"/>
        <v>18532</v>
      </c>
      <c r="K14" s="92" t="s">
        <v>16</v>
      </c>
      <c r="L14" s="9">
        <v>15</v>
      </c>
      <c r="M14" s="10" t="s">
        <v>17</v>
      </c>
    </row>
    <row r="15" spans="2:13">
      <c r="B15" s="3">
        <v>14</v>
      </c>
      <c r="D15" s="4"/>
      <c r="F15" s="101">
        <f t="shared" si="0"/>
        <v>0</v>
      </c>
      <c r="H15" s="5">
        <f t="shared" si="1"/>
        <v>0</v>
      </c>
      <c r="I15" s="6">
        <f t="shared" si="2"/>
        <v>0</v>
      </c>
      <c r="K15" s="91" t="s">
        <v>18</v>
      </c>
      <c r="L15">
        <v>25</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74.599999999999994</v>
      </c>
      <c r="M18" s="10" t="s">
        <v>25</v>
      </c>
    </row>
    <row r="19" spans="2:13">
      <c r="B19" s="3">
        <v>18</v>
      </c>
      <c r="D19" s="4"/>
      <c r="F19" s="101">
        <f t="shared" si="0"/>
        <v>0</v>
      </c>
      <c r="H19" s="5">
        <f t="shared" si="1"/>
        <v>0</v>
      </c>
      <c r="I19" s="6">
        <f t="shared" si="2"/>
        <v>0</v>
      </c>
      <c r="K19" s="91" t="s">
        <v>26</v>
      </c>
      <c r="L19">
        <f>L15*L18</f>
        <v>1864.9999999999998</v>
      </c>
      <c r="M19" s="4" t="s">
        <v>25</v>
      </c>
    </row>
    <row r="20" spans="2:13" ht="17.25" thickBot="1">
      <c r="B20" s="3">
        <v>19</v>
      </c>
      <c r="D20" s="4"/>
      <c r="F20" s="101">
        <f t="shared" si="0"/>
        <v>0</v>
      </c>
      <c r="H20" s="5">
        <f t="shared" si="1"/>
        <v>0</v>
      </c>
      <c r="I20" s="6">
        <f t="shared" si="2"/>
        <v>0</v>
      </c>
      <c r="K20" s="14" t="s">
        <v>27</v>
      </c>
      <c r="L20" s="11">
        <f>L16*L17+L19</f>
        <v>6365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1865</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3353.28</v>
      </c>
      <c r="M30" s="4" t="s">
        <v>386</v>
      </c>
    </row>
    <row r="31" spans="2:13" ht="17.25" thickBot="1">
      <c r="B31" s="13">
        <v>30</v>
      </c>
      <c r="C31" s="14"/>
      <c r="D31" s="12"/>
      <c r="E31" s="95"/>
      <c r="F31" s="102">
        <f t="shared" si="0"/>
        <v>0</v>
      </c>
      <c r="G31" s="14"/>
      <c r="H31" s="15">
        <f t="shared" si="1"/>
        <v>0</v>
      </c>
      <c r="I31" s="16">
        <f t="shared" si="2"/>
        <v>0</v>
      </c>
      <c r="K31" s="14" t="s">
        <v>385</v>
      </c>
      <c r="L31" s="15">
        <f>SUM(I2:I31)</f>
        <v>83832</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5E2C-7408-4F80-A16E-0BC51EA88224}">
  <sheetPr>
    <pageSetUpPr fitToPage="1"/>
  </sheetPr>
  <dimension ref="B1:M31"/>
  <sheetViews>
    <sheetView workbookViewId="0">
      <selection activeCell="D33" sqref="D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409</v>
      </c>
      <c r="D2" s="4"/>
      <c r="E2" s="88">
        <v>12</v>
      </c>
      <c r="F2" s="101">
        <f>E2*$L$15</f>
        <v>360</v>
      </c>
      <c r="G2">
        <f>VLOOKUP($C2,약재관리!A:J,10,FALSE)</f>
        <v>11</v>
      </c>
      <c r="H2" s="5">
        <f>G2*E2</f>
        <v>132</v>
      </c>
      <c r="I2" s="90">
        <f>G2*F2</f>
        <v>3960</v>
      </c>
      <c r="K2" s="7" t="s">
        <v>9</v>
      </c>
      <c r="L2" s="161">
        <v>56</v>
      </c>
      <c r="M2" s="162"/>
    </row>
    <row r="3" spans="2:13">
      <c r="B3" s="3">
        <v>2</v>
      </c>
      <c r="C3" t="s">
        <v>430</v>
      </c>
      <c r="D3" s="4"/>
      <c r="E3" s="88">
        <v>6</v>
      </c>
      <c r="F3" s="101">
        <f t="shared" ref="F3:F31" si="0">E3*$L$15</f>
        <v>180</v>
      </c>
      <c r="G3">
        <f>VLOOKUP($C3,약재관리!A:J,10,FALSE)</f>
        <v>70.2</v>
      </c>
      <c r="H3" s="5">
        <f t="shared" ref="H3:H31" si="1">G3*E3</f>
        <v>421.20000000000005</v>
      </c>
      <c r="I3" s="6">
        <f t="shared" ref="I3:I31" si="2">G3*F3</f>
        <v>12636</v>
      </c>
      <c r="K3" s="8" t="s">
        <v>10</v>
      </c>
      <c r="L3" s="163" t="s">
        <v>427</v>
      </c>
      <c r="M3" s="164"/>
    </row>
    <row r="4" spans="2:13">
      <c r="B4" s="3">
        <v>3</v>
      </c>
      <c r="C4" t="s">
        <v>419</v>
      </c>
      <c r="D4" s="4"/>
      <c r="E4" s="88">
        <v>6</v>
      </c>
      <c r="F4" s="101">
        <f t="shared" si="0"/>
        <v>180</v>
      </c>
      <c r="G4">
        <f>VLOOKUP($C4,약재관리!A:J,10,FALSE)</f>
        <v>22</v>
      </c>
      <c r="H4" s="5">
        <f t="shared" si="1"/>
        <v>132</v>
      </c>
      <c r="I4" s="6">
        <f t="shared" si="2"/>
        <v>3960</v>
      </c>
      <c r="K4" s="8" t="s">
        <v>11</v>
      </c>
      <c r="L4" s="165">
        <v>45672</v>
      </c>
      <c r="M4" s="164"/>
    </row>
    <row r="5" spans="2:13">
      <c r="B5" s="3">
        <v>4</v>
      </c>
      <c r="C5" t="s">
        <v>428</v>
      </c>
      <c r="D5" s="4"/>
      <c r="E5" s="88">
        <v>6</v>
      </c>
      <c r="F5" s="101">
        <f t="shared" si="0"/>
        <v>180</v>
      </c>
      <c r="G5">
        <f>VLOOKUP($C5,약재관리!A:J,10,FALSE)</f>
        <v>14.8</v>
      </c>
      <c r="H5" s="5">
        <f t="shared" si="1"/>
        <v>88.800000000000011</v>
      </c>
      <c r="I5" s="6">
        <f t="shared" si="2"/>
        <v>2664</v>
      </c>
      <c r="K5" s="8" t="s">
        <v>12</v>
      </c>
      <c r="L5" s="163" t="s">
        <v>425</v>
      </c>
      <c r="M5" s="164"/>
    </row>
    <row r="6" spans="2:13">
      <c r="B6" s="3">
        <v>5</v>
      </c>
      <c r="C6" t="s">
        <v>429</v>
      </c>
      <c r="D6" s="4"/>
      <c r="E6" s="88">
        <v>4</v>
      </c>
      <c r="F6" s="101">
        <f t="shared" si="0"/>
        <v>120</v>
      </c>
      <c r="G6">
        <f>VLOOKUP($C6,약재관리!A:J,10,FALSE)</f>
        <v>28.3</v>
      </c>
      <c r="H6" s="5">
        <f t="shared" si="1"/>
        <v>113.2</v>
      </c>
      <c r="I6" s="6">
        <f t="shared" si="2"/>
        <v>3396</v>
      </c>
      <c r="K6" s="8" t="s">
        <v>13</v>
      </c>
      <c r="L6" s="163">
        <v>67</v>
      </c>
      <c r="M6" s="164"/>
    </row>
    <row r="7" spans="2:13" ht="17.25" thickBot="1">
      <c r="B7" s="3">
        <v>6</v>
      </c>
      <c r="C7" t="s">
        <v>420</v>
      </c>
      <c r="D7" s="4"/>
      <c r="E7" s="88">
        <v>6</v>
      </c>
      <c r="F7" s="101">
        <f t="shared" si="0"/>
        <v>180</v>
      </c>
      <c r="G7">
        <f>VLOOKUP($C7,약재관리!A:J,10,FALSE)</f>
        <v>47</v>
      </c>
      <c r="H7" s="5">
        <f t="shared" si="1"/>
        <v>282</v>
      </c>
      <c r="I7" s="6">
        <f t="shared" si="2"/>
        <v>8460</v>
      </c>
      <c r="K7" s="8" t="s">
        <v>14</v>
      </c>
      <c r="L7" s="147" t="s">
        <v>426</v>
      </c>
      <c r="M7" s="148"/>
    </row>
    <row r="8" spans="2:13" ht="17.25" thickBot="1">
      <c r="B8" s="3">
        <v>7</v>
      </c>
      <c r="C8" t="s">
        <v>431</v>
      </c>
      <c r="D8" s="4"/>
      <c r="E8" s="88">
        <v>3</v>
      </c>
      <c r="F8" s="101">
        <f t="shared" si="0"/>
        <v>90</v>
      </c>
      <c r="G8">
        <f>VLOOKUP($C8,약재관리!A:J,10,FALSE)</f>
        <v>117</v>
      </c>
      <c r="H8" s="5">
        <f t="shared" si="1"/>
        <v>351</v>
      </c>
      <c r="I8" s="6">
        <f t="shared" si="2"/>
        <v>10530</v>
      </c>
      <c r="K8" s="149" t="s">
        <v>15</v>
      </c>
      <c r="L8" s="150"/>
      <c r="M8" s="151"/>
    </row>
    <row r="9" spans="2:13">
      <c r="B9" s="3">
        <v>8</v>
      </c>
      <c r="C9" t="s">
        <v>432</v>
      </c>
      <c r="D9" s="4"/>
      <c r="E9" s="88">
        <v>3</v>
      </c>
      <c r="F9" s="101">
        <f t="shared" si="0"/>
        <v>90</v>
      </c>
      <c r="G9">
        <f>VLOOKUP($C9,약재관리!A:J,10,FALSE)</f>
        <v>9.5</v>
      </c>
      <c r="H9" s="5">
        <f t="shared" si="1"/>
        <v>28.5</v>
      </c>
      <c r="I9" s="6">
        <f t="shared" si="2"/>
        <v>855</v>
      </c>
      <c r="K9" s="166" t="s">
        <v>434</v>
      </c>
      <c r="L9" s="153"/>
      <c r="M9" s="154"/>
    </row>
    <row r="10" spans="2:13">
      <c r="B10" s="3">
        <v>9</v>
      </c>
      <c r="C10" t="s">
        <v>433</v>
      </c>
      <c r="D10" s="4"/>
      <c r="E10" s="88">
        <v>2</v>
      </c>
      <c r="F10" s="101">
        <f t="shared" si="0"/>
        <v>60</v>
      </c>
      <c r="G10">
        <f>VLOOKUP($C10,약재관리!A:J,10,FALSE)</f>
        <v>25.2</v>
      </c>
      <c r="H10" s="5">
        <f t="shared" si="1"/>
        <v>50.4</v>
      </c>
      <c r="I10" s="6">
        <f t="shared" si="2"/>
        <v>1512</v>
      </c>
      <c r="K10" s="155"/>
      <c r="L10" s="156"/>
      <c r="M10" s="157"/>
    </row>
    <row r="11" spans="2:13">
      <c r="B11" s="3">
        <v>10</v>
      </c>
      <c r="C11" t="s">
        <v>423</v>
      </c>
      <c r="D11" s="4"/>
      <c r="E11" s="88">
        <v>1.34</v>
      </c>
      <c r="F11" s="101">
        <f t="shared" si="0"/>
        <v>40.200000000000003</v>
      </c>
      <c r="G11">
        <f>VLOOKUP($C11,약재관리!A:J,10,FALSE)</f>
        <v>463.3</v>
      </c>
      <c r="H11" s="5">
        <f t="shared" si="1"/>
        <v>620.822</v>
      </c>
      <c r="I11" s="6">
        <f t="shared" si="2"/>
        <v>18624.660000000003</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49.34</v>
      </c>
      <c r="M18" s="10" t="s">
        <v>25</v>
      </c>
    </row>
    <row r="19" spans="2:13">
      <c r="B19" s="3">
        <v>18</v>
      </c>
      <c r="D19" s="4"/>
      <c r="F19" s="101">
        <f t="shared" si="0"/>
        <v>0</v>
      </c>
      <c r="H19" s="5">
        <f t="shared" si="1"/>
        <v>0</v>
      </c>
      <c r="I19" s="6">
        <f t="shared" si="2"/>
        <v>0</v>
      </c>
      <c r="K19" s="91" t="s">
        <v>26</v>
      </c>
      <c r="L19">
        <f>L15*L18</f>
        <v>1480.2</v>
      </c>
      <c r="M19" s="4" t="s">
        <v>25</v>
      </c>
    </row>
    <row r="20" spans="2:13" ht="17.25" thickBot="1">
      <c r="B20" s="3">
        <v>19</v>
      </c>
      <c r="D20" s="4"/>
      <c r="F20" s="101">
        <f t="shared" si="0"/>
        <v>0</v>
      </c>
      <c r="H20" s="5">
        <f t="shared" si="1"/>
        <v>0</v>
      </c>
      <c r="I20" s="6">
        <f t="shared" si="2"/>
        <v>0</v>
      </c>
      <c r="K20" s="14" t="s">
        <v>27</v>
      </c>
      <c r="L20" s="11">
        <f>L16*L17+L19</f>
        <v>5980.2</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1480.2</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2219.922</v>
      </c>
      <c r="M30" s="4" t="s">
        <v>386</v>
      </c>
    </row>
    <row r="31" spans="2:13" ht="17.25" thickBot="1">
      <c r="B31" s="13">
        <v>30</v>
      </c>
      <c r="C31" s="14"/>
      <c r="D31" s="12"/>
      <c r="E31" s="95"/>
      <c r="F31" s="102">
        <f t="shared" si="0"/>
        <v>0</v>
      </c>
      <c r="G31" s="14"/>
      <c r="H31" s="15">
        <f t="shared" si="1"/>
        <v>0</v>
      </c>
      <c r="I31" s="16">
        <f t="shared" si="2"/>
        <v>0</v>
      </c>
      <c r="K31" s="14" t="s">
        <v>385</v>
      </c>
      <c r="L31" s="15">
        <f>SUM(I2:I31)</f>
        <v>66597.66</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c r="E2" s="88">
        <v>4</v>
      </c>
      <c r="F2" s="101">
        <f>E2*$L$15</f>
        <v>80</v>
      </c>
      <c r="G2">
        <f>VLOOKUP($C2,약재관리!A:J,10,FALSE)</f>
        <v>90</v>
      </c>
      <c r="H2" s="5">
        <f>G2*E2</f>
        <v>360</v>
      </c>
      <c r="I2" s="90">
        <f>G2*F2</f>
        <v>7200</v>
      </c>
      <c r="K2" s="7" t="s">
        <v>9</v>
      </c>
      <c r="L2" s="161">
        <v>56</v>
      </c>
      <c r="M2" s="162"/>
    </row>
    <row r="3" spans="2:13">
      <c r="B3" s="3">
        <v>2</v>
      </c>
      <c r="C3" t="s">
        <v>408</v>
      </c>
      <c r="D3" s="4"/>
      <c r="E3" s="88">
        <v>4</v>
      </c>
      <c r="F3" s="101">
        <f t="shared" ref="F3:F31" si="0">E3*$L$15</f>
        <v>80</v>
      </c>
      <c r="G3">
        <f>VLOOKUP($C3,약재관리!A:J,10,FALSE)</f>
        <v>28.3</v>
      </c>
      <c r="H3" s="5">
        <f t="shared" ref="H3:H31" si="1">G3*E3</f>
        <v>113.2</v>
      </c>
      <c r="I3" s="6">
        <f t="shared" ref="I3:I31" si="2">G3*F3</f>
        <v>2264</v>
      </c>
      <c r="K3" s="8" t="s">
        <v>10</v>
      </c>
      <c r="L3" s="163" t="s">
        <v>424</v>
      </c>
      <c r="M3" s="164"/>
    </row>
    <row r="4" spans="2:13">
      <c r="B4" s="3">
        <v>3</v>
      </c>
      <c r="C4" t="s">
        <v>416</v>
      </c>
      <c r="D4" s="4"/>
      <c r="E4" s="88">
        <v>4</v>
      </c>
      <c r="F4" s="101">
        <f t="shared" si="0"/>
        <v>80</v>
      </c>
      <c r="G4">
        <f>VLOOKUP($C4,약재관리!A:J,10,FALSE)</f>
        <v>24</v>
      </c>
      <c r="H4" s="5">
        <f t="shared" si="1"/>
        <v>96</v>
      </c>
      <c r="I4" s="6">
        <f t="shared" si="2"/>
        <v>1920</v>
      </c>
      <c r="K4" s="8" t="s">
        <v>11</v>
      </c>
      <c r="L4" s="165">
        <v>45642</v>
      </c>
      <c r="M4" s="164"/>
    </row>
    <row r="5" spans="2:13">
      <c r="B5" s="3">
        <v>4</v>
      </c>
      <c r="C5" t="s">
        <v>417</v>
      </c>
      <c r="D5" s="4"/>
      <c r="E5" s="88">
        <v>6</v>
      </c>
      <c r="F5" s="101">
        <f t="shared" si="0"/>
        <v>120</v>
      </c>
      <c r="G5">
        <f>VLOOKUP($C5,약재관리!A:J,10,FALSE)</f>
        <v>17.600000000000001</v>
      </c>
      <c r="H5" s="5">
        <f t="shared" si="1"/>
        <v>105.60000000000001</v>
      </c>
      <c r="I5" s="6">
        <f t="shared" si="2"/>
        <v>2112</v>
      </c>
      <c r="K5" s="8" t="s">
        <v>12</v>
      </c>
      <c r="L5" s="163" t="s">
        <v>425</v>
      </c>
      <c r="M5" s="164"/>
    </row>
    <row r="6" spans="2:13">
      <c r="B6" s="3">
        <v>5</v>
      </c>
      <c r="C6" t="s">
        <v>409</v>
      </c>
      <c r="D6" s="4"/>
      <c r="E6" s="88">
        <v>6</v>
      </c>
      <c r="F6" s="101">
        <f t="shared" si="0"/>
        <v>120</v>
      </c>
      <c r="G6">
        <f>VLOOKUP($C6,약재관리!A:J,10,FALSE)</f>
        <v>11</v>
      </c>
      <c r="H6" s="5">
        <f t="shared" si="1"/>
        <v>66</v>
      </c>
      <c r="I6" s="6">
        <f t="shared" si="2"/>
        <v>1320</v>
      </c>
      <c r="K6" s="8" t="s">
        <v>13</v>
      </c>
      <c r="L6" s="163">
        <v>67</v>
      </c>
      <c r="M6" s="164"/>
    </row>
    <row r="7" spans="2:13" ht="17.25" thickBot="1">
      <c r="B7" s="3">
        <v>6</v>
      </c>
      <c r="C7" t="s">
        <v>410</v>
      </c>
      <c r="D7" s="4"/>
      <c r="E7" s="88">
        <v>3</v>
      </c>
      <c r="F7" s="101">
        <f t="shared" si="0"/>
        <v>60</v>
      </c>
      <c r="G7">
        <f>VLOOKUP($C7,약재관리!A:J,10,FALSE)</f>
        <v>44.3</v>
      </c>
      <c r="H7" s="5">
        <f t="shared" si="1"/>
        <v>132.89999999999998</v>
      </c>
      <c r="I7" s="6">
        <f t="shared" si="2"/>
        <v>2658</v>
      </c>
      <c r="K7" s="8" t="s">
        <v>14</v>
      </c>
      <c r="L7" s="147" t="s">
        <v>426</v>
      </c>
      <c r="M7" s="148"/>
    </row>
    <row r="8" spans="2:13" ht="17.25" thickBot="1">
      <c r="B8" s="3">
        <v>7</v>
      </c>
      <c r="C8" t="s">
        <v>411</v>
      </c>
      <c r="D8" s="4"/>
      <c r="E8" s="88">
        <v>3</v>
      </c>
      <c r="F8" s="101">
        <f t="shared" si="0"/>
        <v>60</v>
      </c>
      <c r="G8">
        <f>VLOOKUP($C8,약재관리!A:J,10,FALSE)</f>
        <v>10.7</v>
      </c>
      <c r="H8" s="5">
        <f t="shared" si="1"/>
        <v>32.099999999999994</v>
      </c>
      <c r="I8" s="6">
        <f t="shared" si="2"/>
        <v>642</v>
      </c>
      <c r="K8" s="149" t="s">
        <v>15</v>
      </c>
      <c r="L8" s="150"/>
      <c r="M8" s="151"/>
    </row>
    <row r="9" spans="2:13">
      <c r="B9" s="3">
        <v>8</v>
      </c>
      <c r="C9" t="s">
        <v>415</v>
      </c>
      <c r="D9" s="4"/>
      <c r="E9" s="88">
        <v>4</v>
      </c>
      <c r="F9" s="101">
        <f t="shared" si="0"/>
        <v>80</v>
      </c>
      <c r="G9">
        <f>VLOOKUP($C9,약재관리!A:J,10,FALSE)</f>
        <v>25</v>
      </c>
      <c r="H9" s="5">
        <f t="shared" si="1"/>
        <v>100</v>
      </c>
      <c r="I9" s="6">
        <f t="shared" si="2"/>
        <v>2000</v>
      </c>
      <c r="K9" s="166"/>
      <c r="L9" s="153"/>
      <c r="M9" s="154"/>
    </row>
    <row r="10" spans="2:13">
      <c r="B10" s="3">
        <v>9</v>
      </c>
      <c r="C10" t="s">
        <v>412</v>
      </c>
      <c r="D10" s="4"/>
      <c r="E10" s="88">
        <v>2</v>
      </c>
      <c r="F10" s="101">
        <f t="shared" si="0"/>
        <v>40</v>
      </c>
      <c r="G10">
        <f>VLOOKUP($C10,약재관리!A:J,10,FALSE)</f>
        <v>22.5</v>
      </c>
      <c r="H10" s="5">
        <f t="shared" si="1"/>
        <v>45</v>
      </c>
      <c r="I10" s="6">
        <f t="shared" si="2"/>
        <v>900</v>
      </c>
      <c r="K10" s="155"/>
      <c r="L10" s="156"/>
      <c r="M10" s="157"/>
    </row>
    <row r="11" spans="2:13">
      <c r="B11" s="3">
        <v>10</v>
      </c>
      <c r="C11" t="s">
        <v>413</v>
      </c>
      <c r="D11" s="4"/>
      <c r="E11" s="88">
        <v>2</v>
      </c>
      <c r="F11" s="101">
        <f t="shared" si="0"/>
        <v>40</v>
      </c>
      <c r="G11">
        <f>VLOOKUP($C11,약재관리!A:J,10,FALSE)</f>
        <v>8.8000000000000007</v>
      </c>
      <c r="H11" s="5">
        <f t="shared" si="1"/>
        <v>17.600000000000001</v>
      </c>
      <c r="I11" s="6">
        <f t="shared" si="2"/>
        <v>352</v>
      </c>
      <c r="K11" s="155"/>
      <c r="L11" s="156"/>
      <c r="M11" s="157"/>
    </row>
    <row r="12" spans="2:13">
      <c r="B12" s="3">
        <v>11</v>
      </c>
      <c r="C12" t="s">
        <v>414</v>
      </c>
      <c r="D12" s="4"/>
      <c r="E12" s="88">
        <v>2</v>
      </c>
      <c r="F12" s="101">
        <f t="shared" si="0"/>
        <v>40</v>
      </c>
      <c r="G12">
        <f>VLOOKUP($C12,약재관리!A:J,10,FALSE)</f>
        <v>34.700000000000003</v>
      </c>
      <c r="H12" s="5">
        <f t="shared" si="1"/>
        <v>69.400000000000006</v>
      </c>
      <c r="I12" s="6">
        <f t="shared" si="2"/>
        <v>1388</v>
      </c>
      <c r="K12" s="155"/>
      <c r="L12" s="156"/>
      <c r="M12" s="157"/>
    </row>
    <row r="13" spans="2:13" ht="17.25" thickBot="1">
      <c r="B13" s="3">
        <v>12</v>
      </c>
      <c r="C13" t="s">
        <v>418</v>
      </c>
      <c r="D13" s="4"/>
      <c r="E13" s="88">
        <v>4</v>
      </c>
      <c r="F13" s="101">
        <f t="shared" si="0"/>
        <v>80</v>
      </c>
      <c r="G13">
        <f>VLOOKUP($C13,약재관리!A:J,10,FALSE)</f>
        <v>15</v>
      </c>
      <c r="H13" s="5">
        <f t="shared" si="1"/>
        <v>60</v>
      </c>
      <c r="I13" s="6">
        <f t="shared" si="2"/>
        <v>1200</v>
      </c>
      <c r="K13" s="158"/>
      <c r="L13" s="159"/>
      <c r="M13" s="160"/>
    </row>
    <row r="14" spans="2:13">
      <c r="B14" s="3">
        <v>13</v>
      </c>
      <c r="C14" t="s">
        <v>419</v>
      </c>
      <c r="D14" s="4"/>
      <c r="E14" s="88">
        <v>6</v>
      </c>
      <c r="F14" s="101">
        <f t="shared" si="0"/>
        <v>120</v>
      </c>
      <c r="G14">
        <f>VLOOKUP($C14,약재관리!A:J,10,FALSE)</f>
        <v>22</v>
      </c>
      <c r="H14" s="5">
        <f t="shared" si="1"/>
        <v>132</v>
      </c>
      <c r="I14" s="6">
        <f t="shared" si="2"/>
        <v>2640</v>
      </c>
      <c r="K14" s="92" t="s">
        <v>16</v>
      </c>
      <c r="L14" s="9">
        <v>15</v>
      </c>
      <c r="M14" s="10" t="s">
        <v>17</v>
      </c>
    </row>
    <row r="15" spans="2:13">
      <c r="B15" s="3">
        <v>14</v>
      </c>
      <c r="C15" t="s">
        <v>421</v>
      </c>
      <c r="D15" s="4"/>
      <c r="E15" s="88">
        <v>3</v>
      </c>
      <c r="F15" s="101">
        <f t="shared" si="0"/>
        <v>60</v>
      </c>
      <c r="G15">
        <f>VLOOKUP($C15,약재관리!A:J,10,FALSE)</f>
        <v>11.2</v>
      </c>
      <c r="H15" s="5">
        <f t="shared" si="1"/>
        <v>33.599999999999994</v>
      </c>
      <c r="I15" s="6">
        <f t="shared" si="2"/>
        <v>672</v>
      </c>
      <c r="K15" s="91" t="s">
        <v>18</v>
      </c>
      <c r="L15">
        <v>20</v>
      </c>
      <c r="M15" s="4" t="s">
        <v>19</v>
      </c>
    </row>
    <row r="16" spans="2:13">
      <c r="B16" s="3">
        <v>15</v>
      </c>
      <c r="C16" t="s">
        <v>420</v>
      </c>
      <c r="D16" s="4"/>
      <c r="E16" s="88">
        <v>4</v>
      </c>
      <c r="F16" s="101">
        <f t="shared" si="0"/>
        <v>80</v>
      </c>
      <c r="G16">
        <f>VLOOKUP($C16,약재관리!A:J,10,FALSE)</f>
        <v>47</v>
      </c>
      <c r="H16" s="5">
        <f t="shared" si="1"/>
        <v>188</v>
      </c>
      <c r="I16" s="6">
        <f t="shared" si="2"/>
        <v>3760</v>
      </c>
      <c r="K16" s="91" t="s">
        <v>20</v>
      </c>
      <c r="L16">
        <v>45</v>
      </c>
      <c r="M16" s="4" t="s">
        <v>21</v>
      </c>
    </row>
    <row r="17" spans="2:13" ht="17.25" thickBot="1">
      <c r="B17" s="3">
        <v>16</v>
      </c>
      <c r="C17" t="s">
        <v>422</v>
      </c>
      <c r="D17" s="4"/>
      <c r="E17" s="88">
        <v>2</v>
      </c>
      <c r="F17" s="101">
        <f t="shared" si="0"/>
        <v>40</v>
      </c>
      <c r="G17">
        <f>VLOOKUP($C17,약재관리!A:J,10,FALSE)</f>
        <v>21.8</v>
      </c>
      <c r="H17" s="5">
        <f t="shared" si="1"/>
        <v>43.6</v>
      </c>
      <c r="I17" s="6">
        <f t="shared" si="2"/>
        <v>872</v>
      </c>
      <c r="K17" s="14" t="s">
        <v>22</v>
      </c>
      <c r="L17" s="11">
        <v>100</v>
      </c>
      <c r="M17" s="12" t="s">
        <v>23</v>
      </c>
    </row>
    <row r="18" spans="2:13">
      <c r="B18" s="3">
        <v>17</v>
      </c>
      <c r="C18" t="s">
        <v>423</v>
      </c>
      <c r="D18" s="4"/>
      <c r="E18" s="88">
        <v>2</v>
      </c>
      <c r="F18" s="101">
        <f t="shared" si="0"/>
        <v>40</v>
      </c>
      <c r="H18" s="5">
        <f t="shared" si="1"/>
        <v>0</v>
      </c>
      <c r="I18" s="6">
        <f t="shared" si="2"/>
        <v>0</v>
      </c>
      <c r="K18" s="92" t="s">
        <v>24</v>
      </c>
      <c r="L18" s="9">
        <f>SUM(E2:E31)</f>
        <v>61</v>
      </c>
      <c r="M18" s="10" t="s">
        <v>25</v>
      </c>
    </row>
    <row r="19" spans="2:13">
      <c r="B19" s="3">
        <v>18</v>
      </c>
      <c r="D19" s="4"/>
      <c r="F19" s="101">
        <f t="shared" si="0"/>
        <v>0</v>
      </c>
      <c r="H19" s="5">
        <f t="shared" si="1"/>
        <v>0</v>
      </c>
      <c r="I19" s="6">
        <f t="shared" si="2"/>
        <v>0</v>
      </c>
      <c r="K19" s="91" t="s">
        <v>26</v>
      </c>
      <c r="L19">
        <f>L15*L18</f>
        <v>1220</v>
      </c>
      <c r="M19" s="4" t="s">
        <v>25</v>
      </c>
    </row>
    <row r="20" spans="2:13" ht="17.25" thickBot="1">
      <c r="B20" s="3">
        <v>19</v>
      </c>
      <c r="D20" s="4"/>
      <c r="F20" s="101">
        <f t="shared" si="0"/>
        <v>0</v>
      </c>
      <c r="H20" s="5">
        <f t="shared" si="1"/>
        <v>0</v>
      </c>
      <c r="I20" s="6">
        <f t="shared" si="2"/>
        <v>0</v>
      </c>
      <c r="K20" s="14" t="s">
        <v>27</v>
      </c>
      <c r="L20" s="11">
        <f>L16*L17+L19</f>
        <v>5720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1220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1595</v>
      </c>
      <c r="M30" s="4" t="s">
        <v>386</v>
      </c>
    </row>
    <row r="31" spans="2:13" ht="17.25" thickBot="1">
      <c r="B31" s="13">
        <v>30</v>
      </c>
      <c r="C31" s="14"/>
      <c r="D31" s="12"/>
      <c r="E31" s="95"/>
      <c r="F31" s="102">
        <f t="shared" si="0"/>
        <v>0</v>
      </c>
      <c r="G31" s="14"/>
      <c r="H31" s="15">
        <f t="shared" si="1"/>
        <v>0</v>
      </c>
      <c r="I31" s="16">
        <f t="shared" si="2"/>
        <v>0</v>
      </c>
      <c r="K31" s="14" t="s">
        <v>385</v>
      </c>
      <c r="L31" s="15">
        <f>SUM(I2:I31)</f>
        <v>31900</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51" zoomScaleNormal="100" workbookViewId="0">
      <selection activeCell="D184" sqref="D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3000</v>
      </c>
      <c r="F100" s="115">
        <f t="shared" si="15"/>
        <v>0</v>
      </c>
      <c r="G100" s="44">
        <f>C100/1000</f>
        <v>5.5</v>
      </c>
      <c r="H100" s="38">
        <f>D100/1000</f>
        <v>5.5</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2025-12-26T00:45:16Z</cp:lastPrinted>
  <dcterms:created xsi:type="dcterms:W3CDTF">2024-09-12T16:35:01Z</dcterms:created>
  <dcterms:modified xsi:type="dcterms:W3CDTF">2026-01-26T03:49:20Z</dcterms:modified>
</cp:coreProperties>
</file>