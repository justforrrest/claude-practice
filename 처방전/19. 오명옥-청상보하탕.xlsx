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02" documentId="8_{6EB8DC0A-AB56-415F-A9F3-EA1534264548}" xr6:coauthVersionLast="47" xr6:coauthVersionMax="47" xr10:uidLastSave="{82191137-3850-452F-8EBD-A18381D7D854}"/>
  <bookViews>
    <workbookView xWindow="-120" yWindow="-120" windowWidth="29040" windowHeight="15720" activeTab="3" xr2:uid="{8B9F1886-173A-4475-B0CF-D9F36CE30773}"/>
  </bookViews>
  <sheets>
    <sheet name="청상보하탕 14차" sheetId="18" r:id="rId1"/>
    <sheet name="청상보하탕 13차" sheetId="17" r:id="rId2"/>
    <sheet name="청상보하탕 12차" sheetId="16" r:id="rId3"/>
    <sheet name="청상보하탕 11차" sheetId="15" r:id="rId4"/>
    <sheet name="청상보하탕 10차" sheetId="14" r:id="rId5"/>
    <sheet name="청상보하탕 9차" sheetId="13" r:id="rId6"/>
    <sheet name="청상보하탕 8차" sheetId="12" r:id="rId7"/>
    <sheet name="청상보하탕 7차" sheetId="11" r:id="rId8"/>
    <sheet name="청상보하탕 6차" sheetId="10" r:id="rId9"/>
    <sheet name="청상보하탕 5차" sheetId="9" r:id="rId10"/>
    <sheet name="청상보하탕 4차" sheetId="8" r:id="rId11"/>
    <sheet name="청상보하탕 3차" sheetId="6" r:id="rId12"/>
    <sheet name="청상보하탕 2차" sheetId="7" r:id="rId13"/>
    <sheet name="청상보하탕1차" sheetId="4" r:id="rId14"/>
    <sheet name="약재관리" sheetId="19"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7" l="1"/>
  <c r="G4" i="17"/>
  <c r="G5" i="17"/>
  <c r="G6" i="17"/>
  <c r="G7" i="17"/>
  <c r="G8" i="17"/>
  <c r="G9" i="17"/>
  <c r="G10" i="17"/>
  <c r="G11" i="17"/>
  <c r="G12" i="17"/>
  <c r="G13" i="17"/>
  <c r="G14" i="17"/>
  <c r="G15" i="17"/>
  <c r="G16" i="17"/>
  <c r="G17" i="17"/>
  <c r="G18" i="17"/>
  <c r="G19" i="17"/>
  <c r="G20" i="17"/>
  <c r="G21" i="17"/>
  <c r="G22" i="17"/>
  <c r="G23" i="17"/>
  <c r="G24" i="17"/>
  <c r="G2" i="17"/>
  <c r="G3" i="18"/>
  <c r="G4" i="18"/>
  <c r="G5" i="18"/>
  <c r="G6" i="18"/>
  <c r="G7" i="18"/>
  <c r="G8" i="18"/>
  <c r="G9" i="18"/>
  <c r="G10" i="18"/>
  <c r="G11" i="18"/>
  <c r="G12" i="18"/>
  <c r="G13" i="18"/>
  <c r="G14" i="18"/>
  <c r="G15" i="18"/>
  <c r="G16" i="18"/>
  <c r="G2" i="18"/>
  <c r="I208" i="19"/>
  <c r="H208" i="19"/>
  <c r="G208" i="19"/>
  <c r="F208" i="19"/>
  <c r="I207" i="19"/>
  <c r="H207" i="19"/>
  <c r="G207" i="19"/>
  <c r="F207" i="19"/>
  <c r="I206" i="19"/>
  <c r="H206" i="19"/>
  <c r="G206" i="19"/>
  <c r="F206" i="19"/>
  <c r="I205" i="19"/>
  <c r="H205" i="19"/>
  <c r="G205" i="19"/>
  <c r="F205" i="19"/>
  <c r="I204" i="19"/>
  <c r="H204" i="19"/>
  <c r="G204" i="19"/>
  <c r="F204" i="19"/>
  <c r="I203" i="19"/>
  <c r="H203" i="19"/>
  <c r="G203" i="19"/>
  <c r="F203" i="19"/>
  <c r="I202" i="19"/>
  <c r="H202" i="19"/>
  <c r="G202" i="19"/>
  <c r="F202" i="19"/>
  <c r="I201" i="19"/>
  <c r="H201" i="19"/>
  <c r="G201" i="19"/>
  <c r="F201" i="19"/>
  <c r="I200" i="19"/>
  <c r="H200" i="19"/>
  <c r="G200" i="19"/>
  <c r="F200" i="19"/>
  <c r="I199" i="19"/>
  <c r="H199" i="19"/>
  <c r="G199" i="19"/>
  <c r="F199" i="19"/>
  <c r="I198" i="19"/>
  <c r="H198" i="19"/>
  <c r="G198" i="19"/>
  <c r="F198" i="19"/>
  <c r="I197" i="19"/>
  <c r="H197" i="19"/>
  <c r="G197" i="19"/>
  <c r="F197" i="19"/>
  <c r="I196" i="19"/>
  <c r="H196" i="19"/>
  <c r="G196" i="19"/>
  <c r="F196" i="19"/>
  <c r="I195" i="19"/>
  <c r="H195" i="19"/>
  <c r="G195" i="19"/>
  <c r="F195" i="19"/>
  <c r="I194" i="19"/>
  <c r="H194" i="19"/>
  <c r="G194" i="19"/>
  <c r="F194" i="19"/>
  <c r="I193" i="19"/>
  <c r="H193" i="19"/>
  <c r="G193" i="19"/>
  <c r="F193" i="19"/>
  <c r="I192" i="19"/>
  <c r="H192" i="19"/>
  <c r="G192" i="19"/>
  <c r="F192" i="19"/>
  <c r="I191" i="19"/>
  <c r="H191" i="19"/>
  <c r="G191" i="19"/>
  <c r="F191" i="19"/>
  <c r="I190" i="19"/>
  <c r="H190" i="19"/>
  <c r="G190" i="19"/>
  <c r="F190" i="19"/>
  <c r="I189" i="19"/>
  <c r="H189" i="19"/>
  <c r="G189" i="19"/>
  <c r="F189" i="19"/>
  <c r="I188" i="19"/>
  <c r="H188" i="19"/>
  <c r="G188" i="19"/>
  <c r="F188" i="19"/>
  <c r="G187" i="19"/>
  <c r="I186" i="19"/>
  <c r="H186" i="19"/>
  <c r="G186" i="19"/>
  <c r="F186" i="19"/>
  <c r="I185" i="19"/>
  <c r="H185" i="19"/>
  <c r="G185" i="19"/>
  <c r="F185" i="19"/>
  <c r="I184" i="19"/>
  <c r="H184" i="19"/>
  <c r="G184" i="19"/>
  <c r="F184" i="19"/>
  <c r="I183" i="19"/>
  <c r="H183" i="19"/>
  <c r="G183" i="19"/>
  <c r="F183" i="19"/>
  <c r="I182" i="19"/>
  <c r="H182" i="19"/>
  <c r="G182" i="19"/>
  <c r="F182" i="19"/>
  <c r="I181" i="19"/>
  <c r="H181" i="19"/>
  <c r="G181" i="19"/>
  <c r="F181" i="19"/>
  <c r="I180" i="19"/>
  <c r="H180" i="19"/>
  <c r="G180" i="19"/>
  <c r="F180" i="19"/>
  <c r="I179" i="19"/>
  <c r="H179" i="19"/>
  <c r="G179" i="19"/>
  <c r="F179" i="19"/>
  <c r="I178" i="19"/>
  <c r="H178" i="19"/>
  <c r="G178" i="19"/>
  <c r="F178" i="19"/>
  <c r="I177" i="19"/>
  <c r="H177" i="19"/>
  <c r="G177" i="19"/>
  <c r="F177" i="19"/>
  <c r="I176" i="19"/>
  <c r="H176" i="19"/>
  <c r="G176" i="19"/>
  <c r="F176" i="19"/>
  <c r="I175" i="19"/>
  <c r="H175" i="19"/>
  <c r="G175" i="19"/>
  <c r="F175" i="19"/>
  <c r="I174" i="19"/>
  <c r="H174" i="19"/>
  <c r="G174" i="19"/>
  <c r="F174" i="19"/>
  <c r="I173" i="19"/>
  <c r="H173" i="19"/>
  <c r="G173" i="19"/>
  <c r="F173" i="19"/>
  <c r="I172" i="19"/>
  <c r="H172" i="19"/>
  <c r="G172" i="19"/>
  <c r="F172" i="19"/>
  <c r="I171" i="19"/>
  <c r="H171" i="19"/>
  <c r="G171" i="19"/>
  <c r="F171" i="19"/>
  <c r="I170" i="19"/>
  <c r="H170" i="19"/>
  <c r="G170" i="19"/>
  <c r="F170" i="19"/>
  <c r="I169" i="19"/>
  <c r="H169" i="19"/>
  <c r="G169" i="19"/>
  <c r="F169" i="19"/>
  <c r="I168" i="19"/>
  <c r="H168" i="19"/>
  <c r="G168" i="19"/>
  <c r="F168" i="19"/>
  <c r="I167" i="19"/>
  <c r="H167" i="19"/>
  <c r="G167" i="19"/>
  <c r="F167" i="19"/>
  <c r="I166" i="19"/>
  <c r="H166" i="19"/>
  <c r="G166" i="19"/>
  <c r="F166" i="19"/>
  <c r="I165" i="19"/>
  <c r="H165" i="19"/>
  <c r="G165" i="19"/>
  <c r="F165" i="19"/>
  <c r="I164" i="19"/>
  <c r="H164" i="19"/>
  <c r="G164" i="19"/>
  <c r="F164" i="19"/>
  <c r="I163" i="19"/>
  <c r="H163" i="19"/>
  <c r="G163" i="19"/>
  <c r="F163" i="19"/>
  <c r="I162" i="19"/>
  <c r="H162" i="19"/>
  <c r="G162" i="19"/>
  <c r="F162" i="19"/>
  <c r="I161" i="19"/>
  <c r="H161" i="19"/>
  <c r="G161" i="19"/>
  <c r="F161" i="19"/>
  <c r="I160" i="19"/>
  <c r="H160" i="19"/>
  <c r="G160" i="19"/>
  <c r="F160" i="19"/>
  <c r="I159" i="19"/>
  <c r="H159" i="19"/>
  <c r="G159" i="19"/>
  <c r="F159" i="19"/>
  <c r="I158" i="19"/>
  <c r="H158" i="19"/>
  <c r="G158" i="19"/>
  <c r="F158" i="19"/>
  <c r="I157" i="19"/>
  <c r="H157" i="19"/>
  <c r="G157" i="19"/>
  <c r="F157" i="19"/>
  <c r="I156" i="19"/>
  <c r="H156" i="19"/>
  <c r="G156" i="19"/>
  <c r="F156" i="19"/>
  <c r="I155" i="19"/>
  <c r="H155" i="19"/>
  <c r="G155" i="19"/>
  <c r="F155" i="19"/>
  <c r="I154" i="19"/>
  <c r="H154" i="19"/>
  <c r="G154" i="19"/>
  <c r="F154" i="19"/>
  <c r="I153" i="19"/>
  <c r="H153" i="19"/>
  <c r="G153" i="19"/>
  <c r="F153" i="19"/>
  <c r="I152" i="19"/>
  <c r="H152" i="19"/>
  <c r="G152" i="19"/>
  <c r="F152" i="19"/>
  <c r="I151" i="19"/>
  <c r="H151" i="19"/>
  <c r="G151" i="19"/>
  <c r="F151" i="19"/>
  <c r="I150" i="19"/>
  <c r="H150" i="19"/>
  <c r="G150" i="19"/>
  <c r="F150" i="19"/>
  <c r="I149" i="19"/>
  <c r="H149" i="19"/>
  <c r="G149" i="19"/>
  <c r="F149" i="19"/>
  <c r="I148" i="19"/>
  <c r="H148" i="19"/>
  <c r="G148" i="19"/>
  <c r="F148" i="19"/>
  <c r="I147" i="19"/>
  <c r="H147" i="19"/>
  <c r="G147" i="19"/>
  <c r="F147" i="19"/>
  <c r="I146" i="19"/>
  <c r="H146" i="19"/>
  <c r="G146" i="19"/>
  <c r="F146" i="19"/>
  <c r="I145" i="19"/>
  <c r="H145" i="19"/>
  <c r="G145" i="19"/>
  <c r="F145" i="19"/>
  <c r="I144" i="19"/>
  <c r="H144" i="19"/>
  <c r="G144" i="19"/>
  <c r="F144" i="19"/>
  <c r="I143" i="19"/>
  <c r="H143" i="19"/>
  <c r="G143" i="19"/>
  <c r="F143" i="19"/>
  <c r="I142" i="19"/>
  <c r="H142" i="19"/>
  <c r="G142" i="19"/>
  <c r="F142" i="19"/>
  <c r="I141" i="19"/>
  <c r="H141" i="19"/>
  <c r="G141" i="19"/>
  <c r="F141" i="19"/>
  <c r="I140" i="19"/>
  <c r="H140" i="19"/>
  <c r="G140" i="19"/>
  <c r="F140" i="19"/>
  <c r="I139" i="19"/>
  <c r="H139" i="19"/>
  <c r="G139" i="19"/>
  <c r="F139" i="19"/>
  <c r="I138" i="19"/>
  <c r="H138" i="19"/>
  <c r="G138" i="19"/>
  <c r="F138" i="19"/>
  <c r="I137" i="19"/>
  <c r="H137" i="19"/>
  <c r="G137" i="19"/>
  <c r="F137" i="19"/>
  <c r="I136" i="19"/>
  <c r="H136" i="19"/>
  <c r="G136" i="19"/>
  <c r="F136" i="19"/>
  <c r="I135" i="19"/>
  <c r="H135" i="19"/>
  <c r="G135" i="19"/>
  <c r="F135" i="19"/>
  <c r="I134" i="19"/>
  <c r="H134" i="19"/>
  <c r="G134" i="19"/>
  <c r="F134" i="19"/>
  <c r="I133" i="19"/>
  <c r="H133" i="19"/>
  <c r="G133" i="19"/>
  <c r="F133" i="19"/>
  <c r="I132" i="19"/>
  <c r="H132" i="19"/>
  <c r="G132" i="19"/>
  <c r="F132" i="19"/>
  <c r="I131" i="19"/>
  <c r="H131" i="19"/>
  <c r="G131" i="19"/>
  <c r="F131" i="19"/>
  <c r="I130" i="19"/>
  <c r="H130" i="19"/>
  <c r="G130" i="19"/>
  <c r="F130" i="19"/>
  <c r="I129" i="19"/>
  <c r="H129" i="19"/>
  <c r="G129" i="19"/>
  <c r="F129" i="19"/>
  <c r="I128" i="19"/>
  <c r="H128" i="19"/>
  <c r="G128" i="19"/>
  <c r="F128" i="19"/>
  <c r="I127" i="19"/>
  <c r="H127" i="19"/>
  <c r="G127" i="19"/>
  <c r="F127" i="19"/>
  <c r="I126" i="19"/>
  <c r="H126" i="19"/>
  <c r="G126" i="19"/>
  <c r="F126" i="19"/>
  <c r="I125" i="19"/>
  <c r="H125" i="19"/>
  <c r="G125" i="19"/>
  <c r="F125" i="19"/>
  <c r="I124" i="19"/>
  <c r="H124" i="19"/>
  <c r="G124" i="19"/>
  <c r="F124" i="19"/>
  <c r="I123" i="19"/>
  <c r="H123" i="19"/>
  <c r="G123" i="19"/>
  <c r="F123" i="19"/>
  <c r="I122" i="19"/>
  <c r="H122" i="19"/>
  <c r="G122" i="19"/>
  <c r="F122" i="19"/>
  <c r="I121" i="19"/>
  <c r="H121" i="19"/>
  <c r="G121" i="19"/>
  <c r="F121" i="19"/>
  <c r="I120" i="19"/>
  <c r="H120" i="19"/>
  <c r="G120" i="19"/>
  <c r="F120" i="19"/>
  <c r="I119" i="19"/>
  <c r="H119" i="19"/>
  <c r="G119" i="19"/>
  <c r="F119" i="19"/>
  <c r="I118" i="19"/>
  <c r="H118" i="19"/>
  <c r="G118" i="19"/>
  <c r="F118" i="19"/>
  <c r="I117" i="19"/>
  <c r="H117" i="19"/>
  <c r="G117" i="19"/>
  <c r="F117" i="19"/>
  <c r="I116" i="19"/>
  <c r="H116" i="19"/>
  <c r="G116" i="19"/>
  <c r="F116" i="19"/>
  <c r="I115" i="19"/>
  <c r="H115" i="19"/>
  <c r="G115" i="19"/>
  <c r="F115" i="19"/>
  <c r="I114" i="19"/>
  <c r="H114" i="19"/>
  <c r="G114" i="19"/>
  <c r="F114" i="19"/>
  <c r="I113" i="19"/>
  <c r="H113" i="19"/>
  <c r="G113" i="19"/>
  <c r="F113" i="19"/>
  <c r="I112" i="19"/>
  <c r="H112" i="19"/>
  <c r="G112" i="19"/>
  <c r="F112" i="19"/>
  <c r="I111" i="19"/>
  <c r="H111" i="19"/>
  <c r="G111" i="19"/>
  <c r="F111" i="19"/>
  <c r="I110" i="19"/>
  <c r="H110" i="19"/>
  <c r="G110" i="19"/>
  <c r="F110" i="19"/>
  <c r="I109" i="19"/>
  <c r="H109" i="19"/>
  <c r="G109" i="19"/>
  <c r="F109" i="19"/>
  <c r="I108" i="19"/>
  <c r="H108" i="19"/>
  <c r="G108" i="19"/>
  <c r="F108" i="19"/>
  <c r="I107" i="19"/>
  <c r="H107" i="19"/>
  <c r="G107" i="19"/>
  <c r="F107" i="19"/>
  <c r="I106" i="19"/>
  <c r="H106" i="19"/>
  <c r="G106" i="19"/>
  <c r="F106" i="19"/>
  <c r="I105" i="19"/>
  <c r="H105" i="19"/>
  <c r="G105" i="19"/>
  <c r="F105" i="19"/>
  <c r="I104" i="19"/>
  <c r="H104" i="19"/>
  <c r="G104" i="19"/>
  <c r="F104" i="19"/>
  <c r="I103" i="19"/>
  <c r="H103" i="19"/>
  <c r="G103" i="19"/>
  <c r="F103" i="19"/>
  <c r="I102" i="19"/>
  <c r="H102" i="19"/>
  <c r="G102" i="19"/>
  <c r="F102" i="19"/>
  <c r="I101" i="19"/>
  <c r="H101" i="19"/>
  <c r="G101" i="19"/>
  <c r="F101" i="19"/>
  <c r="I100" i="19"/>
  <c r="H100" i="19"/>
  <c r="G100" i="19"/>
  <c r="F100" i="19"/>
  <c r="I99" i="19"/>
  <c r="H99" i="19"/>
  <c r="G99" i="19"/>
  <c r="F99" i="19"/>
  <c r="I98" i="19"/>
  <c r="H98" i="19"/>
  <c r="G98" i="19"/>
  <c r="F98" i="19"/>
  <c r="I97" i="19"/>
  <c r="H97" i="19"/>
  <c r="G97" i="19"/>
  <c r="F97" i="19"/>
  <c r="I96" i="19"/>
  <c r="H96" i="19"/>
  <c r="G96" i="19"/>
  <c r="F96" i="19"/>
  <c r="I95" i="19"/>
  <c r="H95" i="19"/>
  <c r="G95" i="19"/>
  <c r="F95" i="19"/>
  <c r="I94" i="19"/>
  <c r="H94" i="19"/>
  <c r="G94" i="19"/>
  <c r="F94" i="19"/>
  <c r="I93" i="19"/>
  <c r="H93" i="19"/>
  <c r="G93" i="19"/>
  <c r="F93" i="19"/>
  <c r="I92" i="19"/>
  <c r="H92" i="19"/>
  <c r="G92" i="19"/>
  <c r="F92" i="19"/>
  <c r="I91" i="19"/>
  <c r="H91" i="19"/>
  <c r="G91" i="19"/>
  <c r="F91" i="19"/>
  <c r="I90" i="19"/>
  <c r="H90" i="19"/>
  <c r="G90" i="19"/>
  <c r="F90" i="19"/>
  <c r="I89" i="19"/>
  <c r="H89" i="19"/>
  <c r="G89" i="19"/>
  <c r="F89" i="19"/>
  <c r="I88" i="19"/>
  <c r="H88" i="19"/>
  <c r="G88" i="19"/>
  <c r="F88" i="19"/>
  <c r="I87" i="19"/>
  <c r="I86" i="19"/>
  <c r="H86" i="19"/>
  <c r="G86" i="19"/>
  <c r="F86" i="19"/>
  <c r="I85" i="19"/>
  <c r="H85" i="19"/>
  <c r="G85" i="19"/>
  <c r="F85" i="19"/>
  <c r="I84" i="19"/>
  <c r="H84" i="19"/>
  <c r="G84" i="19"/>
  <c r="F84" i="19"/>
  <c r="I83" i="19"/>
  <c r="H83" i="19"/>
  <c r="G83" i="19"/>
  <c r="F83" i="19"/>
  <c r="I82" i="19"/>
  <c r="H82" i="19"/>
  <c r="G82" i="19"/>
  <c r="F82" i="19"/>
  <c r="I81" i="19"/>
  <c r="H81" i="19"/>
  <c r="G81" i="19"/>
  <c r="F81" i="19"/>
  <c r="I80" i="19"/>
  <c r="H80" i="19"/>
  <c r="G80" i="19"/>
  <c r="F80" i="19"/>
  <c r="I79" i="19"/>
  <c r="H79" i="19"/>
  <c r="G79" i="19"/>
  <c r="F79" i="19"/>
  <c r="I78" i="19"/>
  <c r="H78" i="19"/>
  <c r="G78" i="19"/>
  <c r="F78" i="19"/>
  <c r="I77" i="19"/>
  <c r="H77" i="19"/>
  <c r="G77" i="19"/>
  <c r="F77" i="19"/>
  <c r="I76" i="19"/>
  <c r="H76" i="19"/>
  <c r="G76" i="19"/>
  <c r="F76" i="19"/>
  <c r="I75" i="19"/>
  <c r="H75" i="19"/>
  <c r="G75" i="19"/>
  <c r="F75" i="19"/>
  <c r="I74" i="19"/>
  <c r="H74" i="19"/>
  <c r="G74" i="19"/>
  <c r="F74" i="19"/>
  <c r="I73" i="19"/>
  <c r="H73" i="19"/>
  <c r="G73" i="19"/>
  <c r="F73" i="19"/>
  <c r="I72" i="19"/>
  <c r="H72" i="19"/>
  <c r="G72" i="19"/>
  <c r="F72" i="19"/>
  <c r="I71" i="19"/>
  <c r="H71" i="19"/>
  <c r="G71" i="19"/>
  <c r="F71" i="19"/>
  <c r="I70" i="19"/>
  <c r="H70" i="19"/>
  <c r="G70" i="19"/>
  <c r="F70" i="19"/>
  <c r="I69" i="19"/>
  <c r="H69" i="19"/>
  <c r="G69" i="19"/>
  <c r="F69" i="19"/>
  <c r="I68" i="19"/>
  <c r="H68" i="19"/>
  <c r="G68" i="19"/>
  <c r="F68" i="19"/>
  <c r="I67" i="19"/>
  <c r="H67" i="19"/>
  <c r="G67" i="19"/>
  <c r="F67" i="19"/>
  <c r="I66" i="19"/>
  <c r="H66" i="19"/>
  <c r="G66" i="19"/>
  <c r="F66" i="19"/>
  <c r="I65" i="19"/>
  <c r="H65" i="19"/>
  <c r="G65" i="19"/>
  <c r="F65" i="19"/>
  <c r="I64" i="19"/>
  <c r="H64" i="19"/>
  <c r="G64" i="19"/>
  <c r="F64" i="19"/>
  <c r="I63" i="19"/>
  <c r="H63" i="19"/>
  <c r="G63" i="19"/>
  <c r="F63" i="19"/>
  <c r="I62" i="19"/>
  <c r="H62" i="19"/>
  <c r="G62" i="19"/>
  <c r="F62" i="19"/>
  <c r="I61" i="19"/>
  <c r="H61" i="19"/>
  <c r="G61" i="19"/>
  <c r="F61" i="19"/>
  <c r="I60" i="19"/>
  <c r="H60" i="19"/>
  <c r="G60" i="19"/>
  <c r="F60" i="19"/>
  <c r="I59" i="19"/>
  <c r="H59" i="19"/>
  <c r="G59" i="19"/>
  <c r="F59" i="19"/>
  <c r="I58" i="19"/>
  <c r="H58" i="19"/>
  <c r="G58" i="19"/>
  <c r="F58" i="19"/>
  <c r="I57" i="19"/>
  <c r="H57" i="19"/>
  <c r="G57" i="19"/>
  <c r="F57" i="19"/>
  <c r="I56" i="19"/>
  <c r="H56" i="19"/>
  <c r="G56" i="19"/>
  <c r="F56" i="19"/>
  <c r="I55" i="19"/>
  <c r="H55" i="19"/>
  <c r="G55" i="19"/>
  <c r="F55" i="19"/>
  <c r="I54" i="19"/>
  <c r="H54" i="19"/>
  <c r="G54" i="19"/>
  <c r="F54" i="19"/>
  <c r="I53" i="19"/>
  <c r="H53" i="19"/>
  <c r="G53" i="19"/>
  <c r="F53" i="19"/>
  <c r="I52" i="19"/>
  <c r="H52" i="19"/>
  <c r="G52" i="19"/>
  <c r="F52" i="19"/>
  <c r="I51" i="19"/>
  <c r="H51" i="19"/>
  <c r="G51" i="19"/>
  <c r="F51" i="19"/>
  <c r="I50" i="19"/>
  <c r="H50" i="19"/>
  <c r="G50" i="19"/>
  <c r="F50" i="19"/>
  <c r="I49" i="19"/>
  <c r="H49" i="19"/>
  <c r="G49" i="19"/>
  <c r="F49" i="19"/>
  <c r="I48" i="19"/>
  <c r="H48" i="19"/>
  <c r="G48" i="19"/>
  <c r="F48" i="19"/>
  <c r="I47" i="19"/>
  <c r="H47" i="19"/>
  <c r="G47" i="19"/>
  <c r="F47" i="19"/>
  <c r="I46" i="19"/>
  <c r="H46" i="19"/>
  <c r="G46" i="19"/>
  <c r="F46" i="19"/>
  <c r="I45" i="19"/>
  <c r="H45" i="19"/>
  <c r="G45" i="19"/>
  <c r="F45" i="19"/>
  <c r="I44" i="19"/>
  <c r="H44" i="19"/>
  <c r="G44" i="19"/>
  <c r="F44" i="19"/>
  <c r="I43" i="19"/>
  <c r="H43" i="19"/>
  <c r="G43" i="19"/>
  <c r="F43" i="19"/>
  <c r="I42" i="19"/>
  <c r="H42" i="19"/>
  <c r="G42" i="19"/>
  <c r="F42" i="19"/>
  <c r="I41" i="19"/>
  <c r="H41" i="19"/>
  <c r="G41" i="19"/>
  <c r="F41" i="19"/>
  <c r="I40" i="19"/>
  <c r="H40" i="19"/>
  <c r="G40" i="19"/>
  <c r="F40" i="19"/>
  <c r="I39" i="19"/>
  <c r="H39" i="19"/>
  <c r="G39" i="19"/>
  <c r="F39" i="19"/>
  <c r="I38" i="19"/>
  <c r="H38" i="19"/>
  <c r="G38" i="19"/>
  <c r="F38" i="19"/>
  <c r="I37" i="19"/>
  <c r="H37" i="19"/>
  <c r="G37" i="19"/>
  <c r="F37" i="19"/>
  <c r="I36" i="19"/>
  <c r="H36" i="19"/>
  <c r="G36" i="19"/>
  <c r="F36" i="19"/>
  <c r="I35" i="19"/>
  <c r="H35" i="19"/>
  <c r="G35" i="19"/>
  <c r="F35" i="19"/>
  <c r="I34" i="19"/>
  <c r="H34" i="19"/>
  <c r="G34" i="19"/>
  <c r="F34" i="19"/>
  <c r="I33" i="19"/>
  <c r="H33" i="19"/>
  <c r="G33" i="19"/>
  <c r="F33" i="19"/>
  <c r="I32" i="19"/>
  <c r="H32" i="19"/>
  <c r="G32" i="19"/>
  <c r="F32" i="19"/>
  <c r="I31" i="19"/>
  <c r="H31" i="19"/>
  <c r="G31" i="19"/>
  <c r="F31" i="19"/>
  <c r="I30" i="19"/>
  <c r="H30" i="19"/>
  <c r="G30" i="19"/>
  <c r="F30" i="19"/>
  <c r="I29" i="19"/>
  <c r="H29" i="19"/>
  <c r="G29" i="19"/>
  <c r="F29" i="19"/>
  <c r="I28" i="19"/>
  <c r="H28" i="19"/>
  <c r="G28" i="19"/>
  <c r="F28" i="19"/>
  <c r="I27" i="19"/>
  <c r="H27" i="19"/>
  <c r="G27" i="19"/>
  <c r="F27" i="19"/>
  <c r="I26" i="19"/>
  <c r="H26" i="19"/>
  <c r="G26" i="19"/>
  <c r="F26" i="19"/>
  <c r="I25" i="19"/>
  <c r="H25" i="19"/>
  <c r="G25" i="19"/>
  <c r="F25" i="19"/>
  <c r="I24" i="19"/>
  <c r="H24" i="19"/>
  <c r="G24" i="19"/>
  <c r="F24" i="19"/>
  <c r="I23" i="19"/>
  <c r="H23" i="19"/>
  <c r="G23" i="19"/>
  <c r="F23" i="19"/>
  <c r="I22" i="19"/>
  <c r="H22" i="19"/>
  <c r="G22" i="19"/>
  <c r="F22" i="19"/>
  <c r="I21" i="19"/>
  <c r="H21" i="19"/>
  <c r="G21" i="19"/>
  <c r="F21" i="19"/>
  <c r="I20" i="19"/>
  <c r="H20" i="19"/>
  <c r="G20" i="19"/>
  <c r="F20" i="19"/>
  <c r="I19" i="19"/>
  <c r="H19" i="19"/>
  <c r="G19" i="19"/>
  <c r="F19" i="19"/>
  <c r="I18" i="19"/>
  <c r="H18" i="19"/>
  <c r="G18" i="19"/>
  <c r="F18" i="19"/>
  <c r="I17" i="19"/>
  <c r="H17" i="19"/>
  <c r="G17" i="19"/>
  <c r="F17" i="19"/>
  <c r="I16" i="19"/>
  <c r="H16" i="19"/>
  <c r="G16" i="19"/>
  <c r="F16" i="19"/>
  <c r="I15" i="19"/>
  <c r="H15" i="19"/>
  <c r="G15" i="19"/>
  <c r="F15" i="19"/>
  <c r="I14" i="19"/>
  <c r="H14" i="19"/>
  <c r="G14" i="19"/>
  <c r="F14" i="19"/>
  <c r="I13" i="19"/>
  <c r="H13" i="19"/>
  <c r="G13" i="19"/>
  <c r="F13" i="19"/>
  <c r="I12" i="19"/>
  <c r="H12" i="19"/>
  <c r="G12" i="19"/>
  <c r="F12" i="19"/>
  <c r="I11" i="19"/>
  <c r="H11" i="19"/>
  <c r="G11" i="19"/>
  <c r="F11" i="19"/>
  <c r="I10" i="19"/>
  <c r="H10" i="19"/>
  <c r="G10" i="19"/>
  <c r="F10" i="19"/>
  <c r="I9" i="19"/>
  <c r="H9" i="19"/>
  <c r="G9" i="19"/>
  <c r="F9" i="19"/>
  <c r="I8" i="19"/>
  <c r="H8" i="19"/>
  <c r="G8" i="19"/>
  <c r="F8" i="19"/>
  <c r="I7" i="19"/>
  <c r="H7" i="19"/>
  <c r="G7" i="19"/>
  <c r="F7" i="19"/>
  <c r="I6" i="19"/>
  <c r="H6" i="19"/>
  <c r="G6" i="19"/>
  <c r="F6" i="19"/>
  <c r="I5" i="19"/>
  <c r="H5" i="19"/>
  <c r="G5" i="19"/>
  <c r="F5" i="19"/>
  <c r="I4" i="19"/>
  <c r="H4" i="19"/>
  <c r="G4" i="19"/>
  <c r="F4" i="19"/>
  <c r="I3" i="19"/>
  <c r="H3" i="19"/>
  <c r="G3" i="19"/>
  <c r="F3" i="19"/>
  <c r="H31" i="18" l="1"/>
  <c r="F31" i="18"/>
  <c r="I31" i="18" s="1"/>
  <c r="H30" i="18"/>
  <c r="F30" i="18"/>
  <c r="I30" i="18" s="1"/>
  <c r="H29" i="18"/>
  <c r="F29" i="18"/>
  <c r="I29" i="18" s="1"/>
  <c r="H28" i="18"/>
  <c r="F28" i="18"/>
  <c r="I28" i="18" s="1"/>
  <c r="H27" i="18"/>
  <c r="F27" i="18"/>
  <c r="I27" i="18" s="1"/>
  <c r="H26" i="18"/>
  <c r="F26" i="18"/>
  <c r="I26" i="18" s="1"/>
  <c r="H25" i="18"/>
  <c r="F25" i="18"/>
  <c r="I25" i="18" s="1"/>
  <c r="H24" i="18"/>
  <c r="F24" i="18"/>
  <c r="I23" i="18"/>
  <c r="F23" i="18"/>
  <c r="I22" i="18"/>
  <c r="F22" i="18"/>
  <c r="I21" i="18"/>
  <c r="F21" i="18"/>
  <c r="I20" i="18"/>
  <c r="F20" i="18"/>
  <c r="H19" i="18"/>
  <c r="F19" i="18"/>
  <c r="L18" i="18"/>
  <c r="L19" i="18" s="1"/>
  <c r="L20" i="18" s="1"/>
  <c r="I18" i="18"/>
  <c r="F18" i="18"/>
  <c r="F17" i="18"/>
  <c r="F16" i="18"/>
  <c r="F15" i="18"/>
  <c r="F14" i="18"/>
  <c r="F13" i="18"/>
  <c r="I12" i="18"/>
  <c r="F12" i="18"/>
  <c r="F11" i="18"/>
  <c r="F10" i="18"/>
  <c r="F9" i="18"/>
  <c r="F8" i="18"/>
  <c r="F7" i="18"/>
  <c r="F6" i="18"/>
  <c r="F5" i="18"/>
  <c r="F4" i="18"/>
  <c r="F3" i="18"/>
  <c r="F2" i="18"/>
  <c r="H31" i="17"/>
  <c r="F31" i="17"/>
  <c r="I31" i="17" s="1"/>
  <c r="I30" i="17"/>
  <c r="H30" i="17"/>
  <c r="F30" i="17"/>
  <c r="I29" i="17"/>
  <c r="H29" i="17"/>
  <c r="F29" i="17"/>
  <c r="H28" i="17"/>
  <c r="F28" i="17"/>
  <c r="I28" i="17" s="1"/>
  <c r="H27" i="17"/>
  <c r="F27" i="17"/>
  <c r="I27" i="17" s="1"/>
  <c r="I26" i="17"/>
  <c r="H26" i="17"/>
  <c r="F26" i="17"/>
  <c r="F25" i="17"/>
  <c r="F24" i="17"/>
  <c r="F23" i="17"/>
  <c r="F22" i="17"/>
  <c r="H21" i="17"/>
  <c r="F21" i="17"/>
  <c r="F20" i="17"/>
  <c r="I19" i="17"/>
  <c r="H19" i="17"/>
  <c r="F19" i="17"/>
  <c r="L18" i="17"/>
  <c r="L19" i="17" s="1"/>
  <c r="L20" i="17" s="1"/>
  <c r="F18" i="17"/>
  <c r="F17" i="17"/>
  <c r="F16" i="17"/>
  <c r="F15" i="17"/>
  <c r="F14" i="17"/>
  <c r="I13" i="17"/>
  <c r="F13" i="17"/>
  <c r="I12" i="17"/>
  <c r="F12" i="17"/>
  <c r="I11" i="17"/>
  <c r="F11" i="17"/>
  <c r="I10" i="17"/>
  <c r="F10" i="17"/>
  <c r="I9" i="17"/>
  <c r="F9" i="17"/>
  <c r="I8" i="17"/>
  <c r="F8" i="17"/>
  <c r="I7" i="17"/>
  <c r="F7" i="17"/>
  <c r="I6" i="17"/>
  <c r="F6" i="17"/>
  <c r="I5" i="17"/>
  <c r="F5" i="17"/>
  <c r="I4" i="17"/>
  <c r="F4" i="17"/>
  <c r="I3" i="17"/>
  <c r="F3" i="17"/>
  <c r="I2" i="17"/>
  <c r="F2" i="17"/>
  <c r="I31" i="16"/>
  <c r="H31" i="16"/>
  <c r="F31" i="16"/>
  <c r="H30" i="16"/>
  <c r="F30" i="16"/>
  <c r="I30" i="16" s="1"/>
  <c r="I29" i="16"/>
  <c r="H29" i="16"/>
  <c r="F29" i="16"/>
  <c r="I28" i="16"/>
  <c r="H28" i="16"/>
  <c r="F28" i="16"/>
  <c r="H27" i="16"/>
  <c r="F27" i="16"/>
  <c r="I27" i="16" s="1"/>
  <c r="H26" i="16"/>
  <c r="F26" i="16"/>
  <c r="I26" i="16" s="1"/>
  <c r="G25" i="16"/>
  <c r="H25" i="16" s="1"/>
  <c r="F25" i="16"/>
  <c r="G24" i="16"/>
  <c r="F24" i="16"/>
  <c r="G23" i="16"/>
  <c r="I23" i="16" s="1"/>
  <c r="F23" i="16"/>
  <c r="G22" i="16"/>
  <c r="F22" i="16"/>
  <c r="G21" i="16"/>
  <c r="I21" i="16" s="1"/>
  <c r="F21" i="16"/>
  <c r="G20" i="16"/>
  <c r="H20" i="16" s="1"/>
  <c r="F20" i="16"/>
  <c r="G19" i="16"/>
  <c r="H19" i="16" s="1"/>
  <c r="F19" i="16"/>
  <c r="L18" i="16"/>
  <c r="L19" i="16" s="1"/>
  <c r="L20" i="16" s="1"/>
  <c r="G18" i="16"/>
  <c r="F18" i="16"/>
  <c r="I17" i="16"/>
  <c r="G17" i="16"/>
  <c r="H17" i="16" s="1"/>
  <c r="F17" i="16"/>
  <c r="G16" i="16"/>
  <c r="I16" i="16" s="1"/>
  <c r="F16" i="16"/>
  <c r="G15" i="16"/>
  <c r="F15" i="16"/>
  <c r="G14" i="16"/>
  <c r="H14" i="16" s="1"/>
  <c r="F14" i="16"/>
  <c r="I14" i="16" s="1"/>
  <c r="G13" i="16"/>
  <c r="I13" i="16" s="1"/>
  <c r="F13" i="16"/>
  <c r="G12" i="16"/>
  <c r="I12" i="16" s="1"/>
  <c r="F12" i="16"/>
  <c r="G11" i="16"/>
  <c r="H11" i="16" s="1"/>
  <c r="F11" i="16"/>
  <c r="G10" i="16"/>
  <c r="I10" i="16" s="1"/>
  <c r="F10" i="16"/>
  <c r="G9" i="16"/>
  <c r="I9" i="16" s="1"/>
  <c r="F9" i="16"/>
  <c r="G8" i="16"/>
  <c r="H8" i="16" s="1"/>
  <c r="F8" i="16"/>
  <c r="G7" i="16"/>
  <c r="I7" i="16" s="1"/>
  <c r="F7" i="16"/>
  <c r="G6" i="16"/>
  <c r="I6" i="16" s="1"/>
  <c r="F6" i="16"/>
  <c r="G5" i="16"/>
  <c r="H5" i="16" s="1"/>
  <c r="F5" i="16"/>
  <c r="G4" i="16"/>
  <c r="I4" i="16" s="1"/>
  <c r="F4" i="16"/>
  <c r="G3" i="16"/>
  <c r="I3" i="16" s="1"/>
  <c r="F3" i="16"/>
  <c r="G2" i="16"/>
  <c r="H2" i="16" s="1"/>
  <c r="F2" i="16"/>
  <c r="G25" i="15"/>
  <c r="H25" i="15" s="1"/>
  <c r="H31" i="15"/>
  <c r="F31" i="15"/>
  <c r="I31" i="15" s="1"/>
  <c r="H30" i="15"/>
  <c r="F30" i="15"/>
  <c r="I30" i="15" s="1"/>
  <c r="H29" i="15"/>
  <c r="F29" i="15"/>
  <c r="I29" i="15" s="1"/>
  <c r="H28" i="15"/>
  <c r="F28" i="15"/>
  <c r="I28" i="15" s="1"/>
  <c r="H27" i="15"/>
  <c r="F27" i="15"/>
  <c r="I27" i="15" s="1"/>
  <c r="H26" i="15"/>
  <c r="F26" i="15"/>
  <c r="I26" i="15" s="1"/>
  <c r="F25" i="15"/>
  <c r="G24" i="15"/>
  <c r="H24" i="15" s="1"/>
  <c r="F24" i="15"/>
  <c r="G23" i="15"/>
  <c r="F23" i="15"/>
  <c r="G22" i="15"/>
  <c r="F22" i="15"/>
  <c r="G21" i="15"/>
  <c r="F21" i="15"/>
  <c r="G20" i="15"/>
  <c r="F20" i="15"/>
  <c r="G19" i="15"/>
  <c r="H19" i="15" s="1"/>
  <c r="F19" i="15"/>
  <c r="L18" i="15"/>
  <c r="L19" i="15" s="1"/>
  <c r="L20" i="15" s="1"/>
  <c r="G18" i="15"/>
  <c r="F18" i="15"/>
  <c r="G17" i="15"/>
  <c r="F17" i="15"/>
  <c r="G16" i="15"/>
  <c r="F16" i="15"/>
  <c r="G15" i="15"/>
  <c r="F15" i="15"/>
  <c r="G14" i="15"/>
  <c r="H14" i="15" s="1"/>
  <c r="F14" i="15"/>
  <c r="G13" i="15"/>
  <c r="F13" i="15"/>
  <c r="G12" i="15"/>
  <c r="F12" i="15"/>
  <c r="G11" i="15"/>
  <c r="H11" i="15" s="1"/>
  <c r="F11" i="15"/>
  <c r="G10" i="15"/>
  <c r="F10" i="15"/>
  <c r="G9" i="15"/>
  <c r="F9" i="15"/>
  <c r="G8" i="15"/>
  <c r="F8" i="15"/>
  <c r="G7" i="15"/>
  <c r="F7" i="15"/>
  <c r="G6" i="15"/>
  <c r="F6" i="15"/>
  <c r="G5" i="15"/>
  <c r="F5" i="15"/>
  <c r="G4" i="15"/>
  <c r="F4" i="15"/>
  <c r="G3" i="15"/>
  <c r="F3" i="15"/>
  <c r="G2" i="15"/>
  <c r="F2" i="15"/>
  <c r="H31" i="14"/>
  <c r="F31" i="14"/>
  <c r="I31" i="14" s="1"/>
  <c r="H30" i="14"/>
  <c r="F30" i="14"/>
  <c r="I30" i="14" s="1"/>
  <c r="H29" i="14"/>
  <c r="F29" i="14"/>
  <c r="I29" i="14" s="1"/>
  <c r="H28" i="14"/>
  <c r="F28" i="14"/>
  <c r="I28" i="14" s="1"/>
  <c r="H27" i="14"/>
  <c r="F27" i="14"/>
  <c r="I27" i="14" s="1"/>
  <c r="H26" i="14"/>
  <c r="F26" i="14"/>
  <c r="I26" i="14" s="1"/>
  <c r="I25" i="14"/>
  <c r="H25" i="14"/>
  <c r="F25" i="14"/>
  <c r="G24" i="14"/>
  <c r="H24" i="14" s="1"/>
  <c r="F24" i="14"/>
  <c r="G23" i="14"/>
  <c r="F23" i="14"/>
  <c r="G22" i="14"/>
  <c r="F22" i="14"/>
  <c r="G21" i="14"/>
  <c r="I21" i="14" s="1"/>
  <c r="F21" i="14"/>
  <c r="G20" i="14"/>
  <c r="H20" i="14" s="1"/>
  <c r="F20" i="14"/>
  <c r="G19" i="14"/>
  <c r="F19" i="14"/>
  <c r="L18" i="14"/>
  <c r="L19" i="14" s="1"/>
  <c r="L20" i="14" s="1"/>
  <c r="G18" i="14"/>
  <c r="I18" i="14" s="1"/>
  <c r="F18" i="14"/>
  <c r="G17" i="14"/>
  <c r="F17" i="14"/>
  <c r="G16" i="14"/>
  <c r="I16" i="14" s="1"/>
  <c r="F16" i="14"/>
  <c r="G15" i="14"/>
  <c r="F15" i="14"/>
  <c r="G14" i="14"/>
  <c r="H14" i="14" s="1"/>
  <c r="F14" i="14"/>
  <c r="G13" i="14"/>
  <c r="F13" i="14"/>
  <c r="G12" i="14"/>
  <c r="F12" i="14"/>
  <c r="G11" i="14"/>
  <c r="F11" i="14"/>
  <c r="G10" i="14"/>
  <c r="F10" i="14"/>
  <c r="G9" i="14"/>
  <c r="F9" i="14"/>
  <c r="G8" i="14"/>
  <c r="F8" i="14"/>
  <c r="G7" i="14"/>
  <c r="F7" i="14"/>
  <c r="G6" i="14"/>
  <c r="F6" i="14"/>
  <c r="G5" i="14"/>
  <c r="F5" i="14"/>
  <c r="G4" i="14"/>
  <c r="F4" i="14"/>
  <c r="G3" i="14"/>
  <c r="F3" i="14"/>
  <c r="G2" i="14"/>
  <c r="F2" i="14"/>
  <c r="H31" i="13"/>
  <c r="F31" i="13"/>
  <c r="I31" i="13" s="1"/>
  <c r="H30" i="13"/>
  <c r="F30" i="13"/>
  <c r="I30" i="13" s="1"/>
  <c r="H29" i="13"/>
  <c r="F29" i="13"/>
  <c r="I29" i="13" s="1"/>
  <c r="H28" i="13"/>
  <c r="F28" i="13"/>
  <c r="I28" i="13" s="1"/>
  <c r="H27" i="13"/>
  <c r="F27" i="13"/>
  <c r="I27" i="13" s="1"/>
  <c r="I26" i="13"/>
  <c r="H26" i="13"/>
  <c r="F26" i="13"/>
  <c r="H25" i="13"/>
  <c r="F25" i="13"/>
  <c r="I25" i="13" s="1"/>
  <c r="G24" i="13"/>
  <c r="H24" i="13" s="1"/>
  <c r="F24" i="13"/>
  <c r="G23" i="13"/>
  <c r="F23" i="13"/>
  <c r="G22" i="13"/>
  <c r="F22" i="13"/>
  <c r="G21" i="13"/>
  <c r="F21" i="13"/>
  <c r="G20" i="13"/>
  <c r="F20" i="13"/>
  <c r="G19" i="13"/>
  <c r="H19" i="13" s="1"/>
  <c r="F19" i="13"/>
  <c r="I19" i="13" s="1"/>
  <c r="L18" i="13"/>
  <c r="L19" i="13" s="1"/>
  <c r="L20" i="13" s="1"/>
  <c r="G18" i="13"/>
  <c r="F18" i="13"/>
  <c r="G17" i="13"/>
  <c r="F17" i="13"/>
  <c r="G16" i="13"/>
  <c r="F16" i="13"/>
  <c r="G15" i="13"/>
  <c r="F15" i="13"/>
  <c r="G14" i="13"/>
  <c r="H14" i="13" s="1"/>
  <c r="F14" i="13"/>
  <c r="G13" i="13"/>
  <c r="F13" i="13"/>
  <c r="G12" i="13"/>
  <c r="F12" i="13"/>
  <c r="G11" i="13"/>
  <c r="F11" i="13"/>
  <c r="G10" i="13"/>
  <c r="F10" i="13"/>
  <c r="G9" i="13"/>
  <c r="F9" i="13"/>
  <c r="G8" i="13"/>
  <c r="F8" i="13"/>
  <c r="G7" i="13"/>
  <c r="F7" i="13"/>
  <c r="G6" i="13"/>
  <c r="F6" i="13"/>
  <c r="G5" i="13"/>
  <c r="F5" i="13"/>
  <c r="G4" i="13"/>
  <c r="F4" i="13"/>
  <c r="G3" i="13"/>
  <c r="F3" i="13"/>
  <c r="G2" i="13"/>
  <c r="F2" i="13"/>
  <c r="H31" i="12"/>
  <c r="F31" i="12"/>
  <c r="I31" i="12" s="1"/>
  <c r="H30" i="12"/>
  <c r="F30" i="12"/>
  <c r="I30" i="12" s="1"/>
  <c r="I29" i="12"/>
  <c r="H29" i="12"/>
  <c r="F29" i="12"/>
  <c r="I28" i="12"/>
  <c r="H28" i="12"/>
  <c r="F28" i="12"/>
  <c r="H27" i="12"/>
  <c r="F27" i="12"/>
  <c r="I27" i="12" s="1"/>
  <c r="H26" i="12"/>
  <c r="F26" i="12"/>
  <c r="I26" i="12" s="1"/>
  <c r="I25" i="12"/>
  <c r="H25" i="12"/>
  <c r="F25" i="12"/>
  <c r="G24" i="12"/>
  <c r="H24" i="12" s="1"/>
  <c r="F24" i="12"/>
  <c r="G23" i="12"/>
  <c r="I23" i="12" s="1"/>
  <c r="F23" i="12"/>
  <c r="G22" i="12"/>
  <c r="I22" i="12" s="1"/>
  <c r="F22" i="12"/>
  <c r="G21" i="12"/>
  <c r="I21" i="12" s="1"/>
  <c r="F21" i="12"/>
  <c r="G20" i="12"/>
  <c r="I20" i="12" s="1"/>
  <c r="F20" i="12"/>
  <c r="L19" i="12"/>
  <c r="L20" i="12" s="1"/>
  <c r="G19" i="12"/>
  <c r="H19" i="12" s="1"/>
  <c r="F19" i="12"/>
  <c r="L18" i="12"/>
  <c r="G18" i="12"/>
  <c r="I18" i="12" s="1"/>
  <c r="F18" i="12"/>
  <c r="G17" i="12"/>
  <c r="F17" i="12"/>
  <c r="G16" i="12"/>
  <c r="H16" i="12" s="1"/>
  <c r="F16" i="12"/>
  <c r="G15" i="12"/>
  <c r="I15" i="12" s="1"/>
  <c r="F15" i="12"/>
  <c r="G14" i="12"/>
  <c r="I14" i="12" s="1"/>
  <c r="F14" i="12"/>
  <c r="G13" i="12"/>
  <c r="H13" i="12" s="1"/>
  <c r="F13" i="12"/>
  <c r="G12" i="12"/>
  <c r="I12" i="12" s="1"/>
  <c r="F12" i="12"/>
  <c r="G11" i="12"/>
  <c r="I11" i="12" s="1"/>
  <c r="F11" i="12"/>
  <c r="G10" i="12"/>
  <c r="H10" i="12" s="1"/>
  <c r="F10" i="12"/>
  <c r="G9" i="12"/>
  <c r="I9" i="12" s="1"/>
  <c r="F9" i="12"/>
  <c r="G8" i="12"/>
  <c r="I8" i="12" s="1"/>
  <c r="F8" i="12"/>
  <c r="G7" i="12"/>
  <c r="H7" i="12" s="1"/>
  <c r="F7" i="12"/>
  <c r="G6" i="12"/>
  <c r="I6" i="12" s="1"/>
  <c r="F6" i="12"/>
  <c r="G5" i="12"/>
  <c r="I5" i="12" s="1"/>
  <c r="F5" i="12"/>
  <c r="G4" i="12"/>
  <c r="H4" i="12" s="1"/>
  <c r="F4" i="12"/>
  <c r="G3" i="12"/>
  <c r="I3" i="12" s="1"/>
  <c r="F3" i="12"/>
  <c r="L23" i="12" s="1"/>
  <c r="G2" i="12"/>
  <c r="I2" i="12" s="1"/>
  <c r="F2" i="12"/>
  <c r="F3" i="11"/>
  <c r="F2" i="11"/>
  <c r="H31" i="11"/>
  <c r="F31" i="11"/>
  <c r="I31" i="11" s="1"/>
  <c r="H30" i="11"/>
  <c r="F30" i="11"/>
  <c r="I30" i="11" s="1"/>
  <c r="H29" i="11"/>
  <c r="F29" i="11"/>
  <c r="I29" i="11" s="1"/>
  <c r="I28" i="11"/>
  <c r="H28" i="11"/>
  <c r="F28" i="11"/>
  <c r="H27" i="11"/>
  <c r="F27" i="11"/>
  <c r="I27" i="11" s="1"/>
  <c r="I26" i="11"/>
  <c r="H26" i="11"/>
  <c r="F26" i="11"/>
  <c r="I25" i="11"/>
  <c r="H25" i="11"/>
  <c r="F25" i="11"/>
  <c r="G24" i="11"/>
  <c r="H24" i="11" s="1"/>
  <c r="F24" i="11"/>
  <c r="G23" i="11"/>
  <c r="I23" i="11" s="1"/>
  <c r="F23" i="11"/>
  <c r="G22" i="11"/>
  <c r="F22" i="11"/>
  <c r="G21" i="11"/>
  <c r="F21" i="11"/>
  <c r="G20" i="11"/>
  <c r="H20" i="11" s="1"/>
  <c r="F20" i="11"/>
  <c r="G19" i="11"/>
  <c r="H19" i="11" s="1"/>
  <c r="F19" i="11"/>
  <c r="L18" i="11"/>
  <c r="L19" i="11" s="1"/>
  <c r="L20" i="11" s="1"/>
  <c r="G18" i="11"/>
  <c r="I18" i="11" s="1"/>
  <c r="F18" i="11"/>
  <c r="G17" i="11"/>
  <c r="I17" i="11" s="1"/>
  <c r="F17" i="11"/>
  <c r="G16" i="11"/>
  <c r="I16" i="11" s="1"/>
  <c r="F16" i="11"/>
  <c r="G15" i="11"/>
  <c r="I15" i="11" s="1"/>
  <c r="F15" i="11"/>
  <c r="G14" i="11"/>
  <c r="I14" i="11" s="1"/>
  <c r="F14" i="11"/>
  <c r="G13" i="11"/>
  <c r="I13" i="11" s="1"/>
  <c r="F13" i="11"/>
  <c r="G12" i="11"/>
  <c r="I12" i="11" s="1"/>
  <c r="F12" i="11"/>
  <c r="G11" i="11"/>
  <c r="I11" i="11" s="1"/>
  <c r="F11" i="11"/>
  <c r="G10" i="11"/>
  <c r="I10" i="11" s="1"/>
  <c r="F10" i="11"/>
  <c r="G9" i="11"/>
  <c r="I9" i="11" s="1"/>
  <c r="F9" i="11"/>
  <c r="G8" i="11"/>
  <c r="I8" i="11" s="1"/>
  <c r="F8" i="11"/>
  <c r="G7" i="11"/>
  <c r="I7" i="11" s="1"/>
  <c r="F7" i="11"/>
  <c r="G6" i="11"/>
  <c r="I6" i="11" s="1"/>
  <c r="F6" i="11"/>
  <c r="G5" i="11"/>
  <c r="I5" i="11" s="1"/>
  <c r="F5" i="11"/>
  <c r="G4" i="11"/>
  <c r="I4" i="11" s="1"/>
  <c r="F4" i="11"/>
  <c r="G3" i="11"/>
  <c r="I3" i="11" s="1"/>
  <c r="G2" i="11"/>
  <c r="I2" i="11" s="1"/>
  <c r="H22" i="10"/>
  <c r="G22" i="10"/>
  <c r="F22" i="10"/>
  <c r="H31" i="10"/>
  <c r="F31" i="10"/>
  <c r="I31" i="10" s="1"/>
  <c r="H30" i="10"/>
  <c r="F30" i="10"/>
  <c r="I30" i="10" s="1"/>
  <c r="I29" i="10"/>
  <c r="H29" i="10"/>
  <c r="F29" i="10"/>
  <c r="I28" i="10"/>
  <c r="H28" i="10"/>
  <c r="F28" i="10"/>
  <c r="H27" i="10"/>
  <c r="F27" i="10"/>
  <c r="I27" i="10" s="1"/>
  <c r="H26" i="10"/>
  <c r="F26" i="10"/>
  <c r="I26" i="10" s="1"/>
  <c r="I25" i="10"/>
  <c r="H25" i="10"/>
  <c r="F25" i="10"/>
  <c r="G24" i="10"/>
  <c r="H24" i="10" s="1"/>
  <c r="F24" i="10"/>
  <c r="G23" i="10"/>
  <c r="I23" i="10" s="1"/>
  <c r="F23" i="10"/>
  <c r="G21" i="10"/>
  <c r="I21" i="10" s="1"/>
  <c r="F21" i="10"/>
  <c r="G20" i="10"/>
  <c r="H20" i="10" s="1"/>
  <c r="F20" i="10"/>
  <c r="G19" i="10"/>
  <c r="H19" i="10" s="1"/>
  <c r="F19" i="10"/>
  <c r="L18" i="10"/>
  <c r="L19" i="10" s="1"/>
  <c r="L20" i="10" s="1"/>
  <c r="G18" i="10"/>
  <c r="I18" i="10" s="1"/>
  <c r="F18" i="10"/>
  <c r="G17" i="10"/>
  <c r="H17" i="10" s="1"/>
  <c r="F17" i="10"/>
  <c r="G16" i="10"/>
  <c r="I16" i="10" s="1"/>
  <c r="F16" i="10"/>
  <c r="G15" i="10"/>
  <c r="I15" i="10" s="1"/>
  <c r="F15" i="10"/>
  <c r="G14" i="10"/>
  <c r="I14" i="10" s="1"/>
  <c r="F14" i="10"/>
  <c r="G13" i="10"/>
  <c r="I13" i="10" s="1"/>
  <c r="F13" i="10"/>
  <c r="G12" i="10"/>
  <c r="I12" i="10" s="1"/>
  <c r="F12" i="10"/>
  <c r="G11" i="10"/>
  <c r="I11" i="10" s="1"/>
  <c r="F11" i="10"/>
  <c r="G10" i="10"/>
  <c r="I10" i="10" s="1"/>
  <c r="F10" i="10"/>
  <c r="G9" i="10"/>
  <c r="I9" i="10" s="1"/>
  <c r="F9" i="10"/>
  <c r="G8" i="10"/>
  <c r="I8" i="10" s="1"/>
  <c r="F8" i="10"/>
  <c r="G7" i="10"/>
  <c r="I7" i="10" s="1"/>
  <c r="F7" i="10"/>
  <c r="G6" i="10"/>
  <c r="I6" i="10" s="1"/>
  <c r="F6" i="10"/>
  <c r="G5" i="10"/>
  <c r="H5" i="10" s="1"/>
  <c r="F5" i="10"/>
  <c r="G4" i="10"/>
  <c r="I4" i="10" s="1"/>
  <c r="F4" i="10"/>
  <c r="G3" i="10"/>
  <c r="I3" i="10" s="1"/>
  <c r="F3" i="10"/>
  <c r="G2" i="10"/>
  <c r="I2" i="10" s="1"/>
  <c r="F2" i="10"/>
  <c r="H31" i="9"/>
  <c r="F31" i="9"/>
  <c r="I31" i="9" s="1"/>
  <c r="H30" i="9"/>
  <c r="F30" i="9"/>
  <c r="I30" i="9" s="1"/>
  <c r="H29" i="9"/>
  <c r="F29" i="9"/>
  <c r="I29" i="9" s="1"/>
  <c r="I28" i="9"/>
  <c r="H28" i="9"/>
  <c r="F28" i="9"/>
  <c r="H27" i="9"/>
  <c r="F27" i="9"/>
  <c r="I27" i="9" s="1"/>
  <c r="H26" i="9"/>
  <c r="F26" i="9"/>
  <c r="I26" i="9" s="1"/>
  <c r="H25" i="9"/>
  <c r="F25" i="9"/>
  <c r="I25" i="9" s="1"/>
  <c r="G24" i="9"/>
  <c r="H24" i="9" s="1"/>
  <c r="F24" i="9"/>
  <c r="G23" i="9"/>
  <c r="I23" i="9" s="1"/>
  <c r="F23" i="9"/>
  <c r="G22" i="9"/>
  <c r="I22" i="9" s="1"/>
  <c r="F22" i="9"/>
  <c r="G21" i="9"/>
  <c r="I21" i="9" s="1"/>
  <c r="F21" i="9"/>
  <c r="G20" i="9"/>
  <c r="H20" i="9" s="1"/>
  <c r="F20" i="9"/>
  <c r="G19" i="9"/>
  <c r="H19" i="9" s="1"/>
  <c r="F19" i="9"/>
  <c r="L18" i="9"/>
  <c r="L19" i="9" s="1"/>
  <c r="L20" i="9" s="1"/>
  <c r="G18" i="9"/>
  <c r="I18" i="9" s="1"/>
  <c r="F18" i="9"/>
  <c r="G17" i="9"/>
  <c r="I17" i="9" s="1"/>
  <c r="F17" i="9"/>
  <c r="G16" i="9"/>
  <c r="I16" i="9" s="1"/>
  <c r="F16" i="9"/>
  <c r="G15" i="9"/>
  <c r="I15" i="9" s="1"/>
  <c r="F15" i="9"/>
  <c r="G14" i="9"/>
  <c r="I14" i="9" s="1"/>
  <c r="F14" i="9"/>
  <c r="G13" i="9"/>
  <c r="I13" i="9" s="1"/>
  <c r="F13" i="9"/>
  <c r="G12" i="9"/>
  <c r="I12" i="9" s="1"/>
  <c r="F12" i="9"/>
  <c r="G11" i="9"/>
  <c r="I11" i="9" s="1"/>
  <c r="F11" i="9"/>
  <c r="G10" i="9"/>
  <c r="I10" i="9" s="1"/>
  <c r="F10" i="9"/>
  <c r="G9" i="9"/>
  <c r="I9" i="9" s="1"/>
  <c r="F9" i="9"/>
  <c r="G8" i="9"/>
  <c r="I8" i="9" s="1"/>
  <c r="F8" i="9"/>
  <c r="G7" i="9"/>
  <c r="I7" i="9" s="1"/>
  <c r="F7" i="9"/>
  <c r="G6" i="9"/>
  <c r="I6" i="9" s="1"/>
  <c r="F6" i="9"/>
  <c r="G5" i="9"/>
  <c r="I5" i="9" s="1"/>
  <c r="F5" i="9"/>
  <c r="G4" i="9"/>
  <c r="I4" i="9" s="1"/>
  <c r="F4" i="9"/>
  <c r="G3" i="9"/>
  <c r="I3" i="9" s="1"/>
  <c r="F3" i="9"/>
  <c r="G2" i="9"/>
  <c r="I2" i="9" s="1"/>
  <c r="F2" i="9"/>
  <c r="L23" i="9" s="1"/>
  <c r="G22" i="8"/>
  <c r="H22" i="8" s="1"/>
  <c r="G22" i="7"/>
  <c r="H31" i="8"/>
  <c r="F31" i="8"/>
  <c r="I31" i="8" s="1"/>
  <c r="H30" i="8"/>
  <c r="F30" i="8"/>
  <c r="I30" i="8" s="1"/>
  <c r="I29" i="8"/>
  <c r="H29" i="8"/>
  <c r="F29" i="8"/>
  <c r="I28" i="8"/>
  <c r="H28" i="8"/>
  <c r="F28" i="8"/>
  <c r="I27" i="8"/>
  <c r="H27" i="8"/>
  <c r="F27" i="8"/>
  <c r="H26" i="8"/>
  <c r="F26" i="8"/>
  <c r="I26" i="8" s="1"/>
  <c r="I25" i="8"/>
  <c r="H25" i="8"/>
  <c r="F25" i="8"/>
  <c r="F22" i="8"/>
  <c r="G21" i="8"/>
  <c r="I21" i="8" s="1"/>
  <c r="F21" i="8"/>
  <c r="G20" i="8"/>
  <c r="I20" i="8" s="1"/>
  <c r="F20" i="8"/>
  <c r="G19" i="8"/>
  <c r="I19" i="8" s="1"/>
  <c r="F19" i="8"/>
  <c r="L18" i="8"/>
  <c r="L19" i="8" s="1"/>
  <c r="L20" i="8" s="1"/>
  <c r="G18" i="8"/>
  <c r="I18" i="8" s="1"/>
  <c r="F18" i="8"/>
  <c r="G17" i="8"/>
  <c r="I17" i="8" s="1"/>
  <c r="F17" i="8"/>
  <c r="G16" i="8"/>
  <c r="H16" i="8" s="1"/>
  <c r="F16" i="8"/>
  <c r="G15" i="8"/>
  <c r="I15" i="8" s="1"/>
  <c r="F15" i="8"/>
  <c r="G14" i="8"/>
  <c r="I14" i="8" s="1"/>
  <c r="F14" i="8"/>
  <c r="G13" i="8"/>
  <c r="I13" i="8" s="1"/>
  <c r="F13" i="8"/>
  <c r="G12" i="8"/>
  <c r="I12" i="8" s="1"/>
  <c r="F12" i="8"/>
  <c r="G11" i="8"/>
  <c r="I11" i="8" s="1"/>
  <c r="F11" i="8"/>
  <c r="G10" i="8"/>
  <c r="H10" i="8" s="1"/>
  <c r="F10" i="8"/>
  <c r="G9" i="8"/>
  <c r="I9" i="8" s="1"/>
  <c r="F9" i="8"/>
  <c r="G8" i="8"/>
  <c r="I8" i="8" s="1"/>
  <c r="F8" i="8"/>
  <c r="G7" i="8"/>
  <c r="H7" i="8" s="1"/>
  <c r="F7" i="8"/>
  <c r="G6" i="8"/>
  <c r="I6" i="8" s="1"/>
  <c r="F6" i="8"/>
  <c r="G5" i="8"/>
  <c r="I5" i="8" s="1"/>
  <c r="F5" i="8"/>
  <c r="G4" i="8"/>
  <c r="I4" i="8" s="1"/>
  <c r="F4" i="8"/>
  <c r="G3" i="8"/>
  <c r="I3" i="8" s="1"/>
  <c r="F3" i="8"/>
  <c r="G2" i="8"/>
  <c r="I2" i="8" s="1"/>
  <c r="F2" i="8"/>
  <c r="H31" i="7"/>
  <c r="F31" i="7"/>
  <c r="I31" i="7" s="1"/>
  <c r="H30" i="7"/>
  <c r="F30" i="7"/>
  <c r="I30" i="7" s="1"/>
  <c r="H29" i="7"/>
  <c r="F29" i="7"/>
  <c r="I29" i="7" s="1"/>
  <c r="I28" i="7"/>
  <c r="H28" i="7"/>
  <c r="F28" i="7"/>
  <c r="H27" i="7"/>
  <c r="F27" i="7"/>
  <c r="I27" i="7" s="1"/>
  <c r="H26" i="7"/>
  <c r="F26" i="7"/>
  <c r="I26" i="7" s="1"/>
  <c r="H25" i="7"/>
  <c r="F25" i="7"/>
  <c r="I25" i="7" s="1"/>
  <c r="H24" i="7"/>
  <c r="F24" i="7"/>
  <c r="F23" i="7"/>
  <c r="F22" i="7"/>
  <c r="G21" i="7"/>
  <c r="I21" i="7" s="1"/>
  <c r="F21" i="7"/>
  <c r="G20" i="7"/>
  <c r="H20" i="7" s="1"/>
  <c r="F20" i="7"/>
  <c r="G19" i="7"/>
  <c r="H19" i="7" s="1"/>
  <c r="F19" i="7"/>
  <c r="L18" i="7"/>
  <c r="L19" i="7" s="1"/>
  <c r="L20" i="7" s="1"/>
  <c r="G18" i="7"/>
  <c r="F18" i="7"/>
  <c r="G17" i="7"/>
  <c r="F17" i="7"/>
  <c r="G16" i="7"/>
  <c r="H16" i="7" s="1"/>
  <c r="F16" i="7"/>
  <c r="G15" i="7"/>
  <c r="F15" i="7"/>
  <c r="G14" i="7"/>
  <c r="H14" i="7" s="1"/>
  <c r="F14" i="7"/>
  <c r="G13" i="7"/>
  <c r="H13" i="7" s="1"/>
  <c r="F13" i="7"/>
  <c r="G12" i="7"/>
  <c r="F12" i="7"/>
  <c r="G11" i="7"/>
  <c r="H11" i="7" s="1"/>
  <c r="F11" i="7"/>
  <c r="G10" i="7"/>
  <c r="H10" i="7" s="1"/>
  <c r="F10" i="7"/>
  <c r="G9" i="7"/>
  <c r="I9" i="7" s="1"/>
  <c r="F9" i="7"/>
  <c r="G8" i="7"/>
  <c r="I8" i="7" s="1"/>
  <c r="F8" i="7"/>
  <c r="G7" i="7"/>
  <c r="H7" i="7" s="1"/>
  <c r="F7" i="7"/>
  <c r="G6" i="7"/>
  <c r="F6" i="7"/>
  <c r="G5" i="7"/>
  <c r="I5" i="7" s="1"/>
  <c r="F5" i="7"/>
  <c r="G4" i="7"/>
  <c r="H4" i="7" s="1"/>
  <c r="F4" i="7"/>
  <c r="G3" i="7"/>
  <c r="F3" i="7"/>
  <c r="G2" i="7"/>
  <c r="F2" i="7"/>
  <c r="G24" i="6"/>
  <c r="H24" i="6" s="1"/>
  <c r="I31" i="6"/>
  <c r="H31" i="6"/>
  <c r="F31" i="6"/>
  <c r="H30" i="6"/>
  <c r="F30" i="6"/>
  <c r="I30" i="6" s="1"/>
  <c r="H29" i="6"/>
  <c r="F29" i="6"/>
  <c r="I29" i="6" s="1"/>
  <c r="H28" i="6"/>
  <c r="F28" i="6"/>
  <c r="I28" i="6" s="1"/>
  <c r="H27" i="6"/>
  <c r="F27" i="6"/>
  <c r="I27" i="6" s="1"/>
  <c r="H26" i="6"/>
  <c r="F26" i="6"/>
  <c r="I26" i="6" s="1"/>
  <c r="H25" i="6"/>
  <c r="F25" i="6"/>
  <c r="I25" i="6" s="1"/>
  <c r="F24" i="6"/>
  <c r="G23" i="6"/>
  <c r="F23" i="6"/>
  <c r="G22" i="6"/>
  <c r="F22" i="6"/>
  <c r="G21" i="6"/>
  <c r="H21" i="6" s="1"/>
  <c r="F21" i="6"/>
  <c r="G20" i="6"/>
  <c r="I20" i="6" s="1"/>
  <c r="F20" i="6"/>
  <c r="G19" i="6"/>
  <c r="H19" i="6" s="1"/>
  <c r="F19" i="6"/>
  <c r="L18" i="6"/>
  <c r="L19" i="6" s="1"/>
  <c r="L20" i="6" s="1"/>
  <c r="G18" i="6"/>
  <c r="F18" i="6"/>
  <c r="G17" i="6"/>
  <c r="F17" i="6"/>
  <c r="G16" i="6"/>
  <c r="F16" i="6"/>
  <c r="G15" i="6"/>
  <c r="F15" i="6"/>
  <c r="G14" i="6"/>
  <c r="F14" i="6"/>
  <c r="G13" i="6"/>
  <c r="F13" i="6"/>
  <c r="G12" i="6"/>
  <c r="F12" i="6"/>
  <c r="G11" i="6"/>
  <c r="F11" i="6"/>
  <c r="G10" i="6"/>
  <c r="F10" i="6"/>
  <c r="G9" i="6"/>
  <c r="F9" i="6"/>
  <c r="G8" i="6"/>
  <c r="F8" i="6"/>
  <c r="G7" i="6"/>
  <c r="F7" i="6"/>
  <c r="G6" i="6"/>
  <c r="F6" i="6"/>
  <c r="G5" i="6"/>
  <c r="F5" i="6"/>
  <c r="G4" i="6"/>
  <c r="F4" i="6"/>
  <c r="G3" i="6"/>
  <c r="F3" i="6"/>
  <c r="G2" i="6"/>
  <c r="F2" i="6"/>
  <c r="F2" i="4"/>
  <c r="I2" i="16" l="1"/>
  <c r="I19" i="16"/>
  <c r="I14" i="13"/>
  <c r="I8" i="16"/>
  <c r="I5" i="16"/>
  <c r="I19" i="7"/>
  <c r="I11" i="16"/>
  <c r="H21" i="16"/>
  <c r="I16" i="18"/>
  <c r="I14" i="18"/>
  <c r="I6" i="18"/>
  <c r="I2" i="18"/>
  <c r="I15" i="18"/>
  <c r="I13" i="18"/>
  <c r="I10" i="18"/>
  <c r="I9" i="18"/>
  <c r="I7" i="18"/>
  <c r="I4" i="18"/>
  <c r="I3" i="18"/>
  <c r="H20" i="18"/>
  <c r="I17" i="18"/>
  <c r="I5" i="18"/>
  <c r="I11" i="18"/>
  <c r="I19" i="18"/>
  <c r="L23" i="18"/>
  <c r="I8" i="18"/>
  <c r="H21" i="18"/>
  <c r="H4" i="18"/>
  <c r="H7" i="18"/>
  <c r="H10" i="18"/>
  <c r="H13" i="18"/>
  <c r="H16" i="18"/>
  <c r="I24" i="18"/>
  <c r="H22" i="18"/>
  <c r="H2" i="18"/>
  <c r="H5" i="18"/>
  <c r="H8" i="18"/>
  <c r="H11" i="18"/>
  <c r="H14" i="18"/>
  <c r="H17" i="18"/>
  <c r="H23" i="18"/>
  <c r="H3" i="18"/>
  <c r="H6" i="18"/>
  <c r="H9" i="18"/>
  <c r="H12" i="18"/>
  <c r="H15" i="18"/>
  <c r="H18" i="18"/>
  <c r="I23" i="17"/>
  <c r="I22" i="17"/>
  <c r="I20" i="17"/>
  <c r="I18" i="17"/>
  <c r="I17" i="17"/>
  <c r="I16" i="17"/>
  <c r="I15" i="17"/>
  <c r="I24" i="17"/>
  <c r="I25" i="17"/>
  <c r="L23" i="17"/>
  <c r="I14" i="17"/>
  <c r="H22" i="17"/>
  <c r="H2" i="17"/>
  <c r="H5" i="17"/>
  <c r="H8" i="17"/>
  <c r="H11" i="17"/>
  <c r="H14" i="17"/>
  <c r="H17" i="17"/>
  <c r="H25" i="17"/>
  <c r="H20" i="17"/>
  <c r="H23" i="17"/>
  <c r="H3" i="17"/>
  <c r="H6" i="17"/>
  <c r="H9" i="17"/>
  <c r="H12" i="17"/>
  <c r="H15" i="17"/>
  <c r="H18" i="17"/>
  <c r="I21" i="17"/>
  <c r="H24" i="17"/>
  <c r="H4" i="17"/>
  <c r="H7" i="17"/>
  <c r="H10" i="17"/>
  <c r="H13" i="17"/>
  <c r="H16" i="17"/>
  <c r="I22" i="16"/>
  <c r="H22" i="16"/>
  <c r="I18" i="16"/>
  <c r="I15" i="16"/>
  <c r="L23" i="16"/>
  <c r="I24" i="16"/>
  <c r="I25" i="16"/>
  <c r="I20" i="16"/>
  <c r="L31" i="16" s="1"/>
  <c r="H23" i="16"/>
  <c r="H3" i="16"/>
  <c r="H6" i="16"/>
  <c r="H9" i="16"/>
  <c r="H12" i="16"/>
  <c r="H15" i="16"/>
  <c r="H18" i="16"/>
  <c r="H4" i="16"/>
  <c r="H7" i="16"/>
  <c r="H10" i="16"/>
  <c r="H13" i="16"/>
  <c r="H16" i="16"/>
  <c r="H24" i="16"/>
  <c r="I19" i="15"/>
  <c r="I20" i="15"/>
  <c r="H20" i="15"/>
  <c r="I11" i="15"/>
  <c r="I14" i="15"/>
  <c r="I25" i="15"/>
  <c r="I2" i="15"/>
  <c r="I3" i="15"/>
  <c r="I9" i="15"/>
  <c r="I15" i="15"/>
  <c r="I4" i="15"/>
  <c r="I16" i="15"/>
  <c r="I21" i="15"/>
  <c r="I5" i="15"/>
  <c r="I17" i="15"/>
  <c r="I22" i="15"/>
  <c r="I6" i="15"/>
  <c r="I12" i="15"/>
  <c r="I18" i="15"/>
  <c r="I23" i="15"/>
  <c r="I7" i="15"/>
  <c r="I13" i="15"/>
  <c r="I8" i="15"/>
  <c r="I10" i="15"/>
  <c r="L23" i="15"/>
  <c r="H21" i="15"/>
  <c r="H4" i="15"/>
  <c r="H7" i="15"/>
  <c r="H10" i="15"/>
  <c r="H13" i="15"/>
  <c r="H16" i="15"/>
  <c r="I24" i="15"/>
  <c r="H22" i="15"/>
  <c r="H2" i="15"/>
  <c r="H5" i="15"/>
  <c r="H8" i="15"/>
  <c r="H17" i="15"/>
  <c r="H23" i="15"/>
  <c r="H3" i="15"/>
  <c r="H6" i="15"/>
  <c r="H9" i="15"/>
  <c r="H12" i="15"/>
  <c r="H15" i="15"/>
  <c r="H18" i="15"/>
  <c r="I19" i="12"/>
  <c r="I19" i="10"/>
  <c r="H21" i="12"/>
  <c r="I14" i="7"/>
  <c r="I19" i="11"/>
  <c r="I24" i="12"/>
  <c r="I19" i="9"/>
  <c r="I11" i="7"/>
  <c r="H22" i="12"/>
  <c r="I22" i="10"/>
  <c r="I14" i="14"/>
  <c r="I5" i="14"/>
  <c r="I11" i="14"/>
  <c r="I17" i="14"/>
  <c r="I22" i="14"/>
  <c r="I6" i="14"/>
  <c r="I12" i="14"/>
  <c r="I23" i="14"/>
  <c r="I7" i="14"/>
  <c r="I13" i="14"/>
  <c r="L23" i="14"/>
  <c r="I2" i="14"/>
  <c r="I8" i="14"/>
  <c r="I19" i="14"/>
  <c r="I3" i="14"/>
  <c r="I9" i="14"/>
  <c r="I20" i="14"/>
  <c r="I15" i="14"/>
  <c r="I4" i="14"/>
  <c r="I10" i="14"/>
  <c r="H21" i="14"/>
  <c r="H4" i="14"/>
  <c r="H7" i="14"/>
  <c r="H10" i="14"/>
  <c r="H13" i="14"/>
  <c r="H16" i="14"/>
  <c r="H19" i="14"/>
  <c r="I24" i="14"/>
  <c r="H22" i="14"/>
  <c r="H2" i="14"/>
  <c r="H5" i="14"/>
  <c r="H8" i="14"/>
  <c r="H11" i="14"/>
  <c r="H17" i="14"/>
  <c r="H23" i="14"/>
  <c r="H3" i="14"/>
  <c r="H6" i="14"/>
  <c r="H9" i="14"/>
  <c r="H12" i="14"/>
  <c r="H15" i="14"/>
  <c r="H18" i="14"/>
  <c r="I4" i="13"/>
  <c r="I10" i="13"/>
  <c r="I16" i="13"/>
  <c r="I21" i="13"/>
  <c r="I5" i="13"/>
  <c r="I11" i="13"/>
  <c r="I17" i="13"/>
  <c r="I22" i="13"/>
  <c r="I6" i="13"/>
  <c r="I12" i="13"/>
  <c r="I18" i="13"/>
  <c r="I23" i="13"/>
  <c r="I7" i="13"/>
  <c r="I13" i="13"/>
  <c r="L23" i="13"/>
  <c r="I2" i="13"/>
  <c r="I8" i="13"/>
  <c r="I3" i="13"/>
  <c r="I9" i="13"/>
  <c r="I15" i="13"/>
  <c r="I20" i="13"/>
  <c r="H21" i="13"/>
  <c r="H4" i="13"/>
  <c r="H7" i="13"/>
  <c r="H10" i="13"/>
  <c r="H13" i="13"/>
  <c r="H16" i="13"/>
  <c r="I24" i="13"/>
  <c r="H22" i="13"/>
  <c r="H2" i="13"/>
  <c r="H5" i="13"/>
  <c r="H8" i="13"/>
  <c r="H11" i="13"/>
  <c r="H17" i="13"/>
  <c r="H20" i="13"/>
  <c r="H23" i="13"/>
  <c r="H3" i="13"/>
  <c r="H6" i="13"/>
  <c r="H9" i="13"/>
  <c r="H12" i="13"/>
  <c r="H15" i="13"/>
  <c r="H18" i="13"/>
  <c r="I17" i="12"/>
  <c r="H11" i="12"/>
  <c r="I4" i="12"/>
  <c r="I7" i="12"/>
  <c r="I10" i="12"/>
  <c r="I16" i="12"/>
  <c r="I13" i="12"/>
  <c r="H17" i="12"/>
  <c r="H2" i="12"/>
  <c r="H5" i="12"/>
  <c r="H8" i="12"/>
  <c r="H14" i="12"/>
  <c r="H20" i="12"/>
  <c r="H23" i="12"/>
  <c r="H3" i="12"/>
  <c r="H6" i="12"/>
  <c r="H9" i="12"/>
  <c r="H12" i="12"/>
  <c r="H15" i="12"/>
  <c r="H18" i="12"/>
  <c r="L23" i="11"/>
  <c r="I22" i="11"/>
  <c r="I21" i="11"/>
  <c r="H21" i="11"/>
  <c r="H4" i="11"/>
  <c r="H7" i="11"/>
  <c r="H10" i="11"/>
  <c r="H13" i="11"/>
  <c r="H16" i="11"/>
  <c r="I24" i="11"/>
  <c r="H22" i="11"/>
  <c r="H2" i="11"/>
  <c r="H5" i="11"/>
  <c r="H8" i="11"/>
  <c r="H11" i="11"/>
  <c r="H14" i="11"/>
  <c r="H17" i="11"/>
  <c r="I20" i="11"/>
  <c r="H23" i="11"/>
  <c r="H3" i="11"/>
  <c r="H6" i="11"/>
  <c r="H9" i="11"/>
  <c r="H12" i="11"/>
  <c r="H15" i="11"/>
  <c r="H18" i="11"/>
  <c r="L23" i="10"/>
  <c r="I5" i="10"/>
  <c r="I17" i="10"/>
  <c r="H21" i="10"/>
  <c r="H4" i="10"/>
  <c r="H7" i="10"/>
  <c r="H10" i="10"/>
  <c r="H13" i="10"/>
  <c r="H16" i="10"/>
  <c r="I24" i="10"/>
  <c r="H2" i="10"/>
  <c r="H8" i="10"/>
  <c r="H11" i="10"/>
  <c r="H14" i="10"/>
  <c r="I20" i="10"/>
  <c r="H23" i="10"/>
  <c r="H3" i="10"/>
  <c r="H6" i="10"/>
  <c r="H9" i="10"/>
  <c r="H12" i="10"/>
  <c r="H15" i="10"/>
  <c r="H18" i="10"/>
  <c r="H21" i="9"/>
  <c r="H4" i="9"/>
  <c r="H7" i="9"/>
  <c r="H10" i="9"/>
  <c r="H13" i="9"/>
  <c r="H16" i="9"/>
  <c r="I24" i="9"/>
  <c r="H22" i="9"/>
  <c r="H2" i="9"/>
  <c r="H5" i="9"/>
  <c r="H8" i="9"/>
  <c r="H11" i="9"/>
  <c r="H14" i="9"/>
  <c r="H17" i="9"/>
  <c r="I20" i="9"/>
  <c r="H23" i="9"/>
  <c r="H3" i="9"/>
  <c r="H6" i="9"/>
  <c r="H9" i="9"/>
  <c r="H12" i="9"/>
  <c r="H15" i="9"/>
  <c r="H18" i="9"/>
  <c r="L23" i="8"/>
  <c r="I22" i="8"/>
  <c r="I12" i="7"/>
  <c r="H21" i="8"/>
  <c r="H4" i="8"/>
  <c r="I7" i="8"/>
  <c r="I10" i="8"/>
  <c r="I16" i="8"/>
  <c r="H19" i="8"/>
  <c r="H13" i="8"/>
  <c r="H2" i="8"/>
  <c r="H5" i="8"/>
  <c r="H8" i="8"/>
  <c r="H11" i="8"/>
  <c r="H14" i="8"/>
  <c r="H17" i="8"/>
  <c r="H20" i="8"/>
  <c r="H3" i="8"/>
  <c r="H6" i="8"/>
  <c r="H9" i="8"/>
  <c r="H12" i="8"/>
  <c r="H15" i="8"/>
  <c r="H18" i="8"/>
  <c r="I22" i="7"/>
  <c r="I23" i="7"/>
  <c r="I18" i="7"/>
  <c r="I17" i="7"/>
  <c r="I20" i="7"/>
  <c r="I15" i="7"/>
  <c r="I6" i="7"/>
  <c r="L23" i="7"/>
  <c r="I3" i="7"/>
  <c r="I2" i="7"/>
  <c r="I4" i="7"/>
  <c r="I7" i="7"/>
  <c r="I10" i="7"/>
  <c r="I13" i="7"/>
  <c r="I16" i="7"/>
  <c r="I24" i="7"/>
  <c r="H22" i="7"/>
  <c r="H2" i="7"/>
  <c r="H5" i="7"/>
  <c r="H8" i="7"/>
  <c r="H17" i="7"/>
  <c r="H23" i="7"/>
  <c r="H3" i="7"/>
  <c r="H6" i="7"/>
  <c r="H9" i="7"/>
  <c r="H12" i="7"/>
  <c r="H15" i="7"/>
  <c r="H18" i="7"/>
  <c r="H21" i="7"/>
  <c r="I24" i="6"/>
  <c r="I2" i="6"/>
  <c r="I23" i="6"/>
  <c r="I22" i="6"/>
  <c r="I17" i="6"/>
  <c r="I16" i="6"/>
  <c r="I18" i="6"/>
  <c r="I15" i="6"/>
  <c r="I14" i="6"/>
  <c r="I13" i="6"/>
  <c r="I12" i="6"/>
  <c r="I11" i="6"/>
  <c r="I10" i="6"/>
  <c r="I9" i="6"/>
  <c r="I8" i="6"/>
  <c r="I7" i="6"/>
  <c r="I6" i="6"/>
  <c r="I5" i="6"/>
  <c r="H20" i="6"/>
  <c r="I19" i="6"/>
  <c r="I4" i="6"/>
  <c r="L23" i="6"/>
  <c r="I3" i="6"/>
  <c r="I21" i="6"/>
  <c r="H4" i="6"/>
  <c r="H7" i="6"/>
  <c r="H10" i="6"/>
  <c r="H13" i="6"/>
  <c r="H16" i="6"/>
  <c r="H22" i="6"/>
  <c r="H2" i="6"/>
  <c r="H5" i="6"/>
  <c r="H8" i="6"/>
  <c r="H11" i="6"/>
  <c r="H14" i="6"/>
  <c r="H17" i="6"/>
  <c r="H23" i="6"/>
  <c r="H3" i="6"/>
  <c r="H6" i="6"/>
  <c r="H9" i="6"/>
  <c r="H12" i="6"/>
  <c r="H15" i="6"/>
  <c r="H18" i="6"/>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G18" i="4"/>
  <c r="I18" i="4" s="1"/>
  <c r="G19" i="4"/>
  <c r="G20" i="4"/>
  <c r="H20" i="4" s="1"/>
  <c r="G21" i="4"/>
  <c r="H21" i="4" s="1"/>
  <c r="G22" i="4"/>
  <c r="H22" i="4" s="1"/>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L31" i="18" l="1"/>
  <c r="L30" i="18"/>
  <c r="L31" i="17"/>
  <c r="L30" i="17"/>
  <c r="L30" i="16"/>
  <c r="L31" i="15"/>
  <c r="L30" i="15"/>
  <c r="L31" i="12"/>
  <c r="L31" i="8"/>
  <c r="L31" i="9"/>
  <c r="L31" i="14"/>
  <c r="L30" i="14"/>
  <c r="L31" i="13"/>
  <c r="L30" i="13"/>
  <c r="L30" i="12"/>
  <c r="L31" i="11"/>
  <c r="L30" i="11"/>
  <c r="L30" i="10"/>
  <c r="L31" i="10"/>
  <c r="L30" i="9"/>
  <c r="L30" i="8"/>
  <c r="L31" i="7"/>
  <c r="L30" i="7"/>
  <c r="L31" i="6"/>
  <c r="L30" i="6"/>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tc={A9FAF93B-D12B-4C3D-B7CD-324505AC77F8}</author>
    <author>tc={87BCD8D5-8770-46A5-87D5-71BDEC253881}</author>
    <author>tc={D9F08438-222C-4DB2-8070-BFA837CF7224}</author>
    <author>tc={2A2880D6-1BDB-4877-800C-791F5476542B}</author>
    <author>tc={BED3B6D1-AD3D-46BF-9118-01F4E5C65AF1}</author>
    <author>tc={FC623FE0-9177-4F1C-ACB0-E6FB65EF8421}</author>
    <author>tc={EAE05E9F-0B3D-4877-ADB3-73DCBF1BD458}</author>
    <author>tc={31CE0CB2-3914-4DB6-86BB-FB7C52ABFF1C}</author>
    <author>tc={E5AF5EFA-AD28-4254-A145-FAC19605A8BA}</author>
    <author>tc={DC0077DE-C6C6-4675-BBD8-D4B8B93019FF}</author>
    <author>tc={CF0D17A0-B764-4E0A-A14E-A258DD9C9A0D}</author>
    <author>tc={7D777561-EB80-41B2-84C0-BA83759CC5F8}</author>
    <author>tc={03C897D7-AA49-4D72-B4DD-4FEB22279670}</author>
    <author>tc={0F8EDA89-BFB1-46CD-B3D3-9395B0AAF215}</author>
    <author>tc={409AB434-F3CE-4DB9-9D31-D6B53D1CE5F1}</author>
    <author>tc={37290625-0F6C-4E3D-9FAA-58C18A3C51B7}</author>
    <author>tc={D966B800-AD7A-488D-9D8B-51E18C9763E8}</author>
    <author>tc={B3ECF901-92F0-4D33-B836-BD511C51901C}</author>
    <author>tc={6D86D902-AD06-4356-954B-C0C99A5A8290}</author>
    <author>tc={97929C94-250D-4CDC-944F-61497CBE08CC}</author>
    <author>tc={0D8F6C36-07C1-4ED9-8B18-FA7A78A0D5B9}</author>
    <author>tc={5CF9A89D-1DE6-4358-BF79-74C33093462E}</author>
    <author>tc={CB044A6F-264F-41F9-AF09-66EFF9A82AA3}</author>
    <author>tc={27B21011-B32D-4D1C-A781-955A3B3D98B3}</author>
    <author>tc={2E7DCC8D-0262-4F21-A0DD-C6E1F64899A9}</author>
    <author>tc={6A0764CE-A3CA-4EE0-8901-D48355A64668}</author>
    <author>tc={C118776C-FFCC-4600-8B35-4DB78BA03C5E}</author>
    <author>tc={D0C799B5-1242-4B3D-B77F-472F2D8C4B2F}</author>
    <author>tc={72188F86-BB76-4F89-9AB0-A9420E45782D}</author>
    <author>tc={F47CD29C-D6F4-476B-AC37-34194AFF24ED}</author>
    <author>tc={C31548F9-BBEB-491B-8E71-1575C0EFC033}</author>
    <author>tc={F8D66131-51C4-41DE-9E19-7F777DDC1BEF}</author>
    <author>tc={42DA49DC-4F12-4555-B5BF-D1917FA5381F}</author>
    <author>tc={BA29CD36-E818-4242-8B16-3857C8F30631}</author>
    <author>tc={1384118E-0E6A-46FA-B98F-97129A3B9717}</author>
    <author>tc={EA4F8272-87E5-4517-BD8E-6DC01B8004FE}</author>
    <author>tc={B37DBB5C-8F47-4227-9366-5D327E39E594}</author>
    <author>tc={B6A48CBA-5CEB-42EE-B243-0213FF369148}</author>
    <author>tc={88A3762C-B7BB-43CC-83F6-2031D680F4C5}</author>
    <author>tc={50C363C8-7F7C-4399-BF8C-39539FCFDFC4}</author>
    <author>tc={41BDDB48-A9F8-4CE9-9864-A67B292DB308}</author>
    <author>tc={5BAF6E56-4EA4-4832-96A9-E9D992D7C03D}</author>
    <author>tc={AF21659F-4D69-4668-89C9-1EB633F740F7}</author>
    <author>tc={A74EB2D0-C3F7-4970-B90E-D0571B706272}</author>
    <author>tc={8EE11073-4FCF-464D-8818-85AFEECE9D27}</author>
    <author>tc={009CE9DB-251A-4FD7-B3BD-6E8ACCD91039}</author>
    <author>tc={EEDA7148-2E48-4209-A37A-9217DF214F80}</author>
    <author>tc={8DD9BB19-F752-4FD0-894A-0A41F729106D}</author>
    <author>tc={F06F052A-86FD-46B6-B9EB-E638B2A2B019}</author>
    <author>tc={593D22F7-B6EF-4638-B907-84DB686CD578}</author>
    <author>tc={926C50AD-40E9-4E1E-8DCF-6D50879917EF}</author>
    <author>tc={29853B27-19CB-49E7-AB0E-9AC768420662}</author>
  </authors>
  <commentList>
    <comment ref="A3" authorId="0" shapeId="0" xr:uid="{A9FAF93B-D12B-4C3D-B7CD-324505AC77F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87BCD8D5-8770-46A5-87D5-71BDEC25388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9F08438-222C-4DB2-8070-BFA837CF7224}">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2A2880D6-1BDB-4877-800C-791F5476542B}">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BED3B6D1-AD3D-46BF-9118-01F4E5C65AF1}">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FC623FE0-9177-4F1C-ACB0-E6FB65EF8421}">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EAE05E9F-0B3D-4877-ADB3-73DCBF1BD458}">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31CE0CB2-3914-4DB6-86BB-FB7C52ABFF1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E5AF5EFA-AD28-4254-A145-FAC19605A8BA}">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DC0077DE-C6C6-4675-BBD8-D4B8B93019FF}">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CF0D17A0-B764-4E0A-A14E-A258DD9C9A0D}">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7D777561-EB80-41B2-84C0-BA83759CC5F8}">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03C897D7-AA49-4D72-B4DD-4FEB22279670}">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0F8EDA89-BFB1-46CD-B3D3-9395B0AAF215}">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409AB434-F3CE-4DB9-9D31-D6B53D1CE5F1}">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37290625-0F6C-4E3D-9FAA-58C18A3C51B7}">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D966B800-AD7A-488D-9D8B-51E18C9763E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B3ECF901-92F0-4D33-B836-BD511C51901C}">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6D86D902-AD06-4356-954B-C0C99A5A82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97929C94-250D-4CDC-944F-61497CBE08CC}">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0D8F6C36-07C1-4ED9-8B18-FA7A78A0D5B9}">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CF9A89D-1DE6-4358-BF79-74C33093462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CB044A6F-264F-41F9-AF09-66EFF9A82AA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27B21011-B32D-4D1C-A781-955A3B3D98B3}">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2E7DCC8D-0262-4F21-A0DD-C6E1F64899A9}">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6A0764CE-A3CA-4EE0-8901-D48355A64668}">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C118776C-FFCC-4600-8B35-4DB78BA03C5E}">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0C799B5-1242-4B3D-B77F-472F2D8C4B2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72188F86-BB76-4F89-9AB0-A9420E45782D}">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F47CD29C-D6F4-476B-AC37-34194AFF24ED}">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C31548F9-BBEB-491B-8E71-1575C0EFC033}">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F8D66131-51C4-41DE-9E19-7F777DDC1BE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42DA49DC-4F12-4555-B5BF-D1917FA5381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BA29CD36-E818-4242-8B16-3857C8F30631}">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1384118E-0E6A-46FA-B98F-97129A3B97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EA4F8272-87E5-4517-BD8E-6DC01B8004FE}">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B37DBB5C-8F47-4227-9366-5D327E39E594}">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B6A48CBA-5CEB-42EE-B243-0213FF36914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88A3762C-B7BB-43CC-83F6-2031D680F4C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50C363C8-7F7C-4399-BF8C-39539FCFDFC4}">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41BDDB48-A9F8-4CE9-9864-A67B292DB308}">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5BAF6E56-4EA4-4832-96A9-E9D992D7C03D}">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AF21659F-4D69-4668-89C9-1EB633F740F7}">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A74EB2D0-C3F7-4970-B90E-D0571B706272}">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8EE11073-4FCF-464D-8818-85AFEECE9D27}">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009CE9DB-251A-4FD7-B3BD-6E8ACCD91039}">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EEDA7148-2E48-4209-A37A-9217DF214F80}">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8DD9BB19-F752-4FD0-894A-0A41F729106D}">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F06F052A-86FD-46B6-B9EB-E638B2A2B019}">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593D22F7-B6EF-4638-B907-84DB686CD578}">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926C50AD-40E9-4E1E-8DCF-6D50879917EF}">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29853B27-19CB-49E7-AB0E-9AC768420662}">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<sst xmlns="http://schemas.openxmlformats.org/spreadsheetml/2006/main" count="1559" uniqueCount="476">
  <si>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</si>
  <si>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</si>
  <si>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</si>
  <si>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</si>
  <si>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</si>
  <si>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</si>
  <si>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</si>
  <si>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</si>
  <si>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</si>
  <si>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</si>
  <si>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</si>
  <si>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</si>
  <si>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</si>
  <si>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</si>
  <si>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</si>
  <si>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</si>
  <si>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</si>
  <si>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</si>
  <si>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</si>
  <si>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</si>
  <si>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</si>
  <si>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</si>
  <si>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</si>
  <si>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</si>
  <si>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</si>
  <si>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</si>
  <si>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</si>
  <si>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</si>
  <si>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</si>
  <si>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</si>
  <si>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</si>
  <si>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</si>
  <si>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</si>
  <si>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</si>
  <si>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</si>
  <si>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</si>
  <si>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</si>
  <si>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</si>
  <si>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</si>
  <si>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</si>
  <si>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</si>
  <si>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</si>
  <si>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</si>
  <si>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</si>
  <si>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</si>
  <si>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</si>
  <si>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</si>
  <si>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</si>
  <si>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</si>
  <si>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</si>
  <si>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</si>
  <si>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</si>
  <si>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</si>
  <si>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</si>
  <si>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</si>
  <si>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</si>
  <si>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</si>
  <si>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</si>
  <si>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</si>
  <si>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</si>
  <si>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</si>
  <si>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</si>
  <si>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</si>
  <si>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</si>
  <si>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</si>
  <si>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</si>
  <si>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</si>
  <si>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</si>
  <si>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</si>
  <si>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</si>
  <si>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</si>
  <si>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</si>
  <si>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</si>
  <si>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</si>
  <si>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</si>
  <si>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</si>
  <si>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</si>
  <si>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</si>
  <si>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</si>
  <si>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</si>
  <si>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</si>
  <si>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</si>
  <si>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</si>
  <si>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</si>
  <si>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</si>
  <si>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</si>
  <si>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</si>
  <si>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</si>
  <si>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</si>
  <si>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</si>
  <si>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</si>
  <si>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</si>
  <si>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</si>
  <si>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</si>
  <si>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</si>
  <si>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</si>
  <si>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</si>
  <si>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</si>
  <si>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</si>
  <si>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</si>
  <si>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</si>
  <si>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</si>
  <si>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</si>
  <si>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</si>
  <si>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</si>
  <si>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</si>
  <si>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</si>
  <si>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</si>
  <si>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</si>
  <si>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</si>
  <si>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</si>
  <si>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</si>
  <si>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</si>
  <si>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</si>
  <si>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</si>
  <si>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</si>
  <si>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</si>
  <si>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</si>
  <si>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</si>
  <si>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</si>
  <si>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</si>
  <si>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</si>
  <si>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</si>
  <si>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</si>
  <si>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</si>
  <si>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</si>
  <si>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</si>
  <si>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</si>
  <si>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</si>
  <si>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</si>
  <si>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</si>
  <si>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</si>
  <si>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</si>
  <si>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</si>
  <si>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</si>
  <si>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</si>
  <si>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</si>
  <si>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</si>
  <si>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</si>
  <si>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</si>
  <si>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</si>
  <si>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</si>
  <si>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</si>
  <si>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</si>
  <si>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</si>
  <si>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</si>
  <si>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</si>
  <si>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</si>
  <si>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</si>
  <si>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</si>
  <si>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</si>
  <si>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</si>
  <si>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</si>
  <si>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</si>
  <si>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</si>
  <si>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</si>
  <si>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</si>
  <si>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</si>
  <si>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</si>
  <si>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</si>
  <si>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</si>
  <si>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</si>
  <si>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</si>
  <si>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</si>
  <si>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</si>
  <si>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</si>
  <si>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</si>
  <si>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</si>
  <si>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</si>
  <si>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</si>
  <si>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</si>
  <si>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</si>
  <si>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</si>
  <si>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</si>
  <si>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</si>
  <si>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</si>
  <si>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</si>
  <si>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</si>
  <si>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</si>
  <si>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</si>
  <si>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</si>
  <si>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</si>
  <si>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</si>
  <si>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</si>
  <si>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</si>
  <si>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</si>
  <si>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</si>
  <si>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</si>
  <si>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</si>
  <si>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</si>
  <si>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</si>
  <si>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</si>
  <si>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</si>
  <si>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</si>
  <si>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</si>
  <si>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</si>
  <si>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</si>
  <si>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</si>
  <si>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</si>
  <si>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</si>
  <si>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</si>
  <si>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</si>
  <si>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</si>
  <si>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</si>
  <si>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</si>
  <si>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</si>
  <si>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</si>
  <si>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</si>
  <si>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</si>
  <si>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</si>
  <si>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</si>
  <si>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</si>
  <si>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</si>
  <si>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</si>
  <si>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</si>
  <si>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</si>
  <si>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</si>
  <si>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</si>
  <si>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</si>
  <si>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</si>
  <si>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</si>
  <si>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</si>
  <si>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</si>
  <si>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</si>
  <si>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</si>
  <si>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</si>
  <si>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</si>
  <si>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</si>
  <si>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</si>
  <si>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</si>
  <si>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</si>
  <si>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</si>
  <si>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</si>
  <si>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</si>
  <si>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</si>
  <si>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</si>
  <si>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</si>
  <si>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</si>
  <si>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</si>
  <si>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</si>
  <si>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</si>
  <si>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</si>
  <si>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</si>
  <si>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</si>
  <si>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</si>
  <si>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</si>
  <si>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</si>
  <si>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</si>
  <si>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</si>
  <si>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</si>
  <si>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</si>
  <si>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</si>
  <si>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</si>
  <si>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</si>
  <si>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</si>
  <si>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</si>
  <si>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</si>
  <si>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</si>
  <si>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</si>
  <si>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</si>
  <si>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</si>
  <si>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</si>
  <si>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</si>
  <si>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</si>
  <si>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</si>
  <si>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</si>
  <si>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</si>
  <si>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</si>
  <si>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</si>
  <si>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</si>
  <si>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</si>
  <si>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</si>
  <si>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</si>
  <si>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</si>
  <si>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</si>
  <si>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</si>
  <si>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</si>
  <si>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</si>
  <si>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</si>
  <si>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</si>
  <si>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</si>
  <si>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</si>
  <si>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</si>
  <si>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</si>
  <si>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</si>
  <si>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</si>
  <si>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</si>
  <si>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</si>
  <si>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</si>
  <si>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</si>
  <si>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</si>
  <si>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</si>
  <si>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</si>
  <si>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</si>
  <si>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</si>
  <si>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</si>
  <si>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</si>
  <si>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</si>
  <si>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</si>
  <si>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</si>
  <si>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</si>
  <si>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</si>
  <si>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</si>
  <si>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</si>
  <si>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</si>
  <si>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</si>
  <si>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</si>
  <si>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</si>
  <si>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</si>
  <si>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</si>
  <si>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</si>
  <si>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</si>
  <si>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</si>
  <si>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</si>
  <si>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</si>
  <si>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</si>
  <si>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</si>
  <si>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</si>
  <si>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</si>
  <si>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</si>
  <si>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</si>
  <si>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</si>
  <si>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</si>
  <si>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</si>
  <si>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</si>
  <si>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</si>
  <si>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</si>
  <si>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</si>
  <si>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</si>
  <si>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</si>
  <si>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</si>
  <si>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</si>
  <si>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</si>
  <si>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</si>
  <si>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</si>
  <si>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</si>
  <si>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</si>
  <si>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</si>
  <si>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</si>
  <si>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</si>
  <si>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</si>
  <si>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</si>
  <si>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</si>
  <si>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</si>
  <si>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</si>
  <si>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</si>
  <si>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</si>
  <si>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</si>
  <si>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</si>
  <si>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</si>
  <si>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</si>
  <si>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</si>
  <si>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</si>
  <si>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</si>
  <si>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</si>
  <si>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</si>
  <si>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</si>
  <si>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</si>
  <si>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</si>
  <si>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</si>
  <si>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</si>
  <si>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</si>
  <si>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</si>
  <si>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</si>
  <si>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</si>
  <si>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</si>
  <si>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</si>
  <si>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</si>
  <si>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</si>
  <si>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</si>
  <si>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</si>
  <si>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</si>
  <si>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</si>
  <si>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</si>
  <si>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</si>
  <si>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</si>
  <si>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</si>
  <si>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</si>
  <si>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</si>
  <si>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</si>
  <si>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</si>
  <si>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</si>
  <si>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</si>
  <si>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</si>
  <si>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</si>
  <si>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</si>
  <si>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</si>
  <si>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</si>
  <si>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</si>
  <si>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</si>
  <si>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</si>
  <si>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</si>
  <si>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</si>
  <si>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</si>
  <si>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</si>
  <si>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</si>
  <si>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청상보하탕</t>
    <phoneticPr fontId="5" type="noConversion"/>
  </si>
  <si>
    <t>오명옥</t>
    <phoneticPr fontId="5" type="noConversion"/>
  </si>
  <si>
    <t>F</t>
    <phoneticPr fontId="5" type="noConversion"/>
  </si>
  <si>
    <t>숙지황</t>
    <phoneticPr fontId="5" type="noConversion"/>
  </si>
  <si>
    <t>자완</t>
    <phoneticPr fontId="5" type="noConversion"/>
  </si>
  <si>
    <t>백부근</t>
    <phoneticPr fontId="5" type="noConversion"/>
  </si>
  <si>
    <t>산약</t>
    <phoneticPr fontId="5" type="noConversion"/>
  </si>
  <si>
    <t>산수유</t>
    <phoneticPr fontId="5" type="noConversion"/>
  </si>
  <si>
    <t>과루인</t>
    <phoneticPr fontId="5" type="noConversion"/>
  </si>
  <si>
    <t>황금</t>
    <phoneticPr fontId="5" type="noConversion"/>
  </si>
  <si>
    <t>반하</t>
    <phoneticPr fontId="5" type="noConversion"/>
  </si>
  <si>
    <t>행인</t>
    <phoneticPr fontId="5" type="noConversion"/>
  </si>
  <si>
    <t>복령</t>
    <phoneticPr fontId="5" type="noConversion"/>
  </si>
  <si>
    <t>목단피</t>
    <phoneticPr fontId="5" type="noConversion"/>
  </si>
  <si>
    <t>지실</t>
    <phoneticPr fontId="5" type="noConversion"/>
  </si>
  <si>
    <t>맥문동</t>
    <phoneticPr fontId="5" type="noConversion"/>
  </si>
  <si>
    <t>오미자</t>
    <phoneticPr fontId="5" type="noConversion"/>
  </si>
  <si>
    <t>황련</t>
    <phoneticPr fontId="5" type="noConversion"/>
  </si>
  <si>
    <t>패모</t>
    <phoneticPr fontId="5" type="noConversion"/>
  </si>
  <si>
    <t>길경</t>
    <phoneticPr fontId="5" type="noConversion"/>
  </si>
  <si>
    <t>천문동</t>
    <phoneticPr fontId="5" type="noConversion"/>
  </si>
  <si>
    <t>감초</t>
    <phoneticPr fontId="5" type="noConversion"/>
  </si>
  <si>
    <t>진피1</t>
    <phoneticPr fontId="5" type="noConversion"/>
  </si>
  <si>
    <t>택사1</t>
    <phoneticPr fontId="5" type="noConversion"/>
  </si>
  <si>
    <t>죽여1</t>
    <phoneticPr fontId="5" type="noConversion"/>
  </si>
  <si>
    <t>치자</t>
    <phoneticPr fontId="5" type="noConversion"/>
  </si>
  <si>
    <t>초</t>
    <phoneticPr fontId="5" type="noConversion"/>
  </si>
  <si>
    <t>2차약 - 육미 감량 + 반하, 패모, 길경, 행인 증량 + 치자초
#흉민, 담다</t>
    <phoneticPr fontId="5" type="noConversion"/>
  </si>
  <si>
    <t>죽여1</t>
    <phoneticPr fontId="5" type="noConversion"/>
  </si>
  <si>
    <t>나복자</t>
    <phoneticPr fontId="5" type="noConversion"/>
  </si>
  <si>
    <t>신곡</t>
    <phoneticPr fontId="5" type="noConversion"/>
  </si>
  <si>
    <t>맥아</t>
    <phoneticPr fontId="5" type="noConversion"/>
  </si>
  <si>
    <t>2차약 - 육미 감량 + 반하, 패모, 길경, 행인 + 치자초 + 신곡 맥아 
#흉민</t>
    <phoneticPr fontId="5" type="noConversion"/>
  </si>
  <si>
    <t>마자인</t>
    <phoneticPr fontId="5" type="noConversion"/>
  </si>
  <si>
    <t>4차약 - 육미, 반하 감량 + 패모, 길경, 행인 + 신곡 맥아 + 마자인 
#변비</t>
    <phoneticPr fontId="5" type="noConversion"/>
  </si>
  <si>
    <t>6차약 - 산약 + 치자초 + 마자인 증량
#변비</t>
    <phoneticPr fontId="5" type="noConversion"/>
  </si>
  <si>
    <t>7차약 - 치자 + 황련, 숙지황 증량 + 진피</t>
    <phoneticPr fontId="5" type="noConversion"/>
  </si>
  <si>
    <t>생강</t>
    <phoneticPr fontId="5" type="noConversion"/>
  </si>
  <si>
    <t>3차약 - 과루인감량 진피대생강
#흉민, 담다</t>
    <phoneticPr fontId="5" type="noConversion"/>
  </si>
  <si>
    <t>9차약과 동일</t>
    <phoneticPr fontId="5" type="noConversion"/>
  </si>
  <si>
    <t>관동화</t>
    <phoneticPr fontId="5" type="noConversion"/>
  </si>
  <si>
    <t>금은화</t>
    <phoneticPr fontId="5" type="noConversion"/>
  </si>
  <si>
    <t>소자</t>
    <phoneticPr fontId="5" type="noConversion"/>
  </si>
  <si>
    <t>백개자</t>
    <phoneticPr fontId="5" type="noConversion"/>
  </si>
  <si>
    <t xml:space="preserve">육미감량 </t>
    <phoneticPr fontId="5" type="noConversion"/>
  </si>
  <si>
    <t>전호</t>
    <phoneticPr fontId="5" type="noConversion"/>
  </si>
  <si>
    <t>천화분</t>
    <phoneticPr fontId="5" type="noConversion"/>
  </si>
  <si>
    <t>천문동 대 천화분</t>
    <phoneticPr fontId="5" type="noConversion"/>
  </si>
  <si>
    <t>창출1</t>
    <phoneticPr fontId="5" type="noConversion"/>
  </si>
  <si>
    <t>사삼</t>
    <phoneticPr fontId="5" type="noConversion"/>
  </si>
  <si>
    <t>지골피</t>
    <phoneticPr fontId="5" type="noConversion"/>
  </si>
  <si>
    <t>청상보하탕 + 사삼 지골피 금은화 관동화</t>
    <phoneticPr fontId="5" type="noConversion"/>
  </si>
  <si>
    <t>백출</t>
    <phoneticPr fontId="5" type="noConversion"/>
  </si>
  <si>
    <t>백합</t>
    <phoneticPr fontId="5" type="noConversion"/>
  </si>
  <si>
    <t>건지황</t>
    <phoneticPr fontId="5" type="noConversion"/>
  </si>
  <si>
    <t>상백피</t>
    <phoneticPr fontId="5" type="noConversion"/>
  </si>
  <si>
    <t>지각</t>
    <phoneticPr fontId="5" type="noConversion"/>
  </si>
  <si>
    <t>단삼</t>
    <phoneticPr fontId="5" type="noConversion"/>
  </si>
  <si>
    <t>후박</t>
    <phoneticPr fontId="5" type="noConversion"/>
  </si>
  <si>
    <t>당귀1</t>
    <phoneticPr fontId="5" type="noConversion"/>
  </si>
  <si>
    <t>페루</t>
    <phoneticPr fontId="5" type="noConversion"/>
  </si>
  <si>
    <t>교이</t>
    <phoneticPr fontId="9" type="noConversion"/>
  </si>
  <si>
    <t>600g씨케이중국</t>
    <phoneticPr fontId="5" type="noConversion"/>
  </si>
  <si>
    <t>염자</t>
    <phoneticPr fontId="5" type="noConversion"/>
  </si>
  <si>
    <t>500g (신흥,법)</t>
  </si>
  <si>
    <t>백합</t>
    <phoneticPr fontId="9" type="noConversion"/>
  </si>
  <si>
    <t>부소맥</t>
    <phoneticPr fontId="5" type="noConversion"/>
  </si>
  <si>
    <t>퓨어마인드중국</t>
    <phoneticPr fontId="5" type="noConversion"/>
  </si>
  <si>
    <t>신흥, 500g</t>
    <phoneticPr fontId="5" type="noConversion"/>
  </si>
  <si>
    <t>4년근 로라추말</t>
    <phoneticPr fontId="5" type="noConversion"/>
  </si>
  <si>
    <t>자충</t>
    <phoneticPr fontId="9" type="noConversion"/>
  </si>
  <si>
    <t>조협</t>
    <phoneticPr fontId="9" type="noConversion"/>
  </si>
  <si>
    <t>푸른무약중국</t>
    <phoneticPr fontId="5" type="noConversion"/>
  </si>
  <si>
    <t>천오</t>
    <phoneticPr fontId="9" type="noConversion"/>
  </si>
  <si>
    <t>신흥중국</t>
    <phoneticPr fontId="5" type="noConversion"/>
  </si>
  <si>
    <t>500g 신흥중국</t>
    <phoneticPr fontId="5" type="noConversion"/>
  </si>
  <si>
    <t>주증</t>
    <phoneticPr fontId="5" type="noConversion"/>
  </si>
  <si>
    <t>앤탭터키</t>
    <phoneticPr fontId="5" type="noConversion"/>
  </si>
  <si>
    <t>양진한치-기관지확장증방</t>
    <phoneticPr fontId="5" type="noConversion"/>
  </si>
  <si>
    <t>기관지확장증방3 + 치자, 평위산</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</si>
</sst>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thin">
        <color rgb="FF7F7F7F"/>
      </right>
      <top style="medium">
        <color indexed="64"/>
      </top>
      <bottom style="thin">
        <color rgb="FF7F7F7F"/>
      </bottom>
      <diagonal/>
    </border>
    <border>
      <left style="medium">
        <color indexed="64"/>
      </left>
      <right/>
      <top style="thin">
        <color indexed="64"/>
      </top>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9">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0" fontId="7" fillId="7" borderId="37" xfId="5" applyFont="1" applyFill="1" applyBorder="1" applyAlignment="1">
      <alignment horizontal="center" vertical="center"/>
    </xf>
    <xf numFmtId="41" fontId="3" fillId="5" borderId="38" xfId="3" applyNumberFormat="1" applyBorder="1" applyAlignment="1">
      <alignment horizontal="center" vertical="center"/>
    </xf>
    <xf numFmtId="176" fontId="2" fillId="3" borderId="17" xfId="2" applyNumberFormat="1" applyBorder="1" applyAlignment="1">
      <alignment horizontal="center" vertical="center"/>
    </xf>
    <xf numFmtId="177" fontId="7" fillId="9" borderId="39" xfId="5" applyNumberFormat="1" applyFont="1" applyFill="1" applyBorder="1" applyAlignment="1">
      <alignment vertical="center"/>
    </xf>
    <xf numFmtId="41" fontId="3" fillId="5" borderId="40" xfId="3" applyNumberFormat="1" applyBorder="1" applyAlignment="1">
      <alignment vertical="center"/>
    </xf>
    <xf numFmtId="41" fontId="3" fillId="5" borderId="41" xfId="3" applyNumberFormat="1" applyBorder="1" applyAlignment="1">
      <alignment vertical="center"/>
    </xf>
    <xf numFmtId="41" fontId="3" fillId="5" borderId="42" xfId="3" applyNumberFormat="1" applyBorder="1" applyAlignment="1">
      <alignment vertical="center"/>
    </xf>
    <xf numFmtId="176" fontId="8" fillId="4" borderId="43" xfId="6" applyNumberFormat="1" applyBorder="1" applyAlignment="1">
      <alignment horizontal="right" vertical="center"/>
    </xf>
    <xf numFmtId="176" fontId="8" fillId="4" borderId="44" xfId="6" applyNumberFormat="1" applyBorder="1" applyAlignment="1">
      <alignment horizontal="right" vertical="center"/>
    </xf>
    <xf numFmtId="176" fontId="8" fillId="4" borderId="45" xfId="6" applyNumberFormat="1" applyBorder="1" applyAlignment="1">
      <alignment horizontal="right" vertical="center"/>
    </xf>
    <xf numFmtId="176" fontId="2" fillId="3" borderId="46" xfId="2" applyNumberFormat="1" applyBorder="1" applyAlignment="1">
      <alignment horizontal="right" vertical="center"/>
    </xf>
    <xf numFmtId="0" fontId="10" fillId="6" borderId="47" xfId="4" applyFont="1" applyBorder="1" applyAlignment="1">
      <alignment horizontal="right" vertical="center"/>
    </xf>
    <xf numFmtId="0" fontId="10" fillId="6" borderId="48" xfId="4" applyFont="1" applyBorder="1" applyAlignment="1">
      <alignment horizontal="right" vertical="center"/>
    </xf>
    <xf numFmtId="0" fontId="10" fillId="6" borderId="49" xfId="4" applyFont="1" applyBorder="1" applyAlignment="1">
      <alignment horizontal="right" vertical="center"/>
    </xf>
    <xf numFmtId="0" fontId="7" fillId="7" borderId="3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41" fontId="6" fillId="0" borderId="51" xfId="5" applyNumberFormat="1" applyBorder="1" applyAlignment="1">
      <alignment vertical="center"/>
    </xf>
    <xf numFmtId="176" fontId="6" fillId="0" borderId="51" xfId="5" applyNumberFormat="1" applyBorder="1" applyAlignment="1">
      <alignment vertical="center"/>
    </xf>
    <xf numFmtId="0" fontId="11" fillId="0" borderId="32" xfId="5" applyFont="1" applyBorder="1"/>
    <xf numFmtId="0" fontId="7" fillId="7" borderId="52" xfId="5" applyFont="1" applyFill="1" applyBorder="1" applyAlignment="1">
      <alignment vertical="center"/>
    </xf>
    <xf numFmtId="41" fontId="6" fillId="0" borderId="28" xfId="5" applyNumberFormat="1" applyBorder="1" applyAlignment="1">
      <alignment vertical="center"/>
    </xf>
    <xf numFmtId="176" fontId="1" fillId="2" borderId="30" xfId="1" applyNumberFormat="1" applyBorder="1" applyAlignment="1"/>
    <xf numFmtId="0" fontId="7" fillId="8" borderId="37" xfId="5" applyFont="1" applyFill="1" applyBorder="1" applyAlignment="1">
      <alignment vertical="center"/>
    </xf>
    <xf numFmtId="176" fontId="13" fillId="8" borderId="21" xfId="1" applyNumberFormat="1" applyFont="1" applyFill="1" applyBorder="1" applyAlignment="1">
      <alignment vertical="center"/>
    </xf>
    <xf numFmtId="0" fontId="7" fillId="8" borderId="50" xfId="5" applyFont="1" applyFill="1" applyBorder="1" applyAlignment="1">
      <alignment vertical="center"/>
    </xf>
    <xf numFmtId="0" fontId="7" fillId="8" borderId="52" xfId="5" applyFont="1" applyFill="1" applyBorder="1" applyAlignment="1">
      <alignment vertical="center"/>
    </xf>
    <xf numFmtId="0" fontId="11" fillId="0" borderId="29" xfId="5" applyFont="1" applyBorder="1"/>
    <xf numFmtId="0" fontId="7" fillId="8" borderId="50" xfId="5" applyFont="1" applyFill="1" applyBorder="1" applyAlignment="1">
      <alignment horizontal="left" vertical="center"/>
    </xf>
    <xf numFmtId="0" fontId="7" fillId="8" borderId="52" xfId="5" applyFont="1" applyFill="1" applyBorder="1" applyAlignment="1">
      <alignment horizontal="left" vertical="center"/>
    </xf>
    <xf numFmtId="0" fontId="7" fillId="7" borderId="37" xfId="5" applyFont="1" applyFill="1" applyBorder="1" applyAlignment="1">
      <alignment horizontal="left" vertical="center"/>
    </xf>
    <xf numFmtId="0" fontId="7" fillId="7" borderId="50" xfId="5" applyFont="1" applyFill="1" applyBorder="1" applyAlignment="1">
      <alignment horizontal="left" vertical="center"/>
    </xf>
    <xf numFmtId="176" fontId="13" fillId="0" borderId="33" xfId="1" applyNumberFormat="1" applyFont="1" applyFill="1" applyBorder="1" applyAlignment="1">
      <alignment vertical="center"/>
    </xf>
    <xf numFmtId="0" fontId="7" fillId="7" borderId="52" xfId="5" applyFont="1" applyFill="1" applyBorder="1" applyAlignment="1">
      <alignment horizontal="left" vertical="center"/>
    </xf>
    <xf numFmtId="0" fontId="7" fillId="8" borderId="37" xfId="5" applyFont="1" applyFill="1" applyBorder="1" applyAlignment="1">
      <alignment horizontal="left" vertical="center"/>
    </xf>
    <xf numFmtId="0" fontId="12" fillId="8" borderId="21" xfId="6" applyFont="1" applyFill="1" applyBorder="1">
      <alignment vertical="center"/>
    </xf>
    <xf numFmtId="0" fontId="7" fillId="0" borderId="50" xfId="5" applyFont="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14" fillId="0" borderId="0" xfId="0" applyFont="1"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0" xfId="0"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A9FAF93B-D12B-4C3D-B7CD-324505AC77F8}">
    <text>국산</text>
  </threadedComment>
  <threadedComment ref="A4" dT="2024-09-12T16:16:28.05" personId="{0277103A-E300-412D-B5C0-A5092221214E}" id="{87BCD8D5-8770-46A5-87D5-71BDEC253881}">
    <text>중국산</text>
  </threadedComment>
  <threadedComment ref="A8" dT="2024-09-12T16:16:48.00" personId="{0277103A-E300-412D-B5C0-A5092221214E}" id="{D9F08438-222C-4DB2-8070-BFA837CF7224}">
    <text>남강활</text>
  </threadedComment>
  <threadedComment ref="A9" dT="2024-09-12T16:17:02.12" personId="{0277103A-E300-412D-B5C0-A5092221214E}" id="{2A2880D6-1BDB-4877-800C-791F5476542B}">
    <text>북강활</text>
  </threadedComment>
  <threadedComment ref="N9" dT="2024-09-12T05:51:52.29" personId="{00000000-0000-0000-0000-000000000000}" id="{BED3B6D1-AD3D-46BF-9118-01F4E5C65AF1}">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FC623FE0-9177-4F1C-ACB0-E6FB65EF8421}">
    <text>배초향(국산)</text>
  </threadedComment>
  <threadedComment ref="A23" dT="2024-09-12T16:17:54.11" personId="{0277103A-E300-412D-B5C0-A5092221214E}" id="{EAE05E9F-0B3D-4877-ADB3-73DCBF1BD458}">
    <text>광곽향</text>
  </threadedComment>
  <threadedComment ref="A38" dT="2024-09-12T16:15:45.21" personId="{0277103A-E300-412D-B5C0-A5092221214E}" id="{31CE0CB2-3914-4DB6-86BB-FB7C52ABFF1C}">
    <text>일당귀</text>
  </threadedComment>
  <threadedComment ref="A39" dT="2024-09-12T16:15:56.22" personId="{0277103A-E300-412D-B5C0-A5092221214E}" id="{E5AF5EFA-AD28-4254-A145-FAC19605A8BA}">
    <text>토당귀, 참당귀</text>
  </threadedComment>
  <threadedComment ref="N44" dT="2024-09-12T05:13:07.78" personId="{00000000-0000-0000-0000-000000000000}" id="{DC0077DE-C6C6-4675-BBD8-D4B8B93019FF}">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CF0D17A0-B764-4E0A-A14E-A258DD9C9A0D}">
    <text>100g</text>
  </threadedComment>
  <threadedComment ref="G53" dT="2024-09-12T04:33:28.57" personId="{00000000-0000-0000-0000-000000000000}" id="{7D777561-EB80-41B2-84C0-BA83759CC5F8}">
    <text>600g</text>
  </threadedComment>
  <threadedComment ref="N54" dT="2024-09-13T04:58:21.35" personId="{0277103A-E300-412D-B5C0-A5092221214E}" id="{03C897D7-AA49-4D72-B4DD-4FEB22279670}">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0F8EDA89-BFB1-46CD-B3D3-9395B0AAF215}">
    <text>1kg 신흥</text>
  </threadedComment>
  <threadedComment ref="A64" dT="2024-09-12T16:18:16.70" personId="{0277103A-E300-412D-B5C0-A5092221214E}" id="{409AB434-F3CE-4DB9-9D31-D6B53D1CE5F1}">
    <text>분방기</text>
  </threadedComment>
  <threadedComment ref="N64" dT="2024-09-12T07:47:29.54" personId="{00000000-0000-0000-0000-000000000000}" id="{37290625-0F6C-4E3D-9FAA-58C18A3C51B7}">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D966B800-AD7A-488D-9D8B-51E18C9763E8}">
    <text>청풍등</text>
  </threadedComment>
  <threadedComment ref="A66" dT="2024-09-12T16:18:36.31" personId="{0277103A-E300-412D-B5C0-A5092221214E}" id="{B3ECF901-92F0-4D33-B836-BD511C51901C}">
    <text>목방기</text>
  </threadedComment>
  <threadedComment ref="A67" dT="2024-09-12T16:18:51.22" personId="{0277103A-E300-412D-B5C0-A5092221214E}" id="{6D86D902-AD06-4356-954B-C0C99A5A8290}">
    <text>관방풍</text>
  </threadedComment>
  <threadedComment ref="N67" dT="2024-09-12T06:53:13.26" personId="{00000000-0000-0000-0000-000000000000}" id="{97929C94-250D-4CDC-944F-61497CBE08CC}">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0D8F6C36-07C1-4ED9-8B18-FA7A78A0D5B9}">
    <text>식방풍/해방풍</text>
  </threadedComment>
  <threadedComment ref="I75" dT="2024-09-12T04:32:48.49" personId="{00000000-0000-0000-0000-000000000000}" id="{5CF9A89D-1DE6-4358-BF79-74C33093462E}">
    <text>의성, 유피</text>
  </threadedComment>
  <threadedComment ref="N75" dT="2024-09-12T07:43:39.33" personId="{00000000-0000-0000-0000-000000000000}" id="{CB044A6F-264F-41F9-AF09-66EFF9A82AA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27B21011-B32D-4D1C-A781-955A3B3D98B3}">
    <text>기원백출</text>
  </threadedComment>
  <threadedComment ref="N80" dT="2024-09-12T06:51:12.26" personId="{00000000-0000-0000-0000-000000000000}" id="{2E7DCC8D-0262-4F21-A0DD-C6E1F64899A9}">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6A0764CE-A3CA-4EE0-8901-D48355A64668}">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C118776C-FFCC-4600-8B35-4DB78BA03C5E}">
    <text>휴먼허브, 초, 원산조인, 중국</text>
  </threadedComment>
  <threadedComment ref="A113" dT="2024-09-12T16:19:48.44" personId="{0277103A-E300-412D-B5C0-A5092221214E}" id="{D0C799B5-1242-4B3D-B77F-472F2D8C4B2F}">
    <text>북시호</text>
  </threadedComment>
  <threadedComment ref="N113" dT="2024-09-12T07:49:51.15" personId="{00000000-0000-0000-0000-000000000000}" id="{72188F86-BB76-4F89-9AB0-A9420E45782D}">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F47CD29C-D6F4-476B-AC37-34194AFF24ED}">
    <text>야생시호</text>
  </threadedComment>
  <threadedComment ref="N114" dT="2024-09-12T07:59:25.73" personId="{00000000-0000-0000-0000-000000000000}" id="{C31548F9-BBEB-491B-8E71-1575C0EFC033}">
    <text>사이코사포닌0.3%이상</text>
  </threadedComment>
  <threadedComment ref="N127" dT="2024-09-12T07:33:39.37" personId="{00000000-0000-0000-0000-000000000000}" id="{F8D66131-51C4-41DE-9E19-7F777DDC1BE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42DA49DC-4F12-4555-B5BF-D1917FA5381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BA29CD36-E818-4242-8B16-3857C8F30631}">
    <text>주증</text>
  </threadedComment>
  <threadedComment ref="A151" dT="2024-09-12T16:20:20.23" personId="{0277103A-E300-412D-B5C0-A5092221214E}" id="{1384118E-0E6A-46FA-B98F-97129A3B9717}">
    <text>백화전호</text>
  </threadedComment>
  <threadedComment ref="A155" dT="2024-09-12T16:20:31.35" personId="{0277103A-E300-412D-B5C0-A5092221214E}" id="{EA4F8272-87E5-4517-BD8E-6DC01B8004FE}">
    <text>국산</text>
  </threadedComment>
  <threadedComment ref="A156" dT="2024-09-12T16:20:37.76" personId="{0277103A-E300-412D-B5C0-A5092221214E}" id="{B37DBB5C-8F47-4227-9366-5D327E39E594}">
    <text>중국산</text>
  </threadedComment>
  <threadedComment ref="I162" dT="2024-09-12T04:24:51.64" personId="{00000000-0000-0000-0000-000000000000}" id="{B6A48CBA-5CEB-42EE-B243-0213FF369148}">
    <text>중국, 흑지실</text>
  </threadedComment>
  <threadedComment ref="A165" dT="2024-09-12T16:20:55.53" personId="{0277103A-E300-412D-B5C0-A5092221214E}" id="{88A3762C-B7BB-43CC-83F6-2031D680F4C5}">
    <text>귤피</text>
  </threadedComment>
  <threadedComment ref="A166" dT="2024-09-12T16:21:11.61" personId="{0277103A-E300-412D-B5C0-A5092221214E}" id="{50C363C8-7F7C-4399-BF8C-39539FCFDFC4}">
    <text>산물진피</text>
  </threadedComment>
  <threadedComment ref="A167" dT="2024-09-12T16:21:01.68" personId="{0277103A-E300-412D-B5C0-A5092221214E}" id="{41BDDB48-A9F8-4CE9-9864-A67B292DB308}">
    <text>물푸레진피</text>
  </threadedComment>
  <threadedComment ref="A170" dT="2024-09-12T16:21:31.68" personId="{0277103A-E300-412D-B5C0-A5092221214E}" id="{5BAF6E56-4EA4-4832-96A9-E9D992D7C03D}">
    <text>삽주</text>
  </threadedComment>
  <threadedComment ref="A171" dT="2024-09-12T16:21:25.45" personId="{0277103A-E300-412D-B5C0-A5092221214E}" id="{AF21659F-4D69-4668-89C9-1EB633F740F7}">
    <text>북창출/모창출</text>
  </threadedComment>
  <threadedComment ref="N171" dT="2024-09-12T07:40:54.71" personId="{00000000-0000-0000-0000-000000000000}" id="{A74EB2D0-C3F7-4970-B90E-D0571B706272}">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7D15C392-F606-4CB5-B080-4FB29E11116A}" parentId="{A74EB2D0-C3F7-4970-B90E-D0571B706272}">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8EE11073-4FCF-464D-8818-85AFEECE9D27}">
    <text>일천궁</text>
  </threadedComment>
  <threadedComment ref="N172" dT="2024-09-12T07:24:28.34" personId="{00000000-0000-0000-0000-000000000000}" id="{009CE9DB-251A-4FD7-B3BD-6E8ACCD91039}">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EEDA7148-2E48-4209-A37A-9217DF214F80}">
    <text>토천궁</text>
  </threadedComment>
  <threadedComment ref="N180" dT="2024-09-12T07:30:41.95" personId="{00000000-0000-0000-0000-000000000000}" id="{8DD9BB19-F752-4FD0-894A-0A41F729106D}">
    <text xml:space="preserve">- 5〜6월에 스스로 떨어진 유과(幼果)를 수집하고 볕에 말린 것을 “개청피(個靑皮)”라 하며 </text>
  </threadedComment>
  <threadedComment ref="N180" dT="2024-09-12T14:37:59.85" personId="{0277103A-E300-412D-B5C0-A5092221214E}" id="{4E8AF2B2-F1DF-408C-8FAF-503343E80F4A}" parentId="{8DD9BB19-F752-4FD0-894A-0A41F729106D}">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F06F052A-86FD-46B6-B9EB-E638B2A2B019}">
    <text>국산</text>
  </threadedComment>
  <threadedComment ref="A187" dT="2024-09-12T16:22:10.88" personId="{0277103A-E300-412D-B5C0-A5092221214E}" id="{593D22F7-B6EF-4638-B907-84DB686CD578}">
    <text>중국산</text>
  </threadedComment>
  <threadedComment ref="N205" dT="2024-09-12T14:45:25.20" personId="{0277103A-E300-412D-B5C0-A5092221214E}" id="{926C50AD-40E9-4E1E-8DCF-6D50879917EF}">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29853B27-19CB-49E7-AB0E-9AC768420662}">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5.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4401A-9A78-438A-87B1-FA09499F0DCD}">
  <sheetPr>
    <pageSetUpPr fitToPage="1"/>
  </sheetPr>
  <dimension ref="B1:M31"/>
  <sheetViews>
    <sheetView workbookViewId="0">
      <selection activeCell="L18" sqref="L18"/>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445</v>
      </c>
      <c r="D2" s="4"/>
      <c r="E2">
        <v>10</v>
      </c>
      <c r="F2" s="108">
        <f>E2*$L$15</f>
        <v>200</v>
      </c>
      <c r="G2">
        <f>VLOOKUP($C2,약재관리!A:J,10,FALSE)</f>
        <v>27.2</v>
      </c>
      <c r="H2" s="5">
        <f>G2*E2</f>
        <v>272</v>
      </c>
      <c r="I2" s="97">
        <f>G2*F2</f>
        <v>5440</v>
      </c>
      <c r="K2" s="7" t="s">
        <v>9</v>
      </c>
      <c r="L2" s="162">
        <v>19</v>
      </c>
      <c r="M2" s="163"/>
    </row>
    <row r="3" spans="2:13">
      <c r="B3" s="3">
        <v>2</v>
      </c>
      <c r="C3" t="s">
        <v>411</v>
      </c>
      <c r="D3" s="4"/>
      <c r="E3">
        <v>10</v>
      </c>
      <c r="F3" s="108">
        <f t="shared" ref="F3:F31" si="0">E3*$L$15</f>
        <v>200</v>
      </c>
      <c r="G3">
        <f>VLOOKUP($C3,약재관리!A:J,10,FALSE)</f>
        <v>44.3</v>
      </c>
      <c r="H3" s="5">
        <f t="shared" ref="H3:H31" si="1">G3*E3</f>
        <v>443</v>
      </c>
      <c r="I3" s="6">
        <f t="shared" ref="I3:I31" si="2">G3*F3</f>
        <v>8860</v>
      </c>
      <c r="K3" s="8" t="s">
        <v>10</v>
      </c>
      <c r="L3" s="164" t="s">
        <v>474</v>
      </c>
      <c r="M3" s="165"/>
    </row>
    <row r="4" spans="2:13">
      <c r="B4" s="3">
        <v>3</v>
      </c>
      <c r="C4" t="s">
        <v>449</v>
      </c>
      <c r="D4" s="4"/>
      <c r="E4">
        <v>6</v>
      </c>
      <c r="F4" s="108">
        <f t="shared" si="0"/>
        <v>120</v>
      </c>
      <c r="G4">
        <f>VLOOKUP($C4,약재관리!A:J,10,FALSE)</f>
        <v>16.7</v>
      </c>
      <c r="H4" s="5">
        <f t="shared" si="1"/>
        <v>100.19999999999999</v>
      </c>
      <c r="I4" s="6">
        <f t="shared" si="2"/>
        <v>2004</v>
      </c>
      <c r="K4" s="8" t="s">
        <v>11</v>
      </c>
      <c r="L4" s="166">
        <v>45765</v>
      </c>
      <c r="M4" s="165"/>
    </row>
    <row r="5" spans="2:13">
      <c r="B5" s="3">
        <v>4</v>
      </c>
      <c r="C5" t="s">
        <v>450</v>
      </c>
      <c r="D5" s="4"/>
      <c r="E5">
        <v>6</v>
      </c>
      <c r="F5" s="108">
        <f t="shared" si="0"/>
        <v>120</v>
      </c>
      <c r="G5">
        <f>VLOOKUP($C5,약재관리!A:J,10,FALSE)</f>
        <v>14.4</v>
      </c>
      <c r="H5" s="5">
        <f t="shared" si="1"/>
        <v>86.4</v>
      </c>
      <c r="I5" s="6">
        <f t="shared" si="2"/>
        <v>1728</v>
      </c>
      <c r="K5" s="8" t="s">
        <v>12</v>
      </c>
      <c r="L5" s="167" t="s">
        <v>397</v>
      </c>
      <c r="M5" s="165"/>
    </row>
    <row r="6" spans="2:13">
      <c r="B6" s="3">
        <v>5</v>
      </c>
      <c r="C6" t="s">
        <v>451</v>
      </c>
      <c r="D6" s="4"/>
      <c r="E6">
        <v>6</v>
      </c>
      <c r="F6" s="108">
        <f t="shared" si="0"/>
        <v>120</v>
      </c>
      <c r="G6">
        <f>VLOOKUP($C6,약재관리!A:J,10,FALSE)</f>
        <v>35</v>
      </c>
      <c r="H6" s="5">
        <f t="shared" si="1"/>
        <v>210</v>
      </c>
      <c r="I6" s="6">
        <f t="shared" si="2"/>
        <v>4200</v>
      </c>
      <c r="K6" s="8" t="s">
        <v>13</v>
      </c>
      <c r="L6" s="167" t="s">
        <v>398</v>
      </c>
      <c r="M6" s="165"/>
    </row>
    <row r="7" spans="2:13" ht="17.25" thickBot="1">
      <c r="B7" s="3">
        <v>6</v>
      </c>
      <c r="C7" t="s">
        <v>446</v>
      </c>
      <c r="D7" s="4"/>
      <c r="E7">
        <v>6</v>
      </c>
      <c r="F7" s="108">
        <f t="shared" si="0"/>
        <v>120</v>
      </c>
      <c r="G7">
        <f>VLOOKUP($C7,약재관리!A:J,10,FALSE)</f>
        <v>21.7</v>
      </c>
      <c r="H7" s="5">
        <f t="shared" si="1"/>
        <v>130.19999999999999</v>
      </c>
      <c r="I7" s="6">
        <f t="shared" si="2"/>
        <v>2604</v>
      </c>
      <c r="K7" s="8" t="s">
        <v>14</v>
      </c>
      <c r="L7" s="148">
        <v>58</v>
      </c>
      <c r="M7" s="149"/>
    </row>
    <row r="8" spans="2:13" ht="17.25" thickBot="1">
      <c r="B8" s="3">
        <v>7</v>
      </c>
      <c r="C8" t="s">
        <v>414</v>
      </c>
      <c r="D8" s="4"/>
      <c r="E8">
        <v>4.5</v>
      </c>
      <c r="F8" s="108">
        <f t="shared" si="0"/>
        <v>90</v>
      </c>
      <c r="G8">
        <f>VLOOKUP($C8,약재관리!A:J,10,FALSE)</f>
        <v>32</v>
      </c>
      <c r="H8" s="5">
        <f t="shared" si="1"/>
        <v>144</v>
      </c>
      <c r="I8" s="6">
        <f t="shared" si="2"/>
        <v>2880</v>
      </c>
      <c r="K8" s="150" t="s">
        <v>15</v>
      </c>
      <c r="L8" s="151"/>
      <c r="M8" s="152"/>
    </row>
    <row r="9" spans="2:13">
      <c r="B9" s="3">
        <v>8</v>
      </c>
      <c r="C9" t="s">
        <v>452</v>
      </c>
      <c r="D9" s="4"/>
      <c r="E9">
        <v>6</v>
      </c>
      <c r="F9" s="108">
        <f t="shared" si="0"/>
        <v>120</v>
      </c>
      <c r="G9">
        <f>VLOOKUP($C9,약재관리!A:J,10,FALSE)</f>
        <v>10</v>
      </c>
      <c r="H9" s="5">
        <f t="shared" si="1"/>
        <v>60</v>
      </c>
      <c r="I9" s="6">
        <f t="shared" si="2"/>
        <v>1200</v>
      </c>
      <c r="K9" s="153" t="s">
        <v>475</v>
      </c>
      <c r="L9" s="154"/>
      <c r="M9" s="155"/>
    </row>
    <row r="10" spans="2:13">
      <c r="B10" s="3">
        <v>9</v>
      </c>
      <c r="C10" t="s">
        <v>453</v>
      </c>
      <c r="D10" s="4"/>
      <c r="E10">
        <v>6</v>
      </c>
      <c r="F10" s="108">
        <f t="shared" si="0"/>
        <v>120</v>
      </c>
      <c r="G10">
        <f>VLOOKUP($C10,약재관리!A:J,10,FALSE)</f>
        <v>14.8</v>
      </c>
      <c r="H10" s="5">
        <f t="shared" si="1"/>
        <v>88.800000000000011</v>
      </c>
      <c r="I10" s="6">
        <f t="shared" si="2"/>
        <v>1776</v>
      </c>
      <c r="K10" s="156"/>
      <c r="L10" s="157"/>
      <c r="M10" s="158"/>
    </row>
    <row r="11" spans="2:13">
      <c r="B11" s="3">
        <v>10</v>
      </c>
      <c r="C11" t="s">
        <v>455</v>
      </c>
      <c r="D11" s="4"/>
      <c r="E11">
        <v>4</v>
      </c>
      <c r="F11" s="108">
        <f t="shared" si="0"/>
        <v>80</v>
      </c>
      <c r="G11">
        <f>VLOOKUP($C11,약재관리!A:J,10,FALSE)</f>
        <v>27.2</v>
      </c>
      <c r="H11" s="5">
        <f t="shared" si="1"/>
        <v>108.8</v>
      </c>
      <c r="I11" s="6">
        <f t="shared" si="2"/>
        <v>2176</v>
      </c>
      <c r="K11" s="156"/>
      <c r="L11" s="157"/>
      <c r="M11" s="158"/>
    </row>
    <row r="12" spans="2:13">
      <c r="B12" s="3">
        <v>11</v>
      </c>
      <c r="C12" t="s">
        <v>421</v>
      </c>
      <c r="D12" s="4"/>
      <c r="E12">
        <v>4</v>
      </c>
      <c r="F12" s="108">
        <f t="shared" si="0"/>
        <v>80</v>
      </c>
      <c r="G12">
        <f>VLOOKUP($C12,약재관리!A:J,10,FALSE)</f>
        <v>26</v>
      </c>
      <c r="H12" s="5">
        <f t="shared" si="1"/>
        <v>104</v>
      </c>
      <c r="I12" s="6">
        <f t="shared" si="2"/>
        <v>2080</v>
      </c>
      <c r="K12" s="156"/>
      <c r="L12" s="157"/>
      <c r="M12" s="158"/>
    </row>
    <row r="13" spans="2:13" ht="17.25" thickBot="1">
      <c r="B13" s="3">
        <v>12</v>
      </c>
      <c r="C13" t="s">
        <v>448</v>
      </c>
      <c r="D13" s="4"/>
      <c r="E13">
        <v>4</v>
      </c>
      <c r="F13" s="108">
        <f t="shared" si="0"/>
        <v>80</v>
      </c>
      <c r="G13">
        <f>VLOOKUP($C13,약재관리!A:J,10,FALSE)</f>
        <v>30.3</v>
      </c>
      <c r="H13" s="5">
        <f t="shared" si="1"/>
        <v>121.2</v>
      </c>
      <c r="I13" s="6">
        <f t="shared" si="2"/>
        <v>2424</v>
      </c>
      <c r="K13" s="159"/>
      <c r="L13" s="160"/>
      <c r="M13" s="161"/>
    </row>
    <row r="14" spans="2:13">
      <c r="B14" s="3">
        <v>13</v>
      </c>
      <c r="C14" t="s">
        <v>454</v>
      </c>
      <c r="D14" s="4"/>
      <c r="E14">
        <v>4</v>
      </c>
      <c r="F14" s="108">
        <f t="shared" si="0"/>
        <v>80</v>
      </c>
      <c r="G14">
        <f>VLOOKUP($C14,약재관리!A:J,10,FALSE)</f>
        <v>9</v>
      </c>
      <c r="H14" s="5">
        <f t="shared" si="1"/>
        <v>36</v>
      </c>
      <c r="I14" s="6">
        <f t="shared" si="2"/>
        <v>720</v>
      </c>
      <c r="K14" s="99" t="s">
        <v>16</v>
      </c>
      <c r="L14" s="9">
        <v>15</v>
      </c>
      <c r="M14" s="10" t="s">
        <v>17</v>
      </c>
    </row>
    <row r="15" spans="2:13">
      <c r="B15" s="3">
        <v>14</v>
      </c>
      <c r="C15" t="s">
        <v>418</v>
      </c>
      <c r="D15" s="4"/>
      <c r="E15">
        <v>4</v>
      </c>
      <c r="F15" s="108">
        <f t="shared" si="0"/>
        <v>80</v>
      </c>
      <c r="G15">
        <f>VLOOKUP($C15,약재관리!A:J,10,FALSE)</f>
        <v>17.600000000000001</v>
      </c>
      <c r="H15" s="5">
        <f t="shared" si="1"/>
        <v>70.400000000000006</v>
      </c>
      <c r="I15" s="6">
        <f t="shared" si="2"/>
        <v>1408</v>
      </c>
      <c r="K15" s="98" t="s">
        <v>18</v>
      </c>
      <c r="L15">
        <v>20</v>
      </c>
      <c r="M15" s="4" t="s">
        <v>19</v>
      </c>
    </row>
    <row r="16" spans="2:13">
      <c r="B16" s="3">
        <v>15</v>
      </c>
      <c r="C16" t="s">
        <v>417</v>
      </c>
      <c r="D16" s="4"/>
      <c r="E16">
        <v>4</v>
      </c>
      <c r="F16" s="108">
        <f t="shared" si="0"/>
        <v>80</v>
      </c>
      <c r="G16">
        <f>VLOOKUP($C16,약재관리!A:J,10,FALSE)</f>
        <v>28.3</v>
      </c>
      <c r="H16" s="5">
        <f t="shared" si="1"/>
        <v>113.2</v>
      </c>
      <c r="I16" s="6">
        <f t="shared" si="2"/>
        <v>2264</v>
      </c>
      <c r="K16" s="98" t="s">
        <v>20</v>
      </c>
      <c r="L16">
        <v>45</v>
      </c>
      <c r="M16" s="4" t="s">
        <v>21</v>
      </c>
    </row>
    <row r="17" spans="2:13" ht="17.25" thickBot="1">
      <c r="B17" s="3">
        <v>16</v>
      </c>
      <c r="D17" s="4"/>
      <c r="E17"/>
      <c r="F17" s="108">
        <f t="shared" si="0"/>
        <v>0</v>
      </c>
      <c r="H17" s="5">
        <f t="shared" si="1"/>
        <v>0</v>
      </c>
      <c r="I17" s="6">
        <f t="shared" si="2"/>
        <v>0</v>
      </c>
      <c r="K17" s="14" t="s">
        <v>22</v>
      </c>
      <c r="L17" s="11">
        <v>90</v>
      </c>
      <c r="M17" s="12" t="s">
        <v>23</v>
      </c>
    </row>
    <row r="18" spans="2:13">
      <c r="B18" s="3">
        <v>17</v>
      </c>
      <c r="D18" s="4"/>
      <c r="E18"/>
      <c r="F18" s="108">
        <f t="shared" si="0"/>
        <v>0</v>
      </c>
      <c r="H18" s="5">
        <f t="shared" si="1"/>
        <v>0</v>
      </c>
      <c r="I18" s="6">
        <f t="shared" si="2"/>
        <v>0</v>
      </c>
      <c r="K18" s="99" t="s">
        <v>24</v>
      </c>
      <c r="L18" s="9">
        <f>SUM(E2:E31)</f>
        <v>84.5</v>
      </c>
      <c r="M18" s="10" t="s">
        <v>25</v>
      </c>
    </row>
    <row r="19" spans="2:13">
      <c r="B19" s="3">
        <v>18</v>
      </c>
      <c r="D19" s="4"/>
      <c r="E19"/>
      <c r="F19" s="108">
        <f t="shared" si="0"/>
        <v>0</v>
      </c>
      <c r="H19" s="5">
        <f t="shared" si="1"/>
        <v>0</v>
      </c>
      <c r="I19" s="6">
        <f t="shared" si="2"/>
        <v>0</v>
      </c>
      <c r="K19" s="98" t="s">
        <v>26</v>
      </c>
      <c r="L19">
        <f>L15*L18</f>
        <v>1690</v>
      </c>
      <c r="M19" s="4" t="s">
        <v>25</v>
      </c>
    </row>
    <row r="20" spans="2:13" ht="17.25" thickBot="1">
      <c r="B20" s="3">
        <v>19</v>
      </c>
      <c r="D20" s="4"/>
      <c r="E20"/>
      <c r="F20" s="108">
        <f t="shared" si="0"/>
        <v>0</v>
      </c>
      <c r="H20" s="5">
        <f t="shared" si="1"/>
        <v>0</v>
      </c>
      <c r="I20" s="6">
        <f t="shared" si="2"/>
        <v>0</v>
      </c>
      <c r="K20" s="14" t="s">
        <v>27</v>
      </c>
      <c r="L20" s="11">
        <f>L16*L17+L19</f>
        <v>5740</v>
      </c>
      <c r="M20" s="12" t="s">
        <v>23</v>
      </c>
    </row>
    <row r="21" spans="2:13" ht="17.25" thickBot="1">
      <c r="B21" s="3">
        <v>20</v>
      </c>
      <c r="D21" s="4"/>
      <c r="E21"/>
      <c r="F21" s="108">
        <f t="shared" si="0"/>
        <v>0</v>
      </c>
      <c r="H21" s="5">
        <f t="shared" si="1"/>
        <v>0</v>
      </c>
      <c r="I21" s="6">
        <f t="shared" si="2"/>
        <v>0</v>
      </c>
      <c r="J21" s="98"/>
      <c r="M21" s="101"/>
    </row>
    <row r="22" spans="2:13" ht="17.25" thickBot="1">
      <c r="B22" s="3">
        <v>21</v>
      </c>
      <c r="D22" s="4"/>
      <c r="E22"/>
      <c r="F22" s="108">
        <f t="shared" si="0"/>
        <v>0</v>
      </c>
      <c r="H22" s="5">
        <f t="shared" si="1"/>
        <v>0</v>
      </c>
      <c r="I22" s="6">
        <f t="shared" si="2"/>
        <v>0</v>
      </c>
      <c r="K22" s="150" t="s">
        <v>385</v>
      </c>
      <c r="L22" s="151"/>
      <c r="M22" s="152"/>
    </row>
    <row r="23" spans="2:13">
      <c r="B23" s="3">
        <v>22</v>
      </c>
      <c r="D23" s="4"/>
      <c r="E23"/>
      <c r="F23" s="108">
        <f t="shared" si="0"/>
        <v>0</v>
      </c>
      <c r="H23" s="5">
        <f t="shared" si="1"/>
        <v>0</v>
      </c>
      <c r="I23" s="6">
        <f t="shared" si="2"/>
        <v>0</v>
      </c>
      <c r="K23" s="98" t="s">
        <v>379</v>
      </c>
      <c r="L23">
        <f>SUM(F2:F31)</f>
        <v>1690</v>
      </c>
      <c r="M23" s="4" t="s">
        <v>25</v>
      </c>
    </row>
    <row r="24" spans="2:13">
      <c r="B24" s="3">
        <v>23</v>
      </c>
      <c r="D24" s="4"/>
      <c r="E24"/>
      <c r="F24" s="108">
        <f t="shared" si="0"/>
        <v>0</v>
      </c>
      <c r="H24" s="5">
        <f t="shared" si="1"/>
        <v>0</v>
      </c>
      <c r="I24" s="6">
        <f t="shared" si="2"/>
        <v>0</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f>SUM(H2:H31)</f>
        <v>2088.1999999999998</v>
      </c>
      <c r="M30" s="4" t="s">
        <v>383</v>
      </c>
    </row>
    <row r="31" spans="2:13" ht="17.25" thickBot="1">
      <c r="B31" s="13">
        <v>30</v>
      </c>
      <c r="C31" s="14"/>
      <c r="D31" s="12"/>
      <c r="E31" s="102"/>
      <c r="F31" s="109">
        <f t="shared" si="0"/>
        <v>0</v>
      </c>
      <c r="G31" s="14"/>
      <c r="H31" s="15">
        <f t="shared" si="1"/>
        <v>0</v>
      </c>
      <c r="I31" s="16">
        <f t="shared" si="2"/>
        <v>0</v>
      </c>
      <c r="K31" s="14" t="s">
        <v>382</v>
      </c>
      <c r="L31" s="15">
        <f>SUM(I2:I31)</f>
        <v>41764</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D7EB-B647-4516-90D2-E0C8F6175E04}">
  <sheetPr>
    <pageSetUpPr fitToPage="1"/>
  </sheetPr>
  <dimension ref="B1:M31"/>
  <sheetViews>
    <sheetView workbookViewId="0">
      <selection activeCell="G30" sqref="G30"/>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4</v>
      </c>
      <c r="F2" s="108">
        <f>E2*$L$15</f>
        <v>80</v>
      </c>
      <c r="G2">
        <f>VLOOKUP($C2,약재관리!A:J,10,FALSE)</f>
        <v>20</v>
      </c>
      <c r="H2" s="5">
        <f>G2*E2</f>
        <v>80</v>
      </c>
      <c r="I2" s="97">
        <f>G2*F2</f>
        <v>1600</v>
      </c>
      <c r="K2" s="7" t="s">
        <v>9</v>
      </c>
      <c r="L2" s="162">
        <v>19</v>
      </c>
      <c r="M2" s="163"/>
    </row>
    <row r="3" spans="2:13">
      <c r="B3" s="3">
        <v>2</v>
      </c>
      <c r="C3" t="s">
        <v>402</v>
      </c>
      <c r="D3" s="4"/>
      <c r="E3">
        <v>4</v>
      </c>
      <c r="F3" s="108">
        <f t="shared" ref="F3:F31" si="0">E3*$L$15</f>
        <v>80</v>
      </c>
      <c r="G3">
        <f>VLOOKUP($C3,약재관리!A:J,10,FALSE)</f>
        <v>18.3</v>
      </c>
      <c r="H3" s="5">
        <f t="shared" ref="H3:H31" si="1">G3*E3</f>
        <v>73.2</v>
      </c>
      <c r="I3" s="6">
        <f t="shared" ref="I3:I31" si="2">G3*F3</f>
        <v>1464</v>
      </c>
      <c r="K3" s="8" t="s">
        <v>10</v>
      </c>
      <c r="L3" s="167" t="s">
        <v>396</v>
      </c>
      <c r="M3" s="165"/>
    </row>
    <row r="4" spans="2:13">
      <c r="B4" s="3">
        <v>3</v>
      </c>
      <c r="C4" t="s">
        <v>403</v>
      </c>
      <c r="D4" s="4"/>
      <c r="E4">
        <v>4</v>
      </c>
      <c r="F4" s="108">
        <f t="shared" si="0"/>
        <v>80</v>
      </c>
      <c r="G4">
        <f>VLOOKUP($C4,약재관리!A:J,10,FALSE)</f>
        <v>27.7</v>
      </c>
      <c r="H4" s="5">
        <f t="shared" si="1"/>
        <v>110.8</v>
      </c>
      <c r="I4" s="6">
        <f t="shared" si="2"/>
        <v>2216</v>
      </c>
      <c r="K4" s="8" t="s">
        <v>11</v>
      </c>
      <c r="L4" s="166">
        <v>45765</v>
      </c>
      <c r="M4" s="165"/>
    </row>
    <row r="5" spans="2:13">
      <c r="B5" s="3">
        <v>4</v>
      </c>
      <c r="C5" t="s">
        <v>408</v>
      </c>
      <c r="D5" s="4"/>
      <c r="E5">
        <v>4</v>
      </c>
      <c r="F5" s="108">
        <f t="shared" si="0"/>
        <v>80</v>
      </c>
      <c r="G5">
        <f>VLOOKUP($C5,약재관리!A:J,10,FALSE)</f>
        <v>9.8000000000000007</v>
      </c>
      <c r="H5" s="5">
        <f t="shared" si="1"/>
        <v>39.200000000000003</v>
      </c>
      <c r="I5" s="6">
        <f t="shared" si="2"/>
        <v>784</v>
      </c>
      <c r="K5" s="8" t="s">
        <v>12</v>
      </c>
      <c r="L5" s="167" t="s">
        <v>397</v>
      </c>
      <c r="M5" s="165"/>
    </row>
    <row r="6" spans="2:13">
      <c r="B6" s="3">
        <v>5</v>
      </c>
      <c r="C6" t="s">
        <v>419</v>
      </c>
      <c r="D6" s="4"/>
      <c r="E6">
        <v>4</v>
      </c>
      <c r="F6" s="108">
        <f t="shared" si="0"/>
        <v>80</v>
      </c>
      <c r="G6">
        <f>VLOOKUP($C6,약재관리!A:J,10,FALSE)</f>
        <v>23.7</v>
      </c>
      <c r="H6" s="5">
        <f t="shared" si="1"/>
        <v>94.8</v>
      </c>
      <c r="I6" s="6">
        <f t="shared" si="2"/>
        <v>1896</v>
      </c>
      <c r="K6" s="8" t="s">
        <v>13</v>
      </c>
      <c r="L6" s="167" t="s">
        <v>398</v>
      </c>
      <c r="M6" s="165"/>
    </row>
    <row r="7" spans="2:13" ht="17.25" thickBot="1">
      <c r="B7" s="3">
        <v>6</v>
      </c>
      <c r="C7" t="s">
        <v>409</v>
      </c>
      <c r="D7" s="4"/>
      <c r="E7">
        <v>4</v>
      </c>
      <c r="F7" s="108">
        <f t="shared" si="0"/>
        <v>80</v>
      </c>
      <c r="G7">
        <f>VLOOKUP($C7,약재관리!A:J,10,FALSE)</f>
        <v>28</v>
      </c>
      <c r="H7" s="5">
        <f t="shared" si="1"/>
        <v>112</v>
      </c>
      <c r="I7" s="6">
        <f t="shared" si="2"/>
        <v>2240</v>
      </c>
      <c r="K7" s="8" t="s">
        <v>14</v>
      </c>
      <c r="L7" s="148">
        <v>58</v>
      </c>
      <c r="M7" s="149"/>
    </row>
    <row r="8" spans="2:13" ht="17.25" thickBot="1">
      <c r="B8" s="3">
        <v>7</v>
      </c>
      <c r="C8" t="s">
        <v>400</v>
      </c>
      <c r="D8" s="4"/>
      <c r="E8">
        <v>4</v>
      </c>
      <c r="F8" s="108">
        <f t="shared" si="0"/>
        <v>80</v>
      </c>
      <c r="G8">
        <f>VLOOKUP($C8,약재관리!A:J,10,FALSE)</f>
        <v>38</v>
      </c>
      <c r="H8" s="5">
        <f t="shared" si="1"/>
        <v>152</v>
      </c>
      <c r="I8" s="6">
        <f t="shared" si="2"/>
        <v>3040</v>
      </c>
      <c r="K8" s="150" t="s">
        <v>15</v>
      </c>
      <c r="L8" s="151"/>
      <c r="M8" s="152"/>
    </row>
    <row r="9" spans="2:13">
      <c r="B9" s="3">
        <v>8</v>
      </c>
      <c r="C9" t="s">
        <v>401</v>
      </c>
      <c r="D9" s="4"/>
      <c r="E9">
        <v>4</v>
      </c>
      <c r="F9" s="108">
        <f t="shared" si="0"/>
        <v>80</v>
      </c>
      <c r="G9">
        <f>VLOOKUP($C9,약재관리!A:J,10,FALSE)</f>
        <v>23.3</v>
      </c>
      <c r="H9" s="5">
        <f t="shared" si="1"/>
        <v>93.2</v>
      </c>
      <c r="I9" s="6">
        <f t="shared" si="2"/>
        <v>1864</v>
      </c>
      <c r="K9" s="153" t="s">
        <v>447</v>
      </c>
      <c r="L9" s="154"/>
      <c r="M9" s="155"/>
    </row>
    <row r="10" spans="2:13">
      <c r="B10" s="3">
        <v>9</v>
      </c>
      <c r="C10" t="s">
        <v>410</v>
      </c>
      <c r="D10" s="4"/>
      <c r="E10">
        <v>4</v>
      </c>
      <c r="F10" s="108">
        <f t="shared" si="0"/>
        <v>80</v>
      </c>
      <c r="G10">
        <f>VLOOKUP($C10,약재관리!A:J,10,FALSE)</f>
        <v>16.7</v>
      </c>
      <c r="H10" s="5">
        <f t="shared" si="1"/>
        <v>66.8</v>
      </c>
      <c r="I10" s="6">
        <f t="shared" si="2"/>
        <v>1336</v>
      </c>
      <c r="K10" s="156"/>
      <c r="L10" s="157"/>
      <c r="M10" s="158"/>
    </row>
    <row r="11" spans="2:13">
      <c r="B11" s="3">
        <v>10</v>
      </c>
      <c r="C11" t="s">
        <v>411</v>
      </c>
      <c r="D11" s="4"/>
      <c r="E11">
        <v>3</v>
      </c>
      <c r="F11" s="108">
        <f t="shared" si="0"/>
        <v>60</v>
      </c>
      <c r="G11">
        <f>VLOOKUP($C11,약재관리!A:J,10,FALSE)</f>
        <v>44.3</v>
      </c>
      <c r="H11" s="5">
        <f t="shared" si="1"/>
        <v>132.89999999999998</v>
      </c>
      <c r="I11" s="6">
        <f t="shared" si="2"/>
        <v>2658</v>
      </c>
      <c r="K11" s="156"/>
      <c r="L11" s="157"/>
      <c r="M11" s="158"/>
    </row>
    <row r="12" spans="2:13">
      <c r="B12" s="3">
        <v>11</v>
      </c>
      <c r="C12" t="s">
        <v>416</v>
      </c>
      <c r="D12" s="4"/>
      <c r="E12">
        <v>3</v>
      </c>
      <c r="F12" s="108">
        <f t="shared" si="0"/>
        <v>60</v>
      </c>
      <c r="G12">
        <f>VLOOKUP($C12,약재관리!A:J,10,FALSE)</f>
        <v>28.5</v>
      </c>
      <c r="H12" s="5">
        <f t="shared" si="1"/>
        <v>85.5</v>
      </c>
      <c r="I12" s="6">
        <f t="shared" si="2"/>
        <v>1710</v>
      </c>
      <c r="K12" s="156"/>
      <c r="L12" s="157"/>
      <c r="M12" s="158"/>
    </row>
    <row r="13" spans="2:13" ht="17.25" thickBot="1">
      <c r="B13" s="3">
        <v>12</v>
      </c>
      <c r="C13" t="s">
        <v>412</v>
      </c>
      <c r="D13" s="4"/>
      <c r="E13">
        <v>3</v>
      </c>
      <c r="F13" s="108">
        <f t="shared" si="0"/>
        <v>60</v>
      </c>
      <c r="G13">
        <f>VLOOKUP($C13,약재관리!A:J,10,FALSE)</f>
        <v>23.5</v>
      </c>
      <c r="H13" s="5">
        <f t="shared" si="1"/>
        <v>70.5</v>
      </c>
      <c r="I13" s="6">
        <f t="shared" si="2"/>
        <v>1410</v>
      </c>
      <c r="K13" s="159"/>
      <c r="L13" s="160"/>
      <c r="M13" s="161"/>
    </row>
    <row r="14" spans="2:13">
      <c r="B14" s="3">
        <v>13</v>
      </c>
      <c r="C14" t="s">
        <v>404</v>
      </c>
      <c r="D14" s="4"/>
      <c r="E14">
        <v>3</v>
      </c>
      <c r="F14" s="108">
        <f t="shared" si="0"/>
        <v>60</v>
      </c>
      <c r="G14">
        <f>VLOOKUP($C14,약재관리!A:J,10,FALSE)</f>
        <v>10.8</v>
      </c>
      <c r="H14" s="5">
        <f t="shared" si="1"/>
        <v>32.400000000000006</v>
      </c>
      <c r="I14" s="6">
        <f t="shared" si="2"/>
        <v>648</v>
      </c>
      <c r="K14" s="99" t="s">
        <v>16</v>
      </c>
      <c r="L14" s="9">
        <v>15</v>
      </c>
      <c r="M14" s="10" t="s">
        <v>17</v>
      </c>
    </row>
    <row r="15" spans="2:13">
      <c r="B15" s="3">
        <v>14</v>
      </c>
      <c r="C15" t="s">
        <v>406</v>
      </c>
      <c r="D15" s="4"/>
      <c r="E15">
        <v>3</v>
      </c>
      <c r="F15" s="108">
        <f t="shared" si="0"/>
        <v>60</v>
      </c>
      <c r="G15">
        <f>VLOOKUP($C15,약재관리!A:J,10,FALSE)</f>
        <v>41</v>
      </c>
      <c r="H15" s="5">
        <f t="shared" si="1"/>
        <v>123</v>
      </c>
      <c r="I15" s="6">
        <f t="shared" si="2"/>
        <v>2460</v>
      </c>
      <c r="K15" s="98" t="s">
        <v>18</v>
      </c>
      <c r="L15">
        <v>20</v>
      </c>
      <c r="M15" s="4" t="s">
        <v>19</v>
      </c>
    </row>
    <row r="16" spans="2:13">
      <c r="B16" s="3">
        <v>15</v>
      </c>
      <c r="C16" t="s">
        <v>405</v>
      </c>
      <c r="D16" s="4"/>
      <c r="E16">
        <v>3</v>
      </c>
      <c r="F16" s="108">
        <f t="shared" si="0"/>
        <v>60</v>
      </c>
      <c r="G16">
        <f>VLOOKUP($C16,약재관리!A:J,10,FALSE)</f>
        <v>22.5</v>
      </c>
      <c r="H16" s="5">
        <f t="shared" si="1"/>
        <v>67.5</v>
      </c>
      <c r="I16" s="6">
        <f t="shared" si="2"/>
        <v>1350</v>
      </c>
      <c r="K16" s="98" t="s">
        <v>20</v>
      </c>
      <c r="L16">
        <v>45</v>
      </c>
      <c r="M16" s="4" t="s">
        <v>21</v>
      </c>
    </row>
    <row r="17" spans="2:13" ht="17.25" thickBot="1">
      <c r="B17" s="3">
        <v>16</v>
      </c>
      <c r="C17" t="s">
        <v>413</v>
      </c>
      <c r="D17" s="4"/>
      <c r="E17">
        <v>3</v>
      </c>
      <c r="F17" s="108">
        <f t="shared" si="0"/>
        <v>60</v>
      </c>
      <c r="G17">
        <f>VLOOKUP($C17,약재관리!A:J,10,FALSE)</f>
        <v>136.80000000000001</v>
      </c>
      <c r="H17" s="5">
        <f t="shared" si="1"/>
        <v>410.40000000000003</v>
      </c>
      <c r="I17" s="6">
        <f t="shared" si="2"/>
        <v>8208</v>
      </c>
      <c r="K17" s="14" t="s">
        <v>22</v>
      </c>
      <c r="L17" s="11">
        <v>100</v>
      </c>
      <c r="M17" s="12" t="s">
        <v>23</v>
      </c>
    </row>
    <row r="18" spans="2:13">
      <c r="B18" s="3">
        <v>17</v>
      </c>
      <c r="C18" t="s">
        <v>414</v>
      </c>
      <c r="D18" s="4"/>
      <c r="E18">
        <v>3</v>
      </c>
      <c r="F18" s="108">
        <f t="shared" si="0"/>
        <v>60</v>
      </c>
      <c r="G18">
        <f>VLOOKUP($C18,약재관리!A:J,10,FALSE)</f>
        <v>32</v>
      </c>
      <c r="H18" s="5">
        <f t="shared" si="1"/>
        <v>96</v>
      </c>
      <c r="I18" s="6">
        <f t="shared" si="2"/>
        <v>1920</v>
      </c>
      <c r="K18" s="99" t="s">
        <v>24</v>
      </c>
      <c r="L18" s="9">
        <f>SUM(E2:E31)</f>
        <v>84</v>
      </c>
      <c r="M18" s="10" t="s">
        <v>25</v>
      </c>
    </row>
    <row r="19" spans="2:13">
      <c r="B19" s="3">
        <v>18</v>
      </c>
      <c r="C19" t="s">
        <v>415</v>
      </c>
      <c r="D19" s="4"/>
      <c r="E19">
        <v>4</v>
      </c>
      <c r="F19" s="108">
        <f t="shared" si="0"/>
        <v>80</v>
      </c>
      <c r="G19">
        <f>VLOOKUP($C19,약재관리!A:J,10,FALSE)</f>
        <v>11.5</v>
      </c>
      <c r="H19" s="5">
        <f t="shared" si="1"/>
        <v>46</v>
      </c>
      <c r="I19" s="6">
        <f t="shared" si="2"/>
        <v>920</v>
      </c>
      <c r="K19" s="98" t="s">
        <v>26</v>
      </c>
      <c r="L19">
        <f>L15*L18</f>
        <v>1680</v>
      </c>
      <c r="M19" s="4" t="s">
        <v>25</v>
      </c>
    </row>
    <row r="20" spans="2:13" ht="17.25" thickBot="1">
      <c r="B20" s="3">
        <v>19</v>
      </c>
      <c r="C20" t="s">
        <v>407</v>
      </c>
      <c r="D20" s="4"/>
      <c r="E20">
        <v>3</v>
      </c>
      <c r="F20" s="108">
        <f t="shared" si="0"/>
        <v>60</v>
      </c>
      <c r="G20">
        <f>VLOOKUP($C20,약재관리!A:J,10,FALSE)</f>
        <v>12</v>
      </c>
      <c r="H20" s="5">
        <f t="shared" si="1"/>
        <v>36</v>
      </c>
      <c r="I20" s="6">
        <f t="shared" si="2"/>
        <v>720</v>
      </c>
      <c r="K20" s="14" t="s">
        <v>27</v>
      </c>
      <c r="L20" s="11">
        <f>L16*L17+L19</f>
        <v>6180</v>
      </c>
      <c r="M20" s="12" t="s">
        <v>23</v>
      </c>
    </row>
    <row r="21" spans="2:13" ht="17.25" thickBot="1">
      <c r="B21" s="3">
        <v>20</v>
      </c>
      <c r="C21" t="s">
        <v>445</v>
      </c>
      <c r="D21" s="4"/>
      <c r="E21">
        <v>3</v>
      </c>
      <c r="F21" s="108">
        <f t="shared" si="0"/>
        <v>60</v>
      </c>
      <c r="G21">
        <f>VLOOKUP($C21,약재관리!A:J,10,FALSE)</f>
        <v>27.2</v>
      </c>
      <c r="H21" s="5">
        <f t="shared" si="1"/>
        <v>81.599999999999994</v>
      </c>
      <c r="I21" s="6">
        <f t="shared" si="2"/>
        <v>1632</v>
      </c>
      <c r="J21" s="98"/>
      <c r="M21" s="101"/>
    </row>
    <row r="22" spans="2:13" ht="17.25" thickBot="1">
      <c r="B22" s="3">
        <v>21</v>
      </c>
      <c r="C22" t="s">
        <v>446</v>
      </c>
      <c r="D22" s="4"/>
      <c r="E22">
        <v>4</v>
      </c>
      <c r="F22" s="108">
        <f t="shared" si="0"/>
        <v>80</v>
      </c>
      <c r="G22">
        <f>VLOOKUP($C22,약재관리!A:J,10,FALSE)</f>
        <v>21.7</v>
      </c>
      <c r="H22" s="5">
        <f t="shared" si="1"/>
        <v>86.8</v>
      </c>
      <c r="I22" s="6">
        <f t="shared" si="2"/>
        <v>1736</v>
      </c>
      <c r="K22" s="150" t="s">
        <v>385</v>
      </c>
      <c r="L22" s="151"/>
      <c r="M22" s="152"/>
    </row>
    <row r="23" spans="2:13">
      <c r="B23" s="3">
        <v>22</v>
      </c>
      <c r="C23" t="s">
        <v>437</v>
      </c>
      <c r="D23" s="4"/>
      <c r="E23">
        <v>6</v>
      </c>
      <c r="F23" s="108">
        <f t="shared" si="0"/>
        <v>120</v>
      </c>
      <c r="G23">
        <f>VLOOKUP($C23,약재관리!A:J,10,FALSE)</f>
        <v>43</v>
      </c>
      <c r="H23" s="5">
        <f t="shared" si="1"/>
        <v>258</v>
      </c>
      <c r="I23" s="6">
        <f t="shared" si="2"/>
        <v>5160</v>
      </c>
      <c r="K23" s="98" t="s">
        <v>379</v>
      </c>
      <c r="L23">
        <f>SUM(F2:F31)</f>
        <v>1680</v>
      </c>
      <c r="M23" s="4" t="s">
        <v>25</v>
      </c>
    </row>
    <row r="24" spans="2:13">
      <c r="B24" s="3">
        <v>23</v>
      </c>
      <c r="C24" t="s">
        <v>421</v>
      </c>
      <c r="D24" s="4"/>
      <c r="E24">
        <v>4</v>
      </c>
      <c r="F24" s="108">
        <f t="shared" si="0"/>
        <v>80</v>
      </c>
      <c r="G24">
        <f>VLOOKUP($C24,약재관리!A:J,10,FALSE)</f>
        <v>26</v>
      </c>
      <c r="H24" s="5">
        <f t="shared" si="1"/>
        <v>104</v>
      </c>
      <c r="I24" s="6">
        <f t="shared" si="2"/>
        <v>2080</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f>SUM(H2:H31)</f>
        <v>2452.6000000000004</v>
      </c>
      <c r="M30" s="4" t="s">
        <v>383</v>
      </c>
    </row>
    <row r="31" spans="2:13" ht="17.25" thickBot="1">
      <c r="B31" s="13">
        <v>30</v>
      </c>
      <c r="C31" s="14"/>
      <c r="D31" s="12"/>
      <c r="E31" s="102"/>
      <c r="F31" s="109">
        <f t="shared" si="0"/>
        <v>0</v>
      </c>
      <c r="G31" s="14"/>
      <c r="H31" s="15">
        <f t="shared" si="1"/>
        <v>0</v>
      </c>
      <c r="I31" s="16">
        <f t="shared" si="2"/>
        <v>0</v>
      </c>
      <c r="K31" s="14" t="s">
        <v>382</v>
      </c>
      <c r="L31" s="15">
        <f>SUM(I2:I31)</f>
        <v>49052</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53BE-44E7-40FA-8C57-BFA565F5C6D5}">
  <sheetPr>
    <pageSetUpPr fitToPage="1"/>
  </sheetPr>
  <dimension ref="B1:M31"/>
  <sheetViews>
    <sheetView workbookViewId="0">
      <selection activeCell="F26" sqref="F2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4</v>
      </c>
      <c r="F2" s="108">
        <f>E2*$L$15</f>
        <v>80</v>
      </c>
      <c r="G2" t="e">
        <f>VLOOKUP($C2,#REF!,10,FALSE)</f>
        <v>#REF!</v>
      </c>
      <c r="H2" s="5" t="e">
        <f>G2*E2</f>
        <v>#REF!</v>
      </c>
      <c r="I2" s="97" t="e">
        <f>G2*F2</f>
        <v>#REF!</v>
      </c>
      <c r="K2" s="7" t="s">
        <v>9</v>
      </c>
      <c r="L2" s="162">
        <v>19</v>
      </c>
      <c r="M2" s="163"/>
    </row>
    <row r="3" spans="2:13">
      <c r="B3" s="3">
        <v>2</v>
      </c>
      <c r="C3" t="s">
        <v>402</v>
      </c>
      <c r="D3" s="4"/>
      <c r="E3">
        <v>4</v>
      </c>
      <c r="F3" s="108">
        <f t="shared" ref="F3:F31" si="0">E3*$L$15</f>
        <v>80</v>
      </c>
      <c r="G3" t="e">
        <f>VLOOKUP($C3,#REF!,10,FALSE)</f>
        <v>#REF!</v>
      </c>
      <c r="H3" s="5" t="e">
        <f t="shared" ref="H3:H31" si="1">G3*E3</f>
        <v>#REF!</v>
      </c>
      <c r="I3" s="6" t="e">
        <f t="shared" ref="I3:I31" si="2">G3*F3</f>
        <v>#REF!</v>
      </c>
      <c r="K3" s="8" t="s">
        <v>10</v>
      </c>
      <c r="L3" s="167" t="s">
        <v>396</v>
      </c>
      <c r="M3" s="165"/>
    </row>
    <row r="4" spans="2:13">
      <c r="B4" s="3">
        <v>3</v>
      </c>
      <c r="C4" t="s">
        <v>403</v>
      </c>
      <c r="D4" s="4"/>
      <c r="E4">
        <v>4</v>
      </c>
      <c r="F4" s="108">
        <f t="shared" si="0"/>
        <v>80</v>
      </c>
      <c r="G4" t="e">
        <f>VLOOKUP($C4,#REF!,10,FALSE)</f>
        <v>#REF!</v>
      </c>
      <c r="H4" s="5" t="e">
        <f t="shared" si="1"/>
        <v>#REF!</v>
      </c>
      <c r="I4" s="6" t="e">
        <f t="shared" si="2"/>
        <v>#REF!</v>
      </c>
      <c r="K4" s="8" t="s">
        <v>11</v>
      </c>
      <c r="L4" s="166">
        <v>45737</v>
      </c>
      <c r="M4" s="165"/>
    </row>
    <row r="5" spans="2:13">
      <c r="B5" s="3">
        <v>4</v>
      </c>
      <c r="C5" t="s">
        <v>408</v>
      </c>
      <c r="D5" s="4"/>
      <c r="E5">
        <v>4</v>
      </c>
      <c r="F5" s="108">
        <f t="shared" si="0"/>
        <v>80</v>
      </c>
      <c r="G5" t="e">
        <f>VLOOKUP($C5,#REF!,10,FALSE)</f>
        <v>#REF!</v>
      </c>
      <c r="H5" s="5" t="e">
        <f t="shared" si="1"/>
        <v>#REF!</v>
      </c>
      <c r="I5" s="6" t="e">
        <f t="shared" si="2"/>
        <v>#REF!</v>
      </c>
      <c r="K5" s="8" t="s">
        <v>12</v>
      </c>
      <c r="L5" s="167" t="s">
        <v>397</v>
      </c>
      <c r="M5" s="165"/>
    </row>
    <row r="6" spans="2:13">
      <c r="B6" s="3">
        <v>5</v>
      </c>
      <c r="C6" t="s">
        <v>419</v>
      </c>
      <c r="D6" s="4"/>
      <c r="E6">
        <v>4</v>
      </c>
      <c r="F6" s="108">
        <f t="shared" si="0"/>
        <v>80</v>
      </c>
      <c r="G6" t="e">
        <f>VLOOKUP($C6,#REF!,10,FALSE)</f>
        <v>#REF!</v>
      </c>
      <c r="H6" s="5" t="e">
        <f t="shared" si="1"/>
        <v>#REF!</v>
      </c>
      <c r="I6" s="6" t="e">
        <f t="shared" si="2"/>
        <v>#REF!</v>
      </c>
      <c r="K6" s="8" t="s">
        <v>13</v>
      </c>
      <c r="L6" s="167" t="s">
        <v>398</v>
      </c>
      <c r="M6" s="165"/>
    </row>
    <row r="7" spans="2:13" ht="17.25" thickBot="1">
      <c r="B7" s="3">
        <v>6</v>
      </c>
      <c r="C7" t="s">
        <v>409</v>
      </c>
      <c r="D7" s="4"/>
      <c r="E7">
        <v>4</v>
      </c>
      <c r="F7" s="108">
        <f t="shared" si="0"/>
        <v>80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443</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442</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6</v>
      </c>
      <c r="F15" s="108">
        <f t="shared" si="0"/>
        <v>120</v>
      </c>
      <c r="G15" t="e">
        <f>VLOOKUP($C15,#REF!,10,FALSE)</f>
        <v>#REF!</v>
      </c>
      <c r="H15" s="5" t="e">
        <f t="shared" si="1"/>
        <v>#REF!</v>
      </c>
      <c r="I15" s="6" t="e">
        <f t="shared" si="2"/>
        <v>#REF!</v>
      </c>
      <c r="K15" s="98" t="s">
        <v>18</v>
      </c>
      <c r="L15">
        <v>20</v>
      </c>
      <c r="M15" s="4" t="s">
        <v>19</v>
      </c>
    </row>
    <row r="16" spans="2:13">
      <c r="B16" s="3">
        <v>15</v>
      </c>
      <c r="C16" t="s">
        <v>405</v>
      </c>
      <c r="D16" s="4"/>
      <c r="E16">
        <v>4</v>
      </c>
      <c r="F16" s="108">
        <f t="shared" si="0"/>
        <v>80</v>
      </c>
      <c r="G16" t="e">
        <f>VLOOKUP($C16,#REF!,10,FALSE)</f>
        <v>#REF!</v>
      </c>
      <c r="H16" s="5" t="e">
        <f t="shared" si="1"/>
        <v>#REF!</v>
      </c>
      <c r="I16" s="6" t="e">
        <f t="shared" si="2"/>
        <v>#REF!</v>
      </c>
      <c r="K16" s="98" t="s">
        <v>20</v>
      </c>
      <c r="L16">
        <v>45</v>
      </c>
      <c r="M16" s="4" t="s">
        <v>21</v>
      </c>
    </row>
    <row r="17" spans="2:13" ht="17.25" thickBot="1">
      <c r="B17" s="3">
        <v>16</v>
      </c>
      <c r="C17" t="s">
        <v>413</v>
      </c>
      <c r="D17" s="4"/>
      <c r="E17">
        <v>4</v>
      </c>
      <c r="F17" s="108">
        <f t="shared" si="0"/>
        <v>80</v>
      </c>
      <c r="G17" t="e">
        <f>VLOOKUP($C17,#REF!,10,FALSE)</f>
        <v>#REF!</v>
      </c>
      <c r="H17" s="5" t="e">
        <f t="shared" si="1"/>
        <v>#REF!</v>
      </c>
      <c r="I17" s="6" t="e">
        <f t="shared" si="2"/>
        <v>#REF!</v>
      </c>
      <c r="K17" s="14" t="s">
        <v>22</v>
      </c>
      <c r="L17" s="11">
        <v>100</v>
      </c>
      <c r="M17" s="12" t="s">
        <v>23</v>
      </c>
    </row>
    <row r="18" spans="2:13">
      <c r="B18" s="3">
        <v>17</v>
      </c>
      <c r="C18" t="s">
        <v>414</v>
      </c>
      <c r="D18" s="4"/>
      <c r="E18">
        <v>6</v>
      </c>
      <c r="F18" s="108">
        <f t="shared" si="0"/>
        <v>120</v>
      </c>
      <c r="G18" t="e">
        <f>VLOOKUP($C18,#REF!,10,FALSE)</f>
        <v>#REF!</v>
      </c>
      <c r="H18" s="5" t="e">
        <f t="shared" si="1"/>
        <v>#REF!</v>
      </c>
      <c r="I18" s="6" t="e">
        <f t="shared" si="2"/>
        <v>#REF!</v>
      </c>
      <c r="K18" s="99" t="s">
        <v>24</v>
      </c>
      <c r="L18" s="9">
        <f>SUM(E2:E31)</f>
        <v>102</v>
      </c>
      <c r="M18" s="10" t="s">
        <v>25</v>
      </c>
    </row>
    <row r="19" spans="2:13">
      <c r="B19" s="3">
        <v>18</v>
      </c>
      <c r="C19" t="s">
        <v>415</v>
      </c>
      <c r="D19" s="4"/>
      <c r="E19">
        <v>6</v>
      </c>
      <c r="F19" s="108">
        <f t="shared" si="0"/>
        <v>120</v>
      </c>
      <c r="G19" t="e">
        <f>VLOOKUP($C19,#REF!,10,FALSE)</f>
        <v>#REF!</v>
      </c>
      <c r="H19" s="5" t="e">
        <f t="shared" si="1"/>
        <v>#REF!</v>
      </c>
      <c r="I19" s="6" t="e">
        <f t="shared" si="2"/>
        <v>#REF!</v>
      </c>
      <c r="K19" s="98" t="s">
        <v>26</v>
      </c>
      <c r="L19">
        <f>L15*L18</f>
        <v>2040</v>
      </c>
      <c r="M19" s="4" t="s">
        <v>25</v>
      </c>
    </row>
    <row r="20" spans="2:13" ht="17.25" thickBot="1">
      <c r="B20" s="3">
        <v>19</v>
      </c>
      <c r="C20" t="s">
        <v>407</v>
      </c>
      <c r="D20" s="4"/>
      <c r="E20">
        <v>4</v>
      </c>
      <c r="F20" s="108">
        <f t="shared" si="0"/>
        <v>80</v>
      </c>
      <c r="G20" t="e">
        <f>VLOOKUP($C20,#REF!,10,FALSE)</f>
        <v>#REF!</v>
      </c>
      <c r="H20" s="5" t="e">
        <f t="shared" si="1"/>
        <v>#REF!</v>
      </c>
      <c r="I20" s="6" t="e">
        <f t="shared" si="2"/>
        <v>#REF!</v>
      </c>
      <c r="K20" s="14" t="s">
        <v>27</v>
      </c>
      <c r="L20" s="11">
        <f>L16*L17+L19</f>
        <v>6540</v>
      </c>
      <c r="M20" s="12" t="s">
        <v>23</v>
      </c>
    </row>
    <row r="21" spans="2:13" ht="17.25" thickBot="1">
      <c r="B21" s="3">
        <v>20</v>
      </c>
      <c r="C21" t="s">
        <v>436</v>
      </c>
      <c r="D21" s="4"/>
      <c r="E21">
        <v>4</v>
      </c>
      <c r="F21" s="108">
        <f t="shared" si="0"/>
        <v>80</v>
      </c>
      <c r="G21" t="e">
        <f>VLOOKUP($C21,#REF!,10,FALSE)</f>
        <v>#REF!</v>
      </c>
      <c r="H21" s="5" t="e">
        <f t="shared" si="1"/>
        <v>#REF!</v>
      </c>
      <c r="I21" s="6" t="e">
        <f t="shared" si="2"/>
        <v>#REF!</v>
      </c>
      <c r="J21" s="98"/>
      <c r="M21" s="101"/>
    </row>
    <row r="22" spans="2:13" ht="17.25" thickBot="1">
      <c r="B22" s="3">
        <v>21</v>
      </c>
      <c r="C22" t="s">
        <v>444</v>
      </c>
      <c r="D22" s="4"/>
      <c r="E22">
        <v>6</v>
      </c>
      <c r="F22" s="108">
        <f t="shared" si="0"/>
        <v>120</v>
      </c>
      <c r="G22" t="e">
        <f>VLOOKUP($C22,#REF!,10,FALSE)</f>
        <v>#REF!</v>
      </c>
      <c r="H22" s="5" t="e">
        <f t="shared" si="1"/>
        <v>#REF!</v>
      </c>
      <c r="I22" s="6" t="e">
        <f t="shared" si="2"/>
        <v>#REF!</v>
      </c>
      <c r="K22" s="150" t="s">
        <v>385</v>
      </c>
      <c r="L22" s="151"/>
      <c r="M22" s="152"/>
    </row>
    <row r="23" spans="2:13">
      <c r="B23" s="3">
        <v>22</v>
      </c>
      <c r="C23" t="s">
        <v>425</v>
      </c>
      <c r="D23" s="4"/>
      <c r="E23">
        <v>4</v>
      </c>
      <c r="F23" s="108">
        <f t="shared" si="0"/>
        <v>80</v>
      </c>
      <c r="G23" t="e">
        <f>VLOOKUP($C23,#REF!,10,FALSE)</f>
        <v>#REF!</v>
      </c>
      <c r="H23" s="5" t="e">
        <f t="shared" si="1"/>
        <v>#REF!</v>
      </c>
      <c r="I23" s="6" t="e">
        <f t="shared" si="2"/>
        <v>#REF!</v>
      </c>
      <c r="K23" s="98" t="s">
        <v>379</v>
      </c>
      <c r="L23">
        <f>SUM(F2:F31)</f>
        <v>2040</v>
      </c>
      <c r="M23" s="4" t="s">
        <v>25</v>
      </c>
    </row>
    <row r="24" spans="2:13">
      <c r="B24" s="3">
        <v>23</v>
      </c>
      <c r="C24" t="s">
        <v>441</v>
      </c>
      <c r="D24" s="4"/>
      <c r="E24">
        <v>6</v>
      </c>
      <c r="F24" s="108">
        <f t="shared" si="0"/>
        <v>120</v>
      </c>
      <c r="G24" t="e">
        <f>VLOOKUP($C24,#REF!,10,FALSE)</f>
        <v>#REF!</v>
      </c>
      <c r="H24" s="5" t="e">
        <f t="shared" si="1"/>
        <v>#REF!</v>
      </c>
      <c r="I24" s="6" t="e">
        <f t="shared" si="2"/>
        <v>#REF!</v>
      </c>
      <c r="K24" s="98" t="s">
        <v>386</v>
      </c>
      <c r="L24">
        <v>5000</v>
      </c>
      <c r="M24" s="4" t="s">
        <v>23</v>
      </c>
    </row>
    <row r="25" spans="2:13">
      <c r="B25" s="3">
        <v>24</v>
      </c>
      <c r="C25" t="s">
        <v>426</v>
      </c>
      <c r="D25" s="4"/>
      <c r="E25" s="95">
        <v>4</v>
      </c>
      <c r="F25" s="108">
        <f t="shared" si="0"/>
        <v>80</v>
      </c>
      <c r="G25" t="e">
        <f>VLOOKUP($C25,#REF!,10,FALSE)</f>
        <v>#REF!</v>
      </c>
      <c r="H25" s="5" t="e">
        <f t="shared" si="1"/>
        <v>#REF!</v>
      </c>
      <c r="I25" s="6" t="e">
        <f t="shared" si="2"/>
        <v>#REF!</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1BBE2-DB03-4AE9-A47E-6771835EDB8F}">
  <sheetPr>
    <pageSetUpPr fitToPage="1"/>
  </sheetPr>
  <dimension ref="B1:M31"/>
  <sheetViews>
    <sheetView tabSelected="1" workbookViewId="0">
      <selection activeCell="C13" sqref="C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4</v>
      </c>
      <c r="F2" s="108">
        <f>E2*$L$15</f>
        <v>80</v>
      </c>
      <c r="G2" t="e">
        <f>VLOOKUP($C2,#REF!,10,FALSE)</f>
        <v>#REF!</v>
      </c>
      <c r="H2" s="5" t="e">
        <f>G2*E2</f>
        <v>#REF!</v>
      </c>
      <c r="I2" s="97" t="e">
        <f>G2*F2</f>
        <v>#REF!</v>
      </c>
      <c r="K2" s="7" t="s">
        <v>9</v>
      </c>
      <c r="L2" s="162">
        <v>19</v>
      </c>
      <c r="M2" s="163"/>
    </row>
    <row r="3" spans="2:13">
      <c r="B3" s="3">
        <v>2</v>
      </c>
      <c r="C3" t="s">
        <v>402</v>
      </c>
      <c r="D3" s="4"/>
      <c r="E3">
        <v>4</v>
      </c>
      <c r="F3" s="108">
        <f t="shared" ref="F3:F31" si="0">E3*$L$15</f>
        <v>80</v>
      </c>
      <c r="G3" t="e">
        <f>VLOOKUP($C3,#REF!,10,FALSE)</f>
        <v>#REF!</v>
      </c>
      <c r="H3" s="5" t="e">
        <f t="shared" ref="H3:H31" si="1">G3*E3</f>
        <v>#REF!</v>
      </c>
      <c r="I3" s="6" t="e">
        <f t="shared" ref="I3:I31" si="2">G3*F3</f>
        <v>#REF!</v>
      </c>
      <c r="K3" s="8" t="s">
        <v>10</v>
      </c>
      <c r="L3" s="167" t="s">
        <v>396</v>
      </c>
      <c r="M3" s="165"/>
    </row>
    <row r="4" spans="2:13">
      <c r="B4" s="3">
        <v>3</v>
      </c>
      <c r="C4" t="s">
        <v>403</v>
      </c>
      <c r="D4" s="4"/>
      <c r="E4">
        <v>4</v>
      </c>
      <c r="F4" s="108">
        <f t="shared" si="0"/>
        <v>80</v>
      </c>
      <c r="G4" t="e">
        <f>VLOOKUP($C4,#REF!,10,FALSE)</f>
        <v>#REF!</v>
      </c>
      <c r="H4" s="5" t="e">
        <f t="shared" si="1"/>
        <v>#REF!</v>
      </c>
      <c r="I4" s="6" t="e">
        <f t="shared" si="2"/>
        <v>#REF!</v>
      </c>
      <c r="K4" s="8" t="s">
        <v>11</v>
      </c>
      <c r="L4" s="166">
        <v>45737</v>
      </c>
      <c r="M4" s="165"/>
    </row>
    <row r="5" spans="2:13">
      <c r="B5" s="3">
        <v>4</v>
      </c>
      <c r="C5" t="s">
        <v>408</v>
      </c>
      <c r="D5" s="4"/>
      <c r="E5">
        <v>4</v>
      </c>
      <c r="F5" s="108">
        <f t="shared" si="0"/>
        <v>80</v>
      </c>
      <c r="G5" t="e">
        <f>VLOOKUP($C5,#REF!,10,FALSE)</f>
        <v>#REF!</v>
      </c>
      <c r="H5" s="5" t="e">
        <f t="shared" si="1"/>
        <v>#REF!</v>
      </c>
      <c r="I5" s="6" t="e">
        <f t="shared" si="2"/>
        <v>#REF!</v>
      </c>
      <c r="K5" s="8" t="s">
        <v>12</v>
      </c>
      <c r="L5" s="167" t="s">
        <v>397</v>
      </c>
      <c r="M5" s="165"/>
    </row>
    <row r="6" spans="2:13">
      <c r="B6" s="3">
        <v>5</v>
      </c>
      <c r="C6" t="s">
        <v>419</v>
      </c>
      <c r="D6" s="4"/>
      <c r="E6">
        <v>4</v>
      </c>
      <c r="F6" s="108">
        <f t="shared" si="0"/>
        <v>80</v>
      </c>
      <c r="G6" t="e">
        <f>VLOOKUP($C6,#REF!,10,FALSE)</f>
        <v>#REF!</v>
      </c>
      <c r="H6" s="5" t="e">
        <f t="shared" si="1"/>
        <v>#REF!</v>
      </c>
      <c r="I6" s="6" t="e">
        <f t="shared" si="2"/>
        <v>#REF!</v>
      </c>
      <c r="K6" s="8" t="s">
        <v>13</v>
      </c>
      <c r="L6" s="167" t="s">
        <v>398</v>
      </c>
      <c r="M6" s="165"/>
    </row>
    <row r="7" spans="2:13" ht="17.25" thickBot="1">
      <c r="B7" s="3">
        <v>6</v>
      </c>
      <c r="C7" t="s">
        <v>409</v>
      </c>
      <c r="D7" s="4"/>
      <c r="E7">
        <v>4</v>
      </c>
      <c r="F7" s="108">
        <f t="shared" si="0"/>
        <v>80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440</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416</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4</v>
      </c>
      <c r="F15" s="108">
        <f t="shared" si="0"/>
        <v>80</v>
      </c>
      <c r="G15" t="e">
        <f>VLOOKUP($C15,#REF!,10,FALSE)</f>
        <v>#REF!</v>
      </c>
      <c r="H15" s="5" t="e">
        <f t="shared" si="1"/>
        <v>#REF!</v>
      </c>
      <c r="I15" s="6" t="e">
        <f t="shared" si="2"/>
        <v>#REF!</v>
      </c>
      <c r="K15" s="98" t="s">
        <v>18</v>
      </c>
      <c r="L15">
        <v>20</v>
      </c>
      <c r="M15" s="4" t="s">
        <v>19</v>
      </c>
    </row>
    <row r="16" spans="2:13">
      <c r="B16" s="3">
        <v>15</v>
      </c>
      <c r="C16" t="s">
        <v>405</v>
      </c>
      <c r="D16" s="4"/>
      <c r="E16">
        <v>4</v>
      </c>
      <c r="F16" s="108">
        <f t="shared" si="0"/>
        <v>80</v>
      </c>
      <c r="G16" t="e">
        <f>VLOOKUP($C16,#REF!,10,FALSE)</f>
        <v>#REF!</v>
      </c>
      <c r="H16" s="5" t="e">
        <f t="shared" si="1"/>
        <v>#REF!</v>
      </c>
      <c r="I16" s="6" t="e">
        <f t="shared" si="2"/>
        <v>#REF!</v>
      </c>
      <c r="K16" s="98" t="s">
        <v>20</v>
      </c>
      <c r="L16">
        <v>45</v>
      </c>
      <c r="M16" s="4" t="s">
        <v>21</v>
      </c>
    </row>
    <row r="17" spans="2:13" ht="17.25" thickBot="1">
      <c r="B17" s="3">
        <v>16</v>
      </c>
      <c r="C17" t="s">
        <v>413</v>
      </c>
      <c r="D17" s="4"/>
      <c r="E17">
        <v>4</v>
      </c>
      <c r="F17" s="108">
        <f t="shared" si="0"/>
        <v>80</v>
      </c>
      <c r="G17" t="e">
        <f>VLOOKUP($C17,#REF!,10,FALSE)</f>
        <v>#REF!</v>
      </c>
      <c r="H17" s="5" t="e">
        <f t="shared" si="1"/>
        <v>#REF!</v>
      </c>
      <c r="I17" s="6" t="e">
        <f t="shared" si="2"/>
        <v>#REF!</v>
      </c>
      <c r="K17" s="14" t="s">
        <v>22</v>
      </c>
      <c r="L17" s="11">
        <v>100</v>
      </c>
      <c r="M17" s="12" t="s">
        <v>23</v>
      </c>
    </row>
    <row r="18" spans="2:13">
      <c r="B18" s="3">
        <v>17</v>
      </c>
      <c r="C18" t="s">
        <v>414</v>
      </c>
      <c r="D18" s="4"/>
      <c r="E18">
        <v>4</v>
      </c>
      <c r="F18" s="108">
        <f t="shared" si="0"/>
        <v>80</v>
      </c>
      <c r="G18" t="e">
        <f>VLOOKUP($C18,#REF!,10,FALSE)</f>
        <v>#REF!</v>
      </c>
      <c r="H18" s="5" t="e">
        <f t="shared" si="1"/>
        <v>#REF!</v>
      </c>
      <c r="I18" s="6" t="e">
        <f t="shared" si="2"/>
        <v>#REF!</v>
      </c>
      <c r="K18" s="99" t="s">
        <v>24</v>
      </c>
      <c r="L18" s="9">
        <f>SUM(E2:E31)</f>
        <v>94</v>
      </c>
      <c r="M18" s="10" t="s">
        <v>25</v>
      </c>
    </row>
    <row r="19" spans="2:13">
      <c r="B19" s="3">
        <v>18</v>
      </c>
      <c r="C19" t="s">
        <v>415</v>
      </c>
      <c r="D19" s="4"/>
      <c r="E19">
        <v>6</v>
      </c>
      <c r="F19" s="108">
        <f t="shared" si="0"/>
        <v>120</v>
      </c>
      <c r="G19" t="e">
        <f>VLOOKUP($C19,#REF!,10,FALSE)</f>
        <v>#REF!</v>
      </c>
      <c r="H19" s="5" t="e">
        <f t="shared" si="1"/>
        <v>#REF!</v>
      </c>
      <c r="I19" s="6" t="e">
        <f t="shared" si="2"/>
        <v>#REF!</v>
      </c>
      <c r="K19" s="98" t="s">
        <v>26</v>
      </c>
      <c r="L19">
        <f>L15*L18</f>
        <v>1880</v>
      </c>
      <c r="M19" s="4" t="s">
        <v>25</v>
      </c>
    </row>
    <row r="20" spans="2:13" ht="17.25" thickBot="1">
      <c r="B20" s="3">
        <v>19</v>
      </c>
      <c r="C20" t="s">
        <v>407</v>
      </c>
      <c r="D20" s="4"/>
      <c r="E20">
        <v>4</v>
      </c>
      <c r="F20" s="108">
        <f t="shared" si="0"/>
        <v>80</v>
      </c>
      <c r="G20" t="e">
        <f>VLOOKUP($C20,#REF!,10,FALSE)</f>
        <v>#REF!</v>
      </c>
      <c r="H20" s="5" t="e">
        <f t="shared" si="1"/>
        <v>#REF!</v>
      </c>
      <c r="I20" s="6" t="e">
        <f t="shared" si="2"/>
        <v>#REF!</v>
      </c>
      <c r="K20" s="14" t="s">
        <v>27</v>
      </c>
      <c r="L20" s="11">
        <f>L16*L17+L19</f>
        <v>6380</v>
      </c>
      <c r="M20" s="12" t="s">
        <v>23</v>
      </c>
    </row>
    <row r="21" spans="2:13" ht="17.25" thickBot="1">
      <c r="B21" s="3">
        <v>20</v>
      </c>
      <c r="C21" t="s">
        <v>436</v>
      </c>
      <c r="D21" s="4"/>
      <c r="E21">
        <v>4</v>
      </c>
      <c r="F21" s="108">
        <f t="shared" si="0"/>
        <v>80</v>
      </c>
      <c r="G21" t="e">
        <f>VLOOKUP($C21,#REF!,10,FALSE)</f>
        <v>#REF!</v>
      </c>
      <c r="H21" s="5" t="e">
        <f t="shared" si="1"/>
        <v>#REF!</v>
      </c>
      <c r="I21" s="6" t="e">
        <f t="shared" si="2"/>
        <v>#REF!</v>
      </c>
      <c r="J21" s="98"/>
      <c r="M21" s="101"/>
    </row>
    <row r="22" spans="2:13" ht="17.25" thickBot="1">
      <c r="B22" s="3">
        <v>21</v>
      </c>
      <c r="C22" t="s">
        <v>437</v>
      </c>
      <c r="D22" s="4"/>
      <c r="E22">
        <v>6</v>
      </c>
      <c r="F22" s="108">
        <f t="shared" si="0"/>
        <v>120</v>
      </c>
      <c r="G22" t="e">
        <f>VLOOKUP($C22,#REF!,10,FALSE)</f>
        <v>#REF!</v>
      </c>
      <c r="H22" s="5" t="e">
        <f t="shared" si="1"/>
        <v>#REF!</v>
      </c>
      <c r="I22" s="6" t="e">
        <f t="shared" si="2"/>
        <v>#REF!</v>
      </c>
      <c r="K22" s="150" t="s">
        <v>385</v>
      </c>
      <c r="L22" s="151"/>
      <c r="M22" s="152"/>
    </row>
    <row r="23" spans="2:13">
      <c r="B23" s="3">
        <v>22</v>
      </c>
      <c r="C23" t="s">
        <v>425</v>
      </c>
      <c r="D23" s="4"/>
      <c r="E23">
        <v>4</v>
      </c>
      <c r="F23" s="108">
        <f t="shared" si="0"/>
        <v>80</v>
      </c>
      <c r="G23" t="e">
        <f>VLOOKUP($C23,#REF!,10,FALSE)</f>
        <v>#REF!</v>
      </c>
      <c r="H23" s="5" t="e">
        <f t="shared" si="1"/>
        <v>#REF!</v>
      </c>
      <c r="I23" s="6" t="e">
        <f t="shared" si="2"/>
        <v>#REF!</v>
      </c>
      <c r="K23" s="98" t="s">
        <v>379</v>
      </c>
      <c r="L23">
        <f>SUM(F2:F31)</f>
        <v>1880</v>
      </c>
      <c r="M23" s="4" t="s">
        <v>25</v>
      </c>
    </row>
    <row r="24" spans="2:13">
      <c r="B24" s="3">
        <v>23</v>
      </c>
      <c r="C24" t="s">
        <v>438</v>
      </c>
      <c r="D24" s="4"/>
      <c r="E24">
        <v>4</v>
      </c>
      <c r="F24" s="108">
        <f t="shared" si="0"/>
        <v>80</v>
      </c>
      <c r="G24" t="e">
        <f>VLOOKUP($C24,#REF!,10,FALSE)</f>
        <v>#REF!</v>
      </c>
      <c r="H24" s="5" t="e">
        <f t="shared" si="1"/>
        <v>#REF!</v>
      </c>
      <c r="I24" s="6" t="e">
        <f t="shared" si="2"/>
        <v>#REF!</v>
      </c>
      <c r="K24" s="98" t="s">
        <v>386</v>
      </c>
      <c r="L24">
        <v>5000</v>
      </c>
      <c r="M24" s="4" t="s">
        <v>23</v>
      </c>
    </row>
    <row r="25" spans="2:13">
      <c r="B25" s="3">
        <v>24</v>
      </c>
      <c r="C25" t="s">
        <v>439</v>
      </c>
      <c r="D25" s="4"/>
      <c r="E25" s="95">
        <v>2</v>
      </c>
      <c r="F25" s="108">
        <f t="shared" si="0"/>
        <v>40</v>
      </c>
      <c r="G25" t="e">
        <f>VLOOKUP($C25,#REF!,10,FALSE)</f>
        <v>#REF!</v>
      </c>
      <c r="H25" s="5" t="e">
        <f t="shared" si="1"/>
        <v>#REF!</v>
      </c>
      <c r="I25" s="6" t="e">
        <f t="shared" si="2"/>
        <v>#REF!</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F315D-31FB-4BB5-8F46-E897FFF98559}">
  <sheetPr>
    <pageSetUpPr fitToPage="1"/>
  </sheetPr>
  <dimension ref="B1:M31"/>
  <sheetViews>
    <sheetView workbookViewId="0">
      <selection activeCell="K24" sqref="K24"/>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240</v>
      </c>
      <c r="G2" t="e">
        <f>VLOOKUP($C2,#REF!,10,FALSE)</f>
        <v>#REF!</v>
      </c>
      <c r="H2" s="5" t="e">
        <f>G2*E2</f>
        <v>#REF!</v>
      </c>
      <c r="I2" s="97" t="e">
        <f>G2*F2</f>
        <v>#REF!</v>
      </c>
      <c r="K2" s="7" t="s">
        <v>9</v>
      </c>
      <c r="L2" s="162">
        <v>19</v>
      </c>
      <c r="M2" s="163"/>
    </row>
    <row r="3" spans="2:13">
      <c r="B3" s="3">
        <v>2</v>
      </c>
      <c r="C3" t="s">
        <v>402</v>
      </c>
      <c r="D3" s="4"/>
      <c r="E3">
        <v>6</v>
      </c>
      <c r="F3" s="108">
        <f t="shared" ref="F3:F31" si="0">E3*$L$15</f>
        <v>240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240</v>
      </c>
      <c r="G4" t="e">
        <f>VLOOKUP($C4,#REF!,10,FALSE)</f>
        <v>#REF!</v>
      </c>
      <c r="H4" s="5" t="e">
        <f t="shared" si="1"/>
        <v>#REF!</v>
      </c>
      <c r="I4" s="6" t="e">
        <f t="shared" si="2"/>
        <v>#REF!</v>
      </c>
      <c r="K4" s="8" t="s">
        <v>11</v>
      </c>
      <c r="L4" s="166">
        <v>45721</v>
      </c>
      <c r="M4" s="165"/>
    </row>
    <row r="5" spans="2:13">
      <c r="B5" s="3">
        <v>4</v>
      </c>
      <c r="C5" t="s">
        <v>408</v>
      </c>
      <c r="D5" s="4"/>
      <c r="E5">
        <v>4</v>
      </c>
      <c r="F5" s="108">
        <f t="shared" si="0"/>
        <v>160</v>
      </c>
      <c r="G5" t="e">
        <f>VLOOKUP($C5,#REF!,10,FALSE)</f>
        <v>#REF!</v>
      </c>
      <c r="H5" s="5" t="e">
        <f t="shared" si="1"/>
        <v>#REF!</v>
      </c>
      <c r="I5" s="6" t="e">
        <f t="shared" si="2"/>
        <v>#REF!</v>
      </c>
      <c r="K5" s="8" t="s">
        <v>12</v>
      </c>
      <c r="L5" s="167" t="s">
        <v>397</v>
      </c>
      <c r="M5" s="165"/>
    </row>
    <row r="6" spans="2:13">
      <c r="B6" s="3">
        <v>5</v>
      </c>
      <c r="C6" t="s">
        <v>419</v>
      </c>
      <c r="D6" s="4"/>
      <c r="E6">
        <v>4</v>
      </c>
      <c r="F6" s="108">
        <f t="shared" si="0"/>
        <v>160</v>
      </c>
      <c r="G6" t="e">
        <f>VLOOKUP($C6,#REF!,10,FALSE)</f>
        <v>#REF!</v>
      </c>
      <c r="H6" s="5" t="e">
        <f t="shared" si="1"/>
        <v>#REF!</v>
      </c>
      <c r="I6" s="6" t="e">
        <f t="shared" si="2"/>
        <v>#REF!</v>
      </c>
      <c r="K6" s="8" t="s">
        <v>13</v>
      </c>
      <c r="L6" s="167" t="s">
        <v>398</v>
      </c>
      <c r="M6" s="165"/>
    </row>
    <row r="7" spans="2:13" ht="17.25" thickBot="1">
      <c r="B7" s="3">
        <v>6</v>
      </c>
      <c r="C7" t="s">
        <v>409</v>
      </c>
      <c r="D7" s="4"/>
      <c r="E7">
        <v>4</v>
      </c>
      <c r="F7" s="108">
        <f t="shared" si="0"/>
        <v>160</v>
      </c>
      <c r="G7" t="e">
        <f>VLOOKUP($C7,#REF!,10,FALSE)</f>
        <v>#REF!</v>
      </c>
      <c r="H7" s="5" t="e">
        <f t="shared" si="1"/>
        <v>#REF!</v>
      </c>
      <c r="I7" s="6" t="e">
        <f t="shared" si="2"/>
        <v>#REF!</v>
      </c>
      <c r="K7" s="8" t="s">
        <v>14</v>
      </c>
      <c r="L7" s="148">
        <v>58</v>
      </c>
      <c r="M7" s="149"/>
    </row>
    <row r="8" spans="2:13" ht="17.25" thickBot="1">
      <c r="B8" s="3">
        <v>7</v>
      </c>
      <c r="C8" t="s">
        <v>400</v>
      </c>
      <c r="D8" s="4"/>
      <c r="E8">
        <v>4</v>
      </c>
      <c r="F8" s="108">
        <f t="shared" si="0"/>
        <v>160</v>
      </c>
      <c r="G8" t="e">
        <f>VLOOKUP($C8,#REF!,10,FALSE)</f>
        <v>#REF!</v>
      </c>
      <c r="H8" s="5" t="e">
        <f t="shared" si="1"/>
        <v>#REF!</v>
      </c>
      <c r="I8" s="6" t="e">
        <f t="shared" si="2"/>
        <v>#REF!</v>
      </c>
      <c r="K8" s="150" t="s">
        <v>15</v>
      </c>
      <c r="L8" s="151"/>
      <c r="M8" s="152"/>
    </row>
    <row r="9" spans="2:13">
      <c r="B9" s="3">
        <v>8</v>
      </c>
      <c r="C9" t="s">
        <v>401</v>
      </c>
      <c r="D9" s="4"/>
      <c r="E9">
        <v>4</v>
      </c>
      <c r="F9" s="108">
        <f t="shared" si="0"/>
        <v>160</v>
      </c>
      <c r="G9" t="e">
        <f>VLOOKUP($C9,#REF!,10,FALSE)</f>
        <v>#REF!</v>
      </c>
      <c r="H9" s="5" t="e">
        <f t="shared" si="1"/>
        <v>#REF!</v>
      </c>
      <c r="I9" s="6" t="e">
        <f t="shared" si="2"/>
        <v>#REF!</v>
      </c>
      <c r="K9" s="153" t="s">
        <v>435</v>
      </c>
      <c r="L9" s="154"/>
      <c r="M9" s="155"/>
    </row>
    <row r="10" spans="2:13">
      <c r="B10" s="3">
        <v>9</v>
      </c>
      <c r="C10" t="s">
        <v>410</v>
      </c>
      <c r="D10" s="4"/>
      <c r="E10">
        <v>3</v>
      </c>
      <c r="F10" s="108">
        <f t="shared" si="0"/>
        <v>120</v>
      </c>
      <c r="G10" t="e">
        <f>VLOOKUP($C10,#REF!,10,FALSE)</f>
        <v>#REF!</v>
      </c>
      <c r="H10" s="5" t="e">
        <f t="shared" si="1"/>
        <v>#REF!</v>
      </c>
      <c r="I10" s="6" t="e">
        <f t="shared" si="2"/>
        <v>#REF!</v>
      </c>
      <c r="K10" s="156"/>
      <c r="L10" s="157"/>
      <c r="M10" s="158"/>
    </row>
    <row r="11" spans="2:13">
      <c r="B11" s="3">
        <v>10</v>
      </c>
      <c r="C11" t="s">
        <v>411</v>
      </c>
      <c r="D11" s="4"/>
      <c r="E11">
        <v>3</v>
      </c>
      <c r="F11" s="108">
        <f t="shared" si="0"/>
        <v>120</v>
      </c>
      <c r="G11" t="e">
        <f>VLOOKUP($C11,#REF!,10,FALSE)</f>
        <v>#REF!</v>
      </c>
      <c r="H11" s="5" t="e">
        <f t="shared" si="1"/>
        <v>#REF!</v>
      </c>
      <c r="I11" s="6" t="e">
        <f t="shared" si="2"/>
        <v>#REF!</v>
      </c>
      <c r="K11" s="156"/>
      <c r="L11" s="157"/>
      <c r="M11" s="158"/>
    </row>
    <row r="12" spans="2:13">
      <c r="B12" s="3">
        <v>11</v>
      </c>
      <c r="C12" t="s">
        <v>416</v>
      </c>
      <c r="D12" s="4"/>
      <c r="E12">
        <v>3</v>
      </c>
      <c r="F12" s="108">
        <f t="shared" si="0"/>
        <v>120</v>
      </c>
      <c r="G12" t="e">
        <f>VLOOKUP($C12,#REF!,10,FALSE)</f>
        <v>#REF!</v>
      </c>
      <c r="H12" s="5" t="e">
        <f t="shared" si="1"/>
        <v>#REF!</v>
      </c>
      <c r="I12" s="6" t="e">
        <f t="shared" si="2"/>
        <v>#REF!</v>
      </c>
      <c r="K12" s="156"/>
      <c r="L12" s="157"/>
      <c r="M12" s="158"/>
    </row>
    <row r="13" spans="2:13" ht="17.25" thickBot="1">
      <c r="B13" s="3">
        <v>12</v>
      </c>
      <c r="C13" t="s">
        <v>412</v>
      </c>
      <c r="D13" s="4"/>
      <c r="E13">
        <v>3</v>
      </c>
      <c r="F13" s="108">
        <f t="shared" si="0"/>
        <v>120</v>
      </c>
      <c r="G13" t="e">
        <f>VLOOKUP($C13,#REF!,10,FALSE)</f>
        <v>#REF!</v>
      </c>
      <c r="H13" s="5" t="e">
        <f t="shared" si="1"/>
        <v>#REF!</v>
      </c>
      <c r="I13" s="6" t="e">
        <f t="shared" si="2"/>
        <v>#REF!</v>
      </c>
      <c r="K13" s="159"/>
      <c r="L13" s="160"/>
      <c r="M13" s="161"/>
    </row>
    <row r="14" spans="2:13">
      <c r="B14" s="3">
        <v>13</v>
      </c>
      <c r="C14" t="s">
        <v>404</v>
      </c>
      <c r="D14" s="4"/>
      <c r="E14">
        <v>3</v>
      </c>
      <c r="F14" s="108">
        <f t="shared" si="0"/>
        <v>120</v>
      </c>
      <c r="G14" t="e">
        <f>VLOOKUP($C14,#REF!,10,FALSE)</f>
        <v>#REF!</v>
      </c>
      <c r="H14" s="5" t="e">
        <f t="shared" si="1"/>
        <v>#REF!</v>
      </c>
      <c r="I14" s="6" t="e">
        <f t="shared" si="2"/>
        <v>#REF!</v>
      </c>
      <c r="K14" s="99" t="s">
        <v>16</v>
      </c>
      <c r="L14" s="9">
        <v>30</v>
      </c>
      <c r="M14" s="10" t="s">
        <v>17</v>
      </c>
    </row>
    <row r="15" spans="2:13">
      <c r="B15" s="3">
        <v>14</v>
      </c>
      <c r="C15" t="s">
        <v>406</v>
      </c>
      <c r="D15" s="4"/>
      <c r="E15">
        <v>4</v>
      </c>
      <c r="F15" s="108">
        <f t="shared" si="0"/>
        <v>160</v>
      </c>
      <c r="G15" t="e">
        <f>VLOOKUP($C15,#REF!,10,FALSE)</f>
        <v>#REF!</v>
      </c>
      <c r="H15" s="5" t="e">
        <f t="shared" si="1"/>
        <v>#REF!</v>
      </c>
      <c r="I15" s="6" t="e">
        <f t="shared" si="2"/>
        <v>#REF!</v>
      </c>
      <c r="K15" s="98" t="s">
        <v>18</v>
      </c>
      <c r="L15">
        <v>40</v>
      </c>
      <c r="M15" s="4" t="s">
        <v>19</v>
      </c>
    </row>
    <row r="16" spans="2:13">
      <c r="B16" s="3">
        <v>15</v>
      </c>
      <c r="C16" t="s">
        <v>405</v>
      </c>
      <c r="D16" s="4"/>
      <c r="E16">
        <v>3</v>
      </c>
      <c r="F16" s="108">
        <f t="shared" si="0"/>
        <v>120</v>
      </c>
      <c r="G16" t="e">
        <f>VLOOKUP($C16,#REF!,10,FALSE)</f>
        <v>#REF!</v>
      </c>
      <c r="H16" s="5" t="e">
        <f t="shared" si="1"/>
        <v>#REF!</v>
      </c>
      <c r="I16" s="6" t="e">
        <f t="shared" si="2"/>
        <v>#REF!</v>
      </c>
      <c r="K16" s="98" t="s">
        <v>20</v>
      </c>
      <c r="L16">
        <v>90</v>
      </c>
      <c r="M16" s="4" t="s">
        <v>21</v>
      </c>
    </row>
    <row r="17" spans="2:13" ht="17.25" thickBot="1">
      <c r="B17" s="3">
        <v>16</v>
      </c>
      <c r="C17" t="s">
        <v>413</v>
      </c>
      <c r="D17" s="4"/>
      <c r="E17">
        <v>3</v>
      </c>
      <c r="F17" s="108">
        <f t="shared" si="0"/>
        <v>120</v>
      </c>
      <c r="G17" t="e">
        <f>VLOOKUP($C17,#REF!,10,FALSE)</f>
        <v>#REF!</v>
      </c>
      <c r="H17" s="5" t="e">
        <f t="shared" si="1"/>
        <v>#REF!</v>
      </c>
      <c r="I17" s="6" t="e">
        <f t="shared" si="2"/>
        <v>#REF!</v>
      </c>
      <c r="K17" s="14" t="s">
        <v>22</v>
      </c>
      <c r="L17" s="11">
        <v>100</v>
      </c>
      <c r="M17" s="12" t="s">
        <v>23</v>
      </c>
    </row>
    <row r="18" spans="2:13">
      <c r="B18" s="3">
        <v>17</v>
      </c>
      <c r="C18" t="s">
        <v>414</v>
      </c>
      <c r="D18" s="4"/>
      <c r="E18">
        <v>4</v>
      </c>
      <c r="F18" s="108">
        <f t="shared" si="0"/>
        <v>160</v>
      </c>
      <c r="G18" t="e">
        <f>VLOOKUP($C18,#REF!,10,FALSE)</f>
        <v>#REF!</v>
      </c>
      <c r="H18" s="5" t="e">
        <f t="shared" si="1"/>
        <v>#REF!</v>
      </c>
      <c r="I18" s="6" t="e">
        <f t="shared" si="2"/>
        <v>#REF!</v>
      </c>
      <c r="K18" s="99" t="s">
        <v>24</v>
      </c>
      <c r="L18" s="9">
        <f>SUM(E2:E31)</f>
        <v>89</v>
      </c>
      <c r="M18" s="10" t="s">
        <v>25</v>
      </c>
    </row>
    <row r="19" spans="2:13">
      <c r="B19" s="3">
        <v>18</v>
      </c>
      <c r="C19" t="s">
        <v>415</v>
      </c>
      <c r="D19" s="4"/>
      <c r="E19">
        <v>4</v>
      </c>
      <c r="F19" s="108">
        <f t="shared" si="0"/>
        <v>160</v>
      </c>
      <c r="G19" t="e">
        <f>VLOOKUP($C19,#REF!,10,FALSE)</f>
        <v>#REF!</v>
      </c>
      <c r="H19" s="5" t="e">
        <f t="shared" si="1"/>
        <v>#REF!</v>
      </c>
      <c r="I19" s="6" t="e">
        <f t="shared" si="2"/>
        <v>#REF!</v>
      </c>
      <c r="K19" s="98" t="s">
        <v>26</v>
      </c>
      <c r="L19">
        <f>L15*L18</f>
        <v>3560</v>
      </c>
      <c r="M19" s="4" t="s">
        <v>25</v>
      </c>
    </row>
    <row r="20" spans="2:13" ht="17.25" thickBot="1">
      <c r="B20" s="3">
        <v>19</v>
      </c>
      <c r="C20" t="s">
        <v>407</v>
      </c>
      <c r="D20" s="4"/>
      <c r="E20">
        <v>4</v>
      </c>
      <c r="F20" s="108">
        <f t="shared" si="0"/>
        <v>160</v>
      </c>
      <c r="G20" t="e">
        <f>VLOOKUP($C20,#REF!,10,FALSE)</f>
        <v>#REF!</v>
      </c>
      <c r="H20" s="5" t="e">
        <f t="shared" si="1"/>
        <v>#REF!</v>
      </c>
      <c r="I20" s="6" t="e">
        <f t="shared" si="2"/>
        <v>#REF!</v>
      </c>
      <c r="K20" s="14" t="s">
        <v>27</v>
      </c>
      <c r="L20" s="11">
        <f>L16*L17+L19</f>
        <v>12560</v>
      </c>
      <c r="M20" s="12" t="s">
        <v>23</v>
      </c>
    </row>
    <row r="21" spans="2:13" ht="17.25" thickBot="1">
      <c r="B21" s="3">
        <v>20</v>
      </c>
      <c r="C21" t="s">
        <v>417</v>
      </c>
      <c r="D21" s="4"/>
      <c r="E21">
        <v>2</v>
      </c>
      <c r="F21" s="108">
        <f t="shared" si="0"/>
        <v>80</v>
      </c>
      <c r="G21" t="e">
        <f>VLOOKUP($C21,#REF!,10,FALSE)</f>
        <v>#REF!</v>
      </c>
      <c r="H21" s="5" t="e">
        <f t="shared" si="1"/>
        <v>#REF!</v>
      </c>
      <c r="I21" s="6" t="e">
        <f t="shared" si="2"/>
        <v>#REF!</v>
      </c>
      <c r="J21" s="98"/>
      <c r="M21" s="101"/>
    </row>
    <row r="22" spans="2:13" ht="17.25" thickBot="1">
      <c r="B22" s="3">
        <v>21</v>
      </c>
      <c r="C22" t="s">
        <v>420</v>
      </c>
      <c r="D22" s="4"/>
      <c r="E22">
        <v>4</v>
      </c>
      <c r="F22" s="108">
        <f t="shared" si="0"/>
        <v>160</v>
      </c>
      <c r="G22" t="e">
        <f>VLOOKUP($C22,#REF!,10,FALSE)</f>
        <v>#REF!</v>
      </c>
      <c r="H22" s="5" t="e">
        <f t="shared" si="1"/>
        <v>#REF!</v>
      </c>
      <c r="I22" s="6" t="e">
        <f t="shared" si="2"/>
        <v>#REF!</v>
      </c>
      <c r="K22" s="150" t="s">
        <v>385</v>
      </c>
      <c r="L22" s="151"/>
      <c r="M22" s="152"/>
    </row>
    <row r="23" spans="2:13">
      <c r="B23" s="3">
        <v>22</v>
      </c>
      <c r="C23" t="s">
        <v>433</v>
      </c>
      <c r="D23" s="4"/>
      <c r="E23">
        <v>4</v>
      </c>
      <c r="F23" s="108">
        <f t="shared" si="0"/>
        <v>160</v>
      </c>
      <c r="G23" t="e">
        <f>VLOOKUP($C23,#REF!,10,FALSE)</f>
        <v>#REF!</v>
      </c>
      <c r="H23" s="5" t="e">
        <f t="shared" si="1"/>
        <v>#REF!</v>
      </c>
      <c r="I23" s="6" t="e">
        <f t="shared" si="2"/>
        <v>#REF!</v>
      </c>
      <c r="K23" s="98" t="s">
        <v>379</v>
      </c>
      <c r="L23">
        <f>SUM(F2:F31)</f>
        <v>3560</v>
      </c>
      <c r="M23" s="4" t="s">
        <v>25</v>
      </c>
    </row>
    <row r="24" spans="2:13">
      <c r="B24" s="3">
        <v>23</v>
      </c>
      <c r="C24" t="s">
        <v>421</v>
      </c>
      <c r="D24" s="4" t="s">
        <v>422</v>
      </c>
      <c r="E24">
        <v>4</v>
      </c>
      <c r="F24" s="108">
        <f t="shared" si="0"/>
        <v>160</v>
      </c>
      <c r="G24" t="e">
        <f>VLOOKUP($C24,#REF!,10,FALSE)</f>
        <v>#REF!</v>
      </c>
      <c r="H24" s="5" t="e">
        <f t="shared" si="1"/>
        <v>#REF!</v>
      </c>
      <c r="I24" s="6" t="e">
        <f t="shared" si="2"/>
        <v>#REF!</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5706A-CBA4-4C21-AF38-8CC00ADB3ED6}">
  <sheetPr>
    <pageSetUpPr fitToPage="1"/>
  </sheetPr>
  <dimension ref="B1:M31"/>
  <sheetViews>
    <sheetView workbookViewId="0">
      <selection activeCell="C32" sqref="C32"/>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150</v>
      </c>
      <c r="G2" t="e">
        <f>VLOOKUP($C2,#REF!,10,FALSE)</f>
        <v>#REF!</v>
      </c>
      <c r="H2" s="5" t="e">
        <f>G2*E2</f>
        <v>#REF!</v>
      </c>
      <c r="I2" s="97" t="e">
        <f>G2*F2</f>
        <v>#REF!</v>
      </c>
      <c r="K2" s="7" t="s">
        <v>9</v>
      </c>
      <c r="L2" s="162">
        <v>19</v>
      </c>
      <c r="M2" s="163"/>
    </row>
    <row r="3" spans="2:13">
      <c r="B3" s="3">
        <v>2</v>
      </c>
      <c r="C3" t="s">
        <v>402</v>
      </c>
      <c r="D3" s="4"/>
      <c r="E3">
        <v>6</v>
      </c>
      <c r="F3" s="108">
        <f t="shared" ref="F3:F31" si="0">E3*$L$15</f>
        <v>150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150</v>
      </c>
      <c r="G4" t="e">
        <f>VLOOKUP($C4,#REF!,10,FALSE)</f>
        <v>#REF!</v>
      </c>
      <c r="H4" s="5" t="e">
        <f t="shared" si="1"/>
        <v>#REF!</v>
      </c>
      <c r="I4" s="6" t="e">
        <f t="shared" si="2"/>
        <v>#REF!</v>
      </c>
      <c r="K4" s="8" t="s">
        <v>11</v>
      </c>
      <c r="L4" s="166">
        <v>45696</v>
      </c>
      <c r="M4" s="165"/>
    </row>
    <row r="5" spans="2:13">
      <c r="B5" s="3">
        <v>4</v>
      </c>
      <c r="C5" t="s">
        <v>408</v>
      </c>
      <c r="D5" s="4"/>
      <c r="E5">
        <v>4</v>
      </c>
      <c r="F5" s="108">
        <f t="shared" si="0"/>
        <v>100</v>
      </c>
      <c r="G5" t="e">
        <f>VLOOKUP($C5,#REF!,10,FALSE)</f>
        <v>#REF!</v>
      </c>
      <c r="H5" s="5" t="e">
        <f t="shared" si="1"/>
        <v>#REF!</v>
      </c>
      <c r="I5" s="6" t="e">
        <f t="shared" si="2"/>
        <v>#REF!</v>
      </c>
      <c r="K5" s="8" t="s">
        <v>12</v>
      </c>
      <c r="L5" s="167" t="s">
        <v>397</v>
      </c>
      <c r="M5" s="165"/>
    </row>
    <row r="6" spans="2:13">
      <c r="B6" s="3">
        <v>5</v>
      </c>
      <c r="C6" t="s">
        <v>419</v>
      </c>
      <c r="D6" s="4"/>
      <c r="E6">
        <v>4</v>
      </c>
      <c r="F6" s="108">
        <f t="shared" si="0"/>
        <v>100</v>
      </c>
      <c r="G6" t="e">
        <f>VLOOKUP($C6,#REF!,10,FALSE)</f>
        <v>#REF!</v>
      </c>
      <c r="H6" s="5" t="e">
        <f t="shared" si="1"/>
        <v>#REF!</v>
      </c>
      <c r="I6" s="6" t="e">
        <f t="shared" si="2"/>
        <v>#REF!</v>
      </c>
      <c r="K6" s="8" t="s">
        <v>13</v>
      </c>
      <c r="L6" s="167" t="s">
        <v>398</v>
      </c>
      <c r="M6" s="165"/>
    </row>
    <row r="7" spans="2:13" ht="17.25" thickBot="1">
      <c r="B7" s="3">
        <v>6</v>
      </c>
      <c r="C7" t="s">
        <v>409</v>
      </c>
      <c r="D7" s="4"/>
      <c r="E7">
        <v>4</v>
      </c>
      <c r="F7" s="108">
        <f t="shared" si="0"/>
        <v>100</v>
      </c>
      <c r="G7" t="e">
        <f>VLOOKUP($C7,#REF!,10,FALSE)</f>
        <v>#REF!</v>
      </c>
      <c r="H7" s="5" t="e">
        <f t="shared" si="1"/>
        <v>#REF!</v>
      </c>
      <c r="I7" s="6" t="e">
        <f t="shared" si="2"/>
        <v>#REF!</v>
      </c>
      <c r="K7" s="8" t="s">
        <v>14</v>
      </c>
      <c r="L7" s="148">
        <v>58</v>
      </c>
      <c r="M7" s="149"/>
    </row>
    <row r="8" spans="2:13" ht="17.25" thickBot="1">
      <c r="B8" s="3">
        <v>7</v>
      </c>
      <c r="C8" t="s">
        <v>400</v>
      </c>
      <c r="D8" s="4"/>
      <c r="E8">
        <v>4</v>
      </c>
      <c r="F8" s="108">
        <f t="shared" si="0"/>
        <v>100</v>
      </c>
      <c r="G8" t="e">
        <f>VLOOKUP($C8,#REF!,10,FALSE)</f>
        <v>#REF!</v>
      </c>
      <c r="H8" s="5" t="e">
        <f t="shared" si="1"/>
        <v>#REF!</v>
      </c>
      <c r="I8" s="6" t="e">
        <f t="shared" si="2"/>
        <v>#REF!</v>
      </c>
      <c r="K8" s="150" t="s">
        <v>15</v>
      </c>
      <c r="L8" s="151"/>
      <c r="M8" s="152"/>
    </row>
    <row r="9" spans="2:13">
      <c r="B9" s="3">
        <v>8</v>
      </c>
      <c r="C9" t="s">
        <v>401</v>
      </c>
      <c r="D9" s="4"/>
      <c r="E9">
        <v>4</v>
      </c>
      <c r="F9" s="108">
        <f t="shared" si="0"/>
        <v>100</v>
      </c>
      <c r="G9" t="e">
        <f>VLOOKUP($C9,#REF!,10,FALSE)</f>
        <v>#REF!</v>
      </c>
      <c r="H9" s="5" t="e">
        <f t="shared" si="1"/>
        <v>#REF!</v>
      </c>
      <c r="I9" s="6" t="e">
        <f t="shared" si="2"/>
        <v>#REF!</v>
      </c>
      <c r="K9" s="153" t="s">
        <v>434</v>
      </c>
      <c r="L9" s="154"/>
      <c r="M9" s="155"/>
    </row>
    <row r="10" spans="2:13">
      <c r="B10" s="3">
        <v>9</v>
      </c>
      <c r="C10" t="s">
        <v>410</v>
      </c>
      <c r="D10" s="4"/>
      <c r="E10">
        <v>3</v>
      </c>
      <c r="F10" s="108">
        <f t="shared" si="0"/>
        <v>75</v>
      </c>
      <c r="G10" t="e">
        <f>VLOOKUP($C10,#REF!,10,FALSE)</f>
        <v>#REF!</v>
      </c>
      <c r="H10" s="5" t="e">
        <f t="shared" si="1"/>
        <v>#REF!</v>
      </c>
      <c r="I10" s="6" t="e">
        <f t="shared" si="2"/>
        <v>#REF!</v>
      </c>
      <c r="K10" s="156"/>
      <c r="L10" s="157"/>
      <c r="M10" s="158"/>
    </row>
    <row r="11" spans="2:13">
      <c r="B11" s="3">
        <v>10</v>
      </c>
      <c r="C11" t="s">
        <v>411</v>
      </c>
      <c r="D11" s="4"/>
      <c r="E11">
        <v>3</v>
      </c>
      <c r="F11" s="108">
        <f t="shared" si="0"/>
        <v>75</v>
      </c>
      <c r="G11" t="e">
        <f>VLOOKUP($C11,#REF!,10,FALSE)</f>
        <v>#REF!</v>
      </c>
      <c r="H11" s="5" t="e">
        <f t="shared" si="1"/>
        <v>#REF!</v>
      </c>
      <c r="I11" s="6" t="e">
        <f t="shared" si="2"/>
        <v>#REF!</v>
      </c>
      <c r="K11" s="156"/>
      <c r="L11" s="157"/>
      <c r="M11" s="158"/>
    </row>
    <row r="12" spans="2:13">
      <c r="B12" s="3">
        <v>11</v>
      </c>
      <c r="C12" t="s">
        <v>416</v>
      </c>
      <c r="D12" s="4"/>
      <c r="E12">
        <v>3</v>
      </c>
      <c r="F12" s="108">
        <f t="shared" si="0"/>
        <v>75</v>
      </c>
      <c r="G12" t="e">
        <f>VLOOKUP($C12,#REF!,10,FALSE)</f>
        <v>#REF!</v>
      </c>
      <c r="H12" s="5" t="e">
        <f t="shared" si="1"/>
        <v>#REF!</v>
      </c>
      <c r="I12" s="6" t="e">
        <f t="shared" si="2"/>
        <v>#REF!</v>
      </c>
      <c r="K12" s="156"/>
      <c r="L12" s="157"/>
      <c r="M12" s="158"/>
    </row>
    <row r="13" spans="2:13" ht="17.25" thickBot="1">
      <c r="B13" s="3">
        <v>12</v>
      </c>
      <c r="C13" t="s">
        <v>412</v>
      </c>
      <c r="D13" s="4"/>
      <c r="E13">
        <v>3</v>
      </c>
      <c r="F13" s="108">
        <f t="shared" si="0"/>
        <v>75</v>
      </c>
      <c r="G13" t="e">
        <f>VLOOKUP($C13,#REF!,10,FALSE)</f>
        <v>#REF!</v>
      </c>
      <c r="H13" s="5" t="e">
        <f t="shared" si="1"/>
        <v>#REF!</v>
      </c>
      <c r="I13" s="6" t="e">
        <f t="shared" si="2"/>
        <v>#REF!</v>
      </c>
      <c r="K13" s="159"/>
      <c r="L13" s="160"/>
      <c r="M13" s="161"/>
    </row>
    <row r="14" spans="2:13">
      <c r="B14" s="3">
        <v>13</v>
      </c>
      <c r="C14" t="s">
        <v>404</v>
      </c>
      <c r="D14" s="4"/>
      <c r="E14">
        <v>3</v>
      </c>
      <c r="F14" s="108">
        <f t="shared" si="0"/>
        <v>75</v>
      </c>
      <c r="G14" t="e">
        <f>VLOOKUP($C14,#REF!,10,FALSE)</f>
        <v>#REF!</v>
      </c>
      <c r="H14" s="5" t="e">
        <f t="shared" si="1"/>
        <v>#REF!</v>
      </c>
      <c r="I14" s="6" t="e">
        <f t="shared" si="2"/>
        <v>#REF!</v>
      </c>
      <c r="K14" s="99" t="s">
        <v>16</v>
      </c>
      <c r="L14" s="9">
        <v>20</v>
      </c>
      <c r="M14" s="10" t="s">
        <v>17</v>
      </c>
    </row>
    <row r="15" spans="2:13">
      <c r="B15" s="3">
        <v>14</v>
      </c>
      <c r="C15" t="s">
        <v>406</v>
      </c>
      <c r="D15" s="4"/>
      <c r="E15">
        <v>4</v>
      </c>
      <c r="F15" s="108">
        <f t="shared" si="0"/>
        <v>100</v>
      </c>
      <c r="G15" t="e">
        <f>VLOOKUP($C15,#REF!,10,FALSE)</f>
        <v>#REF!</v>
      </c>
      <c r="H15" s="5" t="e">
        <f t="shared" si="1"/>
        <v>#REF!</v>
      </c>
      <c r="I15" s="6" t="e">
        <f t="shared" si="2"/>
        <v>#REF!</v>
      </c>
      <c r="K15" s="98" t="s">
        <v>18</v>
      </c>
      <c r="L15">
        <v>25</v>
      </c>
      <c r="M15" s="4" t="s">
        <v>19</v>
      </c>
    </row>
    <row r="16" spans="2:13">
      <c r="B16" s="3">
        <v>15</v>
      </c>
      <c r="C16" t="s">
        <v>405</v>
      </c>
      <c r="D16" s="4"/>
      <c r="E16">
        <v>3</v>
      </c>
      <c r="F16" s="108">
        <f t="shared" si="0"/>
        <v>75</v>
      </c>
      <c r="G16" t="e">
        <f>VLOOKUP($C16,#REF!,10,FALSE)</f>
        <v>#REF!</v>
      </c>
      <c r="H16" s="5" t="e">
        <f t="shared" si="1"/>
        <v>#REF!</v>
      </c>
      <c r="I16" s="6" t="e">
        <f t="shared" si="2"/>
        <v>#REF!</v>
      </c>
      <c r="K16" s="98" t="s">
        <v>20</v>
      </c>
      <c r="L16">
        <v>60</v>
      </c>
      <c r="M16" s="4" t="s">
        <v>21</v>
      </c>
    </row>
    <row r="17" spans="2:13" ht="17.25" thickBot="1">
      <c r="B17" s="3">
        <v>16</v>
      </c>
      <c r="C17" t="s">
        <v>413</v>
      </c>
      <c r="D17" s="4"/>
      <c r="E17">
        <v>3</v>
      </c>
      <c r="F17" s="108">
        <f t="shared" si="0"/>
        <v>75</v>
      </c>
      <c r="G17" t="e">
        <f>VLOOKUP($C17,#REF!,10,FALSE)</f>
        <v>#REF!</v>
      </c>
      <c r="H17" s="5" t="e">
        <f t="shared" si="1"/>
        <v>#REF!</v>
      </c>
      <c r="I17" s="6" t="e">
        <f t="shared" si="2"/>
        <v>#REF!</v>
      </c>
      <c r="K17" s="14" t="s">
        <v>22</v>
      </c>
      <c r="L17" s="11">
        <v>100</v>
      </c>
      <c r="M17" s="12" t="s">
        <v>23</v>
      </c>
    </row>
    <row r="18" spans="2:13">
      <c r="B18" s="3">
        <v>17</v>
      </c>
      <c r="C18" t="s">
        <v>414</v>
      </c>
      <c r="D18" s="4"/>
      <c r="E18">
        <v>4</v>
      </c>
      <c r="F18" s="108">
        <f t="shared" si="0"/>
        <v>100</v>
      </c>
      <c r="G18" t="e">
        <f>VLOOKUP($C18,#REF!,10,FALSE)</f>
        <v>#REF!</v>
      </c>
      <c r="H18" s="5" t="e">
        <f t="shared" si="1"/>
        <v>#REF!</v>
      </c>
      <c r="I18" s="6" t="e">
        <f t="shared" si="2"/>
        <v>#REF!</v>
      </c>
      <c r="K18" s="99" t="s">
        <v>24</v>
      </c>
      <c r="L18" s="9">
        <f>SUM(E2:E31)</f>
        <v>89</v>
      </c>
      <c r="M18" s="10" t="s">
        <v>25</v>
      </c>
    </row>
    <row r="19" spans="2:13">
      <c r="B19" s="3">
        <v>18</v>
      </c>
      <c r="C19" t="s">
        <v>415</v>
      </c>
      <c r="D19" s="4"/>
      <c r="E19">
        <v>4</v>
      </c>
      <c r="F19" s="108">
        <f t="shared" si="0"/>
        <v>100</v>
      </c>
      <c r="G19" t="e">
        <f>VLOOKUP($C19,#REF!,10,FALSE)</f>
        <v>#REF!</v>
      </c>
      <c r="H19" s="5" t="e">
        <f t="shared" si="1"/>
        <v>#REF!</v>
      </c>
      <c r="I19" s="6" t="e">
        <f t="shared" si="2"/>
        <v>#REF!</v>
      </c>
      <c r="K19" s="98" t="s">
        <v>26</v>
      </c>
      <c r="L19">
        <f>L15*L18</f>
        <v>2225</v>
      </c>
      <c r="M19" s="4" t="s">
        <v>25</v>
      </c>
    </row>
    <row r="20" spans="2:13" ht="17.25" thickBot="1">
      <c r="B20" s="3">
        <v>19</v>
      </c>
      <c r="C20" t="s">
        <v>407</v>
      </c>
      <c r="D20" s="4"/>
      <c r="E20">
        <v>4</v>
      </c>
      <c r="F20" s="108">
        <f t="shared" si="0"/>
        <v>100</v>
      </c>
      <c r="G20" t="e">
        <f>VLOOKUP($C20,#REF!,10,FALSE)</f>
        <v>#REF!</v>
      </c>
      <c r="H20" s="5" t="e">
        <f t="shared" si="1"/>
        <v>#REF!</v>
      </c>
      <c r="I20" s="6" t="e">
        <f t="shared" si="2"/>
        <v>#REF!</v>
      </c>
      <c r="K20" s="14" t="s">
        <v>27</v>
      </c>
      <c r="L20" s="11">
        <f>L16*L17+L19</f>
        <v>8225</v>
      </c>
      <c r="M20" s="12" t="s">
        <v>23</v>
      </c>
    </row>
    <row r="21" spans="2:13" ht="17.25" thickBot="1">
      <c r="B21" s="3">
        <v>20</v>
      </c>
      <c r="C21" t="s">
        <v>417</v>
      </c>
      <c r="D21" s="4"/>
      <c r="E21">
        <v>2</v>
      </c>
      <c r="F21" s="108">
        <f t="shared" si="0"/>
        <v>50</v>
      </c>
      <c r="G21" t="e">
        <f>VLOOKUP($C21,#REF!,10,FALSE)</f>
        <v>#REF!</v>
      </c>
      <c r="H21" s="5" t="e">
        <f t="shared" si="1"/>
        <v>#REF!</v>
      </c>
      <c r="I21" s="6" t="e">
        <f t="shared" si="2"/>
        <v>#REF!</v>
      </c>
      <c r="J21" s="98"/>
      <c r="M21" s="101"/>
    </row>
    <row r="22" spans="2:13" ht="17.25" thickBot="1">
      <c r="B22" s="3">
        <v>21</v>
      </c>
      <c r="C22" t="s">
        <v>420</v>
      </c>
      <c r="D22" s="4"/>
      <c r="E22">
        <v>4</v>
      </c>
      <c r="F22" s="108">
        <f t="shared" si="0"/>
        <v>100</v>
      </c>
      <c r="G22" t="e">
        <f>VLOOKUP($C22,#REF!,10,FALSE)</f>
        <v>#REF!</v>
      </c>
      <c r="H22" s="5" t="e">
        <f t="shared" si="1"/>
        <v>#REF!</v>
      </c>
      <c r="I22" s="6" t="e">
        <f t="shared" si="2"/>
        <v>#REF!</v>
      </c>
      <c r="K22" s="150" t="s">
        <v>385</v>
      </c>
      <c r="L22" s="151"/>
      <c r="M22" s="152"/>
    </row>
    <row r="23" spans="2:13">
      <c r="B23" s="3">
        <v>22</v>
      </c>
      <c r="C23" t="s">
        <v>433</v>
      </c>
      <c r="D23" s="4"/>
      <c r="E23">
        <v>4</v>
      </c>
      <c r="F23" s="108">
        <f t="shared" si="0"/>
        <v>100</v>
      </c>
      <c r="G23" t="e">
        <f>VLOOKUP($C23,#REF!,10,FALSE)</f>
        <v>#REF!</v>
      </c>
      <c r="H23" s="5" t="e">
        <f t="shared" si="1"/>
        <v>#REF!</v>
      </c>
      <c r="I23" s="6" t="e">
        <f t="shared" si="2"/>
        <v>#REF!</v>
      </c>
      <c r="K23" s="98" t="s">
        <v>379</v>
      </c>
      <c r="L23">
        <f>SUM(F2:F31)</f>
        <v>2225</v>
      </c>
      <c r="M23" s="4" t="s">
        <v>25</v>
      </c>
    </row>
    <row r="24" spans="2:13">
      <c r="B24" s="3">
        <v>23</v>
      </c>
      <c r="C24" t="s">
        <v>421</v>
      </c>
      <c r="D24" s="4" t="s">
        <v>422</v>
      </c>
      <c r="E24">
        <v>4</v>
      </c>
      <c r="F24" s="108">
        <f t="shared" si="0"/>
        <v>100</v>
      </c>
      <c r="G24" t="e">
        <f>VLOOKUP($C24,#REF!,10,FALSE)</f>
        <v>#REF!</v>
      </c>
      <c r="H24" s="5" t="e">
        <f t="shared" si="1"/>
        <v>#REF!</v>
      </c>
      <c r="I24" s="6" t="e">
        <f t="shared" si="2"/>
        <v>#REF!</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0219-1A31-4055-B0EB-6F77D76B658E}">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ht="17.25" thickBot="1">
      <c r="B2" s="3">
        <v>1</v>
      </c>
      <c r="C2" t="s">
        <v>399</v>
      </c>
      <c r="D2" s="4"/>
      <c r="E2">
        <v>8</v>
      </c>
      <c r="F2" s="108">
        <f>E2*$L$15</f>
        <v>160</v>
      </c>
      <c r="G2" t="e">
        <f>VLOOKUP($C2,#REF!,10,FALSE)</f>
        <v>#REF!</v>
      </c>
      <c r="H2" s="5" t="e">
        <f>G2*E2</f>
        <v>#REF!</v>
      </c>
      <c r="I2" s="97" t="e">
        <f>G2*F3</f>
        <v>#REF!</v>
      </c>
      <c r="K2" s="7" t="s">
        <v>9</v>
      </c>
      <c r="L2" s="162">
        <v>19</v>
      </c>
      <c r="M2" s="163"/>
    </row>
    <row r="3" spans="2:13">
      <c r="B3" s="3">
        <v>2</v>
      </c>
      <c r="C3" t="s">
        <v>418</v>
      </c>
      <c r="D3" s="4"/>
      <c r="E3">
        <v>4</v>
      </c>
      <c r="F3" s="108">
        <f>E3*$L$15</f>
        <v>80</v>
      </c>
      <c r="G3" t="e">
        <f>VLOOKUP($C3,#REF!,10,FALSE)</f>
        <v>#REF!</v>
      </c>
      <c r="H3" s="5" t="e">
        <f t="shared" ref="H3:H31" si="0">G3*E3</f>
        <v>#REF!</v>
      </c>
      <c r="I3" s="97" t="e">
        <f>G3*F4</f>
        <v>#REF!</v>
      </c>
      <c r="K3" s="8" t="s">
        <v>10</v>
      </c>
      <c r="L3" s="167" t="s">
        <v>396</v>
      </c>
      <c r="M3" s="165"/>
    </row>
    <row r="4" spans="2:13">
      <c r="B4" s="3">
        <v>3</v>
      </c>
      <c r="C4" t="s">
        <v>403</v>
      </c>
      <c r="D4" s="4"/>
      <c r="E4">
        <v>6</v>
      </c>
      <c r="F4" s="108">
        <f t="shared" ref="F4:F31" si="1">E4*$L$15</f>
        <v>120</v>
      </c>
      <c r="G4" t="e">
        <f>VLOOKUP($C4,#REF!,10,FALSE)</f>
        <v>#REF!</v>
      </c>
      <c r="H4" s="5" t="e">
        <f t="shared" si="0"/>
        <v>#REF!</v>
      </c>
      <c r="I4" s="6" t="e">
        <f t="shared" ref="I4:I31" si="2">G4*F4</f>
        <v>#REF!</v>
      </c>
      <c r="K4" s="8" t="s">
        <v>11</v>
      </c>
      <c r="L4" s="166">
        <v>45677</v>
      </c>
      <c r="M4" s="165"/>
    </row>
    <row r="5" spans="2:13">
      <c r="B5" s="3">
        <v>4</v>
      </c>
      <c r="C5" t="s">
        <v>408</v>
      </c>
      <c r="D5" s="4"/>
      <c r="E5">
        <v>6</v>
      </c>
      <c r="F5" s="108">
        <f t="shared" si="1"/>
        <v>120</v>
      </c>
      <c r="G5" t="e">
        <f>VLOOKUP($C5,#REF!,10,FALSE)</f>
        <v>#REF!</v>
      </c>
      <c r="H5" s="5" t="e">
        <f t="shared" si="0"/>
        <v>#REF!</v>
      </c>
      <c r="I5" s="6" t="e">
        <f t="shared" si="2"/>
        <v>#REF!</v>
      </c>
      <c r="K5" s="8" t="s">
        <v>12</v>
      </c>
      <c r="L5" s="167" t="s">
        <v>397</v>
      </c>
      <c r="M5" s="165"/>
    </row>
    <row r="6" spans="2:13">
      <c r="B6" s="3">
        <v>5</v>
      </c>
      <c r="C6" t="s">
        <v>419</v>
      </c>
      <c r="D6" s="4"/>
      <c r="E6">
        <v>6</v>
      </c>
      <c r="F6" s="108">
        <f t="shared" si="1"/>
        <v>120</v>
      </c>
      <c r="G6" t="e">
        <f>VLOOKUP($C6,#REF!,10,FALSE)</f>
        <v>#REF!</v>
      </c>
      <c r="H6" s="5" t="e">
        <f t="shared" si="0"/>
        <v>#REF!</v>
      </c>
      <c r="I6" s="6" t="e">
        <f t="shared" si="2"/>
        <v>#REF!</v>
      </c>
      <c r="K6" s="8" t="s">
        <v>13</v>
      </c>
      <c r="L6" s="167" t="s">
        <v>398</v>
      </c>
      <c r="M6" s="165"/>
    </row>
    <row r="7" spans="2:13" ht="17.25" thickBot="1">
      <c r="B7" s="3">
        <v>6</v>
      </c>
      <c r="C7" t="s">
        <v>409</v>
      </c>
      <c r="D7" s="4"/>
      <c r="E7">
        <v>6</v>
      </c>
      <c r="F7" s="108">
        <f t="shared" si="1"/>
        <v>120</v>
      </c>
      <c r="G7" t="e">
        <f>VLOOKUP($C7,#REF!,10,FALSE)</f>
        <v>#REF!</v>
      </c>
      <c r="H7" s="5" t="e">
        <f t="shared" si="0"/>
        <v>#REF!</v>
      </c>
      <c r="I7" s="6" t="e">
        <f t="shared" si="2"/>
        <v>#REF!</v>
      </c>
      <c r="K7" s="8" t="s">
        <v>14</v>
      </c>
      <c r="L7" s="148">
        <v>58</v>
      </c>
      <c r="M7" s="149"/>
    </row>
    <row r="8" spans="2:13" ht="17.25" thickBot="1">
      <c r="B8" s="3">
        <v>7</v>
      </c>
      <c r="C8" t="s">
        <v>400</v>
      </c>
      <c r="D8" s="4"/>
      <c r="E8">
        <v>4</v>
      </c>
      <c r="F8" s="108">
        <f t="shared" si="1"/>
        <v>80</v>
      </c>
      <c r="G8" t="e">
        <f>VLOOKUP($C8,#REF!,10,FALSE)</f>
        <v>#REF!</v>
      </c>
      <c r="H8" s="5" t="e">
        <f t="shared" si="0"/>
        <v>#REF!</v>
      </c>
      <c r="I8" s="6" t="e">
        <f t="shared" si="2"/>
        <v>#REF!</v>
      </c>
      <c r="K8" s="150" t="s">
        <v>15</v>
      </c>
      <c r="L8" s="151"/>
      <c r="M8" s="152"/>
    </row>
    <row r="9" spans="2:13">
      <c r="B9" s="3">
        <v>8</v>
      </c>
      <c r="C9" t="s">
        <v>401</v>
      </c>
      <c r="D9" s="4"/>
      <c r="E9">
        <v>4</v>
      </c>
      <c r="F9" s="108">
        <f t="shared" si="1"/>
        <v>80</v>
      </c>
      <c r="G9" t="e">
        <f>VLOOKUP($C9,#REF!,10,FALSE)</f>
        <v>#REF!</v>
      </c>
      <c r="H9" s="5" t="e">
        <f t="shared" si="0"/>
        <v>#REF!</v>
      </c>
      <c r="I9" s="6" t="e">
        <f t="shared" si="2"/>
        <v>#REF!</v>
      </c>
      <c r="K9" s="153" t="s">
        <v>432</v>
      </c>
      <c r="L9" s="154"/>
      <c r="M9" s="155"/>
    </row>
    <row r="10" spans="2:13">
      <c r="B10" s="3">
        <v>9</v>
      </c>
      <c r="C10" t="s">
        <v>410</v>
      </c>
      <c r="D10" s="4"/>
      <c r="E10">
        <v>4</v>
      </c>
      <c r="F10" s="108">
        <f t="shared" si="1"/>
        <v>80</v>
      </c>
      <c r="G10" t="e">
        <f>VLOOKUP($C10,#REF!,10,FALSE)</f>
        <v>#REF!</v>
      </c>
      <c r="H10" s="5" t="e">
        <f t="shared" si="0"/>
        <v>#REF!</v>
      </c>
      <c r="I10" s="6" t="e">
        <f t="shared" si="2"/>
        <v>#REF!</v>
      </c>
      <c r="K10" s="156"/>
      <c r="L10" s="157"/>
      <c r="M10" s="158"/>
    </row>
    <row r="11" spans="2:13">
      <c r="B11" s="3">
        <v>10</v>
      </c>
      <c r="C11" t="s">
        <v>411</v>
      </c>
      <c r="D11" s="4"/>
      <c r="E11">
        <v>3</v>
      </c>
      <c r="F11" s="108">
        <f t="shared" si="1"/>
        <v>60</v>
      </c>
      <c r="G11" t="e">
        <f>VLOOKUP($C11,#REF!,10,FALSE)</f>
        <v>#REF!</v>
      </c>
      <c r="H11" s="5" t="e">
        <f t="shared" si="0"/>
        <v>#REF!</v>
      </c>
      <c r="I11" s="6" t="e">
        <f t="shared" si="2"/>
        <v>#REF!</v>
      </c>
      <c r="K11" s="156"/>
      <c r="L11" s="157"/>
      <c r="M11" s="158"/>
    </row>
    <row r="12" spans="2:13">
      <c r="B12" s="3">
        <v>11</v>
      </c>
      <c r="C12" t="s">
        <v>416</v>
      </c>
      <c r="D12" s="4"/>
      <c r="E12">
        <v>3</v>
      </c>
      <c r="F12" s="108">
        <f t="shared" si="1"/>
        <v>60</v>
      </c>
      <c r="G12" t="e">
        <f>VLOOKUP($C12,#REF!,10,FALSE)</f>
        <v>#REF!</v>
      </c>
      <c r="H12" s="5" t="e">
        <f t="shared" si="0"/>
        <v>#REF!</v>
      </c>
      <c r="I12" s="6" t="e">
        <f t="shared" si="2"/>
        <v>#REF!</v>
      </c>
      <c r="K12" s="156"/>
      <c r="L12" s="157"/>
      <c r="M12" s="158"/>
    </row>
    <row r="13" spans="2:13" ht="17.25" thickBot="1">
      <c r="B13" s="3">
        <v>12</v>
      </c>
      <c r="C13" t="s">
        <v>412</v>
      </c>
      <c r="D13" s="4"/>
      <c r="E13">
        <v>3</v>
      </c>
      <c r="F13" s="108">
        <f t="shared" si="1"/>
        <v>60</v>
      </c>
      <c r="G13" t="e">
        <f>VLOOKUP($C13,#REF!,10,FALSE)</f>
        <v>#REF!</v>
      </c>
      <c r="H13" s="5" t="e">
        <f t="shared" si="0"/>
        <v>#REF!</v>
      </c>
      <c r="I13" s="6" t="e">
        <f t="shared" si="2"/>
        <v>#REF!</v>
      </c>
      <c r="K13" s="159"/>
      <c r="L13" s="160"/>
      <c r="M13" s="161"/>
    </row>
    <row r="14" spans="2:13">
      <c r="B14" s="3">
        <v>13</v>
      </c>
      <c r="C14" t="s">
        <v>404</v>
      </c>
      <c r="D14" s="4"/>
      <c r="E14">
        <v>3</v>
      </c>
      <c r="F14" s="108">
        <f t="shared" si="1"/>
        <v>60</v>
      </c>
      <c r="G14" t="e">
        <f>VLOOKUP($C14,#REF!,10,FALSE)</f>
        <v>#REF!</v>
      </c>
      <c r="H14" s="5" t="e">
        <f t="shared" si="0"/>
        <v>#REF!</v>
      </c>
      <c r="I14" s="6" t="e">
        <f t="shared" si="2"/>
        <v>#REF!</v>
      </c>
      <c r="K14" s="99" t="s">
        <v>16</v>
      </c>
      <c r="L14" s="9">
        <v>15</v>
      </c>
      <c r="M14" s="10" t="s">
        <v>17</v>
      </c>
    </row>
    <row r="15" spans="2:13">
      <c r="B15" s="3">
        <v>14</v>
      </c>
      <c r="C15" t="s">
        <v>406</v>
      </c>
      <c r="D15" s="4"/>
      <c r="E15">
        <v>2</v>
      </c>
      <c r="F15" s="108">
        <f t="shared" si="1"/>
        <v>40</v>
      </c>
      <c r="G15" t="e">
        <f>VLOOKUP($C15,#REF!,10,FALSE)</f>
        <v>#REF!</v>
      </c>
      <c r="H15" s="5" t="e">
        <f t="shared" si="0"/>
        <v>#REF!</v>
      </c>
      <c r="I15" s="6" t="e">
        <f t="shared" si="2"/>
        <v>#REF!</v>
      </c>
      <c r="K15" s="98" t="s">
        <v>18</v>
      </c>
      <c r="L15">
        <v>20</v>
      </c>
      <c r="M15" s="4" t="s">
        <v>19</v>
      </c>
    </row>
    <row r="16" spans="2:13">
      <c r="B16" s="3">
        <v>15</v>
      </c>
      <c r="C16" t="s">
        <v>405</v>
      </c>
      <c r="D16" s="4"/>
      <c r="E16">
        <v>3</v>
      </c>
      <c r="F16" s="108">
        <f t="shared" si="1"/>
        <v>60</v>
      </c>
      <c r="G16" t="e">
        <f>VLOOKUP($C16,#REF!,10,FALSE)</f>
        <v>#REF!</v>
      </c>
      <c r="H16" s="5" t="e">
        <f t="shared" si="0"/>
        <v>#REF!</v>
      </c>
      <c r="I16" s="6" t="e">
        <f t="shared" si="2"/>
        <v>#REF!</v>
      </c>
      <c r="K16" s="98" t="s">
        <v>20</v>
      </c>
      <c r="L16">
        <v>45</v>
      </c>
      <c r="M16" s="4" t="s">
        <v>21</v>
      </c>
    </row>
    <row r="17" spans="2:13" ht="17.25" thickBot="1">
      <c r="B17" s="3">
        <v>16</v>
      </c>
      <c r="C17" t="s">
        <v>413</v>
      </c>
      <c r="D17" s="4"/>
      <c r="E17">
        <v>3</v>
      </c>
      <c r="F17" s="108">
        <f t="shared" si="1"/>
        <v>60</v>
      </c>
      <c r="G17" t="e">
        <f>VLOOKUP($C17,#REF!,10,FALSE)</f>
        <v>#REF!</v>
      </c>
      <c r="H17" s="5" t="e">
        <f t="shared" si="0"/>
        <v>#REF!</v>
      </c>
      <c r="I17" s="6" t="e">
        <f t="shared" si="2"/>
        <v>#REF!</v>
      </c>
      <c r="K17" s="14" t="s">
        <v>22</v>
      </c>
      <c r="L17" s="11">
        <v>100</v>
      </c>
      <c r="M17" s="12" t="s">
        <v>23</v>
      </c>
    </row>
    <row r="18" spans="2:13">
      <c r="B18" s="3">
        <v>17</v>
      </c>
      <c r="C18" t="s">
        <v>414</v>
      </c>
      <c r="D18" s="4"/>
      <c r="E18">
        <v>3</v>
      </c>
      <c r="F18" s="108">
        <f t="shared" si="1"/>
        <v>60</v>
      </c>
      <c r="G18" t="e">
        <f>VLOOKUP($C18,#REF!,10,FALSE)</f>
        <v>#REF!</v>
      </c>
      <c r="H18" s="5" t="e">
        <f t="shared" si="0"/>
        <v>#REF!</v>
      </c>
      <c r="I18" s="6" t="e">
        <f t="shared" si="2"/>
        <v>#REF!</v>
      </c>
      <c r="K18" s="99" t="s">
        <v>24</v>
      </c>
      <c r="L18" s="9">
        <f>SUM(E2:E31)</f>
        <v>92</v>
      </c>
      <c r="M18" s="10" t="s">
        <v>25</v>
      </c>
    </row>
    <row r="19" spans="2:13">
      <c r="B19" s="3">
        <v>18</v>
      </c>
      <c r="C19" t="s">
        <v>415</v>
      </c>
      <c r="D19" s="4"/>
      <c r="E19">
        <v>3</v>
      </c>
      <c r="F19" s="108">
        <f t="shared" si="1"/>
        <v>60</v>
      </c>
      <c r="G19" t="e">
        <f>VLOOKUP($C19,#REF!,10,FALSE)</f>
        <v>#REF!</v>
      </c>
      <c r="H19" s="5" t="e">
        <f t="shared" si="0"/>
        <v>#REF!</v>
      </c>
      <c r="I19" s="6" t="e">
        <f t="shared" si="2"/>
        <v>#REF!</v>
      </c>
      <c r="K19" s="98" t="s">
        <v>26</v>
      </c>
      <c r="L19">
        <f>L15*L18</f>
        <v>1840</v>
      </c>
      <c r="M19" s="4" t="s">
        <v>25</v>
      </c>
    </row>
    <row r="20" spans="2:13" ht="17.25" thickBot="1">
      <c r="B20" s="3">
        <v>19</v>
      </c>
      <c r="C20" t="s">
        <v>407</v>
      </c>
      <c r="D20" s="4"/>
      <c r="E20">
        <v>4</v>
      </c>
      <c r="F20" s="108">
        <f t="shared" si="1"/>
        <v>80</v>
      </c>
      <c r="G20" t="e">
        <f>VLOOKUP($C20,#REF!,10,FALSE)</f>
        <v>#REF!</v>
      </c>
      <c r="H20" s="5" t="e">
        <f t="shared" si="0"/>
        <v>#REF!</v>
      </c>
      <c r="I20" s="6" t="e">
        <f t="shared" si="2"/>
        <v>#REF!</v>
      </c>
      <c r="K20" s="14" t="s">
        <v>27</v>
      </c>
      <c r="L20" s="11">
        <f>L16*L17+L19</f>
        <v>6340</v>
      </c>
      <c r="M20" s="12" t="s">
        <v>23</v>
      </c>
    </row>
    <row r="21" spans="2:13" ht="17.25" thickBot="1">
      <c r="B21" s="3">
        <v>20</v>
      </c>
      <c r="C21" t="s">
        <v>417</v>
      </c>
      <c r="D21" s="4"/>
      <c r="E21">
        <v>2</v>
      </c>
      <c r="F21" s="108">
        <f t="shared" si="1"/>
        <v>40</v>
      </c>
      <c r="G21" t="e">
        <f>VLOOKUP($C21,#REF!,10,FALSE)</f>
        <v>#REF!</v>
      </c>
      <c r="H21" s="5" t="e">
        <f t="shared" si="0"/>
        <v>#REF!</v>
      </c>
      <c r="I21" s="6" t="e">
        <f t="shared" si="2"/>
        <v>#REF!</v>
      </c>
      <c r="J21" s="98"/>
      <c r="M21" s="101"/>
    </row>
    <row r="22" spans="2:13" ht="17.25" thickBot="1">
      <c r="B22" s="3">
        <v>21</v>
      </c>
      <c r="C22" t="s">
        <v>429</v>
      </c>
      <c r="D22" s="4"/>
      <c r="E22">
        <v>6</v>
      </c>
      <c r="F22" s="108">
        <f t="shared" si="1"/>
        <v>120</v>
      </c>
      <c r="G22" t="e">
        <f>VLOOKUP($C22,#REF!,10,FALSE)</f>
        <v>#REF!</v>
      </c>
      <c r="H22" s="5" t="e">
        <f t="shared" si="0"/>
        <v>#REF!</v>
      </c>
      <c r="I22" s="6" t="e">
        <f t="shared" si="2"/>
        <v>#REF!</v>
      </c>
      <c r="K22" s="150" t="s">
        <v>385</v>
      </c>
      <c r="L22" s="151"/>
      <c r="M22" s="152"/>
    </row>
    <row r="23" spans="2:13">
      <c r="B23" s="3">
        <v>22</v>
      </c>
      <c r="C23" t="s">
        <v>426</v>
      </c>
      <c r="D23" s="4"/>
      <c r="E23">
        <v>3</v>
      </c>
      <c r="F23" s="108">
        <f t="shared" si="1"/>
        <v>60</v>
      </c>
      <c r="G23" t="e">
        <f>VLOOKUP($C23,#REF!,10,FALSE)</f>
        <v>#REF!</v>
      </c>
      <c r="H23" s="5" t="e">
        <f t="shared" si="0"/>
        <v>#REF!</v>
      </c>
      <c r="I23" s="6" t="e">
        <f t="shared" si="2"/>
        <v>#REF!</v>
      </c>
      <c r="K23" s="98" t="s">
        <v>379</v>
      </c>
      <c r="L23">
        <f>SUM(F3:F31)</f>
        <v>1680</v>
      </c>
      <c r="M23" s="4" t="s">
        <v>25</v>
      </c>
    </row>
    <row r="24" spans="2:13">
      <c r="B24" s="3">
        <v>23</v>
      </c>
      <c r="C24" t="s">
        <v>427</v>
      </c>
      <c r="D24" s="4"/>
      <c r="E24">
        <v>3</v>
      </c>
      <c r="F24" s="108">
        <f t="shared" si="1"/>
        <v>60</v>
      </c>
      <c r="G24" t="e">
        <f>VLOOKUP($C24,#REF!,10,FALSE)</f>
        <v>#REF!</v>
      </c>
      <c r="H24" s="5" t="e">
        <f t="shared" si="0"/>
        <v>#REF!</v>
      </c>
      <c r="I24" s="6" t="e">
        <f t="shared" si="2"/>
        <v>#REF!</v>
      </c>
      <c r="K24" s="98" t="s">
        <v>386</v>
      </c>
      <c r="L24">
        <v>5000</v>
      </c>
      <c r="M24" s="4" t="s">
        <v>23</v>
      </c>
    </row>
    <row r="25" spans="2:13">
      <c r="B25" s="3">
        <v>24</v>
      </c>
      <c r="D25" s="4"/>
      <c r="F25" s="108">
        <f t="shared" si="1"/>
        <v>0</v>
      </c>
      <c r="H25" s="5">
        <f t="shared" si="0"/>
        <v>0</v>
      </c>
      <c r="I25" s="6">
        <f t="shared" si="2"/>
        <v>0</v>
      </c>
      <c r="K25" s="98" t="s">
        <v>28</v>
      </c>
      <c r="L25" s="100" t="s">
        <v>381</v>
      </c>
      <c r="M25" s="4" t="s">
        <v>25</v>
      </c>
    </row>
    <row r="26" spans="2:13">
      <c r="B26" s="3">
        <v>25</v>
      </c>
      <c r="D26" s="4"/>
      <c r="F26" s="108">
        <f t="shared" si="1"/>
        <v>0</v>
      </c>
      <c r="H26" s="5">
        <f t="shared" si="0"/>
        <v>0</v>
      </c>
      <c r="I26" s="6">
        <f t="shared" si="2"/>
        <v>0</v>
      </c>
      <c r="K26" s="98" t="s">
        <v>29</v>
      </c>
      <c r="L26" s="100">
        <v>1600</v>
      </c>
      <c r="M26" s="4" t="s">
        <v>25</v>
      </c>
    </row>
    <row r="27" spans="2:13" ht="17.25" thickBot="1">
      <c r="B27" s="3">
        <v>26</v>
      </c>
      <c r="D27" s="4"/>
      <c r="F27" s="108">
        <f t="shared" si="1"/>
        <v>0</v>
      </c>
      <c r="H27" s="5">
        <f t="shared" si="0"/>
        <v>0</v>
      </c>
      <c r="I27" s="6">
        <f t="shared" si="2"/>
        <v>0</v>
      </c>
      <c r="K27" s="14" t="s">
        <v>380</v>
      </c>
      <c r="L27" s="11">
        <v>4</v>
      </c>
      <c r="M27" s="12" t="s">
        <v>25</v>
      </c>
    </row>
    <row r="28" spans="2:13" ht="17.25" thickBot="1">
      <c r="B28" s="3">
        <v>27</v>
      </c>
      <c r="D28" s="4"/>
      <c r="F28" s="108">
        <f t="shared" si="1"/>
        <v>0</v>
      </c>
      <c r="H28" s="5">
        <f t="shared" si="0"/>
        <v>0</v>
      </c>
      <c r="I28" s="6">
        <f t="shared" si="2"/>
        <v>0</v>
      </c>
      <c r="J28" s="98"/>
      <c r="K28" s="11"/>
      <c r="L28" s="11"/>
      <c r="M28" s="101"/>
    </row>
    <row r="29" spans="2:13" ht="17.25" thickBot="1">
      <c r="B29" s="3">
        <v>28</v>
      </c>
      <c r="D29" s="4"/>
      <c r="F29" s="108">
        <f t="shared" si="1"/>
        <v>0</v>
      </c>
      <c r="H29" s="5">
        <f t="shared" si="0"/>
        <v>0</v>
      </c>
      <c r="I29" s="6">
        <f t="shared" si="2"/>
        <v>0</v>
      </c>
      <c r="K29" s="150" t="s">
        <v>384</v>
      </c>
      <c r="L29" s="151"/>
      <c r="M29" s="152"/>
    </row>
    <row r="30" spans="2:13">
      <c r="B30" s="3">
        <v>29</v>
      </c>
      <c r="D30" s="4"/>
      <c r="F30" s="108">
        <f t="shared" si="1"/>
        <v>0</v>
      </c>
      <c r="H30" s="5">
        <f t="shared" si="0"/>
        <v>0</v>
      </c>
      <c r="I30" s="6">
        <f t="shared" si="2"/>
        <v>0</v>
      </c>
      <c r="K30" s="98" t="s">
        <v>28</v>
      </c>
      <c r="L30" s="5" t="e">
        <f>SUM(H2:H31)</f>
        <v>#REF!</v>
      </c>
      <c r="M30" s="4" t="s">
        <v>383</v>
      </c>
    </row>
    <row r="31" spans="2:13" ht="17.25" thickBot="1">
      <c r="B31" s="13">
        <v>30</v>
      </c>
      <c r="C31" s="14"/>
      <c r="D31" s="12"/>
      <c r="E31" s="102"/>
      <c r="F31" s="109">
        <f t="shared" si="1"/>
        <v>0</v>
      </c>
      <c r="G31" s="14"/>
      <c r="H31" s="15">
        <f t="shared" si="0"/>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18C1-82D6-415D-9412-EC1C05C779EE}">
  <sheetPr>
    <pageSetUpPr fitToPage="1"/>
  </sheetPr>
  <dimension ref="B1:M31"/>
  <sheetViews>
    <sheetView workbookViewId="0">
      <selection activeCell="G21" sqref="G21"/>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ht="17.25" thickBot="1">
      <c r="B2" s="3">
        <v>1</v>
      </c>
      <c r="C2" t="s">
        <v>399</v>
      </c>
      <c r="D2" s="4"/>
      <c r="E2">
        <v>6</v>
      </c>
      <c r="F2" s="108">
        <f>E2*$L$15</f>
        <v>120</v>
      </c>
      <c r="G2" t="e">
        <f>VLOOKUP($C2,#REF!,10,FALSE)</f>
        <v>#REF!</v>
      </c>
      <c r="H2" s="5" t="e">
        <f>G2*E2</f>
        <v>#REF!</v>
      </c>
      <c r="I2" s="97" t="e">
        <f>G2*F3</f>
        <v>#REF!</v>
      </c>
      <c r="K2" s="7" t="s">
        <v>9</v>
      </c>
      <c r="L2" s="162">
        <v>19</v>
      </c>
      <c r="M2" s="163"/>
    </row>
    <row r="3" spans="2:13">
      <c r="B3" s="3">
        <v>2</v>
      </c>
      <c r="C3" t="s">
        <v>421</v>
      </c>
      <c r="D3" s="4" t="s">
        <v>422</v>
      </c>
      <c r="E3">
        <v>4</v>
      </c>
      <c r="F3" s="108">
        <f>E3*$L$15</f>
        <v>80</v>
      </c>
      <c r="G3" t="e">
        <f>VLOOKUP($C3,#REF!,10,FALSE)</f>
        <v>#REF!</v>
      </c>
      <c r="H3" s="5" t="e">
        <f t="shared" ref="H3:H31" si="0">G3*E3</f>
        <v>#REF!</v>
      </c>
      <c r="I3" s="97" t="e">
        <f>G3*F4</f>
        <v>#REF!</v>
      </c>
      <c r="K3" s="8" t="s">
        <v>10</v>
      </c>
      <c r="L3" s="167" t="s">
        <v>396</v>
      </c>
      <c r="M3" s="165"/>
    </row>
    <row r="4" spans="2:13">
      <c r="B4" s="3">
        <v>3</v>
      </c>
      <c r="C4" t="s">
        <v>403</v>
      </c>
      <c r="D4" s="4"/>
      <c r="E4">
        <v>6</v>
      </c>
      <c r="F4" s="108">
        <f t="shared" ref="F4:F31" si="1">E4*$L$15</f>
        <v>120</v>
      </c>
      <c r="G4" t="e">
        <f>VLOOKUP($C4,#REF!,10,FALSE)</f>
        <v>#REF!</v>
      </c>
      <c r="H4" s="5" t="e">
        <f t="shared" si="0"/>
        <v>#REF!</v>
      </c>
      <c r="I4" s="6" t="e">
        <f t="shared" ref="I4:I31" si="2">G4*F4</f>
        <v>#REF!</v>
      </c>
      <c r="K4" s="8" t="s">
        <v>11</v>
      </c>
      <c r="L4" s="166">
        <v>45666</v>
      </c>
      <c r="M4" s="165"/>
    </row>
    <row r="5" spans="2:13">
      <c r="B5" s="3">
        <v>4</v>
      </c>
      <c r="C5" t="s">
        <v>408</v>
      </c>
      <c r="D5" s="4"/>
      <c r="E5">
        <v>6</v>
      </c>
      <c r="F5" s="108">
        <f t="shared" si="1"/>
        <v>120</v>
      </c>
      <c r="G5" t="e">
        <f>VLOOKUP($C5,#REF!,10,FALSE)</f>
        <v>#REF!</v>
      </c>
      <c r="H5" s="5" t="e">
        <f t="shared" si="0"/>
        <v>#REF!</v>
      </c>
      <c r="I5" s="6" t="e">
        <f t="shared" si="2"/>
        <v>#REF!</v>
      </c>
      <c r="K5" s="8" t="s">
        <v>12</v>
      </c>
      <c r="L5" s="167" t="s">
        <v>397</v>
      </c>
      <c r="M5" s="165"/>
    </row>
    <row r="6" spans="2:13">
      <c r="B6" s="3">
        <v>5</v>
      </c>
      <c r="C6" t="s">
        <v>419</v>
      </c>
      <c r="D6" s="4"/>
      <c r="E6">
        <v>6</v>
      </c>
      <c r="F6" s="108">
        <f t="shared" si="1"/>
        <v>120</v>
      </c>
      <c r="G6" t="e">
        <f>VLOOKUP($C6,#REF!,10,FALSE)</f>
        <v>#REF!</v>
      </c>
      <c r="H6" s="5" t="e">
        <f t="shared" si="0"/>
        <v>#REF!</v>
      </c>
      <c r="I6" s="6" t="e">
        <f t="shared" si="2"/>
        <v>#REF!</v>
      </c>
      <c r="K6" s="8" t="s">
        <v>13</v>
      </c>
      <c r="L6" s="167" t="s">
        <v>398</v>
      </c>
      <c r="M6" s="165"/>
    </row>
    <row r="7" spans="2:13" ht="17.25" thickBot="1">
      <c r="B7" s="3">
        <v>6</v>
      </c>
      <c r="C7" t="s">
        <v>409</v>
      </c>
      <c r="D7" s="4"/>
      <c r="E7">
        <v>6</v>
      </c>
      <c r="F7" s="108">
        <f t="shared" si="1"/>
        <v>120</v>
      </c>
      <c r="G7" t="e">
        <f>VLOOKUP($C7,#REF!,10,FALSE)</f>
        <v>#REF!</v>
      </c>
      <c r="H7" s="5" t="e">
        <f t="shared" si="0"/>
        <v>#REF!</v>
      </c>
      <c r="I7" s="6" t="e">
        <f t="shared" si="2"/>
        <v>#REF!</v>
      </c>
      <c r="K7" s="8" t="s">
        <v>14</v>
      </c>
      <c r="L7" s="148">
        <v>58</v>
      </c>
      <c r="M7" s="149"/>
    </row>
    <row r="8" spans="2:13" ht="17.25" thickBot="1">
      <c r="B8" s="3">
        <v>7</v>
      </c>
      <c r="C8" t="s">
        <v>400</v>
      </c>
      <c r="D8" s="4"/>
      <c r="E8">
        <v>4</v>
      </c>
      <c r="F8" s="108">
        <f t="shared" si="1"/>
        <v>80</v>
      </c>
      <c r="G8" t="e">
        <f>VLOOKUP($C8,#REF!,10,FALSE)</f>
        <v>#REF!</v>
      </c>
      <c r="H8" s="5" t="e">
        <f t="shared" si="0"/>
        <v>#REF!</v>
      </c>
      <c r="I8" s="6" t="e">
        <f t="shared" si="2"/>
        <v>#REF!</v>
      </c>
      <c r="K8" s="150" t="s">
        <v>15</v>
      </c>
      <c r="L8" s="151"/>
      <c r="M8" s="152"/>
    </row>
    <row r="9" spans="2:13">
      <c r="B9" s="3">
        <v>8</v>
      </c>
      <c r="C9" t="s">
        <v>401</v>
      </c>
      <c r="D9" s="4"/>
      <c r="E9">
        <v>4</v>
      </c>
      <c r="F9" s="108">
        <f t="shared" si="1"/>
        <v>80</v>
      </c>
      <c r="G9" t="e">
        <f>VLOOKUP($C9,#REF!,10,FALSE)</f>
        <v>#REF!</v>
      </c>
      <c r="H9" s="5" t="e">
        <f t="shared" si="0"/>
        <v>#REF!</v>
      </c>
      <c r="I9" s="6" t="e">
        <f t="shared" si="2"/>
        <v>#REF!</v>
      </c>
      <c r="K9" s="153" t="s">
        <v>431</v>
      </c>
      <c r="L9" s="154"/>
      <c r="M9" s="155"/>
    </row>
    <row r="10" spans="2:13">
      <c r="B10" s="3">
        <v>9</v>
      </c>
      <c r="C10" t="s">
        <v>410</v>
      </c>
      <c r="D10" s="4"/>
      <c r="E10">
        <v>4</v>
      </c>
      <c r="F10" s="108">
        <f t="shared" si="1"/>
        <v>80</v>
      </c>
      <c r="G10" t="e">
        <f>VLOOKUP($C10,#REF!,10,FALSE)</f>
        <v>#REF!</v>
      </c>
      <c r="H10" s="5" t="e">
        <f t="shared" si="0"/>
        <v>#REF!</v>
      </c>
      <c r="I10" s="6" t="e">
        <f t="shared" si="2"/>
        <v>#REF!</v>
      </c>
      <c r="K10" s="156"/>
      <c r="L10" s="157"/>
      <c r="M10" s="158"/>
    </row>
    <row r="11" spans="2:13">
      <c r="B11" s="3">
        <v>10</v>
      </c>
      <c r="C11" t="s">
        <v>411</v>
      </c>
      <c r="D11" s="4"/>
      <c r="E11">
        <v>3</v>
      </c>
      <c r="F11" s="108">
        <f t="shared" si="1"/>
        <v>60</v>
      </c>
      <c r="G11" t="e">
        <f>VLOOKUP($C11,#REF!,10,FALSE)</f>
        <v>#REF!</v>
      </c>
      <c r="H11" s="5" t="e">
        <f t="shared" si="0"/>
        <v>#REF!</v>
      </c>
      <c r="I11" s="6" t="e">
        <f t="shared" si="2"/>
        <v>#REF!</v>
      </c>
      <c r="K11" s="156"/>
      <c r="L11" s="157"/>
      <c r="M11" s="158"/>
    </row>
    <row r="12" spans="2:13">
      <c r="B12" s="3">
        <v>11</v>
      </c>
      <c r="C12" t="s">
        <v>416</v>
      </c>
      <c r="D12" s="4"/>
      <c r="E12">
        <v>3</v>
      </c>
      <c r="F12" s="108">
        <f t="shared" si="1"/>
        <v>60</v>
      </c>
      <c r="G12" t="e">
        <f>VLOOKUP($C12,#REF!,10,FALSE)</f>
        <v>#REF!</v>
      </c>
      <c r="H12" s="5" t="e">
        <f t="shared" si="0"/>
        <v>#REF!</v>
      </c>
      <c r="I12" s="6" t="e">
        <f t="shared" si="2"/>
        <v>#REF!</v>
      </c>
      <c r="K12" s="156"/>
      <c r="L12" s="157"/>
      <c r="M12" s="158"/>
    </row>
    <row r="13" spans="2:13" ht="17.25" thickBot="1">
      <c r="B13" s="3">
        <v>12</v>
      </c>
      <c r="C13" t="s">
        <v>412</v>
      </c>
      <c r="D13" s="4"/>
      <c r="E13">
        <v>3</v>
      </c>
      <c r="F13" s="108">
        <f t="shared" si="1"/>
        <v>60</v>
      </c>
      <c r="G13" t="e">
        <f>VLOOKUP($C13,#REF!,10,FALSE)</f>
        <v>#REF!</v>
      </c>
      <c r="H13" s="5" t="e">
        <f t="shared" si="0"/>
        <v>#REF!</v>
      </c>
      <c r="I13" s="6" t="e">
        <f t="shared" si="2"/>
        <v>#REF!</v>
      </c>
      <c r="K13" s="159"/>
      <c r="L13" s="160"/>
      <c r="M13" s="161"/>
    </row>
    <row r="14" spans="2:13">
      <c r="B14" s="3">
        <v>13</v>
      </c>
      <c r="C14" t="s">
        <v>404</v>
      </c>
      <c r="D14" s="4"/>
      <c r="E14">
        <v>3</v>
      </c>
      <c r="F14" s="108">
        <f t="shared" si="1"/>
        <v>60</v>
      </c>
      <c r="G14" t="e">
        <f>VLOOKUP($C14,#REF!,10,FALSE)</f>
        <v>#REF!</v>
      </c>
      <c r="H14" s="5" t="e">
        <f t="shared" si="0"/>
        <v>#REF!</v>
      </c>
      <c r="I14" s="6" t="e">
        <f t="shared" si="2"/>
        <v>#REF!</v>
      </c>
      <c r="K14" s="99" t="s">
        <v>16</v>
      </c>
      <c r="L14" s="9">
        <v>15</v>
      </c>
      <c r="M14" s="10" t="s">
        <v>17</v>
      </c>
    </row>
    <row r="15" spans="2:13">
      <c r="B15" s="3">
        <v>14</v>
      </c>
      <c r="C15" t="s">
        <v>406</v>
      </c>
      <c r="D15" s="4"/>
      <c r="E15">
        <v>2</v>
      </c>
      <c r="F15" s="108">
        <f t="shared" si="1"/>
        <v>40</v>
      </c>
      <c r="G15" t="e">
        <f>VLOOKUP($C15,#REF!,10,FALSE)</f>
        <v>#REF!</v>
      </c>
      <c r="H15" s="5" t="e">
        <f t="shared" si="0"/>
        <v>#REF!</v>
      </c>
      <c r="I15" s="6" t="e">
        <f t="shared" si="2"/>
        <v>#REF!</v>
      </c>
      <c r="K15" s="98" t="s">
        <v>18</v>
      </c>
      <c r="L15">
        <v>20</v>
      </c>
      <c r="M15" s="4" t="s">
        <v>19</v>
      </c>
    </row>
    <row r="16" spans="2:13">
      <c r="B16" s="3">
        <v>15</v>
      </c>
      <c r="C16" t="s">
        <v>405</v>
      </c>
      <c r="D16" s="4"/>
      <c r="E16">
        <v>3</v>
      </c>
      <c r="F16" s="108">
        <f t="shared" si="1"/>
        <v>60</v>
      </c>
      <c r="G16" t="e">
        <f>VLOOKUP($C16,#REF!,10,FALSE)</f>
        <v>#REF!</v>
      </c>
      <c r="H16" s="5" t="e">
        <f t="shared" si="0"/>
        <v>#REF!</v>
      </c>
      <c r="I16" s="6" t="e">
        <f t="shared" si="2"/>
        <v>#REF!</v>
      </c>
      <c r="K16" s="98" t="s">
        <v>20</v>
      </c>
      <c r="L16">
        <v>45</v>
      </c>
      <c r="M16" s="4" t="s">
        <v>21</v>
      </c>
    </row>
    <row r="17" spans="2:13" ht="17.25" thickBot="1">
      <c r="B17" s="3">
        <v>16</v>
      </c>
      <c r="C17" t="s">
        <v>413</v>
      </c>
      <c r="D17" s="4"/>
      <c r="E17">
        <v>2</v>
      </c>
      <c r="F17" s="108">
        <f t="shared" si="1"/>
        <v>40</v>
      </c>
      <c r="G17" t="e">
        <f>VLOOKUP($C17,#REF!,10,FALSE)</f>
        <v>#REF!</v>
      </c>
      <c r="H17" s="5" t="e">
        <f t="shared" si="0"/>
        <v>#REF!</v>
      </c>
      <c r="I17" s="6" t="e">
        <f t="shared" si="2"/>
        <v>#REF!</v>
      </c>
      <c r="K17" s="14" t="s">
        <v>22</v>
      </c>
      <c r="L17" s="11">
        <v>100</v>
      </c>
      <c r="M17" s="12" t="s">
        <v>23</v>
      </c>
    </row>
    <row r="18" spans="2:13">
      <c r="B18" s="3">
        <v>17</v>
      </c>
      <c r="C18" t="s">
        <v>414</v>
      </c>
      <c r="D18" s="4"/>
      <c r="E18">
        <v>3</v>
      </c>
      <c r="F18" s="108">
        <f t="shared" si="1"/>
        <v>60</v>
      </c>
      <c r="G18" t="e">
        <f>VLOOKUP($C18,#REF!,10,FALSE)</f>
        <v>#REF!</v>
      </c>
      <c r="H18" s="5" t="e">
        <f t="shared" si="0"/>
        <v>#REF!</v>
      </c>
      <c r="I18" s="6" t="e">
        <f t="shared" si="2"/>
        <v>#REF!</v>
      </c>
      <c r="K18" s="99" t="s">
        <v>24</v>
      </c>
      <c r="L18" s="9">
        <f>SUM(E2:E31)</f>
        <v>89</v>
      </c>
      <c r="M18" s="10" t="s">
        <v>25</v>
      </c>
    </row>
    <row r="19" spans="2:13">
      <c r="B19" s="3">
        <v>18</v>
      </c>
      <c r="C19" t="s">
        <v>415</v>
      </c>
      <c r="D19" s="4"/>
      <c r="E19">
        <v>3</v>
      </c>
      <c r="F19" s="108">
        <f t="shared" si="1"/>
        <v>60</v>
      </c>
      <c r="G19" t="e">
        <f>VLOOKUP($C19,#REF!,10,FALSE)</f>
        <v>#REF!</v>
      </c>
      <c r="H19" s="5" t="e">
        <f t="shared" si="0"/>
        <v>#REF!</v>
      </c>
      <c r="I19" s="6" t="e">
        <f t="shared" si="2"/>
        <v>#REF!</v>
      </c>
      <c r="K19" s="98" t="s">
        <v>26</v>
      </c>
      <c r="L19">
        <f>L15*L18</f>
        <v>1780</v>
      </c>
      <c r="M19" s="4" t="s">
        <v>25</v>
      </c>
    </row>
    <row r="20" spans="2:13" ht="17.25" thickBot="1">
      <c r="B20" s="3">
        <v>19</v>
      </c>
      <c r="C20" t="s">
        <v>407</v>
      </c>
      <c r="D20" s="4"/>
      <c r="E20">
        <v>4</v>
      </c>
      <c r="F20" s="108">
        <f t="shared" si="1"/>
        <v>80</v>
      </c>
      <c r="G20" t="e">
        <f>VLOOKUP($C20,#REF!,10,FALSE)</f>
        <v>#REF!</v>
      </c>
      <c r="H20" s="5" t="e">
        <f t="shared" si="0"/>
        <v>#REF!</v>
      </c>
      <c r="I20" s="6" t="e">
        <f t="shared" si="2"/>
        <v>#REF!</v>
      </c>
      <c r="K20" s="14" t="s">
        <v>27</v>
      </c>
      <c r="L20" s="11">
        <f>L16*L17+L19</f>
        <v>6280</v>
      </c>
      <c r="M20" s="12" t="s">
        <v>23</v>
      </c>
    </row>
    <row r="21" spans="2:13" ht="17.25" thickBot="1">
      <c r="B21" s="3">
        <v>20</v>
      </c>
      <c r="C21" t="s">
        <v>417</v>
      </c>
      <c r="D21" s="4"/>
      <c r="E21">
        <v>2</v>
      </c>
      <c r="F21" s="108">
        <f t="shared" si="1"/>
        <v>40</v>
      </c>
      <c r="G21" t="e">
        <f>VLOOKUP($C21,#REF!,10,FALSE)</f>
        <v>#REF!</v>
      </c>
      <c r="H21" s="5" t="e">
        <f t="shared" si="0"/>
        <v>#REF!</v>
      </c>
      <c r="I21" s="6" t="e">
        <f t="shared" si="2"/>
        <v>#REF!</v>
      </c>
      <c r="J21" s="98"/>
      <c r="M21" s="101"/>
    </row>
    <row r="22" spans="2:13" ht="17.25" thickBot="1">
      <c r="B22" s="3">
        <v>21</v>
      </c>
      <c r="C22" t="s">
        <v>429</v>
      </c>
      <c r="D22" s="4"/>
      <c r="E22">
        <v>6</v>
      </c>
      <c r="F22" s="108">
        <f t="shared" si="1"/>
        <v>120</v>
      </c>
      <c r="G22" t="e">
        <f>VLOOKUP($C22,#REF!,10,FALSE)</f>
        <v>#REF!</v>
      </c>
      <c r="H22" s="5" t="e">
        <f t="shared" si="0"/>
        <v>#REF!</v>
      </c>
      <c r="I22" s="6" t="e">
        <f t="shared" si="2"/>
        <v>#REF!</v>
      </c>
      <c r="K22" s="150" t="s">
        <v>385</v>
      </c>
      <c r="L22" s="151"/>
      <c r="M22" s="152"/>
    </row>
    <row r="23" spans="2:13">
      <c r="B23" s="3">
        <v>22</v>
      </c>
      <c r="C23" t="s">
        <v>426</v>
      </c>
      <c r="D23" s="4"/>
      <c r="E23">
        <v>3</v>
      </c>
      <c r="F23" s="108">
        <f t="shared" si="1"/>
        <v>60</v>
      </c>
      <c r="G23" t="e">
        <f>VLOOKUP($C23,#REF!,10,FALSE)</f>
        <v>#REF!</v>
      </c>
      <c r="H23" s="5" t="e">
        <f t="shared" si="0"/>
        <v>#REF!</v>
      </c>
      <c r="I23" s="6" t="e">
        <f t="shared" si="2"/>
        <v>#REF!</v>
      </c>
      <c r="K23" s="98" t="s">
        <v>379</v>
      </c>
      <c r="L23">
        <f>SUM(F3:F31)</f>
        <v>1660</v>
      </c>
      <c r="M23" s="4" t="s">
        <v>25</v>
      </c>
    </row>
    <row r="24" spans="2:13">
      <c r="B24" s="3">
        <v>23</v>
      </c>
      <c r="C24" t="s">
        <v>427</v>
      </c>
      <c r="D24" s="4"/>
      <c r="E24">
        <v>3</v>
      </c>
      <c r="F24" s="108">
        <f t="shared" si="1"/>
        <v>60</v>
      </c>
      <c r="G24" t="e">
        <f>VLOOKUP($C24,#REF!,10,FALSE)</f>
        <v>#REF!</v>
      </c>
      <c r="H24" s="5" t="e">
        <f t="shared" si="0"/>
        <v>#REF!</v>
      </c>
      <c r="I24" s="6" t="e">
        <f t="shared" si="2"/>
        <v>#REF!</v>
      </c>
      <c r="K24" s="98" t="s">
        <v>386</v>
      </c>
      <c r="L24">
        <v>5000</v>
      </c>
      <c r="M24" s="4" t="s">
        <v>23</v>
      </c>
    </row>
    <row r="25" spans="2:13">
      <c r="B25" s="3">
        <v>24</v>
      </c>
      <c r="D25" s="4"/>
      <c r="F25" s="108">
        <f t="shared" si="1"/>
        <v>0</v>
      </c>
      <c r="H25" s="5">
        <f t="shared" si="0"/>
        <v>0</v>
      </c>
      <c r="I25" s="6">
        <f t="shared" si="2"/>
        <v>0</v>
      </c>
      <c r="K25" s="98" t="s">
        <v>28</v>
      </c>
      <c r="L25" s="100" t="s">
        <v>381</v>
      </c>
      <c r="M25" s="4" t="s">
        <v>25</v>
      </c>
    </row>
    <row r="26" spans="2:13">
      <c r="B26" s="3">
        <v>25</v>
      </c>
      <c r="D26" s="4"/>
      <c r="F26" s="108">
        <f t="shared" si="1"/>
        <v>0</v>
      </c>
      <c r="H26" s="5">
        <f t="shared" si="0"/>
        <v>0</v>
      </c>
      <c r="I26" s="6">
        <f t="shared" si="2"/>
        <v>0</v>
      </c>
      <c r="K26" s="98" t="s">
        <v>29</v>
      </c>
      <c r="L26" s="100">
        <v>1600</v>
      </c>
      <c r="M26" s="4" t="s">
        <v>25</v>
      </c>
    </row>
    <row r="27" spans="2:13" ht="17.25" thickBot="1">
      <c r="B27" s="3">
        <v>26</v>
      </c>
      <c r="D27" s="4"/>
      <c r="F27" s="108">
        <f t="shared" si="1"/>
        <v>0</v>
      </c>
      <c r="H27" s="5">
        <f t="shared" si="0"/>
        <v>0</v>
      </c>
      <c r="I27" s="6">
        <f t="shared" si="2"/>
        <v>0</v>
      </c>
      <c r="K27" s="14" t="s">
        <v>380</v>
      </c>
      <c r="L27" s="11">
        <v>4</v>
      </c>
      <c r="M27" s="12" t="s">
        <v>25</v>
      </c>
    </row>
    <row r="28" spans="2:13" ht="17.25" thickBot="1">
      <c r="B28" s="3">
        <v>27</v>
      </c>
      <c r="D28" s="4"/>
      <c r="F28" s="108">
        <f t="shared" si="1"/>
        <v>0</v>
      </c>
      <c r="H28" s="5">
        <f t="shared" si="0"/>
        <v>0</v>
      </c>
      <c r="I28" s="6">
        <f t="shared" si="2"/>
        <v>0</v>
      </c>
      <c r="J28" s="98"/>
      <c r="K28" s="11"/>
      <c r="L28" s="11"/>
      <c r="M28" s="101"/>
    </row>
    <row r="29" spans="2:13" ht="17.25" thickBot="1">
      <c r="B29" s="3">
        <v>28</v>
      </c>
      <c r="D29" s="4"/>
      <c r="F29" s="108">
        <f t="shared" si="1"/>
        <v>0</v>
      </c>
      <c r="H29" s="5">
        <f t="shared" si="0"/>
        <v>0</v>
      </c>
      <c r="I29" s="6">
        <f t="shared" si="2"/>
        <v>0</v>
      </c>
      <c r="K29" s="150" t="s">
        <v>384</v>
      </c>
      <c r="L29" s="151"/>
      <c r="M29" s="152"/>
    </row>
    <row r="30" spans="2:13">
      <c r="B30" s="3">
        <v>29</v>
      </c>
      <c r="D30" s="4"/>
      <c r="F30" s="108">
        <f t="shared" si="1"/>
        <v>0</v>
      </c>
      <c r="H30" s="5">
        <f t="shared" si="0"/>
        <v>0</v>
      </c>
      <c r="I30" s="6">
        <f t="shared" si="2"/>
        <v>0</v>
      </c>
      <c r="K30" s="98" t="s">
        <v>28</v>
      </c>
      <c r="L30" s="5" t="e">
        <f>SUM(H2:H31)</f>
        <v>#REF!</v>
      </c>
      <c r="M30" s="4" t="s">
        <v>383</v>
      </c>
    </row>
    <row r="31" spans="2:13" ht="17.25" thickBot="1">
      <c r="B31" s="13">
        <v>30</v>
      </c>
      <c r="C31" s="14"/>
      <c r="D31" s="12"/>
      <c r="E31" s="102"/>
      <c r="F31" s="109">
        <f t="shared" si="1"/>
        <v>0</v>
      </c>
      <c r="G31" s="14"/>
      <c r="H31" s="15">
        <f t="shared" si="0"/>
        <v>0</v>
      </c>
      <c r="I31" s="16">
        <f t="shared" si="2"/>
        <v>0</v>
      </c>
      <c r="K31" s="14" t="s">
        <v>382</v>
      </c>
      <c r="L31" s="15" t="e">
        <f>SUM(I2:I31)</f>
        <v>#REF!</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FAFF-1BA0-47D2-90FC-6B589AF83E5F}">
  <sheetPr>
    <pageSetUpPr fitToPage="1"/>
  </sheetPr>
  <dimension ref="B1:M31"/>
  <sheetViews>
    <sheetView workbookViewId="0">
      <selection activeCell="S15" sqref="S1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120</v>
      </c>
      <c r="G2" t="e">
        <f>VLOOKUP($C2,#REF!,10,FALSE)</f>
        <v>#REF!</v>
      </c>
      <c r="H2" s="5" t="e">
        <f>G2*E2</f>
        <v>#REF!</v>
      </c>
      <c r="I2" s="97" t="e">
        <f>G2*F2</f>
        <v>#REF!</v>
      </c>
      <c r="K2" s="7" t="s">
        <v>9</v>
      </c>
      <c r="L2" s="162">
        <v>19</v>
      </c>
      <c r="M2" s="163"/>
    </row>
    <row r="3" spans="2:13">
      <c r="B3" s="3">
        <v>2</v>
      </c>
      <c r="C3" t="s">
        <v>402</v>
      </c>
      <c r="D3" s="4"/>
      <c r="E3">
        <v>6</v>
      </c>
      <c r="F3" s="108">
        <f t="shared" ref="F3:F31" si="0">E3*$L$15</f>
        <v>120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120</v>
      </c>
      <c r="G4" t="e">
        <f>VLOOKUP($C4,#REF!,10,FALSE)</f>
        <v>#REF!</v>
      </c>
      <c r="H4" s="5" t="e">
        <f t="shared" si="1"/>
        <v>#REF!</v>
      </c>
      <c r="I4" s="6" t="e">
        <f t="shared" si="2"/>
        <v>#REF!</v>
      </c>
      <c r="K4" s="8" t="s">
        <v>11</v>
      </c>
      <c r="L4" s="166">
        <v>45637</v>
      </c>
      <c r="M4" s="165"/>
    </row>
    <row r="5" spans="2:13">
      <c r="B5" s="3">
        <v>4</v>
      </c>
      <c r="C5" t="s">
        <v>408</v>
      </c>
      <c r="D5" s="4"/>
      <c r="E5">
        <v>6</v>
      </c>
      <c r="F5" s="108">
        <f t="shared" si="0"/>
        <v>120</v>
      </c>
      <c r="G5" t="e">
        <f>VLOOKUP($C5,#REF!,10,FALSE)</f>
        <v>#REF!</v>
      </c>
      <c r="H5" s="5" t="e">
        <f t="shared" si="1"/>
        <v>#REF!</v>
      </c>
      <c r="I5" s="6" t="e">
        <f t="shared" si="2"/>
        <v>#REF!</v>
      </c>
      <c r="K5" s="8" t="s">
        <v>12</v>
      </c>
      <c r="L5" s="167" t="s">
        <v>397</v>
      </c>
      <c r="M5" s="165"/>
    </row>
    <row r="6" spans="2:13">
      <c r="B6" s="3">
        <v>5</v>
      </c>
      <c r="C6" t="s">
        <v>419</v>
      </c>
      <c r="D6" s="4"/>
      <c r="E6">
        <v>6</v>
      </c>
      <c r="F6" s="108">
        <f t="shared" si="0"/>
        <v>120</v>
      </c>
      <c r="G6" t="e">
        <f>VLOOKUP($C6,#REF!,10,FALSE)</f>
        <v>#REF!</v>
      </c>
      <c r="H6" s="5" t="e">
        <f t="shared" si="1"/>
        <v>#REF!</v>
      </c>
      <c r="I6" s="6" t="e">
        <f t="shared" si="2"/>
        <v>#REF!</v>
      </c>
      <c r="K6" s="8" t="s">
        <v>13</v>
      </c>
      <c r="L6" s="167" t="s">
        <v>398</v>
      </c>
      <c r="M6" s="165"/>
    </row>
    <row r="7" spans="2:13" ht="17.25" thickBot="1">
      <c r="B7" s="3">
        <v>6</v>
      </c>
      <c r="C7" t="s">
        <v>409</v>
      </c>
      <c r="D7" s="4"/>
      <c r="E7">
        <v>6</v>
      </c>
      <c r="F7" s="108">
        <f t="shared" si="0"/>
        <v>120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430</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416</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2</v>
      </c>
      <c r="F15" s="108">
        <f t="shared" si="0"/>
        <v>40</v>
      </c>
      <c r="G15" t="e">
        <f>VLOOKUP($C15,#REF!,10,FALSE)</f>
        <v>#REF!</v>
      </c>
      <c r="H15" s="5" t="e">
        <f t="shared" si="1"/>
        <v>#REF!</v>
      </c>
      <c r="I15" s="6" t="e">
        <f t="shared" si="2"/>
        <v>#REF!</v>
      </c>
      <c r="K15" s="98" t="s">
        <v>18</v>
      </c>
      <c r="L15">
        <v>20</v>
      </c>
      <c r="M15" s="4" t="s">
        <v>19</v>
      </c>
    </row>
    <row r="16" spans="2:13">
      <c r="B16" s="3">
        <v>15</v>
      </c>
      <c r="C16" t="s">
        <v>405</v>
      </c>
      <c r="D16" s="4"/>
      <c r="E16">
        <v>3</v>
      </c>
      <c r="F16" s="108">
        <f t="shared" si="0"/>
        <v>60</v>
      </c>
      <c r="G16" t="e">
        <f>VLOOKUP($C16,#REF!,10,FALSE)</f>
        <v>#REF!</v>
      </c>
      <c r="H16" s="5" t="e">
        <f t="shared" si="1"/>
        <v>#REF!</v>
      </c>
      <c r="I16" s="6" t="e">
        <f t="shared" si="2"/>
        <v>#REF!</v>
      </c>
      <c r="K16" s="98" t="s">
        <v>20</v>
      </c>
      <c r="L16">
        <v>45</v>
      </c>
      <c r="M16" s="4" t="s">
        <v>21</v>
      </c>
    </row>
    <row r="17" spans="2:13" ht="17.25" thickBot="1">
      <c r="B17" s="3">
        <v>16</v>
      </c>
      <c r="C17" t="s">
        <v>413</v>
      </c>
      <c r="D17" s="4"/>
      <c r="E17">
        <v>2</v>
      </c>
      <c r="F17" s="108">
        <f t="shared" si="0"/>
        <v>40</v>
      </c>
      <c r="G17" t="e">
        <f>VLOOKUP($C17,#REF!,10,FALSE)</f>
        <v>#REF!</v>
      </c>
      <c r="H17" s="5" t="e">
        <f t="shared" si="1"/>
        <v>#REF!</v>
      </c>
      <c r="I17" s="6" t="e">
        <f t="shared" si="2"/>
        <v>#REF!</v>
      </c>
      <c r="K17" s="14" t="s">
        <v>22</v>
      </c>
      <c r="L17" s="11">
        <v>100</v>
      </c>
      <c r="M17" s="12" t="s">
        <v>23</v>
      </c>
    </row>
    <row r="18" spans="2:13">
      <c r="B18" s="3">
        <v>17</v>
      </c>
      <c r="C18" t="s">
        <v>414</v>
      </c>
      <c r="D18" s="4"/>
      <c r="E18">
        <v>3</v>
      </c>
      <c r="F18" s="108">
        <f t="shared" si="0"/>
        <v>60</v>
      </c>
      <c r="G18" t="e">
        <f>VLOOKUP($C18,#REF!,10,FALSE)</f>
        <v>#REF!</v>
      </c>
      <c r="H18" s="5" t="e">
        <f t="shared" si="1"/>
        <v>#REF!</v>
      </c>
      <c r="I18" s="6" t="e">
        <f t="shared" si="2"/>
        <v>#REF!</v>
      </c>
      <c r="K18" s="99" t="s">
        <v>24</v>
      </c>
      <c r="L18" s="9">
        <f>SUM(E2:E31)</f>
        <v>89</v>
      </c>
      <c r="M18" s="10" t="s">
        <v>25</v>
      </c>
    </row>
    <row r="19" spans="2:13">
      <c r="B19" s="3">
        <v>18</v>
      </c>
      <c r="C19" t="s">
        <v>415</v>
      </c>
      <c r="D19" s="4"/>
      <c r="E19">
        <v>3</v>
      </c>
      <c r="F19" s="108">
        <f t="shared" si="0"/>
        <v>60</v>
      </c>
      <c r="G19" t="e">
        <f>VLOOKUP($C19,#REF!,10,FALSE)</f>
        <v>#REF!</v>
      </c>
      <c r="H19" s="5" t="e">
        <f t="shared" si="1"/>
        <v>#REF!</v>
      </c>
      <c r="I19" s="6" t="e">
        <f t="shared" si="2"/>
        <v>#REF!</v>
      </c>
      <c r="K19" s="98" t="s">
        <v>26</v>
      </c>
      <c r="L19">
        <f>L15*L18</f>
        <v>1780</v>
      </c>
      <c r="M19" s="4" t="s">
        <v>25</v>
      </c>
    </row>
    <row r="20" spans="2:13" ht="17.25" thickBot="1">
      <c r="B20" s="3">
        <v>19</v>
      </c>
      <c r="C20" t="s">
        <v>407</v>
      </c>
      <c r="D20" s="4"/>
      <c r="E20">
        <v>4</v>
      </c>
      <c r="F20" s="108">
        <f t="shared" si="0"/>
        <v>80</v>
      </c>
      <c r="G20" t="e">
        <f>VLOOKUP($C20,#REF!,10,FALSE)</f>
        <v>#REF!</v>
      </c>
      <c r="H20" s="5" t="e">
        <f t="shared" si="1"/>
        <v>#REF!</v>
      </c>
      <c r="I20" s="6" t="e">
        <f t="shared" si="2"/>
        <v>#REF!</v>
      </c>
      <c r="K20" s="14" t="s">
        <v>27</v>
      </c>
      <c r="L20" s="11">
        <f>L16*L17+L19</f>
        <v>6280</v>
      </c>
      <c r="M20" s="12" t="s">
        <v>23</v>
      </c>
    </row>
    <row r="21" spans="2:13" ht="17.25" thickBot="1">
      <c r="B21" s="3">
        <v>20</v>
      </c>
      <c r="C21" t="s">
        <v>417</v>
      </c>
      <c r="D21" s="4"/>
      <c r="E21">
        <v>2</v>
      </c>
      <c r="F21" s="108">
        <f t="shared" si="0"/>
        <v>40</v>
      </c>
      <c r="G21" t="e">
        <f>VLOOKUP($C21,#REF!,10,FALSE)</f>
        <v>#REF!</v>
      </c>
      <c r="H21" s="5" t="e">
        <f t="shared" si="1"/>
        <v>#REF!</v>
      </c>
      <c r="I21" s="6" t="e">
        <f t="shared" si="2"/>
        <v>#REF!</v>
      </c>
      <c r="J21" s="98"/>
      <c r="M21" s="101"/>
    </row>
    <row r="22" spans="2:13" ht="17.25" thickBot="1">
      <c r="B22" s="3">
        <v>21</v>
      </c>
      <c r="C22" t="s">
        <v>429</v>
      </c>
      <c r="D22" s="4"/>
      <c r="E22">
        <v>4</v>
      </c>
      <c r="F22" s="108">
        <f t="shared" si="0"/>
        <v>80</v>
      </c>
      <c r="G22" t="e">
        <f>VLOOKUP($C22,#REF!,10,FALSE)</f>
        <v>#REF!</v>
      </c>
      <c r="H22" s="5" t="e">
        <f t="shared" si="1"/>
        <v>#REF!</v>
      </c>
      <c r="I22" s="6" t="e">
        <f t="shared" si="2"/>
        <v>#REF!</v>
      </c>
      <c r="K22" s="150" t="s">
        <v>385</v>
      </c>
      <c r="L22" s="151"/>
      <c r="M22" s="152"/>
    </row>
    <row r="23" spans="2:13">
      <c r="B23" s="3">
        <v>22</v>
      </c>
      <c r="C23" t="s">
        <v>426</v>
      </c>
      <c r="D23" s="4"/>
      <c r="E23">
        <v>3</v>
      </c>
      <c r="F23" s="108">
        <f t="shared" si="0"/>
        <v>60</v>
      </c>
      <c r="G23" t="e">
        <f>VLOOKUP($C23,#REF!,10,FALSE)</f>
        <v>#REF!</v>
      </c>
      <c r="H23" s="5" t="e">
        <f t="shared" si="1"/>
        <v>#REF!</v>
      </c>
      <c r="I23" s="6" t="e">
        <f t="shared" si="2"/>
        <v>#REF!</v>
      </c>
      <c r="K23" s="98" t="s">
        <v>379</v>
      </c>
      <c r="L23">
        <f>SUM(F2:F31)</f>
        <v>1780</v>
      </c>
      <c r="M23" s="4" t="s">
        <v>25</v>
      </c>
    </row>
    <row r="24" spans="2:13">
      <c r="B24" s="3">
        <v>23</v>
      </c>
      <c r="C24" t="s">
        <v>427</v>
      </c>
      <c r="D24" s="4"/>
      <c r="E24">
        <v>3</v>
      </c>
      <c r="F24" s="108">
        <f t="shared" si="0"/>
        <v>60</v>
      </c>
      <c r="G24" t="e">
        <f>VLOOKUP($C24,#REF!,10,FALSE)</f>
        <v>#REF!</v>
      </c>
      <c r="H24" s="5" t="e">
        <f t="shared" si="1"/>
        <v>#REF!</v>
      </c>
      <c r="I24" s="6" t="e">
        <f t="shared" si="2"/>
        <v>#REF!</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FD04-D8E8-47B9-9165-452F47646541}">
  <sheetPr>
    <pageSetUpPr fitToPage="1"/>
  </sheetPr>
  <dimension ref="B1:M31"/>
  <sheetViews>
    <sheetView workbookViewId="0">
      <selection activeCell="L15" sqref="L1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120</v>
      </c>
      <c r="G2" t="e">
        <f>VLOOKUP($C2,#REF!,10,FALSE)</f>
        <v>#REF!</v>
      </c>
      <c r="H2" s="5" t="e">
        <f>G2*E2</f>
        <v>#REF!</v>
      </c>
      <c r="I2" s="97" t="e">
        <f>G2*F2</f>
        <v>#REF!</v>
      </c>
      <c r="K2" s="7" t="s">
        <v>9</v>
      </c>
      <c r="L2" s="162">
        <v>19</v>
      </c>
      <c r="M2" s="163"/>
    </row>
    <row r="3" spans="2:13">
      <c r="B3" s="3">
        <v>2</v>
      </c>
      <c r="C3" t="s">
        <v>402</v>
      </c>
      <c r="D3" s="4"/>
      <c r="E3">
        <v>6</v>
      </c>
      <c r="F3" s="108">
        <f t="shared" ref="F3:F31" si="0">E3*$L$15</f>
        <v>120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120</v>
      </c>
      <c r="G4" t="e">
        <f>VLOOKUP($C4,#REF!,10,FALSE)</f>
        <v>#REF!</v>
      </c>
      <c r="H4" s="5" t="e">
        <f t="shared" si="1"/>
        <v>#REF!</v>
      </c>
      <c r="I4" s="6" t="e">
        <f t="shared" si="2"/>
        <v>#REF!</v>
      </c>
      <c r="K4" s="8" t="s">
        <v>11</v>
      </c>
      <c r="L4" s="166">
        <v>45637</v>
      </c>
      <c r="M4" s="165"/>
    </row>
    <row r="5" spans="2:13">
      <c r="B5" s="3">
        <v>4</v>
      </c>
      <c r="C5" t="s">
        <v>408</v>
      </c>
      <c r="D5" s="4"/>
      <c r="E5">
        <v>6</v>
      </c>
      <c r="F5" s="108">
        <f t="shared" si="0"/>
        <v>120</v>
      </c>
      <c r="G5" t="e">
        <f>VLOOKUP($C5,#REF!,10,FALSE)</f>
        <v>#REF!</v>
      </c>
      <c r="H5" s="5" t="e">
        <f t="shared" si="1"/>
        <v>#REF!</v>
      </c>
      <c r="I5" s="6" t="e">
        <f t="shared" si="2"/>
        <v>#REF!</v>
      </c>
      <c r="K5" s="8" t="s">
        <v>12</v>
      </c>
      <c r="L5" s="167" t="s">
        <v>397</v>
      </c>
      <c r="M5" s="165"/>
    </row>
    <row r="6" spans="2:13">
      <c r="B6" s="3">
        <v>5</v>
      </c>
      <c r="C6" t="s">
        <v>419</v>
      </c>
      <c r="D6" s="4"/>
      <c r="E6">
        <v>6</v>
      </c>
      <c r="F6" s="108">
        <f t="shared" si="0"/>
        <v>120</v>
      </c>
      <c r="G6" t="e">
        <f>VLOOKUP($C6,#REF!,10,FALSE)</f>
        <v>#REF!</v>
      </c>
      <c r="H6" s="5" t="e">
        <f t="shared" si="1"/>
        <v>#REF!</v>
      </c>
      <c r="I6" s="6" t="e">
        <f t="shared" si="2"/>
        <v>#REF!</v>
      </c>
      <c r="K6" s="8" t="s">
        <v>13</v>
      </c>
      <c r="L6" s="167" t="s">
        <v>398</v>
      </c>
      <c r="M6" s="165"/>
    </row>
    <row r="7" spans="2:13" ht="17.25" thickBot="1">
      <c r="B7" s="3">
        <v>6</v>
      </c>
      <c r="C7" t="s">
        <v>409</v>
      </c>
      <c r="D7" s="4"/>
      <c r="E7">
        <v>6</v>
      </c>
      <c r="F7" s="108">
        <f t="shared" si="0"/>
        <v>120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428</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416</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3</v>
      </c>
      <c r="F15" s="108">
        <f t="shared" si="0"/>
        <v>60</v>
      </c>
      <c r="G15" t="e">
        <f>VLOOKUP($C15,#REF!,10,FALSE)</f>
        <v>#REF!</v>
      </c>
      <c r="H15" s="5" t="e">
        <f t="shared" si="1"/>
        <v>#REF!</v>
      </c>
      <c r="I15" s="6" t="e">
        <f t="shared" si="2"/>
        <v>#REF!</v>
      </c>
      <c r="K15" s="98" t="s">
        <v>18</v>
      </c>
      <c r="L15">
        <v>20</v>
      </c>
      <c r="M15" s="4" t="s">
        <v>19</v>
      </c>
    </row>
    <row r="16" spans="2:13">
      <c r="B16" s="3">
        <v>15</v>
      </c>
      <c r="C16" t="s">
        <v>405</v>
      </c>
      <c r="D16" s="4"/>
      <c r="E16">
        <v>3</v>
      </c>
      <c r="F16" s="108">
        <f t="shared" si="0"/>
        <v>60</v>
      </c>
      <c r="G16" t="e">
        <f>VLOOKUP($C16,#REF!,10,FALSE)</f>
        <v>#REF!</v>
      </c>
      <c r="H16" s="5" t="e">
        <f t="shared" si="1"/>
        <v>#REF!</v>
      </c>
      <c r="I16" s="6" t="e">
        <f t="shared" si="2"/>
        <v>#REF!</v>
      </c>
      <c r="K16" s="98" t="s">
        <v>20</v>
      </c>
      <c r="L16">
        <v>45</v>
      </c>
      <c r="M16" s="4" t="s">
        <v>21</v>
      </c>
    </row>
    <row r="17" spans="2:13" ht="17.25" thickBot="1">
      <c r="B17" s="3">
        <v>16</v>
      </c>
      <c r="C17" t="s">
        <v>413</v>
      </c>
      <c r="D17" s="4"/>
      <c r="E17">
        <v>2</v>
      </c>
      <c r="F17" s="108">
        <f t="shared" si="0"/>
        <v>40</v>
      </c>
      <c r="G17" t="e">
        <f>VLOOKUP($C17,#REF!,10,FALSE)</f>
        <v>#REF!</v>
      </c>
      <c r="H17" s="5" t="e">
        <f t="shared" si="1"/>
        <v>#REF!</v>
      </c>
      <c r="I17" s="6" t="e">
        <f t="shared" si="2"/>
        <v>#REF!</v>
      </c>
      <c r="K17" s="14" t="s">
        <v>22</v>
      </c>
      <c r="L17" s="11">
        <v>100</v>
      </c>
      <c r="M17" s="12" t="s">
        <v>23</v>
      </c>
    </row>
    <row r="18" spans="2:13">
      <c r="B18" s="3">
        <v>17</v>
      </c>
      <c r="C18" t="s">
        <v>414</v>
      </c>
      <c r="D18" s="4"/>
      <c r="E18">
        <v>3</v>
      </c>
      <c r="F18" s="108">
        <f t="shared" si="0"/>
        <v>60</v>
      </c>
      <c r="G18" t="e">
        <f>VLOOKUP($C18,#REF!,10,FALSE)</f>
        <v>#REF!</v>
      </c>
      <c r="H18" s="5" t="e">
        <f t="shared" si="1"/>
        <v>#REF!</v>
      </c>
      <c r="I18" s="6" t="e">
        <f t="shared" si="2"/>
        <v>#REF!</v>
      </c>
      <c r="K18" s="99" t="s">
        <v>24</v>
      </c>
      <c r="L18" s="9">
        <f>SUM(E2:E31)</f>
        <v>88</v>
      </c>
      <c r="M18" s="10" t="s">
        <v>25</v>
      </c>
    </row>
    <row r="19" spans="2:13">
      <c r="B19" s="3">
        <v>18</v>
      </c>
      <c r="C19" t="s">
        <v>415</v>
      </c>
      <c r="D19" s="4"/>
      <c r="E19">
        <v>3</v>
      </c>
      <c r="F19" s="108">
        <f t="shared" si="0"/>
        <v>60</v>
      </c>
      <c r="G19" t="e">
        <f>VLOOKUP($C19,#REF!,10,FALSE)</f>
        <v>#REF!</v>
      </c>
      <c r="H19" s="5" t="e">
        <f t="shared" si="1"/>
        <v>#REF!</v>
      </c>
      <c r="I19" s="6" t="e">
        <f t="shared" si="2"/>
        <v>#REF!</v>
      </c>
      <c r="K19" s="98" t="s">
        <v>26</v>
      </c>
      <c r="L19">
        <f>L15*L18</f>
        <v>1760</v>
      </c>
      <c r="M19" s="4" t="s">
        <v>25</v>
      </c>
    </row>
    <row r="20" spans="2:13" ht="17.25" thickBot="1">
      <c r="B20" s="3">
        <v>19</v>
      </c>
      <c r="C20" t="s">
        <v>407</v>
      </c>
      <c r="D20" s="4"/>
      <c r="E20">
        <v>3</v>
      </c>
      <c r="F20" s="108">
        <f t="shared" si="0"/>
        <v>60</v>
      </c>
      <c r="G20" t="e">
        <f>VLOOKUP($C20,#REF!,10,FALSE)</f>
        <v>#REF!</v>
      </c>
      <c r="H20" s="5" t="e">
        <f t="shared" si="1"/>
        <v>#REF!</v>
      </c>
      <c r="I20" s="6" t="e">
        <f t="shared" si="2"/>
        <v>#REF!</v>
      </c>
      <c r="K20" s="14" t="s">
        <v>27</v>
      </c>
      <c r="L20" s="11">
        <f>L16*L17+L19</f>
        <v>6260</v>
      </c>
      <c r="M20" s="12" t="s">
        <v>23</v>
      </c>
    </row>
    <row r="21" spans="2:13" ht="17.25" thickBot="1">
      <c r="B21" s="3">
        <v>20</v>
      </c>
      <c r="C21" t="s">
        <v>417</v>
      </c>
      <c r="D21" s="4"/>
      <c r="E21">
        <v>2</v>
      </c>
      <c r="F21" s="108">
        <f t="shared" si="0"/>
        <v>40</v>
      </c>
      <c r="G21" t="e">
        <f>VLOOKUP($C21,#REF!,10,FALSE)</f>
        <v>#REF!</v>
      </c>
      <c r="H21" s="5" t="e">
        <f t="shared" si="1"/>
        <v>#REF!</v>
      </c>
      <c r="I21" s="6" t="e">
        <f t="shared" si="2"/>
        <v>#REF!</v>
      </c>
      <c r="J21" s="98"/>
      <c r="M21" s="101"/>
    </row>
    <row r="22" spans="2:13" ht="17.25" thickBot="1">
      <c r="B22" s="3">
        <v>21</v>
      </c>
      <c r="C22" t="s">
        <v>425</v>
      </c>
      <c r="D22" s="4"/>
      <c r="E22">
        <v>3</v>
      </c>
      <c r="F22" s="108">
        <f t="shared" si="0"/>
        <v>60</v>
      </c>
      <c r="G22" t="e">
        <f>VLOOKUP($C22,#REF!,10,FALSE)</f>
        <v>#REF!</v>
      </c>
      <c r="H22" s="5" t="e">
        <f t="shared" si="1"/>
        <v>#REF!</v>
      </c>
      <c r="I22" s="6" t="e">
        <f t="shared" si="2"/>
        <v>#REF!</v>
      </c>
      <c r="K22" s="150" t="s">
        <v>385</v>
      </c>
      <c r="L22" s="151"/>
      <c r="M22" s="152"/>
    </row>
    <row r="23" spans="2:13">
      <c r="B23" s="3">
        <v>22</v>
      </c>
      <c r="C23" t="s">
        <v>426</v>
      </c>
      <c r="D23" s="4"/>
      <c r="E23">
        <v>3</v>
      </c>
      <c r="F23" s="108">
        <f t="shared" si="0"/>
        <v>60</v>
      </c>
      <c r="G23" t="e">
        <f>VLOOKUP($C23,#REF!,10,FALSE)</f>
        <v>#REF!</v>
      </c>
      <c r="H23" s="5" t="e">
        <f t="shared" si="1"/>
        <v>#REF!</v>
      </c>
      <c r="I23" s="6" t="e">
        <f t="shared" si="2"/>
        <v>#REF!</v>
      </c>
      <c r="K23" s="98" t="s">
        <v>379</v>
      </c>
      <c r="L23">
        <f>SUM(F2:F31)</f>
        <v>1760</v>
      </c>
      <c r="M23" s="4" t="s">
        <v>25</v>
      </c>
    </row>
    <row r="24" spans="2:13">
      <c r="B24" s="3">
        <v>23</v>
      </c>
      <c r="C24" t="s">
        <v>427</v>
      </c>
      <c r="D24" s="4"/>
      <c r="E24">
        <v>3</v>
      </c>
      <c r="F24" s="108">
        <f t="shared" si="0"/>
        <v>60</v>
      </c>
      <c r="G24" t="e">
        <f>VLOOKUP($C24,#REF!,10,FALSE)</f>
        <v>#REF!</v>
      </c>
      <c r="H24" s="5" t="e">
        <f t="shared" si="1"/>
        <v>#REF!</v>
      </c>
      <c r="I24" s="6" t="e">
        <f t="shared" si="2"/>
        <v>#REF!</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712F-8D18-4315-9B89-84F099B65B3D}">
  <sheetPr>
    <pageSetUpPr fitToPage="1"/>
  </sheetPr>
  <dimension ref="B1:M31"/>
  <sheetViews>
    <sheetView workbookViewId="0">
      <selection activeCell="C22" sqref="C22:I22"/>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120</v>
      </c>
      <c r="G2" t="e">
        <f>VLOOKUP($C2,#REF!,10,FALSE)</f>
        <v>#REF!</v>
      </c>
      <c r="H2" s="5" t="e">
        <f>G2*E2</f>
        <v>#REF!</v>
      </c>
      <c r="I2" s="97" t="e">
        <f>G2*F2</f>
        <v>#REF!</v>
      </c>
      <c r="K2" s="7" t="s">
        <v>9</v>
      </c>
      <c r="L2" s="162">
        <v>19</v>
      </c>
      <c r="M2" s="163"/>
    </row>
    <row r="3" spans="2:13">
      <c r="B3" s="3">
        <v>2</v>
      </c>
      <c r="C3" t="s">
        <v>402</v>
      </c>
      <c r="D3" s="4"/>
      <c r="E3">
        <v>6</v>
      </c>
      <c r="F3" s="108">
        <f t="shared" ref="F3:F31" si="0">E3*$L$15</f>
        <v>120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120</v>
      </c>
      <c r="G4" t="e">
        <f>VLOOKUP($C4,#REF!,10,FALSE)</f>
        <v>#REF!</v>
      </c>
      <c r="H4" s="5" t="e">
        <f t="shared" si="1"/>
        <v>#REF!</v>
      </c>
      <c r="I4" s="6" t="e">
        <f t="shared" si="2"/>
        <v>#REF!</v>
      </c>
      <c r="K4" s="8" t="s">
        <v>11</v>
      </c>
      <c r="L4" s="166">
        <v>45604</v>
      </c>
      <c r="M4" s="165"/>
    </row>
    <row r="5" spans="2:13">
      <c r="B5" s="3">
        <v>4</v>
      </c>
      <c r="C5" t="s">
        <v>408</v>
      </c>
      <c r="D5" s="4"/>
      <c r="E5">
        <v>6</v>
      </c>
      <c r="F5" s="108">
        <f t="shared" si="0"/>
        <v>120</v>
      </c>
      <c r="G5" t="e">
        <f>VLOOKUP($C5,#REF!,10,FALSE)</f>
        <v>#REF!</v>
      </c>
      <c r="H5" s="5" t="e">
        <f t="shared" si="1"/>
        <v>#REF!</v>
      </c>
      <c r="I5" s="6" t="e">
        <f t="shared" si="2"/>
        <v>#REF!</v>
      </c>
      <c r="K5" s="8" t="s">
        <v>12</v>
      </c>
      <c r="L5" s="167" t="s">
        <v>397</v>
      </c>
      <c r="M5" s="165"/>
    </row>
    <row r="6" spans="2:13">
      <c r="B6" s="3">
        <v>5</v>
      </c>
      <c r="C6" t="s">
        <v>419</v>
      </c>
      <c r="D6" s="4"/>
      <c r="E6">
        <v>6</v>
      </c>
      <c r="F6" s="108">
        <f t="shared" si="0"/>
        <v>120</v>
      </c>
      <c r="G6" t="e">
        <f>VLOOKUP($C6,#REF!,10,FALSE)</f>
        <v>#REF!</v>
      </c>
      <c r="H6" s="5" t="e">
        <f t="shared" si="1"/>
        <v>#REF!</v>
      </c>
      <c r="I6" s="6" t="e">
        <f t="shared" si="2"/>
        <v>#REF!</v>
      </c>
      <c r="K6" s="8" t="s">
        <v>13</v>
      </c>
      <c r="L6" s="167" t="s">
        <v>398</v>
      </c>
      <c r="M6" s="165"/>
    </row>
    <row r="7" spans="2:13" ht="17.25" thickBot="1">
      <c r="B7" s="3">
        <v>6</v>
      </c>
      <c r="C7" t="s">
        <v>409</v>
      </c>
      <c r="D7" s="4"/>
      <c r="E7">
        <v>6</v>
      </c>
      <c r="F7" s="108">
        <f t="shared" si="0"/>
        <v>120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423</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416</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3</v>
      </c>
      <c r="F15" s="108">
        <f t="shared" si="0"/>
        <v>60</v>
      </c>
      <c r="G15" t="e">
        <f>VLOOKUP($C15,#REF!,10,FALSE)</f>
        <v>#REF!</v>
      </c>
      <c r="H15" s="5" t="e">
        <f t="shared" si="1"/>
        <v>#REF!</v>
      </c>
      <c r="I15" s="6" t="e">
        <f t="shared" si="2"/>
        <v>#REF!</v>
      </c>
      <c r="K15" s="98" t="s">
        <v>18</v>
      </c>
      <c r="L15">
        <v>20</v>
      </c>
      <c r="M15" s="4" t="s">
        <v>19</v>
      </c>
    </row>
    <row r="16" spans="2:13">
      <c r="B16" s="3">
        <v>15</v>
      </c>
      <c r="C16" t="s">
        <v>405</v>
      </c>
      <c r="D16" s="4"/>
      <c r="E16">
        <v>3</v>
      </c>
      <c r="F16" s="108">
        <f t="shared" si="0"/>
        <v>60</v>
      </c>
      <c r="G16" t="e">
        <f>VLOOKUP($C16,#REF!,10,FALSE)</f>
        <v>#REF!</v>
      </c>
      <c r="H16" s="5" t="e">
        <f t="shared" si="1"/>
        <v>#REF!</v>
      </c>
      <c r="I16" s="6" t="e">
        <f t="shared" si="2"/>
        <v>#REF!</v>
      </c>
      <c r="K16" s="98" t="s">
        <v>20</v>
      </c>
      <c r="L16">
        <v>45</v>
      </c>
      <c r="M16" s="4" t="s">
        <v>21</v>
      </c>
    </row>
    <row r="17" spans="2:13" ht="17.25" thickBot="1">
      <c r="B17" s="3">
        <v>16</v>
      </c>
      <c r="C17" t="s">
        <v>413</v>
      </c>
      <c r="D17" s="4"/>
      <c r="E17">
        <v>2</v>
      </c>
      <c r="F17" s="108">
        <f t="shared" si="0"/>
        <v>40</v>
      </c>
      <c r="G17" t="e">
        <f>VLOOKUP($C17,#REF!,10,FALSE)</f>
        <v>#REF!</v>
      </c>
      <c r="H17" s="5" t="e">
        <f t="shared" si="1"/>
        <v>#REF!</v>
      </c>
      <c r="I17" s="6" t="e">
        <f t="shared" si="2"/>
        <v>#REF!</v>
      </c>
      <c r="K17" s="14" t="s">
        <v>22</v>
      </c>
      <c r="L17" s="11">
        <v>100</v>
      </c>
      <c r="M17" s="12" t="s">
        <v>23</v>
      </c>
    </row>
    <row r="18" spans="2:13">
      <c r="B18" s="3">
        <v>17</v>
      </c>
      <c r="C18" t="s">
        <v>414</v>
      </c>
      <c r="D18" s="4"/>
      <c r="E18">
        <v>3</v>
      </c>
      <c r="F18" s="108">
        <f t="shared" si="0"/>
        <v>60</v>
      </c>
      <c r="G18" t="e">
        <f>VLOOKUP($C18,#REF!,10,FALSE)</f>
        <v>#REF!</v>
      </c>
      <c r="H18" s="5" t="e">
        <f t="shared" si="1"/>
        <v>#REF!</v>
      </c>
      <c r="I18" s="6" t="e">
        <f t="shared" si="2"/>
        <v>#REF!</v>
      </c>
      <c r="K18" s="99" t="s">
        <v>24</v>
      </c>
      <c r="L18" s="9">
        <f>SUM(E2:E31)</f>
        <v>82</v>
      </c>
      <c r="M18" s="10" t="s">
        <v>25</v>
      </c>
    </row>
    <row r="19" spans="2:13">
      <c r="B19" s="3">
        <v>18</v>
      </c>
      <c r="C19" t="s">
        <v>415</v>
      </c>
      <c r="D19" s="4"/>
      <c r="E19">
        <v>3</v>
      </c>
      <c r="F19" s="108">
        <f t="shared" si="0"/>
        <v>60</v>
      </c>
      <c r="G19" t="e">
        <f>VLOOKUP($C19,#REF!,10,FALSE)</f>
        <v>#REF!</v>
      </c>
      <c r="H19" s="5" t="e">
        <f t="shared" si="1"/>
        <v>#REF!</v>
      </c>
      <c r="I19" s="6" t="e">
        <f t="shared" si="2"/>
        <v>#REF!</v>
      </c>
      <c r="K19" s="98" t="s">
        <v>26</v>
      </c>
      <c r="L19">
        <f>L15*L18</f>
        <v>1640</v>
      </c>
      <c r="M19" s="4" t="s">
        <v>25</v>
      </c>
    </row>
    <row r="20" spans="2:13" ht="17.25" thickBot="1">
      <c r="B20" s="3">
        <v>19</v>
      </c>
      <c r="C20" t="s">
        <v>407</v>
      </c>
      <c r="D20" s="4"/>
      <c r="E20">
        <v>3</v>
      </c>
      <c r="F20" s="108">
        <f t="shared" si="0"/>
        <v>60</v>
      </c>
      <c r="G20" t="e">
        <f>VLOOKUP($C20,#REF!,10,FALSE)</f>
        <v>#REF!</v>
      </c>
      <c r="H20" s="5" t="e">
        <f t="shared" si="1"/>
        <v>#REF!</v>
      </c>
      <c r="I20" s="6" t="e">
        <f t="shared" si="2"/>
        <v>#REF!</v>
      </c>
      <c r="K20" s="14" t="s">
        <v>27</v>
      </c>
      <c r="L20" s="11">
        <f>L16*L17+L19</f>
        <v>6140</v>
      </c>
      <c r="M20" s="12" t="s">
        <v>23</v>
      </c>
    </row>
    <row r="21" spans="2:13" ht="17.25" thickBot="1">
      <c r="B21" s="3">
        <v>20</v>
      </c>
      <c r="C21" t="s">
        <v>417</v>
      </c>
      <c r="D21" s="4"/>
      <c r="E21">
        <v>2</v>
      </c>
      <c r="F21" s="108">
        <f t="shared" si="0"/>
        <v>40</v>
      </c>
      <c r="G21" t="e">
        <f>VLOOKUP($C21,#REF!,10,FALSE)</f>
        <v>#REF!</v>
      </c>
      <c r="H21" s="5" t="e">
        <f t="shared" si="1"/>
        <v>#REF!</v>
      </c>
      <c r="I21" s="6" t="e">
        <f t="shared" si="2"/>
        <v>#REF!</v>
      </c>
      <c r="J21" s="98"/>
      <c r="M21" s="101"/>
    </row>
    <row r="22" spans="2:13" ht="17.25" thickBot="1">
      <c r="B22" s="3">
        <v>21</v>
      </c>
      <c r="C22" t="s">
        <v>425</v>
      </c>
      <c r="D22" s="4"/>
      <c r="E22">
        <v>3</v>
      </c>
      <c r="F22" s="108">
        <f t="shared" si="0"/>
        <v>60</v>
      </c>
      <c r="G22" t="e">
        <f>VLOOKUP($C22,#REF!,10,FALSE)</f>
        <v>#REF!</v>
      </c>
      <c r="H22" s="5" t="e">
        <f t="shared" si="1"/>
        <v>#REF!</v>
      </c>
      <c r="I22" s="6" t="e">
        <f t="shared" si="2"/>
        <v>#REF!</v>
      </c>
      <c r="K22" s="150" t="s">
        <v>385</v>
      </c>
      <c r="L22" s="151"/>
      <c r="M22" s="152"/>
    </row>
    <row r="23" spans="2:13">
      <c r="B23" s="3">
        <v>22</v>
      </c>
      <c r="D23" s="4"/>
      <c r="E23"/>
      <c r="F23" s="108"/>
      <c r="H23" s="5"/>
      <c r="I23" s="6"/>
      <c r="K23" s="98" t="s">
        <v>379</v>
      </c>
      <c r="L23">
        <f>SUM(F2:F31)</f>
        <v>1640</v>
      </c>
      <c r="M23" s="4" t="s">
        <v>25</v>
      </c>
    </row>
    <row r="24" spans="2:13">
      <c r="B24" s="3">
        <v>23</v>
      </c>
      <c r="D24" s="4"/>
      <c r="E24"/>
      <c r="F24" s="108"/>
      <c r="H24" s="5"/>
      <c r="I24" s="6"/>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9029-A30B-4DAF-8B3F-F09C6D8FFBB2}">
  <sheetPr>
    <pageSetUpPr fitToPage="1"/>
  </sheetPr>
  <dimension ref="B1:M31"/>
  <sheetViews>
    <sheetView workbookViewId="0">
      <selection activeCell="I22" sqref="I22"/>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6</v>
      </c>
      <c r="F2" s="108">
        <f>E2*$L$15</f>
        <v>120</v>
      </c>
      <c r="G2" t="e">
        <f>VLOOKUP($C2,#REF!,10,FALSE)</f>
        <v>#REF!</v>
      </c>
      <c r="H2" s="5" t="e">
        <f>G2*E2</f>
        <v>#REF!</v>
      </c>
      <c r="I2" s="97" t="e">
        <f>G2*F2</f>
        <v>#REF!</v>
      </c>
      <c r="K2" s="7" t="s">
        <v>9</v>
      </c>
      <c r="L2" s="162">
        <v>19</v>
      </c>
      <c r="M2" s="163"/>
    </row>
    <row r="3" spans="2:13">
      <c r="B3" s="3">
        <v>2</v>
      </c>
      <c r="C3" t="s">
        <v>402</v>
      </c>
      <c r="D3" s="4"/>
      <c r="E3">
        <v>6</v>
      </c>
      <c r="F3" s="108">
        <f t="shared" ref="F3:F31" si="0">E3*$L$15</f>
        <v>120</v>
      </c>
      <c r="G3" t="e">
        <f>VLOOKUP($C3,#REF!,10,FALSE)</f>
        <v>#REF!</v>
      </c>
      <c r="H3" s="5" t="e">
        <f t="shared" ref="H3:H31" si="1">G3*E3</f>
        <v>#REF!</v>
      </c>
      <c r="I3" s="6" t="e">
        <f t="shared" ref="I3:I31" si="2">G3*F3</f>
        <v>#REF!</v>
      </c>
      <c r="K3" s="8" t="s">
        <v>10</v>
      </c>
      <c r="L3" s="167" t="s">
        <v>396</v>
      </c>
      <c r="M3" s="165"/>
    </row>
    <row r="4" spans="2:13">
      <c r="B4" s="3">
        <v>3</v>
      </c>
      <c r="C4" t="s">
        <v>403</v>
      </c>
      <c r="D4" s="4"/>
      <c r="E4">
        <v>6</v>
      </c>
      <c r="F4" s="108">
        <f t="shared" si="0"/>
        <v>120</v>
      </c>
      <c r="G4" t="e">
        <f>VLOOKUP($C4,#REF!,10,FALSE)</f>
        <v>#REF!</v>
      </c>
      <c r="H4" s="5" t="e">
        <f t="shared" si="1"/>
        <v>#REF!</v>
      </c>
      <c r="I4" s="6" t="e">
        <f t="shared" si="2"/>
        <v>#REF!</v>
      </c>
      <c r="K4" s="8" t="s">
        <v>11</v>
      </c>
      <c r="L4" s="166">
        <v>45573</v>
      </c>
      <c r="M4" s="165"/>
    </row>
    <row r="5" spans="2:13">
      <c r="B5" s="3">
        <v>4</v>
      </c>
      <c r="C5" t="s">
        <v>408</v>
      </c>
      <c r="D5" s="4"/>
      <c r="E5">
        <v>4</v>
      </c>
      <c r="F5" s="108">
        <f t="shared" si="0"/>
        <v>80</v>
      </c>
      <c r="G5" t="e">
        <f>VLOOKUP($C5,#REF!,10,FALSE)</f>
        <v>#REF!</v>
      </c>
      <c r="H5" s="5" t="e">
        <f t="shared" si="1"/>
        <v>#REF!</v>
      </c>
      <c r="I5" s="6" t="e">
        <f t="shared" si="2"/>
        <v>#REF!</v>
      </c>
      <c r="K5" s="8" t="s">
        <v>12</v>
      </c>
      <c r="L5" s="167" t="s">
        <v>397</v>
      </c>
      <c r="M5" s="165"/>
    </row>
    <row r="6" spans="2:13">
      <c r="B6" s="3">
        <v>5</v>
      </c>
      <c r="C6" t="s">
        <v>419</v>
      </c>
      <c r="D6" s="4"/>
      <c r="E6">
        <v>4</v>
      </c>
      <c r="F6" s="108">
        <f t="shared" si="0"/>
        <v>80</v>
      </c>
      <c r="G6" t="e">
        <f>VLOOKUP($C6,#REF!,10,FALSE)</f>
        <v>#REF!</v>
      </c>
      <c r="H6" s="5" t="e">
        <f t="shared" si="1"/>
        <v>#REF!</v>
      </c>
      <c r="I6" s="6" t="e">
        <f t="shared" si="2"/>
        <v>#REF!</v>
      </c>
      <c r="K6" s="8" t="s">
        <v>13</v>
      </c>
      <c r="L6" s="167" t="s">
        <v>398</v>
      </c>
      <c r="M6" s="165"/>
    </row>
    <row r="7" spans="2:13" ht="17.25" thickBot="1">
      <c r="B7" s="3">
        <v>6</v>
      </c>
      <c r="C7" t="s">
        <v>409</v>
      </c>
      <c r="D7" s="4"/>
      <c r="E7">
        <v>4</v>
      </c>
      <c r="F7" s="108">
        <f t="shared" si="0"/>
        <v>80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423</v>
      </c>
      <c r="L9" s="154"/>
      <c r="M9" s="155"/>
    </row>
    <row r="10" spans="2:13">
      <c r="B10" s="3">
        <v>9</v>
      </c>
      <c r="C10" t="s">
        <v>410</v>
      </c>
      <c r="D10" s="4"/>
      <c r="E10">
        <v>3</v>
      </c>
      <c r="F10" s="108">
        <f t="shared" si="0"/>
        <v>60</v>
      </c>
      <c r="G10" t="e">
        <f>VLOOKUP($C10,#REF!,10,FALSE)</f>
        <v>#REF!</v>
      </c>
      <c r="H10" s="5" t="e">
        <f t="shared" si="1"/>
        <v>#REF!</v>
      </c>
      <c r="I10" s="6" t="e">
        <f t="shared" si="2"/>
        <v>#REF!</v>
      </c>
      <c r="K10" s="156"/>
      <c r="L10" s="157"/>
      <c r="M10" s="158"/>
    </row>
    <row r="11" spans="2:13">
      <c r="B11" s="3">
        <v>10</v>
      </c>
      <c r="C11" t="s">
        <v>411</v>
      </c>
      <c r="D11" s="4"/>
      <c r="E11">
        <v>3</v>
      </c>
      <c r="F11" s="108">
        <f t="shared" si="0"/>
        <v>60</v>
      </c>
      <c r="G11" t="e">
        <f>VLOOKUP($C11,#REF!,10,FALSE)</f>
        <v>#REF!</v>
      </c>
      <c r="H11" s="5" t="e">
        <f t="shared" si="1"/>
        <v>#REF!</v>
      </c>
      <c r="I11" s="6" t="e">
        <f t="shared" si="2"/>
        <v>#REF!</v>
      </c>
      <c r="K11" s="156"/>
      <c r="L11" s="157"/>
      <c r="M11" s="158"/>
    </row>
    <row r="12" spans="2:13">
      <c r="B12" s="3">
        <v>11</v>
      </c>
      <c r="C12" t="s">
        <v>416</v>
      </c>
      <c r="D12" s="4"/>
      <c r="E12">
        <v>3</v>
      </c>
      <c r="F12" s="108">
        <f t="shared" si="0"/>
        <v>60</v>
      </c>
      <c r="G12" t="e">
        <f>VLOOKUP($C12,#REF!,10,FALSE)</f>
        <v>#REF!</v>
      </c>
      <c r="H12" s="5" t="e">
        <f t="shared" si="1"/>
        <v>#REF!</v>
      </c>
      <c r="I12" s="6" t="e">
        <f t="shared" si="2"/>
        <v>#REF!</v>
      </c>
      <c r="K12" s="156"/>
      <c r="L12" s="157"/>
      <c r="M12" s="158"/>
    </row>
    <row r="13" spans="2:13" ht="17.25" thickBot="1">
      <c r="B13" s="3">
        <v>12</v>
      </c>
      <c r="C13" t="s">
        <v>412</v>
      </c>
      <c r="D13" s="4"/>
      <c r="E13">
        <v>3</v>
      </c>
      <c r="F13" s="108">
        <f t="shared" si="0"/>
        <v>60</v>
      </c>
      <c r="G13" t="e">
        <f>VLOOKUP($C13,#REF!,10,FALSE)</f>
        <v>#REF!</v>
      </c>
      <c r="H13" s="5" t="e">
        <f t="shared" si="1"/>
        <v>#REF!</v>
      </c>
      <c r="I13" s="6" t="e">
        <f t="shared" si="2"/>
        <v>#REF!</v>
      </c>
      <c r="K13" s="159"/>
      <c r="L13" s="160"/>
      <c r="M13" s="161"/>
    </row>
    <row r="14" spans="2:13">
      <c r="B14" s="3">
        <v>13</v>
      </c>
      <c r="C14" t="s">
        <v>404</v>
      </c>
      <c r="D14" s="4"/>
      <c r="E14">
        <v>4</v>
      </c>
      <c r="F14" s="108">
        <f t="shared" si="0"/>
        <v>80</v>
      </c>
      <c r="G14" t="e">
        <f>VLOOKUP($C14,#REF!,10,FALSE)</f>
        <v>#REF!</v>
      </c>
      <c r="H14" s="5" t="e">
        <f t="shared" si="1"/>
        <v>#REF!</v>
      </c>
      <c r="I14" s="6" t="e">
        <f t="shared" si="2"/>
        <v>#REF!</v>
      </c>
      <c r="K14" s="99" t="s">
        <v>16</v>
      </c>
      <c r="L14" s="9">
        <v>15</v>
      </c>
      <c r="M14" s="10" t="s">
        <v>17</v>
      </c>
    </row>
    <row r="15" spans="2:13">
      <c r="B15" s="3">
        <v>14</v>
      </c>
      <c r="C15" t="s">
        <v>406</v>
      </c>
      <c r="D15" s="4"/>
      <c r="E15">
        <v>4</v>
      </c>
      <c r="F15" s="108">
        <f t="shared" si="0"/>
        <v>80</v>
      </c>
      <c r="G15" t="e">
        <f>VLOOKUP($C15,#REF!,10,FALSE)</f>
        <v>#REF!</v>
      </c>
      <c r="H15" s="5" t="e">
        <f t="shared" si="1"/>
        <v>#REF!</v>
      </c>
      <c r="I15" s="6" t="e">
        <f t="shared" si="2"/>
        <v>#REF!</v>
      </c>
      <c r="K15" s="98" t="s">
        <v>18</v>
      </c>
      <c r="L15">
        <v>20</v>
      </c>
      <c r="M15" s="4" t="s">
        <v>19</v>
      </c>
    </row>
    <row r="16" spans="2:13">
      <c r="B16" s="3">
        <v>15</v>
      </c>
      <c r="C16" t="s">
        <v>405</v>
      </c>
      <c r="D16" s="4"/>
      <c r="E16">
        <v>3</v>
      </c>
      <c r="F16" s="108">
        <f t="shared" si="0"/>
        <v>60</v>
      </c>
      <c r="G16" t="e">
        <f>VLOOKUP($C16,#REF!,10,FALSE)</f>
        <v>#REF!</v>
      </c>
      <c r="H16" s="5" t="e">
        <f t="shared" si="1"/>
        <v>#REF!</v>
      </c>
      <c r="I16" s="6" t="e">
        <f t="shared" si="2"/>
        <v>#REF!</v>
      </c>
      <c r="K16" s="98" t="s">
        <v>20</v>
      </c>
      <c r="L16">
        <v>45</v>
      </c>
      <c r="M16" s="4" t="s">
        <v>21</v>
      </c>
    </row>
    <row r="17" spans="2:13" ht="17.25" thickBot="1">
      <c r="B17" s="3">
        <v>16</v>
      </c>
      <c r="C17" t="s">
        <v>413</v>
      </c>
      <c r="D17" s="4"/>
      <c r="E17">
        <v>3</v>
      </c>
      <c r="F17" s="108">
        <f t="shared" si="0"/>
        <v>60</v>
      </c>
      <c r="G17" t="e">
        <f>VLOOKUP($C17,#REF!,10,FALSE)</f>
        <v>#REF!</v>
      </c>
      <c r="H17" s="5" t="e">
        <f t="shared" si="1"/>
        <v>#REF!</v>
      </c>
      <c r="I17" s="6" t="e">
        <f t="shared" si="2"/>
        <v>#REF!</v>
      </c>
      <c r="K17" s="14" t="s">
        <v>22</v>
      </c>
      <c r="L17" s="11">
        <v>100</v>
      </c>
      <c r="M17" s="12" t="s">
        <v>23</v>
      </c>
    </row>
    <row r="18" spans="2:13">
      <c r="B18" s="3">
        <v>17</v>
      </c>
      <c r="C18" t="s">
        <v>414</v>
      </c>
      <c r="D18" s="4"/>
      <c r="E18">
        <v>4</v>
      </c>
      <c r="F18" s="108">
        <f t="shared" si="0"/>
        <v>80</v>
      </c>
      <c r="G18" t="e">
        <f>VLOOKUP($C18,#REF!,10,FALSE)</f>
        <v>#REF!</v>
      </c>
      <c r="H18" s="5" t="e">
        <f t="shared" si="1"/>
        <v>#REF!</v>
      </c>
      <c r="I18" s="6" t="e">
        <f t="shared" si="2"/>
        <v>#REF!</v>
      </c>
      <c r="K18" s="99" t="s">
        <v>24</v>
      </c>
      <c r="L18" s="9">
        <f>SUM(E2:E31)</f>
        <v>90</v>
      </c>
      <c r="M18" s="10" t="s">
        <v>25</v>
      </c>
    </row>
    <row r="19" spans="2:13">
      <c r="B19" s="3">
        <v>18</v>
      </c>
      <c r="C19" t="s">
        <v>415</v>
      </c>
      <c r="D19" s="4"/>
      <c r="E19">
        <v>4</v>
      </c>
      <c r="F19" s="108">
        <f t="shared" si="0"/>
        <v>80</v>
      </c>
      <c r="G19" t="e">
        <f>VLOOKUP($C19,#REF!,10,FALSE)</f>
        <v>#REF!</v>
      </c>
      <c r="H19" s="5" t="e">
        <f t="shared" si="1"/>
        <v>#REF!</v>
      </c>
      <c r="I19" s="6" t="e">
        <f t="shared" si="2"/>
        <v>#REF!</v>
      </c>
      <c r="K19" s="98" t="s">
        <v>26</v>
      </c>
      <c r="L19">
        <f>L15*L18</f>
        <v>1800</v>
      </c>
      <c r="M19" s="4" t="s">
        <v>25</v>
      </c>
    </row>
    <row r="20" spans="2:13" ht="17.25" thickBot="1">
      <c r="B20" s="3">
        <v>19</v>
      </c>
      <c r="C20" t="s">
        <v>407</v>
      </c>
      <c r="D20" s="4"/>
      <c r="E20">
        <v>4</v>
      </c>
      <c r="F20" s="108">
        <f t="shared" si="0"/>
        <v>80</v>
      </c>
      <c r="G20" t="e">
        <f>VLOOKUP($C20,#REF!,10,FALSE)</f>
        <v>#REF!</v>
      </c>
      <c r="H20" s="5" t="e">
        <f t="shared" si="1"/>
        <v>#REF!</v>
      </c>
      <c r="I20" s="6" t="e">
        <f t="shared" si="2"/>
        <v>#REF!</v>
      </c>
      <c r="K20" s="14" t="s">
        <v>27</v>
      </c>
      <c r="L20" s="11">
        <f>L16*L17+L19</f>
        <v>6300</v>
      </c>
      <c r="M20" s="12" t="s">
        <v>23</v>
      </c>
    </row>
    <row r="21" spans="2:13" ht="17.25" thickBot="1">
      <c r="B21" s="3">
        <v>20</v>
      </c>
      <c r="C21" t="s">
        <v>417</v>
      </c>
      <c r="D21" s="4"/>
      <c r="E21">
        <v>2</v>
      </c>
      <c r="F21" s="108">
        <f t="shared" si="0"/>
        <v>40</v>
      </c>
      <c r="G21" t="e">
        <f>VLOOKUP($C21,#REF!,10,FALSE)</f>
        <v>#REF!</v>
      </c>
      <c r="H21" s="5" t="e">
        <f t="shared" si="1"/>
        <v>#REF!</v>
      </c>
      <c r="I21" s="6" t="e">
        <f t="shared" si="2"/>
        <v>#REF!</v>
      </c>
      <c r="J21" s="98"/>
      <c r="M21" s="101"/>
    </row>
    <row r="22" spans="2:13" ht="17.25" thickBot="1">
      <c r="B22" s="3">
        <v>21</v>
      </c>
      <c r="C22" t="s">
        <v>420</v>
      </c>
      <c r="D22" s="4"/>
      <c r="E22">
        <v>4</v>
      </c>
      <c r="F22" s="108">
        <f t="shared" si="0"/>
        <v>80</v>
      </c>
      <c r="G22" t="e">
        <f>VLOOKUP($C22,#REF!,10,FALSE)</f>
        <v>#REF!</v>
      </c>
      <c r="H22" s="5" t="e">
        <f t="shared" si="1"/>
        <v>#REF!</v>
      </c>
      <c r="I22" s="6" t="e">
        <f t="shared" si="2"/>
        <v>#REF!</v>
      </c>
      <c r="K22" s="150" t="s">
        <v>385</v>
      </c>
      <c r="L22" s="151"/>
      <c r="M22" s="152"/>
    </row>
    <row r="23" spans="2:13">
      <c r="B23" s="3">
        <v>22</v>
      </c>
      <c r="C23" t="s">
        <v>418</v>
      </c>
      <c r="D23" s="4"/>
      <c r="E23">
        <v>4</v>
      </c>
      <c r="F23" s="108">
        <f t="shared" si="0"/>
        <v>80</v>
      </c>
      <c r="G23" t="e">
        <f>VLOOKUP($C23,#REF!,10,FALSE)</f>
        <v>#REF!</v>
      </c>
      <c r="H23" s="5" t="e">
        <f t="shared" si="1"/>
        <v>#REF!</v>
      </c>
      <c r="I23" s="6" t="e">
        <f t="shared" si="2"/>
        <v>#REF!</v>
      </c>
      <c r="K23" s="98" t="s">
        <v>379</v>
      </c>
      <c r="L23">
        <f>SUM(F2:F31)</f>
        <v>1800</v>
      </c>
      <c r="M23" s="4" t="s">
        <v>25</v>
      </c>
    </row>
    <row r="24" spans="2:13">
      <c r="B24" s="3">
        <v>23</v>
      </c>
      <c r="C24" t="s">
        <v>421</v>
      </c>
      <c r="D24" s="4" t="s">
        <v>422</v>
      </c>
      <c r="E24">
        <v>4</v>
      </c>
      <c r="F24" s="108">
        <f t="shared" si="0"/>
        <v>80</v>
      </c>
      <c r="G24" t="e">
        <f>VLOOKUP($C24,#REF!,10,FALSE)</f>
        <v>#REF!</v>
      </c>
      <c r="H24" s="5" t="e">
        <f t="shared" si="1"/>
        <v>#REF!</v>
      </c>
      <c r="I24" s="6" t="e">
        <f t="shared" si="2"/>
        <v>#REF!</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8CCD-A05F-4B48-834C-13987B5D5504}">
  <sheetPr>
    <pageSetUpPr fitToPage="1"/>
  </sheetPr>
  <dimension ref="B1:M31"/>
  <sheetViews>
    <sheetView workbookViewId="0">
      <selection activeCell="F26" sqref="F2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8</v>
      </c>
      <c r="F2" s="108">
        <f>E2*$L$15</f>
        <v>160</v>
      </c>
      <c r="G2" t="e">
        <f>VLOOKUP($C2,#REF!,10,FALSE)</f>
        <v>#REF!</v>
      </c>
      <c r="H2" s="5" t="e">
        <f>G2*E2</f>
        <v>#REF!</v>
      </c>
      <c r="I2" s="97" t="e">
        <f>G2*F2</f>
        <v>#REF!</v>
      </c>
      <c r="K2" s="7" t="s">
        <v>9</v>
      </c>
      <c r="L2" s="162">
        <v>19</v>
      </c>
      <c r="M2" s="163"/>
    </row>
    <row r="3" spans="2:13">
      <c r="B3" s="3">
        <v>2</v>
      </c>
      <c r="C3" t="s">
        <v>402</v>
      </c>
      <c r="D3" s="4"/>
      <c r="E3">
        <v>8</v>
      </c>
      <c r="F3" s="108">
        <f t="shared" ref="F3:F31" si="0">E3*$L$15</f>
        <v>160</v>
      </c>
      <c r="G3" t="e">
        <f>VLOOKUP($C3,#REF!,10,FALSE)</f>
        <v>#REF!</v>
      </c>
      <c r="H3" s="5" t="e">
        <f t="shared" ref="H3:H31" si="1">G3*E3</f>
        <v>#REF!</v>
      </c>
      <c r="I3" s="6" t="e">
        <f t="shared" ref="I3:I31" si="2">G3*F3</f>
        <v>#REF!</v>
      </c>
      <c r="K3" s="8" t="s">
        <v>10</v>
      </c>
      <c r="L3" s="167" t="s">
        <v>396</v>
      </c>
      <c r="M3" s="165"/>
    </row>
    <row r="4" spans="2:13">
      <c r="B4" s="3">
        <v>3</v>
      </c>
      <c r="C4" t="s">
        <v>403</v>
      </c>
      <c r="D4" s="4"/>
      <c r="E4">
        <v>8</v>
      </c>
      <c r="F4" s="108">
        <f t="shared" si="0"/>
        <v>160</v>
      </c>
      <c r="G4" t="e">
        <f>VLOOKUP($C4,#REF!,10,FALSE)</f>
        <v>#REF!</v>
      </c>
      <c r="H4" s="5" t="e">
        <f t="shared" si="1"/>
        <v>#REF!</v>
      </c>
      <c r="I4" s="6" t="e">
        <f t="shared" si="2"/>
        <v>#REF!</v>
      </c>
      <c r="K4" s="8" t="s">
        <v>11</v>
      </c>
      <c r="L4" s="166">
        <v>45573</v>
      </c>
      <c r="M4" s="165"/>
    </row>
    <row r="5" spans="2:13">
      <c r="B5" s="3">
        <v>4</v>
      </c>
      <c r="C5" t="s">
        <v>408</v>
      </c>
      <c r="D5" s="4"/>
      <c r="E5">
        <v>6</v>
      </c>
      <c r="F5" s="108">
        <f t="shared" si="0"/>
        <v>120</v>
      </c>
      <c r="G5" t="e">
        <f>VLOOKUP($C5,#REF!,10,FALSE)</f>
        <v>#REF!</v>
      </c>
      <c r="H5" s="5" t="e">
        <f t="shared" si="1"/>
        <v>#REF!</v>
      </c>
      <c r="I5" s="6" t="e">
        <f t="shared" si="2"/>
        <v>#REF!</v>
      </c>
      <c r="K5" s="8" t="s">
        <v>12</v>
      </c>
      <c r="L5" s="167" t="s">
        <v>397</v>
      </c>
      <c r="M5" s="165"/>
    </row>
    <row r="6" spans="2:13">
      <c r="B6" s="3">
        <v>5</v>
      </c>
      <c r="C6" t="s">
        <v>419</v>
      </c>
      <c r="D6" s="4"/>
      <c r="E6">
        <v>6</v>
      </c>
      <c r="F6" s="108">
        <f t="shared" si="0"/>
        <v>120</v>
      </c>
      <c r="G6" t="e">
        <f>VLOOKUP($C6,#REF!,10,FALSE)</f>
        <v>#REF!</v>
      </c>
      <c r="H6" s="5" t="e">
        <f t="shared" si="1"/>
        <v>#REF!</v>
      </c>
      <c r="I6" s="6" t="e">
        <f t="shared" si="2"/>
        <v>#REF!</v>
      </c>
      <c r="K6" s="8" t="s">
        <v>13</v>
      </c>
      <c r="L6" s="167" t="s">
        <v>398</v>
      </c>
      <c r="M6" s="165"/>
    </row>
    <row r="7" spans="2:13" ht="17.25" thickBot="1">
      <c r="B7" s="3">
        <v>6</v>
      </c>
      <c r="C7" t="s">
        <v>409</v>
      </c>
      <c r="D7" s="4"/>
      <c r="E7">
        <v>6</v>
      </c>
      <c r="F7" s="108">
        <f t="shared" si="0"/>
        <v>120</v>
      </c>
      <c r="G7" t="e">
        <f>VLOOKUP($C7,#REF!,10,FALSE)</f>
        <v>#REF!</v>
      </c>
      <c r="H7" s="5" t="e">
        <f t="shared" si="1"/>
        <v>#REF!</v>
      </c>
      <c r="I7" s="6" t="e">
        <f t="shared" si="2"/>
        <v>#REF!</v>
      </c>
      <c r="K7" s="8" t="s">
        <v>14</v>
      </c>
      <c r="L7" s="148">
        <v>58</v>
      </c>
      <c r="M7" s="149"/>
    </row>
    <row r="8" spans="2:13" ht="17.25" thickBot="1">
      <c r="B8" s="3">
        <v>7</v>
      </c>
      <c r="C8" t="s">
        <v>400</v>
      </c>
      <c r="D8" s="4"/>
      <c r="E8">
        <v>4</v>
      </c>
      <c r="F8" s="108">
        <f t="shared" si="0"/>
        <v>80</v>
      </c>
      <c r="G8" t="e">
        <f>VLOOKUP($C8,#REF!,10,FALSE)</f>
        <v>#REF!</v>
      </c>
      <c r="H8" s="5" t="e">
        <f t="shared" si="1"/>
        <v>#REF!</v>
      </c>
      <c r="I8" s="6" t="e">
        <f t="shared" si="2"/>
        <v>#REF!</v>
      </c>
      <c r="K8" s="150" t="s">
        <v>15</v>
      </c>
      <c r="L8" s="151"/>
      <c r="M8" s="152"/>
    </row>
    <row r="9" spans="2:13">
      <c r="B9" s="3">
        <v>8</v>
      </c>
      <c r="C9" t="s">
        <v>401</v>
      </c>
      <c r="D9" s="4"/>
      <c r="E9">
        <v>4</v>
      </c>
      <c r="F9" s="108">
        <f t="shared" si="0"/>
        <v>80</v>
      </c>
      <c r="G9" t="e">
        <f>VLOOKUP($C9,#REF!,10,FALSE)</f>
        <v>#REF!</v>
      </c>
      <c r="H9" s="5" t="e">
        <f t="shared" si="1"/>
        <v>#REF!</v>
      </c>
      <c r="I9" s="6" t="e">
        <f t="shared" si="2"/>
        <v>#REF!</v>
      </c>
      <c r="K9" s="153" t="s">
        <v>423</v>
      </c>
      <c r="L9" s="154"/>
      <c r="M9" s="155"/>
    </row>
    <row r="10" spans="2:13">
      <c r="B10" s="3">
        <v>9</v>
      </c>
      <c r="C10" t="s">
        <v>410</v>
      </c>
      <c r="D10" s="4"/>
      <c r="E10">
        <v>4</v>
      </c>
      <c r="F10" s="108">
        <f t="shared" si="0"/>
        <v>80</v>
      </c>
      <c r="G10" t="e">
        <f>VLOOKUP($C10,#REF!,10,FALSE)</f>
        <v>#REF!</v>
      </c>
      <c r="H10" s="5" t="e">
        <f t="shared" si="1"/>
        <v>#REF!</v>
      </c>
      <c r="I10" s="6" t="e">
        <f t="shared" si="2"/>
        <v>#REF!</v>
      </c>
      <c r="K10" s="156"/>
      <c r="L10" s="157"/>
      <c r="M10" s="158"/>
    </row>
    <row r="11" spans="2:13">
      <c r="B11" s="3">
        <v>10</v>
      </c>
      <c r="C11" t="s">
        <v>411</v>
      </c>
      <c r="D11" s="4"/>
      <c r="E11">
        <v>4</v>
      </c>
      <c r="F11" s="108">
        <f t="shared" si="0"/>
        <v>80</v>
      </c>
      <c r="G11" t="e">
        <f>VLOOKUP($C11,#REF!,10,FALSE)</f>
        <v>#REF!</v>
      </c>
      <c r="H11" s="5" t="e">
        <f t="shared" si="1"/>
        <v>#REF!</v>
      </c>
      <c r="I11" s="6" t="e">
        <f t="shared" si="2"/>
        <v>#REF!</v>
      </c>
      <c r="K11" s="156"/>
      <c r="L11" s="157"/>
      <c r="M11" s="158"/>
    </row>
    <row r="12" spans="2:13">
      <c r="B12" s="3">
        <v>11</v>
      </c>
      <c r="C12" t="s">
        <v>416</v>
      </c>
      <c r="D12" s="4"/>
      <c r="E12">
        <v>4</v>
      </c>
      <c r="F12" s="108">
        <f t="shared" si="0"/>
        <v>80</v>
      </c>
      <c r="G12" t="e">
        <f>VLOOKUP($C12,#REF!,10,FALSE)</f>
        <v>#REF!</v>
      </c>
      <c r="H12" s="5" t="e">
        <f t="shared" si="1"/>
        <v>#REF!</v>
      </c>
      <c r="I12" s="6" t="e">
        <f t="shared" si="2"/>
        <v>#REF!</v>
      </c>
      <c r="K12" s="156"/>
      <c r="L12" s="157"/>
      <c r="M12" s="158"/>
    </row>
    <row r="13" spans="2:13" ht="17.25" thickBot="1">
      <c r="B13" s="3">
        <v>12</v>
      </c>
      <c r="C13" t="s">
        <v>412</v>
      </c>
      <c r="D13" s="4"/>
      <c r="E13">
        <v>4</v>
      </c>
      <c r="F13" s="108">
        <f t="shared" si="0"/>
        <v>80</v>
      </c>
      <c r="G13" t="e">
        <f>VLOOKUP($C13,#REF!,10,FALSE)</f>
        <v>#REF!</v>
      </c>
      <c r="H13" s="5" t="e">
        <f t="shared" si="1"/>
        <v>#REF!</v>
      </c>
      <c r="I13" s="6" t="e">
        <f t="shared" si="2"/>
        <v>#REF!</v>
      </c>
      <c r="K13" s="159"/>
      <c r="L13" s="160"/>
      <c r="M13" s="161"/>
    </row>
    <row r="14" spans="2:13">
      <c r="B14" s="3">
        <v>13</v>
      </c>
      <c r="C14" t="s">
        <v>404</v>
      </c>
      <c r="D14" s="4"/>
      <c r="E14">
        <v>3</v>
      </c>
      <c r="F14" s="108">
        <f t="shared" si="0"/>
        <v>60</v>
      </c>
      <c r="G14" t="e">
        <f>VLOOKUP($C14,#REF!,10,FALSE)</f>
        <v>#REF!</v>
      </c>
      <c r="H14" s="5" t="e">
        <f t="shared" si="1"/>
        <v>#REF!</v>
      </c>
      <c r="I14" s="6" t="e">
        <f t="shared" si="2"/>
        <v>#REF!</v>
      </c>
      <c r="K14" s="99" t="s">
        <v>16</v>
      </c>
      <c r="L14" s="9">
        <v>15</v>
      </c>
      <c r="M14" s="10" t="s">
        <v>17</v>
      </c>
    </row>
    <row r="15" spans="2:13">
      <c r="B15" s="3">
        <v>14</v>
      </c>
      <c r="C15" t="s">
        <v>406</v>
      </c>
      <c r="D15" s="4"/>
      <c r="E15">
        <v>3</v>
      </c>
      <c r="F15" s="108">
        <f t="shared" si="0"/>
        <v>60</v>
      </c>
      <c r="G15" t="e">
        <f>VLOOKUP($C15,#REF!,10,FALSE)</f>
        <v>#REF!</v>
      </c>
      <c r="H15" s="5" t="e">
        <f t="shared" si="1"/>
        <v>#REF!</v>
      </c>
      <c r="I15" s="6" t="e">
        <f t="shared" si="2"/>
        <v>#REF!</v>
      </c>
      <c r="K15" s="98" t="s">
        <v>18</v>
      </c>
      <c r="L15">
        <v>20</v>
      </c>
      <c r="M15" s="4" t="s">
        <v>19</v>
      </c>
    </row>
    <row r="16" spans="2:13">
      <c r="B16" s="3">
        <v>15</v>
      </c>
      <c r="C16" t="s">
        <v>405</v>
      </c>
      <c r="D16" s="4"/>
      <c r="E16">
        <v>3</v>
      </c>
      <c r="F16" s="108">
        <f t="shared" si="0"/>
        <v>60</v>
      </c>
      <c r="G16" t="e">
        <f>VLOOKUP($C16,#REF!,10,FALSE)</f>
        <v>#REF!</v>
      </c>
      <c r="H16" s="5" t="e">
        <f t="shared" si="1"/>
        <v>#REF!</v>
      </c>
      <c r="I16" s="6" t="e">
        <f t="shared" si="2"/>
        <v>#REF!</v>
      </c>
      <c r="K16" s="98" t="s">
        <v>20</v>
      </c>
      <c r="L16">
        <v>45</v>
      </c>
      <c r="M16" s="4" t="s">
        <v>21</v>
      </c>
    </row>
    <row r="17" spans="2:13" ht="17.25" thickBot="1">
      <c r="B17" s="3">
        <v>16</v>
      </c>
      <c r="C17" t="s">
        <v>413</v>
      </c>
      <c r="D17" s="4"/>
      <c r="E17">
        <v>3</v>
      </c>
      <c r="F17" s="108">
        <f t="shared" si="0"/>
        <v>60</v>
      </c>
      <c r="G17" t="e">
        <f>VLOOKUP($C17,#REF!,10,FALSE)</f>
        <v>#REF!</v>
      </c>
      <c r="H17" s="5" t="e">
        <f t="shared" si="1"/>
        <v>#REF!</v>
      </c>
      <c r="I17" s="6" t="e">
        <f t="shared" si="2"/>
        <v>#REF!</v>
      </c>
      <c r="K17" s="14" t="s">
        <v>22</v>
      </c>
      <c r="L17" s="11">
        <v>100</v>
      </c>
      <c r="M17" s="12" t="s">
        <v>23</v>
      </c>
    </row>
    <row r="18" spans="2:13">
      <c r="B18" s="3">
        <v>17</v>
      </c>
      <c r="C18" t="s">
        <v>414</v>
      </c>
      <c r="D18" s="4"/>
      <c r="E18">
        <v>3</v>
      </c>
      <c r="F18" s="108">
        <f t="shared" si="0"/>
        <v>60</v>
      </c>
      <c r="G18" t="e">
        <f>VLOOKUP($C18,#REF!,10,FALSE)</f>
        <v>#REF!</v>
      </c>
      <c r="H18" s="5" t="e">
        <f t="shared" si="1"/>
        <v>#REF!</v>
      </c>
      <c r="I18" s="6" t="e">
        <f t="shared" si="2"/>
        <v>#REF!</v>
      </c>
      <c r="K18" s="99" t="s">
        <v>24</v>
      </c>
      <c r="L18" s="9">
        <f>SUM(E2:E31)</f>
        <v>93</v>
      </c>
      <c r="M18" s="10" t="s">
        <v>25</v>
      </c>
    </row>
    <row r="19" spans="2:13">
      <c r="B19" s="3">
        <v>18</v>
      </c>
      <c r="C19" t="s">
        <v>415</v>
      </c>
      <c r="D19" s="4"/>
      <c r="E19">
        <v>3</v>
      </c>
      <c r="F19" s="108">
        <f t="shared" si="0"/>
        <v>60</v>
      </c>
      <c r="G19" t="e">
        <f>VLOOKUP($C19,#REF!,10,FALSE)</f>
        <v>#REF!</v>
      </c>
      <c r="H19" s="5" t="e">
        <f t="shared" si="1"/>
        <v>#REF!</v>
      </c>
      <c r="I19" s="6" t="e">
        <f t="shared" si="2"/>
        <v>#REF!</v>
      </c>
      <c r="K19" s="98" t="s">
        <v>26</v>
      </c>
      <c r="L19">
        <f>L15*L18</f>
        <v>1860</v>
      </c>
      <c r="M19" s="4" t="s">
        <v>25</v>
      </c>
    </row>
    <row r="20" spans="2:13" ht="17.25" thickBot="1">
      <c r="B20" s="3">
        <v>19</v>
      </c>
      <c r="C20" t="s">
        <v>407</v>
      </c>
      <c r="D20" s="4"/>
      <c r="E20">
        <v>3</v>
      </c>
      <c r="F20" s="108">
        <f t="shared" si="0"/>
        <v>60</v>
      </c>
      <c r="G20" t="e">
        <f>VLOOKUP($C20,#REF!,10,FALSE)</f>
        <v>#REF!</v>
      </c>
      <c r="H20" s="5" t="e">
        <f t="shared" si="1"/>
        <v>#REF!</v>
      </c>
      <c r="I20" s="6" t="e">
        <f t="shared" si="2"/>
        <v>#REF!</v>
      </c>
      <c r="K20" s="14" t="s">
        <v>27</v>
      </c>
      <c r="L20" s="11">
        <f>L16*L17+L19</f>
        <v>6360</v>
      </c>
      <c r="M20" s="12" t="s">
        <v>23</v>
      </c>
    </row>
    <row r="21" spans="2:13" ht="17.25" thickBot="1">
      <c r="B21" s="3">
        <v>20</v>
      </c>
      <c r="C21" t="s">
        <v>417</v>
      </c>
      <c r="D21" s="4"/>
      <c r="E21">
        <v>2</v>
      </c>
      <c r="F21" s="108">
        <f t="shared" si="0"/>
        <v>40</v>
      </c>
      <c r="G21" t="e">
        <f>VLOOKUP($C21,#REF!,10,FALSE)</f>
        <v>#REF!</v>
      </c>
      <c r="H21" s="5" t="e">
        <f t="shared" si="1"/>
        <v>#REF!</v>
      </c>
      <c r="I21" s="6" t="e">
        <f t="shared" si="2"/>
        <v>#REF!</v>
      </c>
      <c r="J21" s="98"/>
      <c r="M21" s="101"/>
    </row>
    <row r="22" spans="2:13" ht="17.25" thickBot="1">
      <c r="B22" s="3">
        <v>21</v>
      </c>
      <c r="C22" t="s">
        <v>424</v>
      </c>
      <c r="D22" s="4"/>
      <c r="E22">
        <v>4</v>
      </c>
      <c r="F22" s="108">
        <f t="shared" si="0"/>
        <v>80</v>
      </c>
      <c r="G22" t="e">
        <f>VLOOKUP($C22,#REF!,10,FALSE)</f>
        <v>#REF!</v>
      </c>
      <c r="H22" s="5" t="e">
        <f t="shared" si="1"/>
        <v>#REF!</v>
      </c>
      <c r="I22" s="6" t="e">
        <f t="shared" si="2"/>
        <v>#REF!</v>
      </c>
      <c r="K22" s="150" t="s">
        <v>385</v>
      </c>
      <c r="L22" s="151"/>
      <c r="M22" s="152"/>
    </row>
    <row r="23" spans="2:13">
      <c r="B23" s="3">
        <v>22</v>
      </c>
      <c r="D23" s="4"/>
      <c r="E23"/>
      <c r="F23" s="108">
        <f t="shared" si="0"/>
        <v>0</v>
      </c>
      <c r="H23" s="5">
        <f t="shared" si="1"/>
        <v>0</v>
      </c>
      <c r="I23" s="6">
        <f t="shared" si="2"/>
        <v>0</v>
      </c>
      <c r="K23" s="98" t="s">
        <v>379</v>
      </c>
      <c r="L23">
        <f>SUM(F2:F31)</f>
        <v>1860</v>
      </c>
      <c r="M23" s="4" t="s">
        <v>25</v>
      </c>
    </row>
    <row r="24" spans="2:13">
      <c r="B24" s="3">
        <v>23</v>
      </c>
      <c r="D24" s="4"/>
      <c r="E24"/>
      <c r="F24" s="108">
        <f t="shared" si="0"/>
        <v>0</v>
      </c>
      <c r="H24" s="5">
        <f t="shared" si="1"/>
        <v>0</v>
      </c>
      <c r="I24" s="6">
        <f t="shared" si="2"/>
        <v>0</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Q23" sqref="Q2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50" t="s">
        <v>8</v>
      </c>
      <c r="L1" s="151"/>
      <c r="M1" s="152"/>
    </row>
    <row r="2" spans="2:13">
      <c r="B2" s="3">
        <v>1</v>
      </c>
      <c r="C2" t="s">
        <v>399</v>
      </c>
      <c r="D2" s="4"/>
      <c r="E2">
        <v>8</v>
      </c>
      <c r="F2" s="108">
        <f>E2*$L$15</f>
        <v>160</v>
      </c>
      <c r="G2" t="e">
        <f>VLOOKUP($C2,#REF!,10,FALSE)</f>
        <v>#REF!</v>
      </c>
      <c r="H2" s="5" t="e">
        <f>G2*E2</f>
        <v>#REF!</v>
      </c>
      <c r="I2" s="97" t="e">
        <f>G2*F2</f>
        <v>#REF!</v>
      </c>
      <c r="K2" s="7" t="s">
        <v>9</v>
      </c>
      <c r="L2" s="162">
        <v>19</v>
      </c>
      <c r="M2" s="163"/>
    </row>
    <row r="3" spans="2:13">
      <c r="B3" s="3">
        <v>2</v>
      </c>
      <c r="C3" t="s">
        <v>400</v>
      </c>
      <c r="D3" s="4"/>
      <c r="E3">
        <v>4</v>
      </c>
      <c r="F3" s="108">
        <f t="shared" ref="F3:F31" si="0">E3*$L$15</f>
        <v>80</v>
      </c>
      <c r="G3" t="e">
        <f>VLOOKUP($C3,#REF!,10,FALSE)</f>
        <v>#REF!</v>
      </c>
      <c r="H3" s="5" t="e">
        <f t="shared" ref="H3:H31" si="1">G3*E3</f>
        <v>#REF!</v>
      </c>
      <c r="I3" s="6" t="e">
        <f t="shared" ref="I3:I31" si="2">G3*F3</f>
        <v>#REF!</v>
      </c>
      <c r="K3" s="8" t="s">
        <v>10</v>
      </c>
      <c r="L3" s="167" t="s">
        <v>396</v>
      </c>
      <c r="M3" s="165"/>
    </row>
    <row r="4" spans="2:13">
      <c r="B4" s="3">
        <v>3</v>
      </c>
      <c r="C4" t="s">
        <v>401</v>
      </c>
      <c r="D4" s="4"/>
      <c r="E4">
        <v>4</v>
      </c>
      <c r="F4" s="108">
        <f t="shared" si="0"/>
        <v>80</v>
      </c>
      <c r="G4" t="e">
        <f>VLOOKUP($C4,#REF!,10,FALSE)</f>
        <v>#REF!</v>
      </c>
      <c r="H4" s="5" t="e">
        <f t="shared" si="1"/>
        <v>#REF!</v>
      </c>
      <c r="I4" s="6" t="e">
        <f t="shared" si="2"/>
        <v>#REF!</v>
      </c>
      <c r="K4" s="8" t="s">
        <v>11</v>
      </c>
      <c r="L4" s="166">
        <v>45530</v>
      </c>
      <c r="M4" s="165"/>
    </row>
    <row r="5" spans="2:13">
      <c r="B5" s="3">
        <v>4</v>
      </c>
      <c r="C5" t="s">
        <v>418</v>
      </c>
      <c r="D5" s="4"/>
      <c r="E5">
        <v>4</v>
      </c>
      <c r="F5" s="108">
        <f t="shared" si="0"/>
        <v>80</v>
      </c>
      <c r="G5" t="e">
        <f>VLOOKUP($C5,#REF!,10,FALSE)</f>
        <v>#REF!</v>
      </c>
      <c r="H5" s="5" t="e">
        <f t="shared" si="1"/>
        <v>#REF!</v>
      </c>
      <c r="I5" s="6" t="e">
        <f t="shared" si="2"/>
        <v>#REF!</v>
      </c>
      <c r="K5" s="8" t="s">
        <v>12</v>
      </c>
      <c r="L5" s="167" t="s">
        <v>397</v>
      </c>
      <c r="M5" s="165"/>
    </row>
    <row r="6" spans="2:13">
      <c r="B6" s="3">
        <v>5</v>
      </c>
      <c r="C6" t="s">
        <v>402</v>
      </c>
      <c r="D6" s="4"/>
      <c r="E6">
        <v>8</v>
      </c>
      <c r="F6" s="108">
        <f t="shared" si="0"/>
        <v>160</v>
      </c>
      <c r="G6" t="e">
        <f>VLOOKUP($C6,#REF!,10,FALSE)</f>
        <v>#REF!</v>
      </c>
      <c r="H6" s="5" t="e">
        <f t="shared" si="1"/>
        <v>#REF!</v>
      </c>
      <c r="I6" s="6" t="e">
        <f t="shared" si="2"/>
        <v>#REF!</v>
      </c>
      <c r="K6" s="8" t="s">
        <v>13</v>
      </c>
      <c r="L6" s="167" t="s">
        <v>398</v>
      </c>
      <c r="M6" s="165"/>
    </row>
    <row r="7" spans="2:13" ht="17.25" thickBot="1">
      <c r="B7" s="3">
        <v>6</v>
      </c>
      <c r="C7" t="s">
        <v>403</v>
      </c>
      <c r="D7" s="4"/>
      <c r="E7">
        <v>8</v>
      </c>
      <c r="F7" s="108">
        <f t="shared" si="0"/>
        <v>160</v>
      </c>
      <c r="G7" t="e">
        <f>VLOOKUP($C7,#REF!,10,FALSE)</f>
        <v>#REF!</v>
      </c>
      <c r="H7" s="5" t="e">
        <f t="shared" si="1"/>
        <v>#REF!</v>
      </c>
      <c r="I7" s="6" t="e">
        <f t="shared" si="2"/>
        <v>#REF!</v>
      </c>
      <c r="K7" s="8" t="s">
        <v>14</v>
      </c>
      <c r="L7" s="148">
        <v>58</v>
      </c>
      <c r="M7" s="149"/>
    </row>
    <row r="8" spans="2:13" ht="17.25" thickBot="1">
      <c r="B8" s="3">
        <v>7</v>
      </c>
      <c r="C8" t="s">
        <v>404</v>
      </c>
      <c r="D8" s="4"/>
      <c r="E8">
        <v>3</v>
      </c>
      <c r="F8" s="108">
        <f t="shared" si="0"/>
        <v>60</v>
      </c>
      <c r="G8" t="e">
        <f>VLOOKUP($C8,#REF!,10,FALSE)</f>
        <v>#REF!</v>
      </c>
      <c r="H8" s="5" t="e">
        <f t="shared" si="1"/>
        <v>#REF!</v>
      </c>
      <c r="I8" s="6" t="e">
        <f t="shared" si="2"/>
        <v>#REF!</v>
      </c>
      <c r="K8" s="150" t="s">
        <v>15</v>
      </c>
      <c r="L8" s="151"/>
      <c r="M8" s="152"/>
    </row>
    <row r="9" spans="2:13">
      <c r="B9" s="3">
        <v>8</v>
      </c>
      <c r="C9" t="s">
        <v>405</v>
      </c>
      <c r="D9" s="4"/>
      <c r="E9">
        <v>3</v>
      </c>
      <c r="F9" s="108">
        <f t="shared" si="0"/>
        <v>60</v>
      </c>
      <c r="G9" t="e">
        <f>VLOOKUP($C9,#REF!,10,FALSE)</f>
        <v>#REF!</v>
      </c>
      <c r="H9" s="5" t="e">
        <f t="shared" si="1"/>
        <v>#REF!</v>
      </c>
      <c r="I9" s="6" t="e">
        <f t="shared" si="2"/>
        <v>#REF!</v>
      </c>
      <c r="K9" s="168"/>
      <c r="L9" s="154"/>
      <c r="M9" s="155"/>
    </row>
    <row r="10" spans="2:13">
      <c r="B10" s="3">
        <v>9</v>
      </c>
      <c r="C10" t="s">
        <v>406</v>
      </c>
      <c r="D10" s="4"/>
      <c r="E10">
        <v>3</v>
      </c>
      <c r="F10" s="108">
        <f t="shared" si="0"/>
        <v>60</v>
      </c>
      <c r="G10" t="e">
        <f>VLOOKUP($C10,#REF!,10,FALSE)</f>
        <v>#REF!</v>
      </c>
      <c r="H10" s="5" t="e">
        <f t="shared" si="1"/>
        <v>#REF!</v>
      </c>
      <c r="I10" s="6" t="e">
        <f t="shared" si="2"/>
        <v>#REF!</v>
      </c>
      <c r="K10" s="156"/>
      <c r="L10" s="157"/>
      <c r="M10" s="158"/>
    </row>
    <row r="11" spans="2:13">
      <c r="B11" s="3">
        <v>10</v>
      </c>
      <c r="C11" t="s">
        <v>407</v>
      </c>
      <c r="D11" s="4"/>
      <c r="E11">
        <v>3</v>
      </c>
      <c r="F11" s="108">
        <f t="shared" si="0"/>
        <v>60</v>
      </c>
      <c r="G11" t="e">
        <f>VLOOKUP($C11,#REF!,10,FALSE)</f>
        <v>#REF!</v>
      </c>
      <c r="H11" s="5" t="e">
        <f t="shared" si="1"/>
        <v>#REF!</v>
      </c>
      <c r="I11" s="6" t="e">
        <f t="shared" si="2"/>
        <v>#REF!</v>
      </c>
      <c r="K11" s="156"/>
      <c r="L11" s="157"/>
      <c r="M11" s="158"/>
    </row>
    <row r="12" spans="2:13">
      <c r="B12" s="3">
        <v>11</v>
      </c>
      <c r="C12" t="s">
        <v>408</v>
      </c>
      <c r="D12" s="4"/>
      <c r="E12">
        <v>6</v>
      </c>
      <c r="F12" s="108">
        <f t="shared" si="0"/>
        <v>120</v>
      </c>
      <c r="G12" t="e">
        <f>VLOOKUP($C12,#REF!,10,FALSE)</f>
        <v>#REF!</v>
      </c>
      <c r="H12" s="5" t="e">
        <f t="shared" si="1"/>
        <v>#REF!</v>
      </c>
      <c r="I12" s="6" t="e">
        <f t="shared" si="2"/>
        <v>#REF!</v>
      </c>
      <c r="K12" s="156"/>
      <c r="L12" s="157"/>
      <c r="M12" s="158"/>
    </row>
    <row r="13" spans="2:13" ht="17.25" thickBot="1">
      <c r="B13" s="3">
        <v>12</v>
      </c>
      <c r="C13" t="s">
        <v>409</v>
      </c>
      <c r="D13" s="4"/>
      <c r="E13">
        <v>6</v>
      </c>
      <c r="F13" s="108">
        <f t="shared" si="0"/>
        <v>120</v>
      </c>
      <c r="G13" t="e">
        <f>VLOOKUP($C13,#REF!,10,FALSE)</f>
        <v>#REF!</v>
      </c>
      <c r="H13" s="5" t="e">
        <f t="shared" si="1"/>
        <v>#REF!</v>
      </c>
      <c r="I13" s="6" t="e">
        <f t="shared" si="2"/>
        <v>#REF!</v>
      </c>
      <c r="K13" s="159"/>
      <c r="L13" s="160"/>
      <c r="M13" s="161"/>
    </row>
    <row r="14" spans="2:13">
      <c r="B14" s="3">
        <v>13</v>
      </c>
      <c r="C14" t="s">
        <v>419</v>
      </c>
      <c r="D14" s="4"/>
      <c r="E14">
        <v>6</v>
      </c>
      <c r="F14" s="108">
        <f t="shared" si="0"/>
        <v>120</v>
      </c>
      <c r="G14" t="e">
        <f>VLOOKUP($C14,#REF!,10,FALSE)</f>
        <v>#REF!</v>
      </c>
      <c r="H14" s="5" t="e">
        <f t="shared" si="1"/>
        <v>#REF!</v>
      </c>
      <c r="I14" s="6" t="e">
        <f t="shared" si="2"/>
        <v>#REF!</v>
      </c>
      <c r="K14" s="99" t="s">
        <v>16</v>
      </c>
      <c r="L14" s="9">
        <v>15</v>
      </c>
      <c r="M14" s="10" t="s">
        <v>17</v>
      </c>
    </row>
    <row r="15" spans="2:13">
      <c r="B15" s="3">
        <v>14</v>
      </c>
      <c r="C15" t="s">
        <v>410</v>
      </c>
      <c r="D15" s="4"/>
      <c r="E15">
        <v>4</v>
      </c>
      <c r="F15" s="108">
        <f t="shared" si="0"/>
        <v>80</v>
      </c>
      <c r="G15" t="e">
        <f>VLOOKUP($C15,#REF!,10,FALSE)</f>
        <v>#REF!</v>
      </c>
      <c r="H15" s="5" t="e">
        <f t="shared" si="1"/>
        <v>#REF!</v>
      </c>
      <c r="I15" s="6" t="e">
        <f t="shared" si="2"/>
        <v>#REF!</v>
      </c>
      <c r="K15" s="98" t="s">
        <v>18</v>
      </c>
      <c r="L15">
        <v>20</v>
      </c>
      <c r="M15" s="4" t="s">
        <v>19</v>
      </c>
    </row>
    <row r="16" spans="2:13">
      <c r="B16" s="3">
        <v>15</v>
      </c>
      <c r="C16" t="s">
        <v>411</v>
      </c>
      <c r="D16" s="4"/>
      <c r="E16">
        <v>4</v>
      </c>
      <c r="F16" s="108">
        <f t="shared" si="0"/>
        <v>80</v>
      </c>
      <c r="G16" t="e">
        <f>VLOOKUP($C16,#REF!,10,FALSE)</f>
        <v>#REF!</v>
      </c>
      <c r="H16" s="5" t="e">
        <f t="shared" si="1"/>
        <v>#REF!</v>
      </c>
      <c r="I16" s="6" t="e">
        <f t="shared" si="2"/>
        <v>#REF!</v>
      </c>
      <c r="K16" s="98" t="s">
        <v>20</v>
      </c>
      <c r="L16">
        <v>45</v>
      </c>
      <c r="M16" s="4" t="s">
        <v>21</v>
      </c>
    </row>
    <row r="17" spans="2:13" ht="17.25" thickBot="1">
      <c r="B17" s="3">
        <v>16</v>
      </c>
      <c r="C17" t="s">
        <v>412</v>
      </c>
      <c r="D17" s="4"/>
      <c r="E17">
        <v>4</v>
      </c>
      <c r="F17" s="108">
        <f t="shared" si="0"/>
        <v>80</v>
      </c>
      <c r="G17" t="e">
        <f>VLOOKUP($C17,#REF!,10,FALSE)</f>
        <v>#REF!</v>
      </c>
      <c r="H17" s="5" t="e">
        <f t="shared" si="1"/>
        <v>#REF!</v>
      </c>
      <c r="I17" s="6" t="e">
        <f t="shared" si="2"/>
        <v>#REF!</v>
      </c>
      <c r="K17" s="14" t="s">
        <v>22</v>
      </c>
      <c r="L17" s="11">
        <v>100</v>
      </c>
      <c r="M17" s="12" t="s">
        <v>23</v>
      </c>
    </row>
    <row r="18" spans="2:13">
      <c r="B18" s="3">
        <v>17</v>
      </c>
      <c r="C18" t="s">
        <v>413</v>
      </c>
      <c r="D18" s="4"/>
      <c r="E18">
        <v>2</v>
      </c>
      <c r="F18" s="108">
        <f t="shared" si="0"/>
        <v>40</v>
      </c>
      <c r="G18" t="e">
        <f>VLOOKUP($C18,#REF!,10,FALSE)</f>
        <v>#REF!</v>
      </c>
      <c r="H18" s="5" t="e">
        <f t="shared" si="1"/>
        <v>#REF!</v>
      </c>
      <c r="I18" s="6" t="e">
        <f t="shared" si="2"/>
        <v>#REF!</v>
      </c>
      <c r="K18" s="99" t="s">
        <v>24</v>
      </c>
      <c r="L18" s="9">
        <f>SUM(E2:E31)</f>
        <v>92</v>
      </c>
      <c r="M18" s="10" t="s">
        <v>25</v>
      </c>
    </row>
    <row r="19" spans="2:13">
      <c r="B19" s="3">
        <v>18</v>
      </c>
      <c r="C19" t="s">
        <v>414</v>
      </c>
      <c r="D19" s="4"/>
      <c r="E19">
        <v>3</v>
      </c>
      <c r="F19" s="108">
        <f t="shared" si="0"/>
        <v>60</v>
      </c>
      <c r="G19" t="e">
        <f>VLOOKUP($C19,#REF!,10,FALSE)</f>
        <v>#REF!</v>
      </c>
      <c r="H19" s="5" t="e">
        <f t="shared" si="1"/>
        <v>#REF!</v>
      </c>
      <c r="I19" s="6" t="e">
        <f t="shared" si="2"/>
        <v>#REF!</v>
      </c>
      <c r="K19" s="98" t="s">
        <v>26</v>
      </c>
      <c r="L19">
        <f>L15*L18</f>
        <v>1840</v>
      </c>
      <c r="M19" s="4" t="s">
        <v>25</v>
      </c>
    </row>
    <row r="20" spans="2:13" ht="17.25" thickBot="1">
      <c r="B20" s="3">
        <v>19</v>
      </c>
      <c r="C20" t="s">
        <v>415</v>
      </c>
      <c r="D20" s="4"/>
      <c r="E20">
        <v>3</v>
      </c>
      <c r="F20" s="108">
        <f t="shared" si="0"/>
        <v>60</v>
      </c>
      <c r="G20" t="e">
        <f>VLOOKUP($C20,#REF!,10,FALSE)</f>
        <v>#REF!</v>
      </c>
      <c r="H20" s="5" t="e">
        <f t="shared" si="1"/>
        <v>#REF!</v>
      </c>
      <c r="I20" s="6" t="e">
        <f t="shared" si="2"/>
        <v>#REF!</v>
      </c>
      <c r="K20" s="14" t="s">
        <v>27</v>
      </c>
      <c r="L20" s="11">
        <f>L16*L17+L19</f>
        <v>6340</v>
      </c>
      <c r="M20" s="12" t="s">
        <v>23</v>
      </c>
    </row>
    <row r="21" spans="2:13" ht="17.25" thickBot="1">
      <c r="B21" s="3">
        <v>20</v>
      </c>
      <c r="C21" t="s">
        <v>416</v>
      </c>
      <c r="D21" s="4"/>
      <c r="E21">
        <v>4</v>
      </c>
      <c r="F21" s="108">
        <f t="shared" si="0"/>
        <v>80</v>
      </c>
      <c r="G21" t="e">
        <f>VLOOKUP($C21,#REF!,10,FALSE)</f>
        <v>#REF!</v>
      </c>
      <c r="H21" s="5" t="e">
        <f t="shared" si="1"/>
        <v>#REF!</v>
      </c>
      <c r="I21" s="6" t="e">
        <f t="shared" si="2"/>
        <v>#REF!</v>
      </c>
      <c r="J21" s="98"/>
      <c r="M21" s="101"/>
    </row>
    <row r="22" spans="2:13" ht="17.25" thickBot="1">
      <c r="B22" s="3">
        <v>21</v>
      </c>
      <c r="C22" t="s">
        <v>417</v>
      </c>
      <c r="D22" s="4"/>
      <c r="E22">
        <v>2</v>
      </c>
      <c r="F22" s="108">
        <f t="shared" si="0"/>
        <v>40</v>
      </c>
      <c r="G22" t="e">
        <f>VLOOKUP($C22,#REF!,10,FALSE)</f>
        <v>#REF!</v>
      </c>
      <c r="H22" s="5" t="e">
        <f t="shared" si="1"/>
        <v>#REF!</v>
      </c>
      <c r="I22" s="6" t="e">
        <f t="shared" si="2"/>
        <v>#REF!</v>
      </c>
      <c r="K22" s="150" t="s">
        <v>385</v>
      </c>
      <c r="L22" s="151"/>
      <c r="M22" s="152"/>
    </row>
    <row r="23" spans="2:13">
      <c r="B23" s="3">
        <v>22</v>
      </c>
      <c r="D23" s="4"/>
      <c r="F23" s="108">
        <f t="shared" si="0"/>
        <v>0</v>
      </c>
      <c r="H23" s="5">
        <f t="shared" si="1"/>
        <v>0</v>
      </c>
      <c r="I23" s="6">
        <f t="shared" si="2"/>
        <v>0</v>
      </c>
      <c r="K23" s="98" t="s">
        <v>379</v>
      </c>
      <c r="L23">
        <f>SUM(F2:F31)</f>
        <v>1840</v>
      </c>
      <c r="M23" s="4" t="s">
        <v>25</v>
      </c>
    </row>
    <row r="24" spans="2:13">
      <c r="B24" s="3">
        <v>23</v>
      </c>
      <c r="D24" s="4"/>
      <c r="F24" s="108">
        <f t="shared" si="0"/>
        <v>0</v>
      </c>
      <c r="H24" s="5">
        <f t="shared" si="1"/>
        <v>0</v>
      </c>
      <c r="I24" s="6">
        <f t="shared" si="2"/>
        <v>0</v>
      </c>
      <c r="K24" s="98" t="s">
        <v>386</v>
      </c>
      <c r="L24">
        <v>5000</v>
      </c>
      <c r="M24" s="4" t="s">
        <v>23</v>
      </c>
    </row>
    <row r="25" spans="2:13">
      <c r="B25" s="3">
        <v>24</v>
      </c>
      <c r="D25" s="4"/>
      <c r="F25" s="108">
        <f t="shared" si="0"/>
        <v>0</v>
      </c>
      <c r="H25" s="5">
        <f t="shared" si="1"/>
        <v>0</v>
      </c>
      <c r="I25" s="6">
        <f t="shared" si="2"/>
        <v>0</v>
      </c>
      <c r="K25" s="98" t="s">
        <v>28</v>
      </c>
      <c r="L25" s="100" t="s">
        <v>381</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380</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50" t="s">
        <v>384</v>
      </c>
      <c r="L29" s="151"/>
      <c r="M29" s="152"/>
    </row>
    <row r="30" spans="2:13">
      <c r="B30" s="3">
        <v>29</v>
      </c>
      <c r="D30" s="4"/>
      <c r="F30" s="108">
        <f t="shared" si="0"/>
        <v>0</v>
      </c>
      <c r="H30" s="5">
        <f t="shared" si="1"/>
        <v>0</v>
      </c>
      <c r="I30" s="6">
        <f t="shared" si="2"/>
        <v>0</v>
      </c>
      <c r="K30" s="98" t="s">
        <v>28</v>
      </c>
      <c r="L30" s="5" t="e">
        <f>SUM(H2:H31)</f>
        <v>#REF!</v>
      </c>
      <c r="M30" s="4" t="s">
        <v>383</v>
      </c>
    </row>
    <row r="31" spans="2:13" ht="17.25" thickBot="1">
      <c r="B31" s="13">
        <v>30</v>
      </c>
      <c r="C31" s="14"/>
      <c r="D31" s="12"/>
      <c r="E31" s="102"/>
      <c r="F31" s="109">
        <f t="shared" si="0"/>
        <v>0</v>
      </c>
      <c r="G31" s="14"/>
      <c r="H31" s="15">
        <f t="shared" si="1"/>
        <v>0</v>
      </c>
      <c r="I31" s="16">
        <f t="shared" si="2"/>
        <v>0</v>
      </c>
      <c r="K31" s="14" t="s">
        <v>382</v>
      </c>
      <c r="L31" s="15" t="e">
        <f>SUM(I2:I31)</f>
        <v>#REF!</v>
      </c>
      <c r="M31" s="12" t="s">
        <v>383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A7A3-3B1F-4082-B602-888B9FE84F7B}">
  <dimension ref="A1:N2373"/>
  <sheetViews>
    <sheetView topLeftCell="A178" zoomScaleNormal="100" workbookViewId="0">
      <selection activeCell="L82" sqref="L82"/>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1" width="11.25" style="93" bestFit="1" customWidth="1"/>
    <col min="12" max="12" width="28.875" style="93" bestFit="1" customWidth="1"/>
    <col min="13" max="13" width="23.75" style="93" customWidth="1"/>
    <col min="14" max="14" width="21" style="94" customWidth="1"/>
    <col min="15" max="16384" width="14.375" style="25"/>
  </cols>
  <sheetData>
    <row r="1" spans="1:14" ht="17.25" thickBot="1">
      <c r="A1" s="111" t="s">
        <v>30</v>
      </c>
      <c r="B1" s="112" t="s">
        <v>31</v>
      </c>
      <c r="C1" s="17" t="s">
        <v>32</v>
      </c>
      <c r="D1" s="17" t="s">
        <v>33</v>
      </c>
      <c r="E1" s="18" t="s">
        <v>34</v>
      </c>
      <c r="F1" s="19" t="s">
        <v>31</v>
      </c>
      <c r="G1" s="20" t="s">
        <v>32</v>
      </c>
      <c r="H1" s="20" t="s">
        <v>33</v>
      </c>
      <c r="I1" s="21" t="s">
        <v>34</v>
      </c>
      <c r="J1" s="113" t="s">
        <v>35</v>
      </c>
      <c r="K1" s="22" t="s">
        <v>31</v>
      </c>
      <c r="L1" s="23" t="s">
        <v>32</v>
      </c>
      <c r="M1" s="23" t="s">
        <v>33</v>
      </c>
      <c r="N1" s="24" t="s">
        <v>34</v>
      </c>
    </row>
    <row r="2" spans="1:14" ht="15.75" customHeight="1" thickTop="1" thickBot="1">
      <c r="A2" s="114">
        <v>45766</v>
      </c>
      <c r="B2" s="115" t="s">
        <v>36</v>
      </c>
      <c r="C2" s="116" t="s">
        <v>37</v>
      </c>
      <c r="D2" s="116" t="s">
        <v>37</v>
      </c>
      <c r="E2" s="117" t="s">
        <v>37</v>
      </c>
      <c r="F2" s="118" t="s">
        <v>38</v>
      </c>
      <c r="G2" s="119" t="s">
        <v>38</v>
      </c>
      <c r="H2" s="119" t="s">
        <v>38</v>
      </c>
      <c r="I2" s="120" t="s">
        <v>38</v>
      </c>
      <c r="J2" s="121" t="s">
        <v>38</v>
      </c>
      <c r="K2" s="122" t="s">
        <v>39</v>
      </c>
      <c r="L2" s="123" t="s">
        <v>39</v>
      </c>
      <c r="M2" s="123" t="s">
        <v>40</v>
      </c>
      <c r="N2" s="124" t="s">
        <v>40</v>
      </c>
    </row>
    <row r="3" spans="1:14" ht="15.75" customHeight="1">
      <c r="A3" s="125" t="s">
        <v>41</v>
      </c>
      <c r="B3" s="126">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27" t="s">
        <v>45</v>
      </c>
      <c r="B4" s="128"/>
      <c r="C4" s="36">
        <v>2700</v>
      </c>
      <c r="D4" s="36"/>
      <c r="E4" s="37"/>
      <c r="F4" s="129">
        <f t="shared" si="0"/>
        <v>0</v>
      </c>
      <c r="G4" s="38">
        <f t="shared" si="0"/>
        <v>5.4</v>
      </c>
      <c r="H4" s="38">
        <f t="shared" si="1"/>
        <v>0</v>
      </c>
      <c r="I4" s="46">
        <f t="shared" si="1"/>
        <v>0</v>
      </c>
      <c r="K4" s="41"/>
      <c r="L4" s="42" t="s">
        <v>46</v>
      </c>
      <c r="M4" s="47"/>
      <c r="N4" s="43"/>
    </row>
    <row r="5" spans="1:14" ht="15.75" customHeight="1">
      <c r="A5" s="127" t="s">
        <v>47</v>
      </c>
      <c r="B5" s="128"/>
      <c r="C5" s="36">
        <v>10000</v>
      </c>
      <c r="D5" s="36"/>
      <c r="E5" s="37">
        <v>11700</v>
      </c>
      <c r="F5" s="129">
        <f t="shared" si="0"/>
        <v>0</v>
      </c>
      <c r="G5" s="38">
        <f t="shared" si="0"/>
        <v>20</v>
      </c>
      <c r="H5" s="38">
        <f t="shared" si="1"/>
        <v>0</v>
      </c>
      <c r="I5" s="39">
        <f t="shared" si="1"/>
        <v>19.5</v>
      </c>
      <c r="K5" s="41"/>
      <c r="L5" s="42"/>
      <c r="M5" s="42"/>
      <c r="N5" s="43"/>
    </row>
    <row r="6" spans="1:14" ht="15.75" customHeight="1">
      <c r="A6" s="127" t="s">
        <v>48</v>
      </c>
      <c r="B6" s="128"/>
      <c r="C6" s="36">
        <v>23400</v>
      </c>
      <c r="D6" s="36"/>
      <c r="E6" s="37">
        <v>27100</v>
      </c>
      <c r="F6" s="129">
        <f t="shared" si="0"/>
        <v>0</v>
      </c>
      <c r="G6" s="44">
        <f>C6/600</f>
        <v>39</v>
      </c>
      <c r="H6" s="38">
        <f t="shared" si="1"/>
        <v>0</v>
      </c>
      <c r="I6" s="39">
        <f t="shared" si="1"/>
        <v>45.166666666666664</v>
      </c>
      <c r="J6" s="40">
        <v>45.2</v>
      </c>
      <c r="K6" s="41"/>
      <c r="L6" s="42" t="s">
        <v>49</v>
      </c>
      <c r="M6" s="42"/>
      <c r="N6" s="43" t="s">
        <v>50</v>
      </c>
    </row>
    <row r="7" spans="1:14" ht="15.75" customHeight="1">
      <c r="A7" s="127" t="s">
        <v>51</v>
      </c>
      <c r="B7" s="128">
        <v>17500</v>
      </c>
      <c r="C7" s="36"/>
      <c r="D7" s="36">
        <v>17000</v>
      </c>
      <c r="E7" s="37">
        <v>25500</v>
      </c>
      <c r="F7" s="129">
        <f t="shared" si="0"/>
        <v>35</v>
      </c>
      <c r="G7" s="38">
        <f t="shared" si="0"/>
        <v>0</v>
      </c>
      <c r="H7" s="44">
        <f t="shared" si="1"/>
        <v>28.333333333333332</v>
      </c>
      <c r="I7" s="39">
        <f t="shared" si="1"/>
        <v>42.5</v>
      </c>
      <c r="J7" s="40">
        <v>28.3</v>
      </c>
      <c r="K7" s="41"/>
      <c r="L7" s="42"/>
      <c r="M7" s="130" t="s">
        <v>52</v>
      </c>
      <c r="N7" s="45" t="s">
        <v>53</v>
      </c>
    </row>
    <row r="8" spans="1:14" ht="15.75" customHeight="1">
      <c r="A8" s="127" t="s">
        <v>54</v>
      </c>
      <c r="B8" s="128">
        <v>27200</v>
      </c>
      <c r="C8" s="36">
        <v>24000</v>
      </c>
      <c r="D8" s="36">
        <v>24000</v>
      </c>
      <c r="E8" s="37"/>
      <c r="F8" s="129">
        <f t="shared" si="0"/>
        <v>54.4</v>
      </c>
      <c r="G8" s="38">
        <f t="shared" si="0"/>
        <v>48</v>
      </c>
      <c r="H8" s="38">
        <f t="shared" si="1"/>
        <v>40</v>
      </c>
      <c r="I8" s="46">
        <f t="shared" si="1"/>
        <v>0</v>
      </c>
      <c r="J8" s="40">
        <v>40</v>
      </c>
      <c r="K8" s="41"/>
      <c r="L8" s="42" t="s">
        <v>42</v>
      </c>
      <c r="M8" s="42" t="s">
        <v>55</v>
      </c>
      <c r="N8" s="45"/>
    </row>
    <row r="9" spans="1:14" ht="15.75" customHeight="1">
      <c r="A9" s="127" t="s">
        <v>56</v>
      </c>
      <c r="B9" s="128"/>
      <c r="C9" s="36">
        <v>23000</v>
      </c>
      <c r="D9" s="36">
        <v>21000</v>
      </c>
      <c r="E9" s="37">
        <v>27400</v>
      </c>
      <c r="F9" s="129">
        <f t="shared" si="0"/>
        <v>0</v>
      </c>
      <c r="G9" s="38">
        <f t="shared" si="0"/>
        <v>46</v>
      </c>
      <c r="H9" s="44">
        <f t="shared" si="1"/>
        <v>35</v>
      </c>
      <c r="I9" s="67">
        <f t="shared" si="1"/>
        <v>45.666666666666664</v>
      </c>
      <c r="J9" s="40">
        <v>45.7</v>
      </c>
      <c r="K9" s="41"/>
      <c r="L9" s="42" t="s">
        <v>57</v>
      </c>
      <c r="M9" s="42"/>
      <c r="N9" s="45" t="s">
        <v>42</v>
      </c>
    </row>
    <row r="10" spans="1:14" ht="15.75" customHeight="1">
      <c r="A10" s="127" t="s">
        <v>58</v>
      </c>
      <c r="B10" s="128"/>
      <c r="C10" s="36">
        <v>3300</v>
      </c>
      <c r="D10" s="36">
        <v>5000</v>
      </c>
      <c r="E10" s="37"/>
      <c r="F10" s="129">
        <f t="shared" si="0"/>
        <v>0</v>
      </c>
      <c r="G10" s="38">
        <f t="shared" si="0"/>
        <v>6.6</v>
      </c>
      <c r="H10" s="38">
        <f t="shared" si="1"/>
        <v>8.3333333333333339</v>
      </c>
      <c r="I10" s="39">
        <f t="shared" si="1"/>
        <v>0</v>
      </c>
      <c r="J10" s="40">
        <v>8.3000000000000007</v>
      </c>
      <c r="K10" s="41"/>
      <c r="L10" s="42"/>
      <c r="M10" s="47" t="s">
        <v>59</v>
      </c>
      <c r="N10" s="43"/>
    </row>
    <row r="11" spans="1:14" ht="15.75" customHeight="1">
      <c r="A11" s="127" t="s">
        <v>60</v>
      </c>
      <c r="B11" s="128"/>
      <c r="C11" s="36">
        <v>5200</v>
      </c>
      <c r="D11" s="36">
        <v>8000</v>
      </c>
      <c r="E11" s="37">
        <v>5900</v>
      </c>
      <c r="F11" s="129">
        <f t="shared" si="0"/>
        <v>0</v>
      </c>
      <c r="G11" s="38">
        <f t="shared" si="0"/>
        <v>10.4</v>
      </c>
      <c r="H11" s="38">
        <f t="shared" si="1"/>
        <v>13.333333333333334</v>
      </c>
      <c r="I11" s="39">
        <f t="shared" si="1"/>
        <v>9.8333333333333339</v>
      </c>
      <c r="J11" s="40">
        <v>9.5</v>
      </c>
      <c r="K11" s="41"/>
      <c r="L11" s="42" t="s">
        <v>456</v>
      </c>
      <c r="M11" s="47"/>
      <c r="N11" s="43" t="s">
        <v>456</v>
      </c>
    </row>
    <row r="12" spans="1:14" ht="15.75" customHeight="1">
      <c r="A12" s="127" t="s">
        <v>61</v>
      </c>
      <c r="B12" s="128"/>
      <c r="C12" s="36">
        <v>13500</v>
      </c>
      <c r="D12" s="36">
        <v>16500</v>
      </c>
      <c r="E12" s="37">
        <v>16700</v>
      </c>
      <c r="F12" s="129">
        <f t="shared" si="0"/>
        <v>0</v>
      </c>
      <c r="G12" s="38">
        <f t="shared" si="0"/>
        <v>27</v>
      </c>
      <c r="H12" s="38">
        <f t="shared" si="1"/>
        <v>27.5</v>
      </c>
      <c r="I12" s="39">
        <f t="shared" si="1"/>
        <v>27.833333333333332</v>
      </c>
      <c r="J12" s="40">
        <v>27.5</v>
      </c>
      <c r="K12" s="41"/>
      <c r="L12" s="42"/>
      <c r="M12" s="47" t="s">
        <v>62</v>
      </c>
      <c r="N12" s="43" t="s">
        <v>63</v>
      </c>
    </row>
    <row r="13" spans="1:14" ht="15.75" customHeight="1">
      <c r="A13" s="127" t="s">
        <v>64</v>
      </c>
      <c r="B13" s="128">
        <v>19900</v>
      </c>
      <c r="C13" s="36">
        <v>5600</v>
      </c>
      <c r="D13" s="36">
        <v>11000</v>
      </c>
      <c r="E13" s="37">
        <v>8900</v>
      </c>
      <c r="F13" s="129">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27" t="s">
        <v>66</v>
      </c>
      <c r="B14" s="128"/>
      <c r="C14" s="36"/>
      <c r="D14" s="36"/>
      <c r="E14" s="37"/>
      <c r="F14" s="129">
        <f t="shared" si="0"/>
        <v>0</v>
      </c>
      <c r="G14" s="38">
        <f t="shared" si="0"/>
        <v>0</v>
      </c>
      <c r="H14" s="38">
        <f t="shared" si="1"/>
        <v>0</v>
      </c>
      <c r="I14" s="39">
        <f t="shared" si="1"/>
        <v>0</v>
      </c>
      <c r="K14" s="41"/>
      <c r="L14" s="42"/>
      <c r="M14" s="42"/>
      <c r="N14" s="43"/>
    </row>
    <row r="15" spans="1:14" ht="15.75" customHeight="1">
      <c r="A15" s="127" t="s">
        <v>67</v>
      </c>
      <c r="B15" s="128"/>
      <c r="C15" s="36"/>
      <c r="D15" s="36"/>
      <c r="E15" s="37"/>
      <c r="F15" s="129">
        <f t="shared" si="0"/>
        <v>0</v>
      </c>
      <c r="G15" s="38">
        <f t="shared" si="0"/>
        <v>0</v>
      </c>
      <c r="H15" s="38">
        <f t="shared" si="1"/>
        <v>0</v>
      </c>
      <c r="I15" s="39">
        <f t="shared" si="1"/>
        <v>0</v>
      </c>
      <c r="K15" s="41"/>
      <c r="L15" s="42"/>
      <c r="M15" s="42"/>
      <c r="N15" s="43"/>
    </row>
    <row r="16" spans="1:14" ht="15.75" customHeight="1">
      <c r="A16" s="127" t="s">
        <v>68</v>
      </c>
      <c r="B16" s="128">
        <v>4500</v>
      </c>
      <c r="C16" s="36">
        <v>2000</v>
      </c>
      <c r="D16" s="36">
        <v>3500</v>
      </c>
      <c r="E16" s="37">
        <v>2900</v>
      </c>
      <c r="F16" s="129">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27" t="s">
        <v>72</v>
      </c>
      <c r="B17" s="128"/>
      <c r="C17" s="36">
        <v>10200</v>
      </c>
      <c r="D17" s="36"/>
      <c r="E17" s="37">
        <v>11100</v>
      </c>
      <c r="F17" s="129">
        <f t="shared" si="0"/>
        <v>0</v>
      </c>
      <c r="G17" s="38">
        <f>C17/600</f>
        <v>17</v>
      </c>
      <c r="H17" s="38">
        <f t="shared" si="1"/>
        <v>0</v>
      </c>
      <c r="I17" s="39">
        <f t="shared" si="1"/>
        <v>18.5</v>
      </c>
      <c r="J17" s="40">
        <v>17</v>
      </c>
      <c r="K17" s="41"/>
      <c r="L17" s="42" t="s">
        <v>73</v>
      </c>
      <c r="M17" s="42"/>
      <c r="N17" s="43" t="s">
        <v>50</v>
      </c>
    </row>
    <row r="18" spans="1:14" ht="15.75" customHeight="1">
      <c r="A18" s="127" t="s">
        <v>74</v>
      </c>
      <c r="B18" s="128"/>
      <c r="C18" s="36">
        <v>32000</v>
      </c>
      <c r="D18" s="36"/>
      <c r="E18" s="37">
        <v>41600</v>
      </c>
      <c r="F18" s="129">
        <f t="shared" si="0"/>
        <v>0</v>
      </c>
      <c r="G18" s="38">
        <f t="shared" si="0"/>
        <v>64</v>
      </c>
      <c r="H18" s="38">
        <f t="shared" si="1"/>
        <v>0</v>
      </c>
      <c r="I18" s="39">
        <f t="shared" si="1"/>
        <v>69.333333333333329</v>
      </c>
      <c r="J18" s="40">
        <v>64</v>
      </c>
      <c r="K18" s="41"/>
      <c r="L18" s="42" t="s">
        <v>388</v>
      </c>
      <c r="M18" s="42"/>
      <c r="N18" s="43" t="s">
        <v>44</v>
      </c>
    </row>
    <row r="19" spans="1:14" ht="15.75" customHeight="1">
      <c r="A19" s="127" t="s">
        <v>75</v>
      </c>
      <c r="B19" s="128"/>
      <c r="C19" s="36">
        <v>4500</v>
      </c>
      <c r="D19" s="36"/>
      <c r="E19" s="37"/>
      <c r="F19" s="129">
        <f t="shared" ref="F19:G50" si="2">B19/500</f>
        <v>0</v>
      </c>
      <c r="G19" s="38">
        <f t="shared" si="2"/>
        <v>9</v>
      </c>
      <c r="H19" s="38">
        <f t="shared" si="1"/>
        <v>0</v>
      </c>
      <c r="I19" s="39">
        <f t="shared" si="1"/>
        <v>0</v>
      </c>
      <c r="J19" s="40">
        <v>9</v>
      </c>
      <c r="K19" s="41"/>
      <c r="L19" s="42" t="s">
        <v>76</v>
      </c>
      <c r="M19" s="42"/>
      <c r="N19" s="43"/>
    </row>
    <row r="20" spans="1:14" ht="15.75" customHeight="1">
      <c r="A20" s="127" t="s">
        <v>77</v>
      </c>
      <c r="B20" s="128"/>
      <c r="C20" s="36"/>
      <c r="D20" s="36"/>
      <c r="E20" s="37"/>
      <c r="F20" s="129">
        <f t="shared" si="2"/>
        <v>0</v>
      </c>
      <c r="G20" s="38">
        <f t="shared" si="2"/>
        <v>0</v>
      </c>
      <c r="H20" s="38">
        <f t="shared" si="1"/>
        <v>0</v>
      </c>
      <c r="I20" s="39">
        <f t="shared" si="1"/>
        <v>0</v>
      </c>
      <c r="K20" s="41"/>
      <c r="L20" s="42"/>
      <c r="M20" s="42"/>
      <c r="N20" s="43"/>
    </row>
    <row r="21" spans="1:14" ht="15.75" customHeight="1">
      <c r="A21" s="127" t="s">
        <v>78</v>
      </c>
      <c r="B21" s="128"/>
      <c r="C21" s="36">
        <v>3500</v>
      </c>
      <c r="D21" s="36">
        <v>6500</v>
      </c>
      <c r="E21" s="37"/>
      <c r="F21" s="129">
        <f t="shared" si="2"/>
        <v>0</v>
      </c>
      <c r="G21" s="38">
        <f t="shared" si="2"/>
        <v>7</v>
      </c>
      <c r="H21" s="38">
        <f t="shared" si="1"/>
        <v>10.833333333333334</v>
      </c>
      <c r="I21" s="39">
        <f t="shared" si="1"/>
        <v>0</v>
      </c>
      <c r="J21" s="40">
        <v>10.8</v>
      </c>
      <c r="K21" s="41"/>
      <c r="L21" s="42"/>
      <c r="M21" s="47" t="s">
        <v>79</v>
      </c>
      <c r="N21" s="43"/>
    </row>
    <row r="22" spans="1:14" ht="15.75" customHeight="1">
      <c r="A22" s="127" t="s">
        <v>80</v>
      </c>
      <c r="B22" s="128">
        <v>6900</v>
      </c>
      <c r="C22" s="36">
        <v>5600</v>
      </c>
      <c r="D22" s="36"/>
      <c r="E22" s="37">
        <v>6900</v>
      </c>
      <c r="F22" s="129">
        <f t="shared" si="2"/>
        <v>13.8</v>
      </c>
      <c r="G22" s="38">
        <f t="shared" si="2"/>
        <v>11.2</v>
      </c>
      <c r="H22" s="38">
        <f t="shared" si="1"/>
        <v>0</v>
      </c>
      <c r="I22" s="39">
        <f t="shared" si="1"/>
        <v>11.5</v>
      </c>
      <c r="J22" s="40">
        <v>13.8</v>
      </c>
      <c r="K22" s="41"/>
      <c r="L22" s="42" t="s">
        <v>388</v>
      </c>
      <c r="M22" s="42"/>
      <c r="N22" s="43" t="s">
        <v>389</v>
      </c>
    </row>
    <row r="23" spans="1:14" ht="15.75" customHeight="1">
      <c r="A23" s="127" t="s">
        <v>81</v>
      </c>
      <c r="B23" s="128">
        <v>4600</v>
      </c>
      <c r="C23" s="36">
        <v>3500</v>
      </c>
      <c r="D23" s="36"/>
      <c r="E23" s="37">
        <v>4800</v>
      </c>
      <c r="F23" s="129">
        <f t="shared" si="2"/>
        <v>9.1999999999999993</v>
      </c>
      <c r="G23" s="38">
        <f t="shared" si="2"/>
        <v>7</v>
      </c>
      <c r="H23" s="38">
        <f t="shared" si="1"/>
        <v>0</v>
      </c>
      <c r="I23" s="39">
        <f t="shared" si="1"/>
        <v>8</v>
      </c>
      <c r="J23" s="40">
        <v>7</v>
      </c>
      <c r="K23" s="41" t="s">
        <v>390</v>
      </c>
      <c r="L23" s="42" t="s">
        <v>387</v>
      </c>
      <c r="M23" s="42"/>
      <c r="N23" s="43" t="s">
        <v>391</v>
      </c>
    </row>
    <row r="24" spans="1:14" ht="15.75" customHeight="1">
      <c r="A24" s="127" t="s">
        <v>82</v>
      </c>
      <c r="B24" s="128"/>
      <c r="C24" s="36">
        <v>46000</v>
      </c>
      <c r="D24" s="36">
        <v>73000</v>
      </c>
      <c r="E24" s="37">
        <v>75400</v>
      </c>
      <c r="F24" s="129">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27" t="s">
        <v>85</v>
      </c>
      <c r="B25" s="128"/>
      <c r="C25" s="36"/>
      <c r="D25" s="36"/>
      <c r="E25" s="37"/>
      <c r="F25" s="129">
        <f t="shared" si="2"/>
        <v>0</v>
      </c>
      <c r="G25" s="38">
        <f>C25/500</f>
        <v>0</v>
      </c>
      <c r="H25" s="38">
        <f t="shared" si="1"/>
        <v>0</v>
      </c>
      <c r="I25" s="39">
        <f t="shared" si="1"/>
        <v>0</v>
      </c>
      <c r="K25" s="41"/>
      <c r="L25" s="42"/>
      <c r="M25" s="42"/>
      <c r="N25" s="43"/>
    </row>
    <row r="26" spans="1:14" ht="15.75" customHeight="1">
      <c r="A26" s="127" t="s">
        <v>457</v>
      </c>
      <c r="B26" s="128"/>
      <c r="C26" s="36"/>
      <c r="D26" s="36"/>
      <c r="E26" s="37"/>
      <c r="F26" s="129">
        <f t="shared" si="2"/>
        <v>0</v>
      </c>
      <c r="G26" s="38">
        <f>C26/500</f>
        <v>0</v>
      </c>
      <c r="H26" s="38">
        <f t="shared" si="1"/>
        <v>0</v>
      </c>
      <c r="I26" s="39">
        <f t="shared" si="1"/>
        <v>0</v>
      </c>
      <c r="J26" s="40">
        <v>5.3</v>
      </c>
      <c r="K26" s="41"/>
      <c r="L26" s="42"/>
      <c r="M26" s="42"/>
      <c r="N26" s="43"/>
    </row>
    <row r="27" spans="1:14" ht="15.75" customHeight="1">
      <c r="A27" s="127" t="s">
        <v>86</v>
      </c>
      <c r="B27" s="128">
        <v>14900</v>
      </c>
      <c r="C27" s="36">
        <v>8700</v>
      </c>
      <c r="D27" s="36">
        <v>9000</v>
      </c>
      <c r="E27" s="37">
        <v>8200</v>
      </c>
      <c r="F27" s="129">
        <f t="shared" si="2"/>
        <v>29.8</v>
      </c>
      <c r="G27" s="38">
        <f>C27/500</f>
        <v>17.399999999999999</v>
      </c>
      <c r="H27" s="38">
        <f t="shared" si="1"/>
        <v>15</v>
      </c>
      <c r="I27" s="48">
        <f t="shared" si="1"/>
        <v>13.666666666666666</v>
      </c>
      <c r="J27" s="40">
        <v>13.7</v>
      </c>
      <c r="K27" s="41"/>
      <c r="L27" s="42"/>
      <c r="M27" s="42"/>
      <c r="N27" s="45" t="s">
        <v>87</v>
      </c>
    </row>
    <row r="28" spans="1:14" ht="15.75" customHeight="1">
      <c r="A28" s="127" t="s">
        <v>88</v>
      </c>
      <c r="B28" s="128"/>
      <c r="C28" s="36"/>
      <c r="D28" s="36"/>
      <c r="E28" s="37"/>
      <c r="F28" s="129">
        <f t="shared" si="2"/>
        <v>0</v>
      </c>
      <c r="G28" s="38">
        <f>C28/500</f>
        <v>0</v>
      </c>
      <c r="H28" s="38">
        <f t="shared" si="1"/>
        <v>0</v>
      </c>
      <c r="I28" s="39">
        <f t="shared" si="1"/>
        <v>0</v>
      </c>
      <c r="K28" s="41"/>
      <c r="L28" s="42"/>
      <c r="M28" s="42"/>
      <c r="N28" s="43"/>
    </row>
    <row r="29" spans="1:14" ht="15.75" customHeight="1">
      <c r="A29" s="127" t="s">
        <v>89</v>
      </c>
      <c r="B29" s="128"/>
      <c r="C29" s="36"/>
      <c r="D29" s="36"/>
      <c r="E29" s="37"/>
      <c r="F29" s="129">
        <f t="shared" si="2"/>
        <v>0</v>
      </c>
      <c r="G29" s="38">
        <f>C29/500</f>
        <v>0</v>
      </c>
      <c r="H29" s="38">
        <f t="shared" si="1"/>
        <v>0</v>
      </c>
      <c r="I29" s="39">
        <f t="shared" si="1"/>
        <v>0</v>
      </c>
      <c r="K29" s="41"/>
      <c r="L29" s="42"/>
      <c r="M29" s="42"/>
      <c r="N29" s="43"/>
    </row>
    <row r="30" spans="1:14" ht="15.75" customHeight="1">
      <c r="A30" s="127" t="s">
        <v>90</v>
      </c>
      <c r="B30" s="128"/>
      <c r="C30" s="36">
        <v>20500</v>
      </c>
      <c r="D30" s="36">
        <v>19000</v>
      </c>
      <c r="E30" s="37"/>
      <c r="F30" s="129">
        <f t="shared" si="2"/>
        <v>0</v>
      </c>
      <c r="G30" s="38">
        <f>C30/600</f>
        <v>34.166666666666664</v>
      </c>
      <c r="H30" s="38">
        <f t="shared" si="1"/>
        <v>31.666666666666668</v>
      </c>
      <c r="I30" s="39">
        <f t="shared" si="1"/>
        <v>0</v>
      </c>
      <c r="J30" s="40">
        <v>31.7</v>
      </c>
      <c r="K30" s="41"/>
      <c r="L30" s="42" t="s">
        <v>91</v>
      </c>
      <c r="M30" s="42"/>
      <c r="N30" s="43"/>
    </row>
    <row r="31" spans="1:14" ht="15.75" customHeight="1">
      <c r="A31" s="127" t="s">
        <v>92</v>
      </c>
      <c r="B31" s="128"/>
      <c r="C31" s="36">
        <v>21500</v>
      </c>
      <c r="D31" s="36"/>
      <c r="E31" s="37">
        <v>30800</v>
      </c>
      <c r="F31" s="129">
        <f t="shared" si="2"/>
        <v>0</v>
      </c>
      <c r="G31" s="38">
        <f>C31/500</f>
        <v>43</v>
      </c>
      <c r="H31" s="38">
        <f t="shared" si="1"/>
        <v>0</v>
      </c>
      <c r="I31" s="39">
        <f t="shared" si="1"/>
        <v>51.333333333333336</v>
      </c>
      <c r="J31" s="40">
        <v>43</v>
      </c>
      <c r="K31" s="41"/>
      <c r="L31" s="42" t="s">
        <v>93</v>
      </c>
      <c r="M31" s="42"/>
      <c r="N31" s="43" t="s">
        <v>84</v>
      </c>
    </row>
    <row r="32" spans="1:14" ht="15.75" customHeight="1" thickBot="1">
      <c r="A32" s="131" t="s">
        <v>94</v>
      </c>
      <c r="B32" s="132">
        <v>11500</v>
      </c>
      <c r="C32" s="49">
        <v>12900</v>
      </c>
      <c r="D32" s="49">
        <v>7500</v>
      </c>
      <c r="E32" s="50">
        <v>6900</v>
      </c>
      <c r="F32" s="80">
        <f t="shared" si="2"/>
        <v>23</v>
      </c>
      <c r="G32" s="51">
        <f>C32/500</f>
        <v>25.8</v>
      </c>
      <c r="H32" s="51">
        <f t="shared" si="1"/>
        <v>12.5</v>
      </c>
      <c r="I32" s="133">
        <f t="shared" si="1"/>
        <v>11.5</v>
      </c>
      <c r="J32" s="52">
        <v>11.5</v>
      </c>
      <c r="K32" s="53" t="s">
        <v>95</v>
      </c>
      <c r="L32" s="54" t="s">
        <v>42</v>
      </c>
      <c r="M32" s="55" t="s">
        <v>96</v>
      </c>
      <c r="N32" s="56" t="s">
        <v>97</v>
      </c>
    </row>
    <row r="33" spans="1:14" ht="15.75" customHeight="1">
      <c r="A33" s="134" t="s">
        <v>98</v>
      </c>
      <c r="B33" s="126"/>
      <c r="C33" s="26">
        <v>3000</v>
      </c>
      <c r="D33" s="26">
        <v>4000</v>
      </c>
      <c r="E33" s="27">
        <v>4000</v>
      </c>
      <c r="F33" s="28">
        <f t="shared" si="2"/>
        <v>0</v>
      </c>
      <c r="G33" s="29">
        <f>C33/500</f>
        <v>6</v>
      </c>
      <c r="H33" s="135">
        <f t="shared" si="1"/>
        <v>6.666666666666667</v>
      </c>
      <c r="I33" s="58">
        <f t="shared" si="1"/>
        <v>6.666666666666667</v>
      </c>
      <c r="J33" s="31">
        <v>6</v>
      </c>
      <c r="K33" s="32"/>
      <c r="L33" s="33" t="s">
        <v>99</v>
      </c>
      <c r="M33" s="59" t="s">
        <v>100</v>
      </c>
      <c r="N33" s="35"/>
    </row>
    <row r="34" spans="1:14" ht="15.75" customHeight="1">
      <c r="A34" s="136" t="s">
        <v>101</v>
      </c>
      <c r="B34" s="128"/>
      <c r="C34" s="36">
        <v>13000</v>
      </c>
      <c r="D34" s="36">
        <v>13000</v>
      </c>
      <c r="E34" s="37"/>
      <c r="F34" s="129">
        <f t="shared" si="2"/>
        <v>0</v>
      </c>
      <c r="G34" s="44">
        <f>C34/500</f>
        <v>26</v>
      </c>
      <c r="H34" s="44">
        <f>D34/500</f>
        <v>26</v>
      </c>
      <c r="I34" s="39">
        <f t="shared" ref="I34:I48" si="3">E34/600</f>
        <v>0</v>
      </c>
      <c r="J34" s="40">
        <v>26</v>
      </c>
      <c r="K34" s="41"/>
      <c r="L34" s="60" t="s">
        <v>102</v>
      </c>
      <c r="M34" s="61" t="s">
        <v>103</v>
      </c>
      <c r="N34" s="43"/>
    </row>
    <row r="35" spans="1:14" ht="15.75" customHeight="1" thickBot="1">
      <c r="A35" s="137" t="s">
        <v>104</v>
      </c>
      <c r="B35" s="132"/>
      <c r="C35" s="49">
        <v>278000</v>
      </c>
      <c r="D35" s="49"/>
      <c r="E35" s="50"/>
      <c r="F35" s="80">
        <f t="shared" si="2"/>
        <v>0</v>
      </c>
      <c r="G35" s="62">
        <f>C35/600</f>
        <v>463.33333333333331</v>
      </c>
      <c r="H35" s="51">
        <f>D35/600</f>
        <v>0</v>
      </c>
      <c r="I35" s="63">
        <f t="shared" si="3"/>
        <v>0</v>
      </c>
      <c r="J35" s="52">
        <v>463.3</v>
      </c>
      <c r="K35" s="64"/>
      <c r="L35" s="138" t="s">
        <v>105</v>
      </c>
      <c r="M35" s="54"/>
      <c r="N35" s="65"/>
    </row>
    <row r="36" spans="1:14" ht="15.75" customHeight="1">
      <c r="A36" s="125" t="s">
        <v>106</v>
      </c>
      <c r="B36" s="126"/>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27" t="s">
        <v>108</v>
      </c>
      <c r="B37" s="128"/>
      <c r="C37" s="36"/>
      <c r="D37" s="36">
        <v>8000</v>
      </c>
      <c r="E37" s="37"/>
      <c r="F37" s="129">
        <f t="shared" si="2"/>
        <v>0</v>
      </c>
      <c r="G37" s="38">
        <f>C37/500</f>
        <v>0</v>
      </c>
      <c r="H37" s="38">
        <f t="shared" si="4"/>
        <v>13.333333333333334</v>
      </c>
      <c r="I37" s="39">
        <f t="shared" si="3"/>
        <v>0</v>
      </c>
      <c r="J37" s="40">
        <v>13.3</v>
      </c>
      <c r="K37" s="41"/>
      <c r="L37" s="42"/>
      <c r="M37" s="47"/>
      <c r="N37" s="43"/>
    </row>
    <row r="38" spans="1:14" ht="15.75" customHeight="1">
      <c r="A38" s="127" t="s">
        <v>109</v>
      </c>
      <c r="B38" s="128">
        <v>14900</v>
      </c>
      <c r="C38" s="36">
        <v>12700</v>
      </c>
      <c r="D38" s="36">
        <v>15000</v>
      </c>
      <c r="E38" s="37">
        <v>16300</v>
      </c>
      <c r="F38" s="129">
        <f t="shared" si="2"/>
        <v>29.8</v>
      </c>
      <c r="G38" s="38">
        <f>C38/500</f>
        <v>25.4</v>
      </c>
      <c r="H38" s="38">
        <f t="shared" si="4"/>
        <v>25</v>
      </c>
      <c r="I38" s="48">
        <f t="shared" si="3"/>
        <v>27.166666666666668</v>
      </c>
      <c r="J38" s="40">
        <v>27.2</v>
      </c>
      <c r="K38" s="41"/>
      <c r="L38" s="42" t="s">
        <v>42</v>
      </c>
      <c r="M38" s="42"/>
      <c r="N38" s="66" t="s">
        <v>42</v>
      </c>
    </row>
    <row r="39" spans="1:14" ht="15.75" customHeight="1">
      <c r="A39" s="127" t="s">
        <v>110</v>
      </c>
      <c r="B39" s="128"/>
      <c r="C39" s="36">
        <v>12700</v>
      </c>
      <c r="D39" s="36"/>
      <c r="E39" s="37">
        <v>13800</v>
      </c>
      <c r="F39" s="129">
        <f t="shared" si="2"/>
        <v>0</v>
      </c>
      <c r="G39" s="38">
        <f>C39/500</f>
        <v>25.4</v>
      </c>
      <c r="H39" s="38">
        <f t="shared" si="4"/>
        <v>0</v>
      </c>
      <c r="I39" s="48">
        <f t="shared" si="3"/>
        <v>23</v>
      </c>
      <c r="J39" s="40">
        <v>23</v>
      </c>
      <c r="K39" s="41"/>
      <c r="L39" s="42" t="s">
        <v>42</v>
      </c>
      <c r="M39" s="42"/>
      <c r="N39" s="43" t="s">
        <v>42</v>
      </c>
    </row>
    <row r="40" spans="1:14" ht="15.75" customHeight="1">
      <c r="A40" s="127" t="s">
        <v>111</v>
      </c>
      <c r="B40" s="128"/>
      <c r="C40" s="36">
        <v>26000</v>
      </c>
      <c r="D40" s="36">
        <v>32000</v>
      </c>
      <c r="E40" s="37">
        <v>35500</v>
      </c>
      <c r="F40" s="129">
        <f t="shared" si="2"/>
        <v>0</v>
      </c>
      <c r="G40" s="38">
        <f>C40/600</f>
        <v>43.333333333333336</v>
      </c>
      <c r="H40" s="38">
        <f t="shared" si="4"/>
        <v>53.333333333333336</v>
      </c>
      <c r="I40" s="39">
        <f t="shared" si="3"/>
        <v>59.166666666666664</v>
      </c>
      <c r="J40" s="40">
        <v>43.3</v>
      </c>
      <c r="K40" s="41"/>
      <c r="L40" s="42" t="s">
        <v>458</v>
      </c>
      <c r="M40" s="47"/>
      <c r="N40" s="43" t="s">
        <v>393</v>
      </c>
    </row>
    <row r="41" spans="1:14" ht="15.75" customHeight="1">
      <c r="A41" s="127" t="s">
        <v>112</v>
      </c>
      <c r="B41" s="128"/>
      <c r="C41" s="36">
        <v>13000</v>
      </c>
      <c r="D41" s="36"/>
      <c r="E41" s="37">
        <v>15800</v>
      </c>
      <c r="F41" s="129">
        <f t="shared" si="2"/>
        <v>0</v>
      </c>
      <c r="G41" s="44">
        <f t="shared" si="2"/>
        <v>26</v>
      </c>
      <c r="H41" s="38">
        <f t="shared" si="4"/>
        <v>0</v>
      </c>
      <c r="I41" s="39">
        <f t="shared" si="3"/>
        <v>26.333333333333332</v>
      </c>
      <c r="J41" s="40">
        <v>26</v>
      </c>
      <c r="K41" s="41"/>
      <c r="L41" s="42" t="s">
        <v>50</v>
      </c>
      <c r="M41" s="42"/>
      <c r="N41" s="43" t="s">
        <v>50</v>
      </c>
    </row>
    <row r="42" spans="1:14" ht="15.75" customHeight="1">
      <c r="A42" s="127" t="s">
        <v>113</v>
      </c>
      <c r="B42" s="128"/>
      <c r="C42" s="36"/>
      <c r="D42" s="36">
        <v>4000</v>
      </c>
      <c r="E42" s="37">
        <v>3200</v>
      </c>
      <c r="F42" s="129">
        <f t="shared" si="2"/>
        <v>0</v>
      </c>
      <c r="G42" s="38">
        <f t="shared" si="2"/>
        <v>0</v>
      </c>
      <c r="H42" s="38">
        <f t="shared" si="4"/>
        <v>6.666666666666667</v>
      </c>
      <c r="I42" s="39">
        <f t="shared" si="3"/>
        <v>5.333333333333333</v>
      </c>
      <c r="J42" s="40">
        <v>5.3</v>
      </c>
      <c r="K42" s="41"/>
      <c r="L42" s="42"/>
      <c r="M42" s="47"/>
      <c r="N42" s="43" t="s">
        <v>114</v>
      </c>
    </row>
    <row r="43" spans="1:14" ht="15.75" customHeight="1">
      <c r="A43" s="127" t="s">
        <v>115</v>
      </c>
      <c r="B43" s="128"/>
      <c r="C43" s="36">
        <v>10300</v>
      </c>
      <c r="D43" s="36">
        <v>10000</v>
      </c>
      <c r="E43" s="37">
        <v>12500</v>
      </c>
      <c r="F43" s="129">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27" t="s">
        <v>118</v>
      </c>
      <c r="B44" s="128"/>
      <c r="C44" s="36">
        <v>4500</v>
      </c>
      <c r="D44" s="36">
        <v>9500</v>
      </c>
      <c r="E44" s="37">
        <v>7800</v>
      </c>
      <c r="F44" s="129">
        <f t="shared" si="2"/>
        <v>0</v>
      </c>
      <c r="G44" s="38">
        <f t="shared" si="2"/>
        <v>9</v>
      </c>
      <c r="H44" s="38">
        <f t="shared" si="4"/>
        <v>15.833333333333334</v>
      </c>
      <c r="I44" s="48">
        <f t="shared" si="3"/>
        <v>13</v>
      </c>
      <c r="J44" s="40">
        <v>13</v>
      </c>
      <c r="K44" s="41"/>
      <c r="L44" s="42"/>
      <c r="M44" s="47" t="s">
        <v>119</v>
      </c>
      <c r="N44" s="43" t="s">
        <v>120</v>
      </c>
    </row>
    <row r="45" spans="1:14" ht="15.75" customHeight="1">
      <c r="A45" s="127" t="s">
        <v>121</v>
      </c>
      <c r="B45" s="128"/>
      <c r="C45" s="36">
        <v>6200</v>
      </c>
      <c r="D45" s="36">
        <v>8000</v>
      </c>
      <c r="E45" s="37"/>
      <c r="F45" s="129">
        <f t="shared" si="2"/>
        <v>0</v>
      </c>
      <c r="G45" s="38">
        <f t="shared" si="2"/>
        <v>12.4</v>
      </c>
      <c r="H45" s="38">
        <f t="shared" si="4"/>
        <v>13.333333333333334</v>
      </c>
      <c r="I45" s="39">
        <f t="shared" si="3"/>
        <v>0</v>
      </c>
      <c r="J45" s="40">
        <v>13.3</v>
      </c>
      <c r="K45" s="41"/>
      <c r="L45" s="42"/>
      <c r="M45" s="47" t="s">
        <v>96</v>
      </c>
      <c r="N45" s="43"/>
    </row>
    <row r="46" spans="1:14" ht="15.75" customHeight="1">
      <c r="A46" s="127" t="s">
        <v>122</v>
      </c>
      <c r="B46" s="128"/>
      <c r="C46" s="36">
        <v>15600</v>
      </c>
      <c r="D46" s="36">
        <v>19000</v>
      </c>
      <c r="E46" s="37">
        <v>18000</v>
      </c>
      <c r="F46" s="129">
        <f t="shared" si="2"/>
        <v>0</v>
      </c>
      <c r="G46" s="44">
        <f t="shared" si="2"/>
        <v>31.2</v>
      </c>
      <c r="H46" s="38">
        <f t="shared" si="4"/>
        <v>31.666666666666668</v>
      </c>
      <c r="I46" s="39">
        <f t="shared" si="3"/>
        <v>30</v>
      </c>
      <c r="J46" s="40">
        <v>31.2</v>
      </c>
      <c r="K46" s="41"/>
      <c r="L46" s="42" t="s">
        <v>42</v>
      </c>
      <c r="M46" s="42" t="s">
        <v>62</v>
      </c>
      <c r="N46" s="43"/>
    </row>
    <row r="47" spans="1:14" ht="15.75" customHeight="1">
      <c r="A47" s="127" t="s">
        <v>123</v>
      </c>
      <c r="B47" s="128"/>
      <c r="C47" s="36"/>
      <c r="D47" s="36">
        <v>7000</v>
      </c>
      <c r="E47" s="37"/>
      <c r="F47" s="129">
        <f t="shared" si="2"/>
        <v>0</v>
      </c>
      <c r="G47" s="38">
        <f t="shared" si="2"/>
        <v>0</v>
      </c>
      <c r="H47" s="38">
        <f t="shared" si="4"/>
        <v>11.666666666666666</v>
      </c>
      <c r="I47" s="39">
        <f t="shared" si="3"/>
        <v>0</v>
      </c>
      <c r="J47" s="40">
        <v>11.7</v>
      </c>
      <c r="K47" s="41"/>
      <c r="L47" s="42"/>
      <c r="M47" s="47"/>
      <c r="N47" s="43"/>
    </row>
    <row r="48" spans="1:14" ht="15.75" customHeight="1">
      <c r="A48" s="127" t="s">
        <v>124</v>
      </c>
      <c r="B48" s="128"/>
      <c r="C48" s="36">
        <v>5700</v>
      </c>
      <c r="D48" s="36">
        <v>9500</v>
      </c>
      <c r="E48" s="37">
        <v>6800</v>
      </c>
      <c r="F48" s="129">
        <f t="shared" si="2"/>
        <v>0</v>
      </c>
      <c r="G48" s="38">
        <f t="shared" si="2"/>
        <v>11.4</v>
      </c>
      <c r="H48" s="38">
        <f t="shared" si="4"/>
        <v>15.833333333333334</v>
      </c>
      <c r="I48" s="48">
        <f t="shared" si="3"/>
        <v>11.333333333333334</v>
      </c>
      <c r="J48" s="40">
        <v>11.3</v>
      </c>
      <c r="K48" s="41"/>
      <c r="L48" s="42" t="s">
        <v>125</v>
      </c>
      <c r="M48" s="42" t="s">
        <v>459</v>
      </c>
      <c r="N48" s="43" t="s">
        <v>126</v>
      </c>
    </row>
    <row r="49" spans="1:14" ht="15.75" customHeight="1" thickBot="1">
      <c r="A49" s="131" t="s">
        <v>127</v>
      </c>
      <c r="B49" s="132"/>
      <c r="C49" s="49">
        <v>6500</v>
      </c>
      <c r="D49" s="49">
        <v>7000</v>
      </c>
      <c r="E49" s="50">
        <v>6700</v>
      </c>
      <c r="F49" s="80">
        <f t="shared" si="2"/>
        <v>0</v>
      </c>
      <c r="G49" s="62">
        <f>C49/100</f>
        <v>65</v>
      </c>
      <c r="H49" s="51">
        <f>D49/100</f>
        <v>70</v>
      </c>
      <c r="I49" s="63">
        <f>E49/100</f>
        <v>67</v>
      </c>
      <c r="J49" s="52">
        <v>65</v>
      </c>
      <c r="K49" s="64"/>
      <c r="L49" s="54" t="s">
        <v>128</v>
      </c>
      <c r="M49" s="55" t="s">
        <v>129</v>
      </c>
      <c r="N49" s="65" t="s">
        <v>130</v>
      </c>
    </row>
    <row r="50" spans="1:14" ht="15.75" customHeight="1">
      <c r="A50" s="134" t="s">
        <v>131</v>
      </c>
      <c r="B50" s="126"/>
      <c r="C50" s="26">
        <v>4000</v>
      </c>
      <c r="D50" s="26"/>
      <c r="E50" s="27">
        <v>5100</v>
      </c>
      <c r="F50" s="28">
        <f t="shared" si="2"/>
        <v>0</v>
      </c>
      <c r="G50" s="57">
        <f>C50/500</f>
        <v>8</v>
      </c>
      <c r="H50" s="29">
        <f t="shared" ref="H50:I54" si="5">D50/600</f>
        <v>0</v>
      </c>
      <c r="I50" s="58">
        <f t="shared" si="5"/>
        <v>8.5</v>
      </c>
      <c r="J50" s="31">
        <v>8</v>
      </c>
      <c r="K50" s="32"/>
      <c r="L50" s="33" t="s">
        <v>50</v>
      </c>
      <c r="M50" s="33"/>
      <c r="N50" s="35" t="s">
        <v>84</v>
      </c>
    </row>
    <row r="51" spans="1:14" ht="15.75" customHeight="1">
      <c r="A51" s="136" t="s">
        <v>132</v>
      </c>
      <c r="B51" s="128"/>
      <c r="C51" s="36">
        <v>4200</v>
      </c>
      <c r="D51" s="36">
        <v>7500</v>
      </c>
      <c r="E51" s="37">
        <v>5000</v>
      </c>
      <c r="F51" s="129">
        <f t="shared" ref="F51:G83" si="6">B51/500</f>
        <v>0</v>
      </c>
      <c r="G51" s="38">
        <f>C51/500</f>
        <v>8.4</v>
      </c>
      <c r="H51" s="38">
        <f t="shared" si="5"/>
        <v>12.5</v>
      </c>
      <c r="I51" s="48">
        <f t="shared" si="5"/>
        <v>8.3333333333333339</v>
      </c>
      <c r="J51" s="40">
        <v>8.5</v>
      </c>
      <c r="K51" s="41"/>
      <c r="L51" s="42" t="s">
        <v>50</v>
      </c>
      <c r="M51" s="47"/>
      <c r="N51" s="43" t="s">
        <v>133</v>
      </c>
    </row>
    <row r="52" spans="1:14" ht="15.75" customHeight="1">
      <c r="A52" s="136" t="s">
        <v>134</v>
      </c>
      <c r="B52" s="128"/>
      <c r="C52" s="36">
        <v>13200</v>
      </c>
      <c r="D52" s="36"/>
      <c r="E52" s="37">
        <v>15800</v>
      </c>
      <c r="F52" s="129">
        <f t="shared" si="6"/>
        <v>0</v>
      </c>
      <c r="G52" s="38">
        <f>C52/500</f>
        <v>26.4</v>
      </c>
      <c r="H52" s="38">
        <f t="shared" si="5"/>
        <v>0</v>
      </c>
      <c r="I52" s="39">
        <f t="shared" si="5"/>
        <v>26.333333333333332</v>
      </c>
      <c r="J52" s="40">
        <v>26.3</v>
      </c>
      <c r="K52" s="41"/>
      <c r="L52" s="42" t="s">
        <v>394</v>
      </c>
      <c r="M52" s="42"/>
      <c r="N52" s="43" t="s">
        <v>395</v>
      </c>
    </row>
    <row r="53" spans="1:14" ht="15.75" customHeight="1">
      <c r="A53" s="136" t="s">
        <v>135</v>
      </c>
      <c r="B53" s="128"/>
      <c r="C53" s="36">
        <v>3000</v>
      </c>
      <c r="D53" s="36">
        <v>4000</v>
      </c>
      <c r="E53" s="37"/>
      <c r="F53" s="129">
        <f t="shared" si="6"/>
        <v>0</v>
      </c>
      <c r="G53" s="38">
        <f>C53/600</f>
        <v>5</v>
      </c>
      <c r="H53" s="38">
        <f t="shared" si="5"/>
        <v>6.666666666666667</v>
      </c>
      <c r="I53" s="39">
        <f t="shared" si="5"/>
        <v>0</v>
      </c>
      <c r="J53" s="40">
        <v>5</v>
      </c>
      <c r="K53" s="41"/>
      <c r="L53" s="42" t="s">
        <v>136</v>
      </c>
      <c r="M53" s="42"/>
      <c r="N53" s="43"/>
    </row>
    <row r="54" spans="1:14" ht="15.75" customHeight="1">
      <c r="A54" s="136" t="s">
        <v>137</v>
      </c>
      <c r="B54" s="128"/>
      <c r="C54" s="36">
        <v>19600</v>
      </c>
      <c r="D54" s="36">
        <v>39000</v>
      </c>
      <c r="E54" s="37">
        <v>23500</v>
      </c>
      <c r="F54" s="129">
        <f t="shared" si="6"/>
        <v>0</v>
      </c>
      <c r="G54" s="38">
        <f>C54/500</f>
        <v>39.200000000000003</v>
      </c>
      <c r="H54" s="38">
        <f t="shared" si="5"/>
        <v>65</v>
      </c>
      <c r="I54" s="39">
        <f t="shared" si="5"/>
        <v>39.166666666666664</v>
      </c>
      <c r="J54" s="40">
        <v>44.3</v>
      </c>
      <c r="K54" s="41"/>
      <c r="L54" s="42" t="s">
        <v>138</v>
      </c>
      <c r="M54" s="47" t="s">
        <v>62</v>
      </c>
      <c r="N54" s="45" t="s">
        <v>139</v>
      </c>
    </row>
    <row r="55" spans="1:14" ht="15.75" customHeight="1">
      <c r="A55" s="136" t="s">
        <v>140</v>
      </c>
      <c r="B55" s="128"/>
      <c r="C55" s="36">
        <v>8000</v>
      </c>
      <c r="D55" s="36">
        <v>7500</v>
      </c>
      <c r="F55" s="129">
        <f t="shared" si="6"/>
        <v>0</v>
      </c>
      <c r="G55" s="38">
        <f>C55/1000</f>
        <v>8</v>
      </c>
      <c r="H55" s="44">
        <f>D55/1000</f>
        <v>7.5</v>
      </c>
      <c r="I55" s="39">
        <f>E54/1000</f>
        <v>23.5</v>
      </c>
      <c r="J55" s="40">
        <v>7.5</v>
      </c>
      <c r="K55" s="41"/>
      <c r="L55" s="42" t="s">
        <v>141</v>
      </c>
      <c r="M55" s="47" t="s">
        <v>141</v>
      </c>
      <c r="N55" s="45" t="s">
        <v>142</v>
      </c>
    </row>
    <row r="56" spans="1:14" ht="15.75" customHeight="1">
      <c r="A56" s="136" t="s">
        <v>143</v>
      </c>
      <c r="B56" s="128"/>
      <c r="C56" s="36">
        <v>4700</v>
      </c>
      <c r="D56" s="36">
        <v>7000</v>
      </c>
      <c r="E56" s="37">
        <v>5900</v>
      </c>
      <c r="F56" s="129">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36" t="s">
        <v>144</v>
      </c>
      <c r="B57" s="128"/>
      <c r="C57" s="36">
        <v>8000</v>
      </c>
      <c r="D57" s="36">
        <v>8000</v>
      </c>
      <c r="E57" s="37"/>
      <c r="F57" s="129">
        <f t="shared" si="6"/>
        <v>0</v>
      </c>
      <c r="G57" s="38">
        <f>C57/1000</f>
        <v>8</v>
      </c>
      <c r="H57" s="38">
        <f>D57/1000</f>
        <v>8</v>
      </c>
      <c r="I57" s="39">
        <f t="shared" si="7"/>
        <v>0</v>
      </c>
      <c r="J57" s="40">
        <v>8</v>
      </c>
      <c r="K57" s="41"/>
      <c r="L57" s="42" t="s">
        <v>142</v>
      </c>
      <c r="M57" s="42"/>
      <c r="N57" s="43"/>
    </row>
    <row r="58" spans="1:14" ht="15.75" customHeight="1">
      <c r="A58" s="136" t="s">
        <v>145</v>
      </c>
      <c r="B58" s="128">
        <v>18500</v>
      </c>
      <c r="C58" s="36">
        <v>14000</v>
      </c>
      <c r="D58" s="36">
        <v>19000</v>
      </c>
      <c r="E58" s="37">
        <v>20200</v>
      </c>
      <c r="F58" s="129">
        <f t="shared" si="6"/>
        <v>37</v>
      </c>
      <c r="G58" s="38">
        <f>C58/500</f>
        <v>28</v>
      </c>
      <c r="H58" s="38">
        <f t="shared" si="7"/>
        <v>31.666666666666668</v>
      </c>
      <c r="I58" s="48">
        <f t="shared" si="7"/>
        <v>33.666666666666664</v>
      </c>
      <c r="J58" s="40">
        <v>28</v>
      </c>
      <c r="K58" s="41"/>
      <c r="L58" s="42" t="s">
        <v>76</v>
      </c>
      <c r="M58" s="47"/>
      <c r="N58" s="43" t="s">
        <v>84</v>
      </c>
    </row>
    <row r="59" spans="1:14" ht="15.75" customHeight="1">
      <c r="A59" s="136" t="s">
        <v>146</v>
      </c>
      <c r="B59" s="128"/>
      <c r="C59" s="36">
        <v>5400</v>
      </c>
      <c r="D59" s="36">
        <v>7000</v>
      </c>
      <c r="E59" s="37">
        <v>6400</v>
      </c>
      <c r="F59" s="129">
        <f t="shared" si="6"/>
        <v>0</v>
      </c>
      <c r="G59" s="38">
        <f>C59/500</f>
        <v>10.8</v>
      </c>
      <c r="H59" s="38">
        <f t="shared" si="7"/>
        <v>11.666666666666666</v>
      </c>
      <c r="I59" s="39">
        <f t="shared" si="7"/>
        <v>10.666666666666666</v>
      </c>
      <c r="J59" s="40">
        <v>10.7</v>
      </c>
      <c r="K59" s="41"/>
      <c r="L59" s="42"/>
      <c r="M59" s="47" t="s">
        <v>147</v>
      </c>
      <c r="N59" s="66" t="s">
        <v>148</v>
      </c>
    </row>
    <row r="60" spans="1:14" ht="15.75" customHeight="1">
      <c r="A60" s="136" t="s">
        <v>149</v>
      </c>
      <c r="B60" s="128"/>
      <c r="C60" s="36">
        <v>6000</v>
      </c>
      <c r="D60" s="36">
        <v>8500</v>
      </c>
      <c r="E60" s="37">
        <v>7300</v>
      </c>
      <c r="F60" s="129">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7" t="s">
        <v>150</v>
      </c>
      <c r="B61" s="132"/>
      <c r="C61" s="49"/>
      <c r="D61" s="49"/>
      <c r="E61" s="50">
        <v>10500</v>
      </c>
      <c r="F61" s="80">
        <f t="shared" si="6"/>
        <v>0</v>
      </c>
      <c r="G61" s="51">
        <f t="shared" si="6"/>
        <v>0</v>
      </c>
      <c r="H61" s="51">
        <f t="shared" si="7"/>
        <v>0</v>
      </c>
      <c r="I61" s="63">
        <f t="shared" si="7"/>
        <v>17.5</v>
      </c>
      <c r="J61" s="52">
        <v>17.5</v>
      </c>
      <c r="K61" s="64"/>
      <c r="L61" s="54"/>
      <c r="M61" s="54"/>
      <c r="N61" s="65" t="s">
        <v>84</v>
      </c>
    </row>
    <row r="62" spans="1:14" ht="15.75" customHeight="1">
      <c r="A62" s="125" t="s">
        <v>151</v>
      </c>
      <c r="B62" s="126"/>
      <c r="C62" s="26">
        <v>8500</v>
      </c>
      <c r="D62" s="26"/>
      <c r="E62" s="27">
        <v>10800</v>
      </c>
      <c r="F62" s="28">
        <f t="shared" si="6"/>
        <v>0</v>
      </c>
      <c r="G62" s="57">
        <f t="shared" si="6"/>
        <v>17</v>
      </c>
      <c r="H62" s="29">
        <f t="shared" si="7"/>
        <v>0</v>
      </c>
      <c r="I62" s="58">
        <f t="shared" si="7"/>
        <v>18</v>
      </c>
      <c r="J62" s="31">
        <v>21.8</v>
      </c>
      <c r="K62" s="32"/>
      <c r="L62" s="33" t="s">
        <v>42</v>
      </c>
      <c r="M62" s="33"/>
      <c r="N62" s="35" t="s">
        <v>152</v>
      </c>
    </row>
    <row r="63" spans="1:14" ht="15.75" customHeight="1">
      <c r="A63" s="127" t="s">
        <v>153</v>
      </c>
      <c r="B63" s="128"/>
      <c r="C63" s="36">
        <v>20500</v>
      </c>
      <c r="D63" s="36">
        <v>26500</v>
      </c>
      <c r="E63" s="37">
        <v>20500</v>
      </c>
      <c r="F63" s="129">
        <f t="shared" si="6"/>
        <v>0</v>
      </c>
      <c r="G63" s="75">
        <f t="shared" si="6"/>
        <v>41</v>
      </c>
      <c r="H63" s="75">
        <f>D63/500</f>
        <v>53</v>
      </c>
      <c r="I63" s="39">
        <f>E63/500</f>
        <v>41</v>
      </c>
      <c r="J63" s="40">
        <v>41</v>
      </c>
      <c r="K63" s="41"/>
      <c r="L63" s="130" t="s">
        <v>154</v>
      </c>
      <c r="M63" s="130" t="s">
        <v>155</v>
      </c>
      <c r="N63" s="43" t="s">
        <v>460</v>
      </c>
    </row>
    <row r="64" spans="1:14" ht="15.75" customHeight="1">
      <c r="A64" s="127" t="s">
        <v>156</v>
      </c>
      <c r="B64" s="128"/>
      <c r="C64" s="36"/>
      <c r="D64" s="36"/>
      <c r="E64" s="37">
        <v>42100</v>
      </c>
      <c r="F64" s="129">
        <f t="shared" si="6"/>
        <v>0</v>
      </c>
      <c r="G64" s="38">
        <f t="shared" si="6"/>
        <v>0</v>
      </c>
      <c r="H64" s="38">
        <f t="shared" ref="H64:I101" si="8">D64/600</f>
        <v>0</v>
      </c>
      <c r="I64" s="48">
        <f t="shared" si="8"/>
        <v>70.166666666666671</v>
      </c>
      <c r="J64" s="40">
        <v>70.2</v>
      </c>
      <c r="K64" s="41"/>
      <c r="L64" s="42"/>
      <c r="M64" s="42"/>
      <c r="N64" s="43" t="s">
        <v>157</v>
      </c>
    </row>
    <row r="65" spans="1:14" ht="15.75" customHeight="1">
      <c r="A65" s="127" t="s">
        <v>158</v>
      </c>
      <c r="B65" s="128"/>
      <c r="C65" s="36">
        <v>3000</v>
      </c>
      <c r="D65" s="36"/>
      <c r="E65" s="37">
        <v>3500</v>
      </c>
      <c r="F65" s="129">
        <f t="shared" si="6"/>
        <v>0</v>
      </c>
      <c r="G65" s="38">
        <f t="shared" si="6"/>
        <v>6</v>
      </c>
      <c r="H65" s="38">
        <f t="shared" si="8"/>
        <v>0</v>
      </c>
      <c r="I65" s="48">
        <f t="shared" si="8"/>
        <v>5.833333333333333</v>
      </c>
      <c r="J65" s="40">
        <v>5.8</v>
      </c>
      <c r="K65" s="41"/>
      <c r="L65" s="60" t="s">
        <v>50</v>
      </c>
      <c r="M65" s="42"/>
      <c r="N65" s="43" t="s">
        <v>50</v>
      </c>
    </row>
    <row r="66" spans="1:14" ht="15.75" customHeight="1">
      <c r="A66" s="127" t="s">
        <v>159</v>
      </c>
      <c r="B66" s="128"/>
      <c r="C66" s="36"/>
      <c r="D66" s="36"/>
      <c r="E66" s="37"/>
      <c r="F66" s="129">
        <f t="shared" si="6"/>
        <v>0</v>
      </c>
      <c r="G66" s="38">
        <f t="shared" si="6"/>
        <v>0</v>
      </c>
      <c r="H66" s="38">
        <f t="shared" si="8"/>
        <v>0</v>
      </c>
      <c r="I66" s="67">
        <f t="shared" si="8"/>
        <v>0</v>
      </c>
      <c r="K66" s="41"/>
      <c r="L66" s="42"/>
      <c r="M66" s="42"/>
      <c r="N66" s="43"/>
    </row>
    <row r="67" spans="1:14" ht="15.75" customHeight="1">
      <c r="A67" s="127" t="s">
        <v>160</v>
      </c>
      <c r="B67" s="128"/>
      <c r="C67" s="36">
        <v>5900</v>
      </c>
      <c r="D67" s="36"/>
      <c r="E67" s="37">
        <v>7000</v>
      </c>
      <c r="F67" s="129">
        <f t="shared" si="6"/>
        <v>0</v>
      </c>
      <c r="G67" s="38">
        <f t="shared" si="6"/>
        <v>11.8</v>
      </c>
      <c r="H67" s="38">
        <f t="shared" si="8"/>
        <v>0</v>
      </c>
      <c r="I67" s="48">
        <f t="shared" si="8"/>
        <v>11.666666666666666</v>
      </c>
      <c r="J67" s="40">
        <v>13.2</v>
      </c>
      <c r="K67" s="41"/>
      <c r="L67" s="42"/>
      <c r="M67" s="42"/>
      <c r="N67" s="43" t="s">
        <v>84</v>
      </c>
    </row>
    <row r="68" spans="1:14" ht="15.75" customHeight="1">
      <c r="A68" s="127" t="s">
        <v>161</v>
      </c>
      <c r="B68" s="128"/>
      <c r="C68" s="36">
        <v>11300</v>
      </c>
      <c r="D68" s="36">
        <v>14000</v>
      </c>
      <c r="E68" s="37"/>
      <c r="F68" s="129">
        <f t="shared" si="6"/>
        <v>0</v>
      </c>
      <c r="G68" s="38">
        <f t="shared" si="6"/>
        <v>22.6</v>
      </c>
      <c r="H68" s="38">
        <f t="shared" si="8"/>
        <v>23.333333333333332</v>
      </c>
      <c r="I68" s="39">
        <f t="shared" si="8"/>
        <v>0</v>
      </c>
      <c r="J68" s="40">
        <v>22.6</v>
      </c>
      <c r="K68" s="41"/>
      <c r="L68" s="42" t="s">
        <v>42</v>
      </c>
      <c r="M68" s="47"/>
      <c r="N68" s="43"/>
    </row>
    <row r="69" spans="1:14" ht="15.75" customHeight="1">
      <c r="A69" s="127" t="s">
        <v>162</v>
      </c>
      <c r="B69" s="128"/>
      <c r="C69" s="36">
        <v>14000</v>
      </c>
      <c r="D69" s="36"/>
      <c r="E69" s="37"/>
      <c r="F69" s="129">
        <f t="shared" si="6"/>
        <v>0</v>
      </c>
      <c r="G69" s="38">
        <f t="shared" si="6"/>
        <v>28</v>
      </c>
      <c r="H69" s="38">
        <f t="shared" si="8"/>
        <v>0</v>
      </c>
      <c r="I69" s="39">
        <f t="shared" si="8"/>
        <v>0</v>
      </c>
      <c r="J69" s="40">
        <v>28</v>
      </c>
      <c r="K69" s="41"/>
      <c r="L69" s="42" t="s">
        <v>65</v>
      </c>
      <c r="M69" s="42"/>
      <c r="N69" s="43"/>
    </row>
    <row r="70" spans="1:14" ht="15.75" customHeight="1">
      <c r="A70" s="127" t="s">
        <v>163</v>
      </c>
      <c r="B70" s="128"/>
      <c r="C70" s="36">
        <v>3600</v>
      </c>
      <c r="D70" s="36"/>
      <c r="E70" s="37">
        <v>3800</v>
      </c>
      <c r="F70" s="129">
        <f t="shared" si="6"/>
        <v>0</v>
      </c>
      <c r="G70" s="38">
        <f t="shared" si="6"/>
        <v>7.2</v>
      </c>
      <c r="H70" s="38">
        <f t="shared" si="8"/>
        <v>0</v>
      </c>
      <c r="I70" s="39">
        <f t="shared" si="8"/>
        <v>6.333333333333333</v>
      </c>
      <c r="J70" s="40">
        <v>6.3</v>
      </c>
      <c r="K70" s="41"/>
      <c r="L70" s="42" t="s">
        <v>164</v>
      </c>
      <c r="M70" s="42"/>
      <c r="N70" s="43"/>
    </row>
    <row r="71" spans="1:14" ht="15.75" customHeight="1">
      <c r="A71" s="127" t="s">
        <v>165</v>
      </c>
      <c r="B71" s="128"/>
      <c r="C71" s="36">
        <v>10500</v>
      </c>
      <c r="D71" s="36"/>
      <c r="E71" s="37">
        <v>12600</v>
      </c>
      <c r="F71" s="129">
        <f t="shared" si="6"/>
        <v>0</v>
      </c>
      <c r="G71" s="38">
        <f t="shared" si="6"/>
        <v>21</v>
      </c>
      <c r="H71" s="38">
        <f t="shared" si="8"/>
        <v>0</v>
      </c>
      <c r="I71" s="39">
        <f t="shared" si="8"/>
        <v>21</v>
      </c>
      <c r="J71" s="40">
        <v>21</v>
      </c>
      <c r="K71" s="41"/>
      <c r="L71" s="42" t="s">
        <v>166</v>
      </c>
      <c r="M71" s="42"/>
      <c r="N71" s="43" t="s">
        <v>167</v>
      </c>
    </row>
    <row r="72" spans="1:14" ht="15.75" customHeight="1">
      <c r="A72" s="127" t="s">
        <v>169</v>
      </c>
      <c r="B72" s="128"/>
      <c r="C72" s="36">
        <v>10700</v>
      </c>
      <c r="D72" s="36">
        <v>15000</v>
      </c>
      <c r="E72" s="37"/>
      <c r="F72" s="129">
        <f t="shared" si="6"/>
        <v>0</v>
      </c>
      <c r="G72" s="38">
        <f t="shared" si="6"/>
        <v>21.4</v>
      </c>
      <c r="H72" s="38">
        <f t="shared" si="8"/>
        <v>25</v>
      </c>
      <c r="I72" s="39">
        <f t="shared" si="8"/>
        <v>0</v>
      </c>
      <c r="J72" s="40">
        <v>23.3</v>
      </c>
      <c r="K72" s="41"/>
      <c r="L72" s="42"/>
      <c r="M72" s="42"/>
      <c r="N72" s="43"/>
    </row>
    <row r="73" spans="1:14" ht="15.75" customHeight="1">
      <c r="A73" s="127" t="s">
        <v>170</v>
      </c>
      <c r="B73" s="128"/>
      <c r="C73" s="36"/>
      <c r="D73" s="36"/>
      <c r="E73" s="37"/>
      <c r="F73" s="129">
        <f t="shared" si="6"/>
        <v>0</v>
      </c>
      <c r="G73" s="38">
        <f t="shared" si="6"/>
        <v>0</v>
      </c>
      <c r="H73" s="38">
        <f t="shared" si="8"/>
        <v>0</v>
      </c>
      <c r="I73" s="39">
        <f t="shared" si="8"/>
        <v>0</v>
      </c>
      <c r="K73" s="41"/>
      <c r="L73" s="42"/>
      <c r="M73" s="42"/>
      <c r="N73" s="43"/>
    </row>
    <row r="74" spans="1:14" ht="15.75" customHeight="1">
      <c r="A74" s="127" t="s">
        <v>171</v>
      </c>
      <c r="B74" s="128"/>
      <c r="C74" s="36">
        <v>21500</v>
      </c>
      <c r="D74" s="36">
        <v>32000</v>
      </c>
      <c r="E74" s="37">
        <v>30600</v>
      </c>
      <c r="F74" s="129">
        <f t="shared" si="6"/>
        <v>0</v>
      </c>
      <c r="G74" s="44">
        <f t="shared" si="6"/>
        <v>43</v>
      </c>
      <c r="H74" s="38">
        <f t="shared" si="8"/>
        <v>53.333333333333336</v>
      </c>
      <c r="I74" s="39">
        <f t="shared" si="8"/>
        <v>51</v>
      </c>
      <c r="J74" s="40">
        <v>43</v>
      </c>
      <c r="K74" s="41"/>
      <c r="L74" s="42" t="s">
        <v>172</v>
      </c>
      <c r="M74" s="47"/>
      <c r="N74" s="43"/>
    </row>
    <row r="75" spans="1:14" ht="15.75" customHeight="1">
      <c r="A75" s="127" t="s">
        <v>173</v>
      </c>
      <c r="B75" s="128">
        <v>9800</v>
      </c>
      <c r="C75" s="36">
        <v>9000</v>
      </c>
      <c r="D75" s="36">
        <v>15000</v>
      </c>
      <c r="E75" s="37">
        <v>9200</v>
      </c>
      <c r="F75" s="129">
        <f t="shared" si="6"/>
        <v>19.600000000000001</v>
      </c>
      <c r="G75" s="38">
        <f t="shared" si="6"/>
        <v>18</v>
      </c>
      <c r="H75" s="38">
        <f t="shared" si="8"/>
        <v>25</v>
      </c>
      <c r="I75" s="48">
        <f t="shared" si="8"/>
        <v>15.333333333333334</v>
      </c>
      <c r="J75" s="40">
        <v>19.600000000000001</v>
      </c>
      <c r="K75" s="68" t="s">
        <v>392</v>
      </c>
      <c r="L75" s="42" t="s">
        <v>174</v>
      </c>
      <c r="M75" s="42"/>
      <c r="N75" s="43" t="s">
        <v>44</v>
      </c>
    </row>
    <row r="76" spans="1:14" ht="15.75" customHeight="1">
      <c r="A76" s="127" t="s">
        <v>175</v>
      </c>
      <c r="B76" s="128">
        <v>16900</v>
      </c>
      <c r="C76" s="36">
        <v>13200</v>
      </c>
      <c r="D76" s="36">
        <v>16500</v>
      </c>
      <c r="E76" s="37">
        <v>16300</v>
      </c>
      <c r="F76" s="129">
        <f t="shared" si="6"/>
        <v>33.799999999999997</v>
      </c>
      <c r="G76" s="38">
        <f t="shared" si="6"/>
        <v>26.4</v>
      </c>
      <c r="H76" s="44">
        <f t="shared" si="8"/>
        <v>27.5</v>
      </c>
      <c r="I76" s="39">
        <f t="shared" si="8"/>
        <v>27.166666666666668</v>
      </c>
      <c r="J76" s="40">
        <v>26.4</v>
      </c>
      <c r="K76" s="41"/>
      <c r="L76" s="42" t="s">
        <v>388</v>
      </c>
      <c r="M76" s="42" t="s">
        <v>62</v>
      </c>
      <c r="N76" s="43" t="s">
        <v>42</v>
      </c>
    </row>
    <row r="77" spans="1:14" ht="15.75" customHeight="1">
      <c r="A77" s="127" t="s">
        <v>176</v>
      </c>
      <c r="B77" s="128"/>
      <c r="C77" s="36"/>
      <c r="D77" s="36"/>
      <c r="E77" s="37"/>
      <c r="F77" s="129">
        <f t="shared" si="6"/>
        <v>0</v>
      </c>
      <c r="G77" s="38">
        <f t="shared" si="6"/>
        <v>0</v>
      </c>
      <c r="H77" s="38">
        <f t="shared" si="8"/>
        <v>0</v>
      </c>
      <c r="I77" s="39">
        <f t="shared" si="8"/>
        <v>0</v>
      </c>
      <c r="K77" s="41"/>
      <c r="L77" s="42"/>
      <c r="M77" s="42"/>
      <c r="N77" s="43"/>
    </row>
    <row r="78" spans="1:14" ht="15.75" customHeight="1">
      <c r="A78" s="127" t="s">
        <v>177</v>
      </c>
      <c r="B78" s="128"/>
      <c r="C78" s="36">
        <v>14000</v>
      </c>
      <c r="D78" s="36"/>
      <c r="E78" s="37">
        <v>18200</v>
      </c>
      <c r="F78" s="129">
        <f t="shared" si="6"/>
        <v>0</v>
      </c>
      <c r="G78" s="38">
        <f t="shared" si="6"/>
        <v>28</v>
      </c>
      <c r="H78" s="38">
        <f t="shared" si="8"/>
        <v>0</v>
      </c>
      <c r="I78" s="39">
        <f t="shared" si="8"/>
        <v>30.333333333333332</v>
      </c>
      <c r="J78" s="40">
        <v>30.3</v>
      </c>
      <c r="K78" s="41"/>
      <c r="L78" s="42"/>
      <c r="M78" s="42"/>
      <c r="N78" s="43" t="s">
        <v>84</v>
      </c>
    </row>
    <row r="79" spans="1:14" ht="15.75" customHeight="1">
      <c r="A79" s="127" t="s">
        <v>178</v>
      </c>
      <c r="B79" s="128"/>
      <c r="C79" s="36">
        <v>6300</v>
      </c>
      <c r="D79" s="36"/>
      <c r="E79" s="37"/>
      <c r="F79" s="129">
        <f t="shared" si="6"/>
        <v>0</v>
      </c>
      <c r="G79" s="38">
        <f>C79/600</f>
        <v>10.5</v>
      </c>
      <c r="H79" s="38">
        <f t="shared" si="8"/>
        <v>0</v>
      </c>
      <c r="I79" s="39">
        <f t="shared" si="8"/>
        <v>0</v>
      </c>
      <c r="J79" s="40">
        <v>10.5</v>
      </c>
      <c r="K79" s="41"/>
      <c r="L79" s="42" t="s">
        <v>179</v>
      </c>
      <c r="M79" s="42"/>
      <c r="N79" s="43"/>
    </row>
    <row r="80" spans="1:14" ht="15.75" customHeight="1">
      <c r="A80" s="127" t="s">
        <v>180</v>
      </c>
      <c r="B80" s="128"/>
      <c r="C80" s="36">
        <v>23000</v>
      </c>
      <c r="D80" s="36"/>
      <c r="E80" s="37">
        <v>29900</v>
      </c>
      <c r="F80" s="129">
        <f t="shared" si="6"/>
        <v>0</v>
      </c>
      <c r="G80" s="44">
        <f>C80/500</f>
        <v>46</v>
      </c>
      <c r="H80" s="38">
        <f t="shared" si="8"/>
        <v>0</v>
      </c>
      <c r="I80" s="39">
        <f t="shared" si="8"/>
        <v>49.833333333333336</v>
      </c>
      <c r="J80" s="40">
        <v>49.8</v>
      </c>
      <c r="K80" s="41"/>
      <c r="L80" s="42" t="s">
        <v>42</v>
      </c>
      <c r="M80" s="42"/>
      <c r="N80" s="43" t="s">
        <v>181</v>
      </c>
    </row>
    <row r="81" spans="1:14" ht="15.75" customHeight="1">
      <c r="A81" s="127" t="s">
        <v>461</v>
      </c>
      <c r="B81" s="128"/>
      <c r="C81" s="36">
        <v>10000</v>
      </c>
      <c r="D81" s="36"/>
      <c r="E81" s="37"/>
      <c r="F81" s="129">
        <f t="shared" si="6"/>
        <v>0</v>
      </c>
      <c r="G81" s="44">
        <f>C81/600</f>
        <v>16.666666666666668</v>
      </c>
      <c r="H81" s="38">
        <f t="shared" si="8"/>
        <v>0</v>
      </c>
      <c r="I81" s="39">
        <f t="shared" si="8"/>
        <v>0</v>
      </c>
      <c r="J81" s="40">
        <v>16.7</v>
      </c>
      <c r="K81" s="41"/>
      <c r="L81" s="42" t="s">
        <v>368</v>
      </c>
      <c r="M81" s="42"/>
      <c r="N81" s="43"/>
    </row>
    <row r="82" spans="1:14" ht="15.75" customHeight="1">
      <c r="A82" s="127" t="s">
        <v>182</v>
      </c>
      <c r="B82" s="128"/>
      <c r="C82" s="36">
        <v>20500</v>
      </c>
      <c r="D82" s="36"/>
      <c r="E82" s="37">
        <v>16600</v>
      </c>
      <c r="F82" s="129">
        <f t="shared" si="6"/>
        <v>0</v>
      </c>
      <c r="G82" s="38">
        <f>C82/600</f>
        <v>34.166666666666664</v>
      </c>
      <c r="H82" s="38">
        <f t="shared" si="8"/>
        <v>0</v>
      </c>
      <c r="I82" s="39">
        <f t="shared" si="8"/>
        <v>27.666666666666668</v>
      </c>
      <c r="K82" s="41"/>
      <c r="L82" s="42" t="s">
        <v>183</v>
      </c>
      <c r="M82" s="42"/>
      <c r="N82" s="43" t="s">
        <v>59</v>
      </c>
    </row>
    <row r="83" spans="1:14" ht="15.75" customHeight="1">
      <c r="A83" s="127" t="s">
        <v>377</v>
      </c>
      <c r="B83" s="128">
        <v>9900</v>
      </c>
      <c r="C83" s="36">
        <v>4400</v>
      </c>
      <c r="D83" s="36">
        <v>7000</v>
      </c>
      <c r="E83" s="37">
        <v>5800</v>
      </c>
      <c r="F83" s="129">
        <f t="shared" si="6"/>
        <v>19.8</v>
      </c>
      <c r="G83" s="38">
        <f t="shared" si="6"/>
        <v>8.8000000000000007</v>
      </c>
      <c r="H83" s="38">
        <f t="shared" si="8"/>
        <v>11.666666666666666</v>
      </c>
      <c r="I83" s="48">
        <f t="shared" si="8"/>
        <v>9.6666666666666661</v>
      </c>
      <c r="J83" s="40">
        <v>9.8000000000000007</v>
      </c>
      <c r="K83" s="96" t="s">
        <v>168</v>
      </c>
      <c r="L83" s="47"/>
      <c r="M83" s="42"/>
      <c r="N83" s="45" t="s">
        <v>84</v>
      </c>
    </row>
    <row r="84" spans="1:14" ht="15.75" customHeight="1">
      <c r="A84" s="127" t="s">
        <v>184</v>
      </c>
      <c r="B84" s="128"/>
      <c r="C84" s="36">
        <v>5200</v>
      </c>
      <c r="D84" s="36"/>
      <c r="E84" s="37"/>
      <c r="F84" s="129">
        <f t="shared" ref="F84:G116" si="9">B84/500</f>
        <v>0</v>
      </c>
      <c r="G84" s="38">
        <f t="shared" si="9"/>
        <v>10.4</v>
      </c>
      <c r="H84" s="38">
        <f t="shared" si="8"/>
        <v>0</v>
      </c>
      <c r="I84" s="39">
        <f t="shared" si="8"/>
        <v>0</v>
      </c>
      <c r="J84" s="40">
        <v>10.4</v>
      </c>
      <c r="K84" s="41"/>
      <c r="L84" s="42" t="s">
        <v>185</v>
      </c>
      <c r="M84" s="42"/>
      <c r="N84" s="43"/>
    </row>
    <row r="85" spans="1:14" ht="15.75" customHeight="1">
      <c r="A85" s="127" t="s">
        <v>378</v>
      </c>
      <c r="B85" s="128"/>
      <c r="C85" s="36"/>
      <c r="D85" s="36">
        <v>16000</v>
      </c>
      <c r="E85" s="37"/>
      <c r="F85" s="129">
        <f t="shared" si="9"/>
        <v>0</v>
      </c>
      <c r="G85" s="38">
        <f t="shared" si="9"/>
        <v>0</v>
      </c>
      <c r="H85" s="38">
        <f t="shared" si="8"/>
        <v>26.666666666666668</v>
      </c>
      <c r="I85" s="39">
        <f t="shared" si="8"/>
        <v>0</v>
      </c>
      <c r="K85" s="41"/>
      <c r="L85" s="42"/>
      <c r="M85" s="47"/>
      <c r="N85" s="43"/>
    </row>
    <row r="86" spans="1:14" ht="15.75" customHeight="1">
      <c r="A86" s="127" t="s">
        <v>186</v>
      </c>
      <c r="B86" s="128"/>
      <c r="C86" s="36">
        <v>4500</v>
      </c>
      <c r="D86" s="36">
        <v>6500</v>
      </c>
      <c r="E86" s="37">
        <v>5900</v>
      </c>
      <c r="F86" s="129">
        <f t="shared" si="9"/>
        <v>0</v>
      </c>
      <c r="G86" s="38">
        <f t="shared" si="9"/>
        <v>9</v>
      </c>
      <c r="H86" s="38">
        <f t="shared" si="8"/>
        <v>10.833333333333334</v>
      </c>
      <c r="I86" s="39">
        <f t="shared" si="8"/>
        <v>9.8333333333333339</v>
      </c>
      <c r="J86" s="40">
        <v>10.8</v>
      </c>
      <c r="K86" s="41"/>
      <c r="L86" s="42" t="s">
        <v>50</v>
      </c>
      <c r="M86" s="42"/>
      <c r="N86" s="43" t="s">
        <v>65</v>
      </c>
    </row>
    <row r="87" spans="1:14" ht="15.75" customHeight="1">
      <c r="A87" s="127" t="s">
        <v>462</v>
      </c>
      <c r="B87" s="128"/>
      <c r="C87" s="36"/>
      <c r="D87" s="36"/>
      <c r="E87" s="37">
        <v>6200</v>
      </c>
      <c r="F87" s="129"/>
      <c r="G87" s="38"/>
      <c r="H87" s="38"/>
      <c r="I87" s="39">
        <f t="shared" si="8"/>
        <v>10.333333333333334</v>
      </c>
      <c r="J87" s="40">
        <v>10.3</v>
      </c>
      <c r="K87" s="41"/>
      <c r="L87" s="42"/>
      <c r="M87" s="42"/>
      <c r="N87" s="43"/>
    </row>
    <row r="88" spans="1:14" ht="15.75" customHeight="1">
      <c r="A88" s="127" t="s">
        <v>187</v>
      </c>
      <c r="B88" s="128"/>
      <c r="C88" s="36"/>
      <c r="D88" s="36">
        <v>11000</v>
      </c>
      <c r="E88" s="37">
        <v>11900</v>
      </c>
      <c r="F88" s="129">
        <f t="shared" si="9"/>
        <v>0</v>
      </c>
      <c r="G88" s="38">
        <f t="shared" si="9"/>
        <v>0</v>
      </c>
      <c r="H88" s="44">
        <f t="shared" si="8"/>
        <v>18.333333333333332</v>
      </c>
      <c r="I88" s="39">
        <f t="shared" si="8"/>
        <v>19.833333333333332</v>
      </c>
      <c r="J88" s="40">
        <v>18.3</v>
      </c>
      <c r="K88" s="41"/>
      <c r="L88" s="42"/>
      <c r="M88" s="47" t="s">
        <v>188</v>
      </c>
      <c r="N88" s="43" t="s">
        <v>189</v>
      </c>
    </row>
    <row r="89" spans="1:14" ht="15.75" customHeight="1" thickBot="1">
      <c r="A89" s="131" t="s">
        <v>190</v>
      </c>
      <c r="B89" s="132"/>
      <c r="C89" s="49">
        <v>4200</v>
      </c>
      <c r="D89" s="49">
        <v>7000</v>
      </c>
      <c r="E89" s="50">
        <v>5000</v>
      </c>
      <c r="F89" s="80">
        <f t="shared" si="9"/>
        <v>0</v>
      </c>
      <c r="G89" s="51">
        <f t="shared" si="9"/>
        <v>8.4</v>
      </c>
      <c r="H89" s="51">
        <f t="shared" si="8"/>
        <v>11.666666666666666</v>
      </c>
      <c r="I89" s="63">
        <f t="shared" si="8"/>
        <v>8.3333333333333339</v>
      </c>
      <c r="J89" s="52">
        <v>8.3000000000000007</v>
      </c>
      <c r="K89" s="64"/>
      <c r="L89" s="54"/>
      <c r="M89" s="54"/>
      <c r="N89" s="65" t="s">
        <v>114</v>
      </c>
    </row>
    <row r="90" spans="1:14" ht="15.75" customHeight="1">
      <c r="A90" s="134" t="s">
        <v>191</v>
      </c>
      <c r="B90" s="126"/>
      <c r="C90" s="26">
        <v>10500</v>
      </c>
      <c r="D90" s="26">
        <v>16500</v>
      </c>
      <c r="E90" s="27">
        <v>12600</v>
      </c>
      <c r="F90" s="28">
        <f t="shared" si="9"/>
        <v>0</v>
      </c>
      <c r="G90" s="29">
        <f t="shared" si="9"/>
        <v>21</v>
      </c>
      <c r="H90" s="29">
        <f t="shared" si="8"/>
        <v>27.5</v>
      </c>
      <c r="I90" s="58">
        <f t="shared" si="8"/>
        <v>21</v>
      </c>
      <c r="J90" s="31">
        <v>27.2</v>
      </c>
      <c r="K90" s="32"/>
      <c r="L90" s="33"/>
      <c r="M90" s="33"/>
      <c r="N90" s="35" t="s">
        <v>84</v>
      </c>
    </row>
    <row r="91" spans="1:14" ht="15.75" customHeight="1">
      <c r="A91" s="136" t="s">
        <v>192</v>
      </c>
      <c r="B91" s="128"/>
      <c r="C91" s="36">
        <v>13200</v>
      </c>
      <c r="D91" s="36">
        <v>15000</v>
      </c>
      <c r="E91" s="37">
        <v>13100</v>
      </c>
      <c r="F91" s="129">
        <f t="shared" si="9"/>
        <v>0</v>
      </c>
      <c r="G91" s="38">
        <f t="shared" si="9"/>
        <v>26.4</v>
      </c>
      <c r="H91" s="38">
        <f t="shared" si="8"/>
        <v>25</v>
      </c>
      <c r="I91" s="48">
        <f t="shared" si="8"/>
        <v>21.833333333333332</v>
      </c>
      <c r="J91" s="40">
        <v>21.8</v>
      </c>
      <c r="K91" s="41"/>
      <c r="L91" s="42" t="s">
        <v>193</v>
      </c>
      <c r="M91" s="47" t="s">
        <v>193</v>
      </c>
      <c r="N91" s="69" t="s">
        <v>194</v>
      </c>
    </row>
    <row r="92" spans="1:14" ht="15.75" customHeight="1">
      <c r="A92" s="136" t="s">
        <v>195</v>
      </c>
      <c r="B92" s="128"/>
      <c r="C92" s="36">
        <v>3500</v>
      </c>
      <c r="D92" s="36">
        <v>4500</v>
      </c>
      <c r="E92" s="37">
        <v>5000</v>
      </c>
      <c r="F92" s="129">
        <f t="shared" si="9"/>
        <v>0</v>
      </c>
      <c r="G92" s="44">
        <f t="shared" si="9"/>
        <v>7</v>
      </c>
      <c r="H92" s="38">
        <f t="shared" si="8"/>
        <v>7.5</v>
      </c>
      <c r="I92" s="39">
        <f t="shared" si="8"/>
        <v>8.3333333333333339</v>
      </c>
      <c r="J92" s="40">
        <v>7</v>
      </c>
      <c r="K92" s="41"/>
      <c r="L92" s="42" t="s">
        <v>164</v>
      </c>
      <c r="M92" s="47"/>
      <c r="N92" s="45" t="s">
        <v>84</v>
      </c>
    </row>
    <row r="93" spans="1:14" ht="15.75" customHeight="1">
      <c r="A93" s="136" t="s">
        <v>196</v>
      </c>
      <c r="B93" s="128"/>
      <c r="C93" s="36">
        <v>12500</v>
      </c>
      <c r="D93" s="36">
        <v>24000</v>
      </c>
      <c r="E93" s="37">
        <v>15600</v>
      </c>
      <c r="F93" s="129">
        <f t="shared" si="9"/>
        <v>0</v>
      </c>
      <c r="G93" s="44">
        <f t="shared" si="9"/>
        <v>25</v>
      </c>
      <c r="H93" s="38">
        <f t="shared" si="8"/>
        <v>40</v>
      </c>
      <c r="I93" s="39">
        <f t="shared" si="8"/>
        <v>26</v>
      </c>
      <c r="J93" s="40">
        <v>27.7</v>
      </c>
      <c r="K93" s="41"/>
      <c r="L93" s="42" t="s">
        <v>197</v>
      </c>
      <c r="M93" s="47" t="s">
        <v>198</v>
      </c>
      <c r="N93" s="43" t="s">
        <v>199</v>
      </c>
    </row>
    <row r="94" spans="1:14" ht="15.75" customHeight="1">
      <c r="A94" s="136" t="s">
        <v>200</v>
      </c>
      <c r="B94" s="128"/>
      <c r="C94" s="36">
        <v>10400</v>
      </c>
      <c r="D94" s="36">
        <v>11000</v>
      </c>
      <c r="E94" s="37">
        <v>24600</v>
      </c>
      <c r="F94" s="129">
        <f t="shared" si="9"/>
        <v>0</v>
      </c>
      <c r="G94" s="38">
        <f t="shared" si="9"/>
        <v>20.8</v>
      </c>
      <c r="H94" s="44">
        <f t="shared" si="8"/>
        <v>18.333333333333332</v>
      </c>
      <c r="I94" s="39">
        <f t="shared" si="8"/>
        <v>41</v>
      </c>
      <c r="J94" s="40">
        <v>18.3</v>
      </c>
      <c r="K94" s="41"/>
      <c r="L94" s="42" t="s">
        <v>201</v>
      </c>
      <c r="M94" s="61" t="s">
        <v>202</v>
      </c>
      <c r="N94" s="43" t="s">
        <v>203</v>
      </c>
    </row>
    <row r="95" spans="1:14" ht="15.75" customHeight="1">
      <c r="A95" s="136" t="s">
        <v>204</v>
      </c>
      <c r="B95" s="128"/>
      <c r="C95" s="36">
        <v>125800</v>
      </c>
      <c r="D95" s="36"/>
      <c r="E95" s="37">
        <v>169000</v>
      </c>
      <c r="F95" s="129">
        <f t="shared" si="9"/>
        <v>0</v>
      </c>
      <c r="G95" s="38">
        <f t="shared" si="9"/>
        <v>251.6</v>
      </c>
      <c r="H95" s="38">
        <f t="shared" si="8"/>
        <v>0</v>
      </c>
      <c r="I95" s="39">
        <f t="shared" si="8"/>
        <v>281.66666666666669</v>
      </c>
      <c r="K95" s="41"/>
      <c r="L95" s="130" t="s">
        <v>205</v>
      </c>
      <c r="M95" s="42"/>
      <c r="N95" s="43" t="s">
        <v>206</v>
      </c>
    </row>
    <row r="96" spans="1:14" ht="15.75" customHeight="1">
      <c r="A96" s="136" t="s">
        <v>207</v>
      </c>
      <c r="B96" s="128"/>
      <c r="C96" s="36">
        <v>3800</v>
      </c>
      <c r="D96" s="36">
        <v>5500</v>
      </c>
      <c r="E96" s="37">
        <v>4900</v>
      </c>
      <c r="F96" s="129">
        <f t="shared" si="9"/>
        <v>0</v>
      </c>
      <c r="G96" s="38">
        <f t="shared" si="9"/>
        <v>7.6</v>
      </c>
      <c r="H96" s="38">
        <f t="shared" si="8"/>
        <v>9.1666666666666661</v>
      </c>
      <c r="I96" s="39">
        <f t="shared" si="8"/>
        <v>8.1666666666666661</v>
      </c>
      <c r="J96" s="40">
        <v>9.1999999999999993</v>
      </c>
      <c r="K96" s="41"/>
      <c r="L96" s="42" t="s">
        <v>65</v>
      </c>
      <c r="M96" s="42"/>
      <c r="N96" s="43" t="s">
        <v>84</v>
      </c>
    </row>
    <row r="97" spans="1:14" ht="15.75" customHeight="1">
      <c r="A97" s="136" t="s">
        <v>208</v>
      </c>
      <c r="B97" s="128"/>
      <c r="C97" s="36"/>
      <c r="D97" s="36"/>
      <c r="E97" s="37"/>
      <c r="F97" s="129">
        <f t="shared" si="9"/>
        <v>0</v>
      </c>
      <c r="G97" s="38">
        <f t="shared" si="9"/>
        <v>0</v>
      </c>
      <c r="H97" s="38">
        <f t="shared" si="8"/>
        <v>0</v>
      </c>
      <c r="I97" s="39">
        <f t="shared" si="8"/>
        <v>0</v>
      </c>
      <c r="K97" s="41"/>
      <c r="L97" s="42"/>
      <c r="M97" s="42"/>
      <c r="N97" s="43"/>
    </row>
    <row r="98" spans="1:14" ht="15.75" customHeight="1">
      <c r="A98" s="136" t="s">
        <v>209</v>
      </c>
      <c r="B98" s="128"/>
      <c r="C98" s="36">
        <v>17500</v>
      </c>
      <c r="D98" s="36"/>
      <c r="E98" s="37">
        <v>20100</v>
      </c>
      <c r="F98" s="129">
        <f t="shared" si="9"/>
        <v>0</v>
      </c>
      <c r="G98" s="38">
        <f t="shared" si="9"/>
        <v>35</v>
      </c>
      <c r="H98" s="38">
        <f t="shared" si="8"/>
        <v>0</v>
      </c>
      <c r="I98" s="39">
        <f t="shared" si="8"/>
        <v>33.5</v>
      </c>
      <c r="J98" s="40">
        <v>35</v>
      </c>
      <c r="K98" s="41"/>
      <c r="L98" s="42" t="s">
        <v>42</v>
      </c>
      <c r="M98" s="42"/>
      <c r="N98" s="43" t="s">
        <v>42</v>
      </c>
    </row>
    <row r="99" spans="1:14" ht="15.75" customHeight="1">
      <c r="A99" s="136" t="s">
        <v>210</v>
      </c>
      <c r="B99" s="128"/>
      <c r="C99" s="36"/>
      <c r="D99" s="36"/>
      <c r="E99" s="37"/>
      <c r="F99" s="129">
        <f t="shared" si="9"/>
        <v>0</v>
      </c>
      <c r="G99" s="38">
        <f t="shared" si="9"/>
        <v>0</v>
      </c>
      <c r="H99" s="38">
        <f t="shared" si="8"/>
        <v>0</v>
      </c>
      <c r="I99" s="39">
        <f t="shared" si="8"/>
        <v>0</v>
      </c>
      <c r="K99" s="41"/>
      <c r="L99" s="42"/>
      <c r="M99" s="42"/>
      <c r="N99" s="43"/>
    </row>
    <row r="100" spans="1:14" ht="15.75" customHeight="1">
      <c r="A100" s="136" t="s">
        <v>211</v>
      </c>
      <c r="B100" s="128">
        <v>7500</v>
      </c>
      <c r="C100" s="36">
        <v>7000</v>
      </c>
      <c r="D100" s="36">
        <v>9000</v>
      </c>
      <c r="E100" s="37"/>
      <c r="F100" s="129">
        <f t="shared" si="9"/>
        <v>15</v>
      </c>
      <c r="G100" s="44">
        <f t="shared" si="9"/>
        <v>14</v>
      </c>
      <c r="H100" s="38">
        <f t="shared" si="8"/>
        <v>15</v>
      </c>
      <c r="I100" s="39">
        <f t="shared" si="8"/>
        <v>0</v>
      </c>
      <c r="J100" s="40">
        <v>15</v>
      </c>
      <c r="K100" s="70"/>
      <c r="L100" s="71" t="s">
        <v>152</v>
      </c>
      <c r="M100" s="47" t="s">
        <v>269</v>
      </c>
      <c r="N100" s="43"/>
    </row>
    <row r="101" spans="1:14" ht="15.75" customHeight="1">
      <c r="A101" s="136" t="s">
        <v>212</v>
      </c>
      <c r="B101" s="128">
        <v>10300</v>
      </c>
      <c r="C101" s="36">
        <v>7500</v>
      </c>
      <c r="D101" s="36">
        <v>9000</v>
      </c>
      <c r="E101" s="37"/>
      <c r="F101" s="129">
        <f t="shared" si="9"/>
        <v>20.6</v>
      </c>
      <c r="G101" s="44">
        <f t="shared" si="9"/>
        <v>15</v>
      </c>
      <c r="H101" s="38">
        <f t="shared" si="8"/>
        <v>15</v>
      </c>
      <c r="I101" s="39">
        <f t="shared" si="8"/>
        <v>0</v>
      </c>
      <c r="J101" s="40">
        <v>17.399999999999999</v>
      </c>
      <c r="K101" s="70"/>
      <c r="L101" s="60" t="s">
        <v>152</v>
      </c>
      <c r="M101" s="47"/>
      <c r="N101" s="43"/>
    </row>
    <row r="102" spans="1:14" ht="15.75" customHeight="1">
      <c r="A102" s="136" t="s">
        <v>213</v>
      </c>
      <c r="B102" s="128"/>
      <c r="C102" s="36">
        <v>5500</v>
      </c>
      <c r="D102" s="36">
        <v>5500</v>
      </c>
      <c r="E102" s="37">
        <v>4600</v>
      </c>
      <c r="F102" s="129">
        <f t="shared" si="9"/>
        <v>0</v>
      </c>
      <c r="G102" s="44">
        <f>C102/1000</f>
        <v>5.5</v>
      </c>
      <c r="H102" s="44">
        <f>D102/1000</f>
        <v>5.5</v>
      </c>
      <c r="I102" s="39">
        <f>E102/1000</f>
        <v>4.5999999999999996</v>
      </c>
      <c r="J102" s="40">
        <v>5.5</v>
      </c>
      <c r="K102" s="41"/>
      <c r="L102" s="42" t="s">
        <v>214</v>
      </c>
      <c r="M102" s="42"/>
      <c r="N102" s="43" t="s">
        <v>349</v>
      </c>
    </row>
    <row r="103" spans="1:14" ht="15.75" customHeight="1">
      <c r="A103" s="136" t="s">
        <v>215</v>
      </c>
      <c r="B103" s="128"/>
      <c r="C103" s="36"/>
      <c r="D103" s="36"/>
      <c r="E103" s="37"/>
      <c r="F103" s="129">
        <f t="shared" si="9"/>
        <v>0</v>
      </c>
      <c r="G103" s="38">
        <f t="shared" si="9"/>
        <v>0</v>
      </c>
      <c r="H103" s="38">
        <f t="shared" ref="H103:I110" si="10">D103/600</f>
        <v>0</v>
      </c>
      <c r="I103" s="39">
        <f t="shared" si="10"/>
        <v>0</v>
      </c>
      <c r="K103" s="41"/>
      <c r="L103" s="42"/>
      <c r="M103" s="42"/>
      <c r="N103" s="43"/>
    </row>
    <row r="104" spans="1:14" ht="15.75" customHeight="1">
      <c r="A104" s="136" t="s">
        <v>216</v>
      </c>
      <c r="B104" s="128">
        <v>22400</v>
      </c>
      <c r="C104" s="36">
        <v>15000</v>
      </c>
      <c r="D104" s="36"/>
      <c r="E104" s="37">
        <v>19000</v>
      </c>
      <c r="F104" s="129">
        <f t="shared" si="9"/>
        <v>44.8</v>
      </c>
      <c r="G104" s="38">
        <f t="shared" si="9"/>
        <v>30</v>
      </c>
      <c r="H104" s="38">
        <f t="shared" si="10"/>
        <v>0</v>
      </c>
      <c r="I104" s="39">
        <f t="shared" si="10"/>
        <v>31.666666666666668</v>
      </c>
      <c r="J104" s="40">
        <v>31.5</v>
      </c>
      <c r="K104" s="41"/>
      <c r="L104" s="42" t="s">
        <v>164</v>
      </c>
      <c r="M104" s="47"/>
      <c r="N104" s="43" t="s">
        <v>84</v>
      </c>
    </row>
    <row r="105" spans="1:14" ht="15" customHeight="1">
      <c r="A105" s="136" t="s">
        <v>217</v>
      </c>
      <c r="B105" s="128"/>
      <c r="C105" s="36">
        <v>15000</v>
      </c>
      <c r="D105" s="36">
        <v>20000</v>
      </c>
      <c r="E105" s="37"/>
      <c r="F105" s="129">
        <f t="shared" si="9"/>
        <v>0</v>
      </c>
      <c r="G105" s="38">
        <f t="shared" si="9"/>
        <v>30</v>
      </c>
      <c r="H105" s="38">
        <f t="shared" si="10"/>
        <v>33.333333333333336</v>
      </c>
      <c r="I105" s="39">
        <f t="shared" si="10"/>
        <v>0</v>
      </c>
      <c r="J105" s="40">
        <v>33.299999999999997</v>
      </c>
      <c r="K105" s="41"/>
      <c r="L105" s="42"/>
      <c r="M105" s="42"/>
      <c r="N105" s="43"/>
    </row>
    <row r="106" spans="1:14" ht="15" customHeight="1">
      <c r="A106" s="136" t="s">
        <v>218</v>
      </c>
      <c r="B106" s="128"/>
      <c r="C106" s="36">
        <v>66000</v>
      </c>
      <c r="D106" s="36"/>
      <c r="E106" s="37">
        <v>84500</v>
      </c>
      <c r="F106" s="129">
        <f t="shared" si="9"/>
        <v>0</v>
      </c>
      <c r="G106" s="44">
        <f t="shared" si="9"/>
        <v>132</v>
      </c>
      <c r="H106" s="38">
        <f t="shared" si="10"/>
        <v>0</v>
      </c>
      <c r="I106" s="39">
        <f t="shared" si="10"/>
        <v>140.83333333333334</v>
      </c>
      <c r="J106" s="40">
        <v>145.19999999999999</v>
      </c>
      <c r="K106" s="41"/>
      <c r="L106" s="60" t="s">
        <v>65</v>
      </c>
      <c r="M106" s="42"/>
      <c r="N106" s="43" t="s">
        <v>84</v>
      </c>
    </row>
    <row r="107" spans="1:14" ht="15" customHeight="1">
      <c r="A107" s="136" t="s">
        <v>219</v>
      </c>
      <c r="B107" s="128"/>
      <c r="C107" s="36">
        <v>3100</v>
      </c>
      <c r="D107" s="36">
        <v>5000</v>
      </c>
      <c r="E107" s="37">
        <v>3700</v>
      </c>
      <c r="F107" s="129">
        <f t="shared" si="9"/>
        <v>0</v>
      </c>
      <c r="G107" s="38">
        <f t="shared" si="9"/>
        <v>6.2</v>
      </c>
      <c r="H107" s="38">
        <f t="shared" si="10"/>
        <v>8.3333333333333339</v>
      </c>
      <c r="I107" s="39">
        <f t="shared" si="10"/>
        <v>6.166666666666667</v>
      </c>
      <c r="J107" s="40">
        <v>6.2</v>
      </c>
      <c r="K107" s="41"/>
      <c r="L107" s="42"/>
      <c r="M107" s="47"/>
      <c r="N107" s="43" t="s">
        <v>114</v>
      </c>
    </row>
    <row r="108" spans="1:14" ht="15" customHeight="1">
      <c r="A108" s="136" t="s">
        <v>220</v>
      </c>
      <c r="B108" s="128"/>
      <c r="C108" s="36">
        <v>5700</v>
      </c>
      <c r="D108" s="36">
        <v>7800</v>
      </c>
      <c r="E108" s="37">
        <v>4500</v>
      </c>
      <c r="F108" s="129">
        <f t="shared" si="9"/>
        <v>0</v>
      </c>
      <c r="G108" s="38">
        <f t="shared" si="9"/>
        <v>11.4</v>
      </c>
      <c r="H108" s="38">
        <f t="shared" si="10"/>
        <v>13</v>
      </c>
      <c r="I108" s="39">
        <f t="shared" si="10"/>
        <v>7.5</v>
      </c>
      <c r="J108" s="40">
        <v>7.5</v>
      </c>
      <c r="K108" s="41"/>
      <c r="L108" s="42"/>
      <c r="M108" s="47"/>
      <c r="N108" s="43"/>
    </row>
    <row r="109" spans="1:14" ht="15" customHeight="1">
      <c r="A109" s="136" t="s">
        <v>221</v>
      </c>
      <c r="B109" s="128"/>
      <c r="C109" s="36">
        <v>5800</v>
      </c>
      <c r="D109" s="36">
        <v>6000</v>
      </c>
      <c r="E109" s="37"/>
      <c r="F109" s="129">
        <f t="shared" si="9"/>
        <v>0</v>
      </c>
      <c r="G109" s="38">
        <f t="shared" si="9"/>
        <v>11.6</v>
      </c>
      <c r="H109" s="38">
        <f t="shared" si="10"/>
        <v>10</v>
      </c>
      <c r="I109" s="39">
        <f t="shared" si="10"/>
        <v>0</v>
      </c>
      <c r="J109" s="40">
        <v>10</v>
      </c>
      <c r="K109" s="41"/>
      <c r="L109" s="42"/>
      <c r="M109" s="42"/>
      <c r="N109" s="43"/>
    </row>
    <row r="110" spans="1:14" ht="15" customHeight="1">
      <c r="A110" s="136" t="s">
        <v>222</v>
      </c>
      <c r="B110" s="128"/>
      <c r="C110" s="36">
        <v>5700</v>
      </c>
      <c r="D110" s="36"/>
      <c r="E110" s="37">
        <v>7000</v>
      </c>
      <c r="F110" s="129">
        <f t="shared" si="9"/>
        <v>0</v>
      </c>
      <c r="G110" s="38">
        <f t="shared" si="9"/>
        <v>11.4</v>
      </c>
      <c r="H110" s="38">
        <f t="shared" si="10"/>
        <v>0</v>
      </c>
      <c r="I110" s="39">
        <f t="shared" si="10"/>
        <v>11.666666666666666</v>
      </c>
      <c r="J110" s="40">
        <v>11.7</v>
      </c>
      <c r="K110" s="41"/>
      <c r="L110" s="42" t="s">
        <v>93</v>
      </c>
      <c r="M110" s="47"/>
      <c r="N110" s="43" t="s">
        <v>50</v>
      </c>
    </row>
    <row r="111" spans="1:14" ht="15" customHeight="1">
      <c r="A111" s="136" t="s">
        <v>223</v>
      </c>
      <c r="B111" s="128"/>
      <c r="C111" s="36">
        <v>20000</v>
      </c>
      <c r="D111" s="36">
        <v>20000</v>
      </c>
      <c r="E111" s="37">
        <v>20000</v>
      </c>
      <c r="F111" s="129">
        <f t="shared" si="9"/>
        <v>0</v>
      </c>
      <c r="G111" s="44">
        <f>C111/1000</f>
        <v>20</v>
      </c>
      <c r="H111" s="44">
        <f>D111/1000</f>
        <v>20</v>
      </c>
      <c r="I111" s="48">
        <f>E111/1000</f>
        <v>20</v>
      </c>
      <c r="J111" s="40">
        <v>20</v>
      </c>
      <c r="K111" s="72"/>
      <c r="L111" s="61" t="s">
        <v>224</v>
      </c>
      <c r="M111" s="61" t="s">
        <v>224</v>
      </c>
      <c r="N111" s="73" t="s">
        <v>224</v>
      </c>
    </row>
    <row r="112" spans="1:14" ht="15" customHeight="1">
      <c r="A112" s="136" t="s">
        <v>225</v>
      </c>
      <c r="B112" s="128"/>
      <c r="C112" s="36">
        <v>15500</v>
      </c>
      <c r="D112" s="36"/>
      <c r="E112" s="37">
        <v>19200</v>
      </c>
      <c r="F112" s="129">
        <f t="shared" si="9"/>
        <v>0</v>
      </c>
      <c r="G112" s="38">
        <f>C112/500</f>
        <v>31</v>
      </c>
      <c r="H112" s="38">
        <f t="shared" ref="H112:I114" si="11">D112/600</f>
        <v>0</v>
      </c>
      <c r="I112" s="39">
        <f t="shared" si="11"/>
        <v>32</v>
      </c>
      <c r="J112" s="40">
        <v>31</v>
      </c>
      <c r="K112" s="72"/>
      <c r="L112" s="71" t="s">
        <v>65</v>
      </c>
      <c r="M112" s="71"/>
      <c r="N112" s="73" t="s">
        <v>84</v>
      </c>
    </row>
    <row r="113" spans="1:14" ht="15" customHeight="1">
      <c r="A113" s="136" t="s">
        <v>226</v>
      </c>
      <c r="B113" s="128"/>
      <c r="C113" s="36"/>
      <c r="D113" s="36"/>
      <c r="E113" s="37">
        <v>43600</v>
      </c>
      <c r="F113" s="129">
        <f t="shared" si="9"/>
        <v>0</v>
      </c>
      <c r="G113" s="38">
        <f>C113/500</f>
        <v>0</v>
      </c>
      <c r="H113" s="38">
        <f t="shared" si="11"/>
        <v>0</v>
      </c>
      <c r="I113" s="48">
        <f t="shared" si="11"/>
        <v>72.666666666666671</v>
      </c>
      <c r="J113" s="40">
        <v>72.7</v>
      </c>
      <c r="K113" s="72"/>
      <c r="L113" s="71"/>
      <c r="M113" s="71"/>
      <c r="N113" s="69" t="s">
        <v>227</v>
      </c>
    </row>
    <row r="114" spans="1:14" ht="15" customHeight="1">
      <c r="A114" s="136" t="s">
        <v>228</v>
      </c>
      <c r="B114" s="128">
        <v>29900</v>
      </c>
      <c r="C114" s="36">
        <v>7800</v>
      </c>
      <c r="D114" s="36">
        <v>10000</v>
      </c>
      <c r="E114" s="37">
        <v>8700</v>
      </c>
      <c r="F114" s="129">
        <f t="shared" si="9"/>
        <v>59.8</v>
      </c>
      <c r="G114" s="38">
        <f>C114/500</f>
        <v>15.6</v>
      </c>
      <c r="H114" s="38">
        <f t="shared" si="11"/>
        <v>16.666666666666668</v>
      </c>
      <c r="I114" s="39">
        <f t="shared" si="11"/>
        <v>14.5</v>
      </c>
      <c r="J114" s="40">
        <v>15.3</v>
      </c>
      <c r="K114" s="70"/>
      <c r="L114" s="71"/>
      <c r="M114" s="74" t="s">
        <v>147</v>
      </c>
      <c r="N114" s="69" t="s">
        <v>229</v>
      </c>
    </row>
    <row r="115" spans="1:14" ht="15" customHeight="1">
      <c r="A115" s="136" t="s">
        <v>230</v>
      </c>
      <c r="B115" s="128"/>
      <c r="C115" s="36">
        <v>8500</v>
      </c>
      <c r="D115" s="36">
        <v>8000</v>
      </c>
      <c r="E115" s="37">
        <v>8500</v>
      </c>
      <c r="F115" s="129">
        <f t="shared" si="9"/>
        <v>0</v>
      </c>
      <c r="G115" s="38">
        <f>C115/1000</f>
        <v>8.5</v>
      </c>
      <c r="H115" s="44">
        <f>D115/1000</f>
        <v>8</v>
      </c>
      <c r="I115" s="39">
        <f>E115/1000</f>
        <v>8.5</v>
      </c>
      <c r="J115" s="40">
        <v>8</v>
      </c>
      <c r="K115" s="41"/>
      <c r="L115" s="42" t="s">
        <v>231</v>
      </c>
      <c r="M115" s="47" t="s">
        <v>231</v>
      </c>
      <c r="N115" s="43" t="s">
        <v>232</v>
      </c>
    </row>
    <row r="116" spans="1:14" ht="15" customHeight="1" thickBot="1">
      <c r="A116" s="137" t="s">
        <v>233</v>
      </c>
      <c r="B116" s="132"/>
      <c r="C116" s="49">
        <v>18000</v>
      </c>
      <c r="D116" s="49">
        <v>15000</v>
      </c>
      <c r="E116" s="50">
        <v>24100</v>
      </c>
      <c r="F116" s="80">
        <f t="shared" si="9"/>
        <v>0</v>
      </c>
      <c r="G116" s="51">
        <f>C116/500</f>
        <v>36</v>
      </c>
      <c r="H116" s="51">
        <f>D116/600</f>
        <v>25</v>
      </c>
      <c r="I116" s="63">
        <f>E116/600</f>
        <v>40.166666666666664</v>
      </c>
      <c r="J116" s="52">
        <v>36</v>
      </c>
      <c r="K116" s="64"/>
      <c r="L116" s="54"/>
      <c r="M116" s="54"/>
      <c r="N116" s="65"/>
    </row>
    <row r="117" spans="1:14" ht="15" customHeight="1">
      <c r="A117" s="125" t="s">
        <v>234</v>
      </c>
      <c r="B117" s="126"/>
      <c r="C117" s="26">
        <v>8000</v>
      </c>
      <c r="D117" s="26"/>
      <c r="E117" s="27">
        <v>8000</v>
      </c>
      <c r="F117" s="28">
        <f t="shared" ref="F117:G149" si="12">B117/500</f>
        <v>0</v>
      </c>
      <c r="G117" s="57">
        <f>C117/300</f>
        <v>26.666666666666668</v>
      </c>
      <c r="H117" s="29">
        <f t="shared" ref="H117:I132" si="13">D117/600</f>
        <v>0</v>
      </c>
      <c r="I117" s="30">
        <f>E117/300</f>
        <v>26.666666666666668</v>
      </c>
      <c r="J117" s="31">
        <v>26.7</v>
      </c>
      <c r="K117" s="32"/>
      <c r="L117" s="33" t="s">
        <v>235</v>
      </c>
      <c r="M117" s="33"/>
      <c r="N117" s="35" t="s">
        <v>236</v>
      </c>
    </row>
    <row r="118" spans="1:14" ht="15" customHeight="1">
      <c r="A118" s="127" t="s">
        <v>237</v>
      </c>
      <c r="B118" s="128"/>
      <c r="C118" s="36">
        <v>2600</v>
      </c>
      <c r="D118" s="36">
        <v>4000</v>
      </c>
      <c r="E118" s="37"/>
      <c r="F118" s="129">
        <f t="shared" si="12"/>
        <v>0</v>
      </c>
      <c r="G118" s="38">
        <f t="shared" si="12"/>
        <v>5.2</v>
      </c>
      <c r="H118" s="38">
        <f t="shared" si="13"/>
        <v>6.666666666666667</v>
      </c>
      <c r="I118" s="39">
        <f t="shared" si="13"/>
        <v>0</v>
      </c>
      <c r="J118" s="40">
        <v>6.7</v>
      </c>
      <c r="K118" s="41"/>
      <c r="L118" s="42"/>
      <c r="M118" s="47"/>
      <c r="N118" s="43"/>
    </row>
    <row r="119" spans="1:14" ht="15" customHeight="1">
      <c r="A119" s="127" t="s">
        <v>238</v>
      </c>
      <c r="B119" s="128"/>
      <c r="C119" s="36">
        <v>13500</v>
      </c>
      <c r="D119" s="36">
        <v>38000</v>
      </c>
      <c r="E119" s="37">
        <v>23500</v>
      </c>
      <c r="F119" s="129">
        <f t="shared" si="12"/>
        <v>0</v>
      </c>
      <c r="G119" s="44">
        <f t="shared" si="12"/>
        <v>27</v>
      </c>
      <c r="H119" s="38">
        <f t="shared" si="13"/>
        <v>63.333333333333336</v>
      </c>
      <c r="I119" s="39">
        <f t="shared" si="13"/>
        <v>39.166666666666664</v>
      </c>
      <c r="J119" s="40">
        <v>28</v>
      </c>
      <c r="K119" s="41"/>
      <c r="L119" s="42" t="s">
        <v>50</v>
      </c>
      <c r="M119" s="47" t="s">
        <v>239</v>
      </c>
      <c r="N119" s="43" t="s">
        <v>84</v>
      </c>
    </row>
    <row r="120" spans="1:14" ht="15" customHeight="1">
      <c r="A120" s="127" t="s">
        <v>240</v>
      </c>
      <c r="B120" s="128"/>
      <c r="C120" s="36">
        <v>3700</v>
      </c>
      <c r="D120" s="36">
        <v>5500</v>
      </c>
      <c r="E120" s="37"/>
      <c r="F120" s="129">
        <f t="shared" si="12"/>
        <v>0</v>
      </c>
      <c r="G120" s="38">
        <f t="shared" si="12"/>
        <v>7.4</v>
      </c>
      <c r="H120" s="38">
        <f t="shared" si="13"/>
        <v>9.1666666666666661</v>
      </c>
      <c r="I120" s="39">
        <f t="shared" si="13"/>
        <v>0</v>
      </c>
      <c r="J120" s="40">
        <v>9.1999999999999993</v>
      </c>
      <c r="K120" s="41"/>
      <c r="L120" s="42"/>
      <c r="M120" s="47"/>
      <c r="N120" s="43"/>
    </row>
    <row r="121" spans="1:14" ht="15" customHeight="1">
      <c r="A121" s="127" t="s">
        <v>241</v>
      </c>
      <c r="B121" s="128"/>
      <c r="C121" s="36">
        <v>8200</v>
      </c>
      <c r="D121" s="36">
        <v>12000</v>
      </c>
      <c r="E121" s="37">
        <v>9900</v>
      </c>
      <c r="F121" s="129">
        <f t="shared" si="12"/>
        <v>0</v>
      </c>
      <c r="G121" s="38">
        <f t="shared" si="12"/>
        <v>16.399999999999999</v>
      </c>
      <c r="H121" s="38">
        <f t="shared" si="13"/>
        <v>20</v>
      </c>
      <c r="I121" s="39">
        <f t="shared" si="13"/>
        <v>16.5</v>
      </c>
      <c r="J121" s="40">
        <v>16.5</v>
      </c>
      <c r="K121" s="41"/>
      <c r="L121" s="42" t="s">
        <v>368</v>
      </c>
      <c r="M121" s="42"/>
      <c r="N121" s="43" t="s">
        <v>393</v>
      </c>
    </row>
    <row r="122" spans="1:14" ht="15" customHeight="1">
      <c r="A122" s="127" t="s">
        <v>242</v>
      </c>
      <c r="B122" s="128"/>
      <c r="C122" s="36"/>
      <c r="D122" s="36"/>
      <c r="E122" s="37"/>
      <c r="F122" s="129">
        <f t="shared" si="12"/>
        <v>0</v>
      </c>
      <c r="G122" s="38">
        <f t="shared" si="12"/>
        <v>0</v>
      </c>
      <c r="H122" s="38">
        <f t="shared" si="13"/>
        <v>0</v>
      </c>
      <c r="I122" s="39">
        <f t="shared" si="13"/>
        <v>0</v>
      </c>
      <c r="K122" s="41"/>
      <c r="L122" s="42"/>
      <c r="M122" s="42"/>
      <c r="N122" s="43"/>
    </row>
    <row r="123" spans="1:14" ht="15" customHeight="1">
      <c r="A123" s="127" t="s">
        <v>243</v>
      </c>
      <c r="B123" s="128"/>
      <c r="C123" s="36">
        <v>7200</v>
      </c>
      <c r="D123" s="36">
        <v>7000</v>
      </c>
      <c r="E123" s="37">
        <v>6400</v>
      </c>
      <c r="F123" s="129">
        <f t="shared" si="12"/>
        <v>0</v>
      </c>
      <c r="G123" s="38">
        <f t="shared" si="12"/>
        <v>14.4</v>
      </c>
      <c r="H123" s="38">
        <f t="shared" si="13"/>
        <v>11.666666666666666</v>
      </c>
      <c r="I123" s="48">
        <f t="shared" si="13"/>
        <v>10.666666666666666</v>
      </c>
      <c r="J123" s="40">
        <v>11.7</v>
      </c>
      <c r="K123" s="41"/>
      <c r="L123" s="42" t="s">
        <v>368</v>
      </c>
      <c r="M123" s="47"/>
      <c r="N123" s="43" t="s">
        <v>463</v>
      </c>
    </row>
    <row r="124" spans="1:14" ht="15" customHeight="1">
      <c r="A124" s="127" t="s">
        <v>244</v>
      </c>
      <c r="B124" s="128">
        <v>17900</v>
      </c>
      <c r="C124" s="36">
        <v>11000</v>
      </c>
      <c r="D124" s="36">
        <v>16000</v>
      </c>
      <c r="E124" s="37">
        <v>14100</v>
      </c>
      <c r="F124" s="129">
        <f t="shared" si="12"/>
        <v>35.799999999999997</v>
      </c>
      <c r="G124" s="44">
        <f t="shared" si="12"/>
        <v>22</v>
      </c>
      <c r="H124" s="38">
        <f t="shared" si="13"/>
        <v>26.666666666666668</v>
      </c>
      <c r="I124" s="39">
        <f t="shared" si="13"/>
        <v>23.5</v>
      </c>
      <c r="J124" s="40">
        <v>23.5</v>
      </c>
      <c r="K124" s="41"/>
      <c r="L124" s="42" t="s">
        <v>245</v>
      </c>
      <c r="M124" s="47"/>
      <c r="N124" s="43" t="s">
        <v>189</v>
      </c>
    </row>
    <row r="125" spans="1:14" ht="15" customHeight="1">
      <c r="A125" s="127" t="s">
        <v>246</v>
      </c>
      <c r="B125" s="128"/>
      <c r="C125" s="36"/>
      <c r="D125" s="36"/>
      <c r="E125" s="37"/>
      <c r="F125" s="129">
        <f t="shared" si="12"/>
        <v>0</v>
      </c>
      <c r="G125" s="38">
        <f t="shared" si="12"/>
        <v>0</v>
      </c>
      <c r="H125" s="38">
        <f t="shared" si="13"/>
        <v>0</v>
      </c>
      <c r="I125" s="39">
        <f t="shared" si="13"/>
        <v>0</v>
      </c>
      <c r="K125" s="41"/>
      <c r="L125" s="42"/>
      <c r="M125" s="42"/>
      <c r="N125" s="43"/>
    </row>
    <row r="126" spans="1:14" ht="15" customHeight="1">
      <c r="A126" s="127" t="s">
        <v>247</v>
      </c>
      <c r="B126" s="128"/>
      <c r="C126" s="36">
        <v>8400</v>
      </c>
      <c r="D126" s="36"/>
      <c r="E126" s="37"/>
      <c r="F126" s="129">
        <f t="shared" si="12"/>
        <v>0</v>
      </c>
      <c r="G126" s="38">
        <f t="shared" si="12"/>
        <v>16.8</v>
      </c>
      <c r="H126" s="38">
        <f t="shared" si="13"/>
        <v>0</v>
      </c>
      <c r="I126" s="39">
        <f t="shared" si="13"/>
        <v>0</v>
      </c>
      <c r="J126" s="40">
        <v>16.8</v>
      </c>
      <c r="K126" s="41"/>
      <c r="L126" s="42" t="s">
        <v>50</v>
      </c>
      <c r="M126" s="42"/>
      <c r="N126" s="43"/>
    </row>
    <row r="127" spans="1:14" ht="15" customHeight="1">
      <c r="A127" s="127" t="s">
        <v>248</v>
      </c>
      <c r="B127" s="128"/>
      <c r="C127" s="36">
        <v>4600</v>
      </c>
      <c r="D127" s="36">
        <v>7000</v>
      </c>
      <c r="E127" s="37">
        <v>5500</v>
      </c>
      <c r="F127" s="129">
        <f t="shared" si="12"/>
        <v>0</v>
      </c>
      <c r="G127" s="38">
        <f t="shared" si="12"/>
        <v>9.1999999999999993</v>
      </c>
      <c r="H127" s="38">
        <f t="shared" si="13"/>
        <v>11.666666666666666</v>
      </c>
      <c r="I127" s="48">
        <f t="shared" si="13"/>
        <v>9.1666666666666661</v>
      </c>
      <c r="J127" s="40">
        <v>9.1999999999999993</v>
      </c>
      <c r="K127" s="41"/>
      <c r="L127" s="42"/>
      <c r="M127" s="47"/>
      <c r="N127" s="43" t="s">
        <v>84</v>
      </c>
    </row>
    <row r="128" spans="1:14" ht="15" customHeight="1">
      <c r="A128" s="127" t="s">
        <v>249</v>
      </c>
      <c r="B128" s="128"/>
      <c r="C128" s="36">
        <v>14000</v>
      </c>
      <c r="D128" s="36">
        <v>15000</v>
      </c>
      <c r="E128" s="37">
        <v>14000</v>
      </c>
      <c r="F128" s="129">
        <f t="shared" si="12"/>
        <v>0</v>
      </c>
      <c r="G128" s="38">
        <f>C128/1000</f>
        <v>14</v>
      </c>
      <c r="H128" s="38">
        <f>D128/1000</f>
        <v>15</v>
      </c>
      <c r="I128" s="39">
        <f>E128/1000</f>
        <v>14</v>
      </c>
      <c r="J128" s="40">
        <v>14</v>
      </c>
      <c r="K128" s="41"/>
      <c r="L128" s="42" t="s">
        <v>214</v>
      </c>
      <c r="M128" s="47" t="s">
        <v>214</v>
      </c>
      <c r="N128" s="43" t="s">
        <v>250</v>
      </c>
    </row>
    <row r="129" spans="1:14" ht="15" customHeight="1">
      <c r="A129" s="127" t="s">
        <v>251</v>
      </c>
      <c r="B129" s="128"/>
      <c r="C129" s="36">
        <v>27500</v>
      </c>
      <c r="D129" s="36">
        <v>26000</v>
      </c>
      <c r="E129" s="37"/>
      <c r="F129" s="129">
        <f t="shared" si="12"/>
        <v>0</v>
      </c>
      <c r="G129" s="38">
        <f>C129/500</f>
        <v>55</v>
      </c>
      <c r="H129" s="38">
        <f t="shared" ref="H129:I144" si="14">D129/600</f>
        <v>43.333333333333336</v>
      </c>
      <c r="I129" s="39">
        <f t="shared" si="13"/>
        <v>0</v>
      </c>
      <c r="J129" s="40">
        <v>55</v>
      </c>
      <c r="K129" s="41"/>
      <c r="L129" s="42"/>
      <c r="M129" s="42" t="s">
        <v>252</v>
      </c>
      <c r="N129" s="43"/>
    </row>
    <row r="130" spans="1:14" ht="15" customHeight="1">
      <c r="A130" s="127" t="s">
        <v>253</v>
      </c>
      <c r="B130" s="128"/>
      <c r="C130" s="36">
        <v>7300</v>
      </c>
      <c r="D130" s="36">
        <v>8500</v>
      </c>
      <c r="E130" s="37"/>
      <c r="F130" s="129">
        <f t="shared" si="12"/>
        <v>0</v>
      </c>
      <c r="G130" s="38">
        <f>C130/500</f>
        <v>14.6</v>
      </c>
      <c r="H130" s="38">
        <f t="shared" si="14"/>
        <v>14.166666666666666</v>
      </c>
      <c r="I130" s="39">
        <f t="shared" si="13"/>
        <v>0</v>
      </c>
      <c r="K130" s="41"/>
      <c r="L130" s="42"/>
      <c r="M130" s="42"/>
      <c r="N130" s="43"/>
    </row>
    <row r="131" spans="1:14" ht="15" customHeight="1">
      <c r="A131" s="127" t="s">
        <v>254</v>
      </c>
      <c r="B131" s="128"/>
      <c r="C131" s="36">
        <v>5700</v>
      </c>
      <c r="D131" s="36">
        <v>9500</v>
      </c>
      <c r="E131" s="37">
        <v>6900</v>
      </c>
      <c r="F131" s="129">
        <f t="shared" si="12"/>
        <v>0</v>
      </c>
      <c r="G131" s="38">
        <f>C131/500</f>
        <v>11.4</v>
      </c>
      <c r="H131" s="38">
        <f t="shared" si="14"/>
        <v>15.833333333333334</v>
      </c>
      <c r="I131" s="39">
        <f t="shared" si="13"/>
        <v>11.5</v>
      </c>
      <c r="J131" s="40">
        <v>17.7</v>
      </c>
      <c r="K131" s="41"/>
      <c r="L131" s="42" t="s">
        <v>164</v>
      </c>
      <c r="M131" s="47" t="s">
        <v>255</v>
      </c>
      <c r="N131" s="43" t="s">
        <v>84</v>
      </c>
    </row>
    <row r="132" spans="1:14" ht="15" customHeight="1">
      <c r="A132" s="127" t="s">
        <v>256</v>
      </c>
      <c r="B132" s="128"/>
      <c r="C132" s="36">
        <v>12800</v>
      </c>
      <c r="D132" s="36">
        <v>13500</v>
      </c>
      <c r="E132" s="37">
        <v>12300</v>
      </c>
      <c r="F132" s="129">
        <f t="shared" si="12"/>
        <v>0</v>
      </c>
      <c r="G132" s="38">
        <f>C132/600</f>
        <v>21.333333333333332</v>
      </c>
      <c r="H132" s="38">
        <f t="shared" si="14"/>
        <v>22.5</v>
      </c>
      <c r="I132" s="39">
        <f t="shared" si="13"/>
        <v>20.5</v>
      </c>
      <c r="J132" s="40">
        <v>20.5</v>
      </c>
      <c r="K132" s="41"/>
      <c r="L132" s="60" t="s">
        <v>257</v>
      </c>
      <c r="M132" s="61"/>
      <c r="N132" s="43" t="s">
        <v>258</v>
      </c>
    </row>
    <row r="133" spans="1:14" ht="15" customHeight="1">
      <c r="A133" s="127" t="s">
        <v>259</v>
      </c>
      <c r="B133" s="128"/>
      <c r="C133" s="36">
        <v>34000</v>
      </c>
      <c r="D133" s="36"/>
      <c r="E133" s="37">
        <v>55900</v>
      </c>
      <c r="F133" s="129">
        <f t="shared" si="12"/>
        <v>0</v>
      </c>
      <c r="G133" s="38">
        <f>C133/500</f>
        <v>68</v>
      </c>
      <c r="H133" s="38">
        <f t="shared" si="14"/>
        <v>0</v>
      </c>
      <c r="I133" s="39">
        <f t="shared" si="14"/>
        <v>93.166666666666671</v>
      </c>
      <c r="J133" s="40">
        <v>68</v>
      </c>
      <c r="K133" s="41"/>
      <c r="L133" s="42" t="s">
        <v>50</v>
      </c>
      <c r="M133" s="42"/>
      <c r="N133" s="43" t="s">
        <v>84</v>
      </c>
    </row>
    <row r="134" spans="1:14" ht="15" customHeight="1">
      <c r="A134" s="127" t="s">
        <v>260</v>
      </c>
      <c r="B134" s="128"/>
      <c r="C134" s="36">
        <v>14500</v>
      </c>
      <c r="D134" s="36">
        <v>19000</v>
      </c>
      <c r="E134" s="37">
        <v>17700</v>
      </c>
      <c r="F134" s="129">
        <f t="shared" si="12"/>
        <v>0</v>
      </c>
      <c r="G134" s="38">
        <f>C134/500</f>
        <v>29</v>
      </c>
      <c r="H134" s="38">
        <f t="shared" si="14"/>
        <v>31.666666666666668</v>
      </c>
      <c r="I134" s="39">
        <f t="shared" si="14"/>
        <v>29.5</v>
      </c>
      <c r="J134" s="40">
        <v>29</v>
      </c>
      <c r="K134" s="41"/>
      <c r="L134" s="42"/>
      <c r="M134" s="42"/>
      <c r="N134" s="43"/>
    </row>
    <row r="135" spans="1:14" ht="15" customHeight="1">
      <c r="A135" s="127" t="s">
        <v>261</v>
      </c>
      <c r="B135" s="128"/>
      <c r="C135" s="36"/>
      <c r="D135" s="36"/>
      <c r="E135" s="37">
        <v>8800</v>
      </c>
      <c r="F135" s="129">
        <f t="shared" si="12"/>
        <v>0</v>
      </c>
      <c r="G135" s="38">
        <f>C135/500</f>
        <v>0</v>
      </c>
      <c r="H135" s="38">
        <f t="shared" si="14"/>
        <v>0</v>
      </c>
      <c r="I135" s="39">
        <f t="shared" si="14"/>
        <v>14.666666666666666</v>
      </c>
      <c r="J135" s="40">
        <v>14.7</v>
      </c>
      <c r="K135" s="41"/>
      <c r="L135" s="42"/>
      <c r="M135" s="42"/>
      <c r="N135" s="43" t="s">
        <v>114</v>
      </c>
    </row>
    <row r="136" spans="1:14" ht="15" customHeight="1">
      <c r="A136" s="127" t="s">
        <v>262</v>
      </c>
      <c r="B136" s="128">
        <v>14800</v>
      </c>
      <c r="C136" s="36"/>
      <c r="D136" s="36"/>
      <c r="E136" s="37">
        <v>8600</v>
      </c>
      <c r="F136" s="129">
        <f t="shared" si="12"/>
        <v>29.6</v>
      </c>
      <c r="G136" s="38">
        <f>C136/500</f>
        <v>0</v>
      </c>
      <c r="H136" s="38">
        <f t="shared" si="14"/>
        <v>0</v>
      </c>
      <c r="I136" s="48">
        <f t="shared" si="14"/>
        <v>14.333333333333334</v>
      </c>
      <c r="J136" s="40">
        <v>14.8</v>
      </c>
      <c r="K136" s="70"/>
      <c r="L136" s="71"/>
      <c r="M136" s="74"/>
      <c r="N136" s="69" t="s">
        <v>263</v>
      </c>
    </row>
    <row r="137" spans="1:14" ht="15" customHeight="1">
      <c r="A137" s="127" t="s">
        <v>264</v>
      </c>
      <c r="B137" s="128"/>
      <c r="C137" s="36">
        <v>13800</v>
      </c>
      <c r="D137" s="36">
        <v>17500</v>
      </c>
      <c r="E137" s="37"/>
      <c r="F137" s="129">
        <f t="shared" si="12"/>
        <v>0</v>
      </c>
      <c r="G137" s="38">
        <f>C137/500</f>
        <v>27.6</v>
      </c>
      <c r="H137" s="38">
        <f t="shared" si="14"/>
        <v>29.166666666666668</v>
      </c>
      <c r="I137" s="39">
        <f t="shared" si="14"/>
        <v>0</v>
      </c>
      <c r="J137" s="40">
        <v>29.2</v>
      </c>
      <c r="K137" s="72"/>
      <c r="L137" s="71"/>
      <c r="M137" s="71"/>
      <c r="N137" s="73"/>
    </row>
    <row r="138" spans="1:14" ht="15" customHeight="1">
      <c r="A138" s="127" t="s">
        <v>265</v>
      </c>
      <c r="B138" s="128"/>
      <c r="C138" s="36">
        <v>13200</v>
      </c>
      <c r="D138" s="36">
        <v>14000</v>
      </c>
      <c r="E138" s="37">
        <v>13000</v>
      </c>
      <c r="F138" s="129">
        <f t="shared" si="12"/>
        <v>0</v>
      </c>
      <c r="G138" s="38">
        <f>C138/600</f>
        <v>22</v>
      </c>
      <c r="H138" s="38">
        <f t="shared" si="14"/>
        <v>23.333333333333332</v>
      </c>
      <c r="I138" s="39">
        <f>E138/500</f>
        <v>26</v>
      </c>
      <c r="J138" s="40">
        <v>22</v>
      </c>
      <c r="K138" s="72"/>
      <c r="L138" s="71" t="s">
        <v>105</v>
      </c>
      <c r="M138" s="71"/>
      <c r="N138" s="73" t="s">
        <v>464</v>
      </c>
    </row>
    <row r="139" spans="1:14" ht="15" customHeight="1">
      <c r="A139" s="127" t="s">
        <v>266</v>
      </c>
      <c r="B139" s="128"/>
      <c r="C139" s="36">
        <v>11900</v>
      </c>
      <c r="D139" s="36"/>
      <c r="E139" s="37"/>
      <c r="F139" s="129">
        <f t="shared" si="12"/>
        <v>0</v>
      </c>
      <c r="G139" s="38">
        <f>C139/500</f>
        <v>23.8</v>
      </c>
      <c r="H139" s="38">
        <f t="shared" si="14"/>
        <v>0</v>
      </c>
      <c r="I139" s="39">
        <f t="shared" si="14"/>
        <v>0</v>
      </c>
      <c r="J139" s="40">
        <v>23.8</v>
      </c>
      <c r="K139" s="72"/>
      <c r="L139" s="71" t="s">
        <v>164</v>
      </c>
      <c r="M139" s="71"/>
      <c r="N139" s="73"/>
    </row>
    <row r="140" spans="1:14" ht="15" customHeight="1">
      <c r="A140" s="127" t="s">
        <v>267</v>
      </c>
      <c r="B140" s="128"/>
      <c r="C140" s="36">
        <v>7900</v>
      </c>
      <c r="D140" s="36">
        <v>10000</v>
      </c>
      <c r="E140" s="37">
        <v>7900</v>
      </c>
      <c r="F140" s="129">
        <f t="shared" si="12"/>
        <v>0</v>
      </c>
      <c r="G140" s="38">
        <f>C140/500</f>
        <v>15.8</v>
      </c>
      <c r="H140" s="38">
        <f t="shared" si="14"/>
        <v>16.666666666666668</v>
      </c>
      <c r="I140" s="39">
        <f t="shared" si="14"/>
        <v>13.166666666666666</v>
      </c>
      <c r="J140" s="40">
        <v>15.8</v>
      </c>
      <c r="K140" s="72"/>
      <c r="L140" s="71" t="s">
        <v>268</v>
      </c>
      <c r="M140" s="74" t="s">
        <v>269</v>
      </c>
      <c r="N140" s="73" t="s">
        <v>152</v>
      </c>
    </row>
    <row r="141" spans="1:14" ht="15" customHeight="1">
      <c r="A141" s="127" t="s">
        <v>270</v>
      </c>
      <c r="B141" s="128"/>
      <c r="C141" s="36">
        <v>5800</v>
      </c>
      <c r="D141" s="36">
        <v>7500</v>
      </c>
      <c r="E141" s="37"/>
      <c r="F141" s="129">
        <f t="shared" si="12"/>
        <v>0</v>
      </c>
      <c r="G141" s="38">
        <f>C141/500</f>
        <v>11.6</v>
      </c>
      <c r="H141" s="38">
        <f t="shared" si="14"/>
        <v>12.5</v>
      </c>
      <c r="I141" s="39">
        <f t="shared" si="14"/>
        <v>0</v>
      </c>
      <c r="K141" s="72"/>
      <c r="L141" s="71"/>
      <c r="M141" s="71" t="s">
        <v>152</v>
      </c>
      <c r="N141" s="73"/>
    </row>
    <row r="142" spans="1:14" ht="15" customHeight="1">
      <c r="A142" s="127" t="s">
        <v>271</v>
      </c>
      <c r="B142" s="128"/>
      <c r="C142" s="36">
        <v>11600</v>
      </c>
      <c r="D142" s="36">
        <v>10500</v>
      </c>
      <c r="E142" s="37">
        <v>13700</v>
      </c>
      <c r="F142" s="129">
        <f t="shared" si="12"/>
        <v>0</v>
      </c>
      <c r="G142" s="38">
        <f>C142/500</f>
        <v>23.2</v>
      </c>
      <c r="H142" s="38">
        <f t="shared" si="14"/>
        <v>17.5</v>
      </c>
      <c r="I142" s="39">
        <f t="shared" si="14"/>
        <v>22.833333333333332</v>
      </c>
      <c r="J142" s="40">
        <v>22.8</v>
      </c>
      <c r="K142" s="72"/>
      <c r="L142" s="71" t="s">
        <v>272</v>
      </c>
      <c r="M142" s="71"/>
      <c r="N142" s="73" t="s">
        <v>393</v>
      </c>
    </row>
    <row r="143" spans="1:14" ht="15" customHeight="1">
      <c r="A143" s="127" t="s">
        <v>273</v>
      </c>
      <c r="B143" s="128"/>
      <c r="C143" s="36">
        <v>60000</v>
      </c>
      <c r="D143" s="36">
        <v>30000</v>
      </c>
      <c r="E143" s="37">
        <v>67500</v>
      </c>
      <c r="F143" s="129">
        <f t="shared" si="12"/>
        <v>0</v>
      </c>
      <c r="G143" s="44">
        <f>C143/600</f>
        <v>100</v>
      </c>
      <c r="H143" s="38">
        <f>D143/300</f>
        <v>100</v>
      </c>
      <c r="I143" s="39">
        <f t="shared" si="14"/>
        <v>112.5</v>
      </c>
      <c r="J143" s="40">
        <v>108.3</v>
      </c>
      <c r="K143" s="72"/>
      <c r="L143" s="60" t="s">
        <v>274</v>
      </c>
      <c r="M143" s="74" t="s">
        <v>275</v>
      </c>
      <c r="N143" s="73" t="s">
        <v>465</v>
      </c>
    </row>
    <row r="144" spans="1:14" ht="15" customHeight="1" thickBot="1">
      <c r="A144" s="131" t="s">
        <v>276</v>
      </c>
      <c r="B144" s="132"/>
      <c r="C144" s="49">
        <v>6000</v>
      </c>
      <c r="D144" s="49">
        <v>7500</v>
      </c>
      <c r="E144" s="50">
        <v>7200</v>
      </c>
      <c r="F144" s="80">
        <f t="shared" si="12"/>
        <v>0</v>
      </c>
      <c r="G144" s="51">
        <f>C144/500</f>
        <v>12</v>
      </c>
      <c r="H144" s="51">
        <f t="shared" ref="H144:I159" si="15">D144/600</f>
        <v>12.5</v>
      </c>
      <c r="I144" s="63">
        <f t="shared" si="14"/>
        <v>12</v>
      </c>
      <c r="J144" s="52">
        <v>12</v>
      </c>
      <c r="K144" s="64"/>
      <c r="L144" s="54"/>
      <c r="M144" s="54"/>
      <c r="N144" s="65" t="s">
        <v>42</v>
      </c>
    </row>
    <row r="145" spans="1:14" ht="15" customHeight="1">
      <c r="A145" s="134" t="s">
        <v>277</v>
      </c>
      <c r="B145" s="126"/>
      <c r="C145" s="26">
        <v>7500</v>
      </c>
      <c r="D145" s="26">
        <v>8500</v>
      </c>
      <c r="E145" s="27">
        <v>7200</v>
      </c>
      <c r="F145" s="28">
        <f t="shared" si="12"/>
        <v>0</v>
      </c>
      <c r="G145" s="29">
        <f>C145/500</f>
        <v>15</v>
      </c>
      <c r="H145" s="29">
        <f t="shared" si="15"/>
        <v>14.166666666666666</v>
      </c>
      <c r="I145" s="58">
        <f t="shared" si="15"/>
        <v>12</v>
      </c>
      <c r="J145" s="31">
        <v>12</v>
      </c>
      <c r="K145" s="32"/>
      <c r="L145" s="33" t="s">
        <v>42</v>
      </c>
      <c r="M145" s="34" t="s">
        <v>152</v>
      </c>
      <c r="N145" s="35" t="s">
        <v>189</v>
      </c>
    </row>
    <row r="146" spans="1:14" ht="15" customHeight="1">
      <c r="A146" s="136" t="s">
        <v>278</v>
      </c>
      <c r="B146" s="128"/>
      <c r="C146" s="36">
        <v>29000</v>
      </c>
      <c r="D146" s="36">
        <v>23000</v>
      </c>
      <c r="E146" s="37">
        <v>20700</v>
      </c>
      <c r="F146" s="129">
        <f t="shared" si="12"/>
        <v>0</v>
      </c>
      <c r="G146" s="38">
        <f>C146/600</f>
        <v>48.333333333333336</v>
      </c>
      <c r="H146" s="38">
        <f t="shared" si="15"/>
        <v>38.333333333333336</v>
      </c>
      <c r="I146" s="48">
        <f t="shared" si="15"/>
        <v>34.5</v>
      </c>
      <c r="J146" s="40">
        <v>38</v>
      </c>
      <c r="K146" s="41"/>
      <c r="L146" s="42" t="s">
        <v>105</v>
      </c>
      <c r="M146" s="42"/>
      <c r="N146" s="43" t="s">
        <v>395</v>
      </c>
    </row>
    <row r="147" spans="1:14" ht="15" customHeight="1">
      <c r="A147" s="136" t="s">
        <v>466</v>
      </c>
      <c r="B147" s="128"/>
      <c r="C147" s="36"/>
      <c r="D147" s="36"/>
      <c r="E147" s="37">
        <v>31200</v>
      </c>
      <c r="F147" s="129">
        <f t="shared" si="12"/>
        <v>0</v>
      </c>
      <c r="G147" s="38">
        <f>C147/600</f>
        <v>0</v>
      </c>
      <c r="H147" s="38">
        <f t="shared" si="15"/>
        <v>0</v>
      </c>
      <c r="I147" s="48">
        <f t="shared" si="15"/>
        <v>52</v>
      </c>
      <c r="J147" s="40">
        <v>52</v>
      </c>
      <c r="K147" s="41"/>
      <c r="L147" s="42"/>
      <c r="M147" s="42"/>
      <c r="N147" s="43"/>
    </row>
    <row r="148" spans="1:14" ht="15" customHeight="1">
      <c r="A148" s="136" t="s">
        <v>279</v>
      </c>
      <c r="B148" s="128"/>
      <c r="C148" s="36">
        <v>22500</v>
      </c>
      <c r="D148" s="36">
        <v>28000</v>
      </c>
      <c r="E148" s="37">
        <v>26900</v>
      </c>
      <c r="F148" s="129">
        <f t="shared" si="12"/>
        <v>0</v>
      </c>
      <c r="G148" s="38">
        <f>C148/500</f>
        <v>45</v>
      </c>
      <c r="H148" s="38">
        <f t="shared" si="15"/>
        <v>46.666666666666664</v>
      </c>
      <c r="I148" s="39">
        <f t="shared" si="15"/>
        <v>44.833333333333336</v>
      </c>
      <c r="J148" s="40">
        <v>46.7</v>
      </c>
      <c r="K148" s="41"/>
      <c r="L148" s="42"/>
      <c r="M148" s="42"/>
      <c r="N148" s="43"/>
    </row>
    <row r="149" spans="1:14" ht="15" customHeight="1">
      <c r="A149" s="136" t="s">
        <v>280</v>
      </c>
      <c r="B149" s="128"/>
      <c r="C149" s="36"/>
      <c r="D149" s="36">
        <v>9000</v>
      </c>
      <c r="E149" s="37"/>
      <c r="F149" s="129">
        <f t="shared" si="12"/>
        <v>0</v>
      </c>
      <c r="G149" s="38">
        <f>C149/500</f>
        <v>0</v>
      </c>
      <c r="H149" s="38">
        <f t="shared" si="15"/>
        <v>15</v>
      </c>
      <c r="I149" s="39">
        <f t="shared" si="15"/>
        <v>0</v>
      </c>
      <c r="J149" s="40">
        <v>15</v>
      </c>
      <c r="K149" s="41"/>
      <c r="L149" s="42"/>
      <c r="M149" s="47"/>
      <c r="N149" s="43"/>
    </row>
    <row r="150" spans="1:14" ht="15" customHeight="1">
      <c r="A150" s="136" t="s">
        <v>281</v>
      </c>
      <c r="B150" s="128"/>
      <c r="C150" s="36">
        <v>20000</v>
      </c>
      <c r="D150" s="36">
        <v>20000</v>
      </c>
      <c r="E150" s="37"/>
      <c r="F150" s="129">
        <f t="shared" ref="F150:G181" si="16">B150/500</f>
        <v>0</v>
      </c>
      <c r="G150" s="38">
        <f>C150/1000</f>
        <v>20</v>
      </c>
      <c r="H150" s="38">
        <f>D150/1000</f>
        <v>20</v>
      </c>
      <c r="I150" s="39">
        <f t="shared" si="15"/>
        <v>0</v>
      </c>
      <c r="J150" s="40">
        <v>20</v>
      </c>
      <c r="K150" s="41"/>
      <c r="L150" s="42" t="s">
        <v>282</v>
      </c>
      <c r="M150" s="47" t="s">
        <v>282</v>
      </c>
      <c r="N150" s="43"/>
    </row>
    <row r="151" spans="1:14" ht="15" customHeight="1">
      <c r="A151" s="136" t="s">
        <v>283</v>
      </c>
      <c r="B151" s="128"/>
      <c r="C151" s="36">
        <v>11500</v>
      </c>
      <c r="D151" s="36">
        <v>16000</v>
      </c>
      <c r="E151" s="37">
        <v>16500</v>
      </c>
      <c r="F151" s="129">
        <f t="shared" si="16"/>
        <v>0</v>
      </c>
      <c r="G151" s="38">
        <f>C151/500</f>
        <v>23</v>
      </c>
      <c r="H151" s="38">
        <f t="shared" ref="H151:I186" si="17">D151/600</f>
        <v>26.666666666666668</v>
      </c>
      <c r="I151" s="39">
        <f t="shared" si="15"/>
        <v>27.5</v>
      </c>
      <c r="J151" s="40">
        <v>23</v>
      </c>
      <c r="K151" s="41"/>
      <c r="L151" s="42" t="s">
        <v>65</v>
      </c>
      <c r="M151" s="42"/>
      <c r="N151" s="43" t="s">
        <v>284</v>
      </c>
    </row>
    <row r="152" spans="1:14" ht="15" customHeight="1">
      <c r="A152" s="139" t="s">
        <v>285</v>
      </c>
      <c r="B152" s="128"/>
      <c r="C152" s="36"/>
      <c r="D152" s="36"/>
      <c r="E152" s="37"/>
      <c r="F152" s="129">
        <f t="shared" si="16"/>
        <v>0</v>
      </c>
      <c r="G152" s="38">
        <f>C152/500</f>
        <v>0</v>
      </c>
      <c r="H152" s="38">
        <f t="shared" si="17"/>
        <v>0</v>
      </c>
      <c r="I152" s="39">
        <f t="shared" si="15"/>
        <v>0</v>
      </c>
      <c r="K152" s="41"/>
      <c r="L152" s="42"/>
      <c r="M152" s="42"/>
      <c r="N152" s="43"/>
    </row>
    <row r="153" spans="1:14" ht="15" customHeight="1">
      <c r="A153" s="139" t="s">
        <v>467</v>
      </c>
      <c r="B153" s="128"/>
      <c r="C153" s="36"/>
      <c r="D153" s="36"/>
      <c r="E153" s="37">
        <v>7800</v>
      </c>
      <c r="F153" s="129">
        <f t="shared" si="16"/>
        <v>0</v>
      </c>
      <c r="G153" s="38">
        <f>C153/500</f>
        <v>0</v>
      </c>
      <c r="H153" s="38">
        <f t="shared" si="17"/>
        <v>0</v>
      </c>
      <c r="I153" s="48">
        <f t="shared" si="15"/>
        <v>13</v>
      </c>
      <c r="J153" s="40">
        <v>13</v>
      </c>
      <c r="K153" s="41"/>
      <c r="L153" s="42"/>
      <c r="M153" s="42"/>
      <c r="N153" s="43"/>
    </row>
    <row r="154" spans="1:14" ht="15" customHeight="1">
      <c r="A154" s="139" t="s">
        <v>286</v>
      </c>
      <c r="B154" s="128"/>
      <c r="C154" s="36">
        <v>8600</v>
      </c>
      <c r="D154" s="36">
        <v>11000</v>
      </c>
      <c r="E154" s="37"/>
      <c r="F154" s="129">
        <f t="shared" si="16"/>
        <v>0</v>
      </c>
      <c r="G154" s="38">
        <f>C154/500</f>
        <v>17.2</v>
      </c>
      <c r="H154" s="38">
        <f t="shared" si="17"/>
        <v>18.333333333333332</v>
      </c>
      <c r="I154" s="39">
        <f t="shared" si="15"/>
        <v>0</v>
      </c>
      <c r="J154" s="40">
        <v>18.3</v>
      </c>
      <c r="K154" s="41"/>
      <c r="L154" s="42"/>
      <c r="M154" s="42"/>
      <c r="N154" s="43"/>
    </row>
    <row r="155" spans="1:14" ht="15" customHeight="1">
      <c r="A155" s="139" t="s">
        <v>287</v>
      </c>
      <c r="B155" s="128"/>
      <c r="C155" s="36">
        <v>8000</v>
      </c>
      <c r="D155" s="36"/>
      <c r="E155" s="37">
        <v>10200</v>
      </c>
      <c r="F155" s="129">
        <f t="shared" si="16"/>
        <v>0</v>
      </c>
      <c r="G155" s="44">
        <f>C155/500</f>
        <v>16</v>
      </c>
      <c r="H155" s="38">
        <f t="shared" si="17"/>
        <v>0</v>
      </c>
      <c r="I155" s="39">
        <f t="shared" si="15"/>
        <v>17</v>
      </c>
      <c r="J155" s="40">
        <v>15.4</v>
      </c>
      <c r="K155" s="41"/>
      <c r="L155" s="42" t="s">
        <v>57</v>
      </c>
      <c r="M155" s="42"/>
      <c r="N155" s="43"/>
    </row>
    <row r="156" spans="1:14" ht="15" customHeight="1">
      <c r="A156" s="136" t="s">
        <v>288</v>
      </c>
      <c r="B156" s="128"/>
      <c r="C156" s="36">
        <v>3500</v>
      </c>
      <c r="D156" s="36">
        <v>4500</v>
      </c>
      <c r="E156" s="37"/>
      <c r="F156" s="129">
        <f t="shared" si="16"/>
        <v>0</v>
      </c>
      <c r="G156" s="38">
        <f>C156/600</f>
        <v>5.833333333333333</v>
      </c>
      <c r="H156" s="38">
        <f t="shared" si="17"/>
        <v>7.5</v>
      </c>
      <c r="I156" s="39">
        <f t="shared" si="15"/>
        <v>0</v>
      </c>
      <c r="K156" s="41"/>
      <c r="L156" s="42" t="s">
        <v>49</v>
      </c>
      <c r="M156" s="42"/>
      <c r="N156" s="43"/>
    </row>
    <row r="157" spans="1:14" ht="15" customHeight="1">
      <c r="A157" s="139" t="s">
        <v>289</v>
      </c>
      <c r="B157" s="128"/>
      <c r="C157" s="36">
        <v>4500</v>
      </c>
      <c r="D157" s="36"/>
      <c r="E157" s="37"/>
      <c r="F157" s="129">
        <f t="shared" si="16"/>
        <v>0</v>
      </c>
      <c r="G157" s="38">
        <f>C157/600</f>
        <v>7.5</v>
      </c>
      <c r="H157" s="38">
        <f t="shared" si="17"/>
        <v>0</v>
      </c>
      <c r="I157" s="39">
        <f t="shared" si="15"/>
        <v>0</v>
      </c>
      <c r="J157" s="40">
        <v>7.5</v>
      </c>
      <c r="K157" s="41"/>
      <c r="L157" s="42" t="s">
        <v>290</v>
      </c>
      <c r="M157" s="42"/>
      <c r="N157" s="43"/>
    </row>
    <row r="158" spans="1:14" ht="15" customHeight="1">
      <c r="A158" s="139" t="s">
        <v>291</v>
      </c>
      <c r="B158" s="128"/>
      <c r="C158" s="36">
        <v>4800</v>
      </c>
      <c r="D158" s="36">
        <v>7000</v>
      </c>
      <c r="E158" s="37">
        <v>6000</v>
      </c>
      <c r="F158" s="129">
        <f t="shared" si="16"/>
        <v>0</v>
      </c>
      <c r="G158" s="38">
        <f t="shared" si="16"/>
        <v>9.6</v>
      </c>
      <c r="H158" s="38">
        <f t="shared" si="17"/>
        <v>11.666666666666666</v>
      </c>
      <c r="I158" s="39">
        <f t="shared" si="15"/>
        <v>10</v>
      </c>
      <c r="J158" s="40">
        <v>10</v>
      </c>
      <c r="K158" s="41"/>
      <c r="L158" s="42" t="s">
        <v>76</v>
      </c>
      <c r="M158" s="47" t="s">
        <v>147</v>
      </c>
      <c r="N158" s="43" t="s">
        <v>84</v>
      </c>
    </row>
    <row r="159" spans="1:14" ht="15" customHeight="1">
      <c r="A159" s="139" t="s">
        <v>292</v>
      </c>
      <c r="B159" s="128"/>
      <c r="C159" s="36">
        <v>10600</v>
      </c>
      <c r="D159" s="36">
        <v>14000</v>
      </c>
      <c r="E159" s="37">
        <v>14200</v>
      </c>
      <c r="F159" s="129">
        <f t="shared" si="16"/>
        <v>0</v>
      </c>
      <c r="G159" s="38">
        <f t="shared" si="16"/>
        <v>21.2</v>
      </c>
      <c r="H159" s="38">
        <f t="shared" si="17"/>
        <v>23.333333333333332</v>
      </c>
      <c r="I159" s="48">
        <f t="shared" si="15"/>
        <v>23.666666666666668</v>
      </c>
      <c r="J159" s="40">
        <v>21.7</v>
      </c>
      <c r="K159" s="41"/>
      <c r="L159" s="42"/>
      <c r="M159" s="42" t="s">
        <v>252</v>
      </c>
      <c r="N159" s="43" t="s">
        <v>84</v>
      </c>
    </row>
    <row r="160" spans="1:14" ht="15" customHeight="1">
      <c r="A160" s="139" t="s">
        <v>293</v>
      </c>
      <c r="B160" s="128"/>
      <c r="C160" s="36">
        <v>7800</v>
      </c>
      <c r="D160" s="36">
        <v>11000</v>
      </c>
      <c r="E160" s="37">
        <v>9600</v>
      </c>
      <c r="F160" s="129">
        <f t="shared" si="16"/>
        <v>0</v>
      </c>
      <c r="G160" s="38">
        <f t="shared" si="16"/>
        <v>15.6</v>
      </c>
      <c r="H160" s="38">
        <f t="shared" si="17"/>
        <v>18.333333333333332</v>
      </c>
      <c r="I160" s="39">
        <f t="shared" si="17"/>
        <v>16</v>
      </c>
      <c r="J160" s="40">
        <v>16.7</v>
      </c>
      <c r="K160" s="41"/>
      <c r="L160" s="42" t="s">
        <v>294</v>
      </c>
      <c r="M160" s="47"/>
      <c r="N160" s="43" t="s">
        <v>189</v>
      </c>
    </row>
    <row r="161" spans="1:14" ht="15" customHeight="1">
      <c r="A161" s="139" t="s">
        <v>295</v>
      </c>
      <c r="B161" s="128"/>
      <c r="C161" s="36"/>
      <c r="D161" s="36"/>
      <c r="E161" s="37"/>
      <c r="F161" s="129">
        <f t="shared" si="16"/>
        <v>0</v>
      </c>
      <c r="G161" s="38">
        <f t="shared" si="16"/>
        <v>0</v>
      </c>
      <c r="H161" s="38">
        <f t="shared" si="17"/>
        <v>0</v>
      </c>
      <c r="I161" s="39">
        <f t="shared" si="17"/>
        <v>0</v>
      </c>
      <c r="K161" s="41"/>
      <c r="L161" s="42"/>
      <c r="M161" s="42"/>
      <c r="N161" s="43"/>
    </row>
    <row r="162" spans="1:14" ht="15" customHeight="1">
      <c r="A162" s="139" t="s">
        <v>296</v>
      </c>
      <c r="B162" s="128"/>
      <c r="C162" s="36">
        <v>10000</v>
      </c>
      <c r="D162" s="36"/>
      <c r="E162" s="37">
        <v>10000</v>
      </c>
      <c r="F162" s="129">
        <f t="shared" si="16"/>
        <v>0</v>
      </c>
      <c r="G162" s="38">
        <f t="shared" si="16"/>
        <v>20</v>
      </c>
      <c r="H162" s="38">
        <f t="shared" si="17"/>
        <v>0</v>
      </c>
      <c r="I162" s="48">
        <f t="shared" si="17"/>
        <v>16.666666666666668</v>
      </c>
      <c r="J162" s="40">
        <v>16.7</v>
      </c>
      <c r="K162" s="41"/>
      <c r="L162" s="42" t="s">
        <v>245</v>
      </c>
      <c r="M162" s="42"/>
      <c r="N162" s="43" t="s">
        <v>297</v>
      </c>
    </row>
    <row r="163" spans="1:14" ht="15" customHeight="1">
      <c r="A163" s="139" t="s">
        <v>298</v>
      </c>
      <c r="B163" s="128"/>
      <c r="C163" s="36"/>
      <c r="D163" s="36"/>
      <c r="E163" s="37"/>
      <c r="F163" s="129">
        <f t="shared" si="16"/>
        <v>0</v>
      </c>
      <c r="G163" s="38">
        <f t="shared" si="16"/>
        <v>0</v>
      </c>
      <c r="H163" s="38">
        <f t="shared" si="17"/>
        <v>0</v>
      </c>
      <c r="I163" s="39">
        <f t="shared" si="17"/>
        <v>0</v>
      </c>
      <c r="K163" s="41"/>
      <c r="L163" s="42"/>
      <c r="M163" s="42"/>
      <c r="N163" s="43"/>
    </row>
    <row r="164" spans="1:14" ht="15" customHeight="1">
      <c r="A164" s="139" t="s">
        <v>299</v>
      </c>
      <c r="B164" s="128"/>
      <c r="C164" s="36">
        <v>9500</v>
      </c>
      <c r="D164" s="36">
        <v>14000</v>
      </c>
      <c r="E164" s="37"/>
      <c r="F164" s="129">
        <f t="shared" si="16"/>
        <v>0</v>
      </c>
      <c r="G164" s="38">
        <f t="shared" si="16"/>
        <v>19</v>
      </c>
      <c r="H164" s="38">
        <f t="shared" si="17"/>
        <v>23.333333333333332</v>
      </c>
      <c r="I164" s="39">
        <f t="shared" si="17"/>
        <v>0</v>
      </c>
      <c r="J164" s="40">
        <v>23.3</v>
      </c>
      <c r="K164" s="41"/>
      <c r="L164" s="42"/>
      <c r="M164" s="42"/>
      <c r="N164" s="43"/>
    </row>
    <row r="165" spans="1:14" ht="15" customHeight="1">
      <c r="A165" s="139" t="s">
        <v>300</v>
      </c>
      <c r="B165" s="128">
        <v>8800</v>
      </c>
      <c r="C165" s="36">
        <v>5100</v>
      </c>
      <c r="D165" s="36">
        <v>5800</v>
      </c>
      <c r="E165" s="37">
        <v>7000</v>
      </c>
      <c r="F165" s="129">
        <f t="shared" si="16"/>
        <v>17.600000000000001</v>
      </c>
      <c r="G165" s="38">
        <f t="shared" si="16"/>
        <v>10.199999999999999</v>
      </c>
      <c r="H165" s="38">
        <f t="shared" si="17"/>
        <v>9.6666666666666661</v>
      </c>
      <c r="I165" s="48">
        <f t="shared" si="17"/>
        <v>11.666666666666666</v>
      </c>
      <c r="J165" s="40">
        <v>17.600000000000001</v>
      </c>
      <c r="K165" s="70"/>
      <c r="L165" s="71" t="s">
        <v>301</v>
      </c>
      <c r="M165" s="61" t="s">
        <v>302</v>
      </c>
      <c r="N165" s="69" t="s">
        <v>303</v>
      </c>
    </row>
    <row r="166" spans="1:14" ht="15" customHeight="1">
      <c r="A166" s="139" t="s">
        <v>304</v>
      </c>
      <c r="B166" s="128">
        <v>22500</v>
      </c>
      <c r="C166" s="36"/>
      <c r="D166" s="36"/>
      <c r="E166" s="37"/>
      <c r="F166" s="129">
        <f t="shared" si="16"/>
        <v>45</v>
      </c>
      <c r="G166" s="38">
        <f t="shared" si="16"/>
        <v>0</v>
      </c>
      <c r="H166" s="38">
        <f t="shared" si="17"/>
        <v>0</v>
      </c>
      <c r="I166" s="39">
        <f t="shared" si="17"/>
        <v>0</v>
      </c>
      <c r="J166" s="40">
        <v>45</v>
      </c>
      <c r="K166" s="41"/>
      <c r="L166" s="42"/>
      <c r="M166" s="42"/>
      <c r="N166" s="43"/>
    </row>
    <row r="167" spans="1:14" ht="15" customHeight="1" thickBot="1">
      <c r="A167" s="140" t="s">
        <v>305</v>
      </c>
      <c r="B167" s="132"/>
      <c r="C167" s="49"/>
      <c r="D167" s="49"/>
      <c r="E167" s="50"/>
      <c r="F167" s="80">
        <f t="shared" si="16"/>
        <v>0</v>
      </c>
      <c r="G167" s="51">
        <f t="shared" si="16"/>
        <v>0</v>
      </c>
      <c r="H167" s="51">
        <f t="shared" si="17"/>
        <v>0</v>
      </c>
      <c r="I167" s="63">
        <f t="shared" si="17"/>
        <v>0</v>
      </c>
      <c r="J167" s="52"/>
      <c r="K167" s="64"/>
      <c r="L167" s="54"/>
      <c r="M167" s="54"/>
      <c r="N167" s="65"/>
    </row>
    <row r="168" spans="1:14" ht="15" customHeight="1">
      <c r="A168" s="141" t="s">
        <v>306</v>
      </c>
      <c r="B168" s="126"/>
      <c r="C168" s="26">
        <v>5300</v>
      </c>
      <c r="D168" s="26">
        <v>14000</v>
      </c>
      <c r="E168" s="27"/>
      <c r="F168" s="28">
        <f t="shared" si="16"/>
        <v>0</v>
      </c>
      <c r="G168" s="29">
        <f t="shared" si="16"/>
        <v>10.6</v>
      </c>
      <c r="H168" s="29">
        <f t="shared" si="17"/>
        <v>23.333333333333332</v>
      </c>
      <c r="I168" s="58">
        <f t="shared" si="17"/>
        <v>0</v>
      </c>
      <c r="J168" s="31">
        <v>23.3</v>
      </c>
      <c r="K168" s="32"/>
      <c r="L168" s="33"/>
      <c r="M168" s="34"/>
      <c r="N168" s="35"/>
    </row>
    <row r="169" spans="1:14" ht="15" customHeight="1">
      <c r="A169" s="142" t="s">
        <v>307</v>
      </c>
      <c r="B169" s="128"/>
      <c r="C169" s="36"/>
      <c r="D169" s="36"/>
      <c r="E169" s="37"/>
      <c r="F169" s="129">
        <f t="shared" si="16"/>
        <v>0</v>
      </c>
      <c r="G169" s="38">
        <f t="shared" si="16"/>
        <v>0</v>
      </c>
      <c r="H169" s="38">
        <f t="shared" si="17"/>
        <v>0</v>
      </c>
      <c r="I169" s="39">
        <f t="shared" si="17"/>
        <v>0</v>
      </c>
      <c r="K169" s="41"/>
      <c r="L169" s="42"/>
      <c r="M169" s="42"/>
      <c r="N169" s="43"/>
    </row>
    <row r="170" spans="1:14" ht="15" customHeight="1">
      <c r="A170" s="142" t="s">
        <v>308</v>
      </c>
      <c r="B170" s="128"/>
      <c r="C170" s="36">
        <v>11000</v>
      </c>
      <c r="D170" s="36"/>
      <c r="E170" s="37">
        <v>16300</v>
      </c>
      <c r="F170" s="129">
        <f t="shared" si="16"/>
        <v>0</v>
      </c>
      <c r="G170" s="75">
        <f t="shared" si="16"/>
        <v>22</v>
      </c>
      <c r="H170" s="38">
        <f t="shared" si="17"/>
        <v>0</v>
      </c>
      <c r="I170" s="143">
        <f t="shared" si="17"/>
        <v>27.166666666666668</v>
      </c>
      <c r="J170" s="40">
        <v>22</v>
      </c>
      <c r="K170" s="41"/>
      <c r="L170" s="60" t="s">
        <v>50</v>
      </c>
      <c r="M170" s="42"/>
      <c r="N170" s="43" t="s">
        <v>84</v>
      </c>
    </row>
    <row r="171" spans="1:14" ht="15" customHeight="1">
      <c r="A171" s="142" t="s">
        <v>312</v>
      </c>
      <c r="B171" s="128">
        <v>31900</v>
      </c>
      <c r="C171" s="36"/>
      <c r="D171" s="36">
        <v>17000</v>
      </c>
      <c r="E171" s="37">
        <v>25800</v>
      </c>
      <c r="F171" s="129">
        <f t="shared" si="16"/>
        <v>63.8</v>
      </c>
      <c r="G171" s="38">
        <f t="shared" si="16"/>
        <v>0</v>
      </c>
      <c r="H171" s="38">
        <f t="shared" si="17"/>
        <v>28.333333333333332</v>
      </c>
      <c r="I171" s="39">
        <f t="shared" si="17"/>
        <v>43</v>
      </c>
      <c r="J171" s="40">
        <v>43</v>
      </c>
      <c r="K171" s="41" t="s">
        <v>309</v>
      </c>
      <c r="L171" s="42"/>
      <c r="M171" s="47" t="s">
        <v>310</v>
      </c>
      <c r="N171" s="69" t="s">
        <v>311</v>
      </c>
    </row>
    <row r="172" spans="1:14" ht="15" customHeight="1">
      <c r="A172" s="142" t="s">
        <v>313</v>
      </c>
      <c r="B172" s="128"/>
      <c r="C172" s="36">
        <v>5200</v>
      </c>
      <c r="D172" s="36">
        <v>14000</v>
      </c>
      <c r="E172" s="37">
        <v>6500</v>
      </c>
      <c r="F172" s="129">
        <f t="shared" si="16"/>
        <v>0</v>
      </c>
      <c r="G172" s="38">
        <f>C172/500</f>
        <v>10.4</v>
      </c>
      <c r="H172" s="38">
        <f t="shared" si="17"/>
        <v>23.333333333333332</v>
      </c>
      <c r="I172" s="39">
        <f t="shared" si="17"/>
        <v>10.833333333333334</v>
      </c>
      <c r="J172" s="40">
        <v>10.8</v>
      </c>
      <c r="K172" s="41"/>
      <c r="L172" s="42" t="s">
        <v>468</v>
      </c>
      <c r="M172" s="42" t="s">
        <v>152</v>
      </c>
      <c r="N172" s="43" t="s">
        <v>84</v>
      </c>
    </row>
    <row r="173" spans="1:14" ht="15" customHeight="1">
      <c r="A173" s="127" t="s">
        <v>314</v>
      </c>
      <c r="B173" s="128"/>
      <c r="C173" s="36"/>
      <c r="D173" s="36"/>
      <c r="E173" s="37">
        <v>12500</v>
      </c>
      <c r="F173" s="129">
        <f t="shared" si="16"/>
        <v>0</v>
      </c>
      <c r="G173" s="38">
        <f t="shared" si="16"/>
        <v>0</v>
      </c>
      <c r="H173" s="38">
        <f t="shared" si="17"/>
        <v>0</v>
      </c>
      <c r="I173" s="39">
        <f t="shared" si="17"/>
        <v>20.833333333333332</v>
      </c>
      <c r="J173" s="40">
        <v>20.8</v>
      </c>
      <c r="K173" s="41"/>
      <c r="L173" s="42"/>
      <c r="M173" s="42"/>
      <c r="N173" s="43" t="s">
        <v>42</v>
      </c>
    </row>
    <row r="174" spans="1:14" ht="15" customHeight="1">
      <c r="A174" s="142" t="s">
        <v>315</v>
      </c>
      <c r="B174" s="128"/>
      <c r="C174" s="36">
        <v>5800</v>
      </c>
      <c r="D174" s="36"/>
      <c r="E174" s="37"/>
      <c r="F174" s="129">
        <f t="shared" si="16"/>
        <v>0</v>
      </c>
      <c r="G174" s="38">
        <f t="shared" si="16"/>
        <v>11.6</v>
      </c>
      <c r="H174" s="38">
        <f t="shared" si="17"/>
        <v>0</v>
      </c>
      <c r="I174" s="39">
        <f t="shared" si="17"/>
        <v>0</v>
      </c>
      <c r="J174" s="40">
        <v>11.6</v>
      </c>
      <c r="K174" s="41"/>
      <c r="L174" s="42" t="s">
        <v>316</v>
      </c>
      <c r="M174" s="42"/>
      <c r="N174" s="43"/>
    </row>
    <row r="175" spans="1:14" ht="15" customHeight="1">
      <c r="A175" s="142" t="s">
        <v>317</v>
      </c>
      <c r="B175" s="128"/>
      <c r="C175" s="36">
        <v>21900</v>
      </c>
      <c r="D175" s="36">
        <v>24000</v>
      </c>
      <c r="E175" s="37">
        <v>24300</v>
      </c>
      <c r="F175" s="129">
        <f t="shared" si="16"/>
        <v>0</v>
      </c>
      <c r="G175" s="38">
        <f t="shared" si="16"/>
        <v>43.8</v>
      </c>
      <c r="H175" s="38">
        <f t="shared" si="17"/>
        <v>40</v>
      </c>
      <c r="I175" s="39">
        <f t="shared" si="17"/>
        <v>40.5</v>
      </c>
      <c r="J175" s="40">
        <v>40</v>
      </c>
      <c r="K175" s="41"/>
      <c r="L175" s="42" t="s">
        <v>65</v>
      </c>
      <c r="M175" s="47"/>
      <c r="N175" s="43" t="s">
        <v>84</v>
      </c>
    </row>
    <row r="176" spans="1:14" ht="15" customHeight="1">
      <c r="A176" s="142" t="s">
        <v>318</v>
      </c>
      <c r="B176" s="128"/>
      <c r="C176" s="36">
        <v>13800</v>
      </c>
      <c r="D176" s="36"/>
      <c r="E176" s="37">
        <v>17600</v>
      </c>
      <c r="F176" s="129">
        <f t="shared" si="16"/>
        <v>0</v>
      </c>
      <c r="G176" s="38">
        <f t="shared" si="16"/>
        <v>27.6</v>
      </c>
      <c r="H176" s="38">
        <f t="shared" si="17"/>
        <v>0</v>
      </c>
      <c r="I176" s="39">
        <f t="shared" si="17"/>
        <v>29.333333333333332</v>
      </c>
      <c r="J176" s="40">
        <v>28.5</v>
      </c>
      <c r="K176" s="41"/>
      <c r="L176" s="42" t="s">
        <v>245</v>
      </c>
      <c r="M176" s="42"/>
      <c r="N176" s="43" t="s">
        <v>319</v>
      </c>
    </row>
    <row r="177" spans="1:14" ht="15" customHeight="1">
      <c r="A177" s="142" t="s">
        <v>469</v>
      </c>
      <c r="B177" s="128"/>
      <c r="C177" s="36">
        <v>11000</v>
      </c>
      <c r="D177" s="36"/>
      <c r="E177" s="37">
        <v>11000</v>
      </c>
      <c r="F177" s="129">
        <f t="shared" si="16"/>
        <v>0</v>
      </c>
      <c r="G177" s="38">
        <f t="shared" si="16"/>
        <v>22</v>
      </c>
      <c r="H177" s="38">
        <f t="shared" si="17"/>
        <v>0</v>
      </c>
      <c r="I177" s="39">
        <f>E177/500</f>
        <v>22</v>
      </c>
      <c r="J177" s="40">
        <v>22</v>
      </c>
      <c r="K177" s="41"/>
      <c r="L177" s="42" t="s">
        <v>470</v>
      </c>
      <c r="M177" s="42"/>
      <c r="N177" s="43" t="s">
        <v>471</v>
      </c>
    </row>
    <row r="178" spans="1:14" ht="15" customHeight="1">
      <c r="A178" s="142" t="s">
        <v>320</v>
      </c>
      <c r="B178" s="128"/>
      <c r="C178" s="36">
        <v>11300</v>
      </c>
      <c r="D178" s="36"/>
      <c r="E178" s="37">
        <v>14200</v>
      </c>
      <c r="F178" s="129">
        <f t="shared" si="16"/>
        <v>0</v>
      </c>
      <c r="G178" s="38">
        <f t="shared" si="16"/>
        <v>22.6</v>
      </c>
      <c r="H178" s="38">
        <f t="shared" si="17"/>
        <v>0</v>
      </c>
      <c r="I178" s="39">
        <f t="shared" si="17"/>
        <v>23.666666666666668</v>
      </c>
      <c r="J178" s="40">
        <v>22.6</v>
      </c>
      <c r="K178" s="41"/>
      <c r="L178" s="42" t="s">
        <v>42</v>
      </c>
      <c r="M178" s="42"/>
      <c r="N178" s="43" t="s">
        <v>42</v>
      </c>
    </row>
    <row r="179" spans="1:14" ht="15" customHeight="1">
      <c r="A179" s="142" t="s">
        <v>321</v>
      </c>
      <c r="B179" s="128"/>
      <c r="C179" s="36"/>
      <c r="D179" s="36">
        <v>8500</v>
      </c>
      <c r="E179" s="37"/>
      <c r="F179" s="129">
        <f t="shared" si="16"/>
        <v>0</v>
      </c>
      <c r="G179" s="38">
        <f t="shared" si="16"/>
        <v>0</v>
      </c>
      <c r="H179" s="38">
        <f t="shared" si="17"/>
        <v>14.166666666666666</v>
      </c>
      <c r="I179" s="39">
        <f t="shared" si="17"/>
        <v>0</v>
      </c>
      <c r="J179" s="40">
        <v>14.2</v>
      </c>
      <c r="K179" s="41"/>
      <c r="L179" s="42"/>
      <c r="M179" s="42"/>
      <c r="N179" s="43"/>
    </row>
    <row r="180" spans="1:14" ht="15" customHeight="1">
      <c r="A180" s="142" t="s">
        <v>322</v>
      </c>
      <c r="B180" s="128"/>
      <c r="C180" s="36">
        <v>3300</v>
      </c>
      <c r="D180" s="36">
        <v>5800</v>
      </c>
      <c r="E180" s="37">
        <v>4400</v>
      </c>
      <c r="F180" s="129">
        <f t="shared" si="16"/>
        <v>0</v>
      </c>
      <c r="G180" s="38">
        <f t="shared" si="16"/>
        <v>6.6</v>
      </c>
      <c r="H180" s="38">
        <f t="shared" si="17"/>
        <v>9.6666666666666661</v>
      </c>
      <c r="I180" s="39">
        <f t="shared" si="17"/>
        <v>7.333333333333333</v>
      </c>
      <c r="J180" s="40">
        <v>7.3</v>
      </c>
      <c r="K180" s="41"/>
      <c r="L180" s="42"/>
      <c r="M180" s="42" t="s">
        <v>323</v>
      </c>
      <c r="N180" s="43" t="s">
        <v>84</v>
      </c>
    </row>
    <row r="181" spans="1:14" ht="15" customHeight="1">
      <c r="A181" s="142" t="s">
        <v>324</v>
      </c>
      <c r="B181" s="128"/>
      <c r="C181" s="36"/>
      <c r="D181" s="36"/>
      <c r="E181" s="37"/>
      <c r="F181" s="129">
        <f t="shared" si="16"/>
        <v>0</v>
      </c>
      <c r="G181" s="38">
        <f t="shared" si="16"/>
        <v>0</v>
      </c>
      <c r="H181" s="38">
        <f t="shared" si="17"/>
        <v>0</v>
      </c>
      <c r="I181" s="39">
        <f t="shared" si="17"/>
        <v>0</v>
      </c>
      <c r="K181" s="41"/>
      <c r="L181" s="42"/>
      <c r="M181" s="42"/>
      <c r="N181" s="43"/>
    </row>
    <row r="182" spans="1:14" ht="15" customHeight="1">
      <c r="A182" s="142" t="s">
        <v>325</v>
      </c>
      <c r="B182" s="128"/>
      <c r="C182" s="36"/>
      <c r="D182" s="36"/>
      <c r="E182" s="37"/>
      <c r="F182" s="129">
        <f t="shared" ref="F182:G187" si="18">B182/500</f>
        <v>0</v>
      </c>
      <c r="G182" s="38">
        <f t="shared" si="18"/>
        <v>0</v>
      </c>
      <c r="H182" s="38">
        <f t="shared" si="17"/>
        <v>0</v>
      </c>
      <c r="I182" s="39">
        <f t="shared" si="17"/>
        <v>0</v>
      </c>
      <c r="K182" s="41"/>
      <c r="L182" s="42"/>
      <c r="M182" s="42"/>
      <c r="N182" s="43"/>
    </row>
    <row r="183" spans="1:14" ht="15" customHeight="1">
      <c r="A183" s="142" t="s">
        <v>326</v>
      </c>
      <c r="B183" s="128"/>
      <c r="C183" s="36">
        <v>5800</v>
      </c>
      <c r="D183" s="36">
        <v>7000</v>
      </c>
      <c r="E183" s="37"/>
      <c r="F183" s="129">
        <f t="shared" si="18"/>
        <v>0</v>
      </c>
      <c r="G183" s="38">
        <f t="shared" si="18"/>
        <v>11.6</v>
      </c>
      <c r="H183" s="38">
        <f t="shared" si="17"/>
        <v>11.666666666666666</v>
      </c>
      <c r="I183" s="39">
        <f t="shared" si="17"/>
        <v>0</v>
      </c>
      <c r="J183" s="40">
        <v>11.7</v>
      </c>
      <c r="K183" s="41"/>
      <c r="L183" s="42" t="s">
        <v>272</v>
      </c>
      <c r="M183" s="42"/>
      <c r="N183" s="43"/>
    </row>
    <row r="184" spans="1:14" ht="15" customHeight="1">
      <c r="A184" s="142" t="s">
        <v>327</v>
      </c>
      <c r="B184" s="128"/>
      <c r="C184" s="36"/>
      <c r="D184" s="36"/>
      <c r="E184" s="37"/>
      <c r="F184" s="129">
        <f t="shared" si="18"/>
        <v>0</v>
      </c>
      <c r="G184" s="38">
        <f t="shared" si="18"/>
        <v>0</v>
      </c>
      <c r="H184" s="38">
        <f t="shared" si="17"/>
        <v>0</v>
      </c>
      <c r="I184" s="39">
        <f t="shared" si="17"/>
        <v>0</v>
      </c>
      <c r="K184" s="41"/>
      <c r="L184" s="42"/>
      <c r="M184" s="42"/>
      <c r="N184" s="43"/>
    </row>
    <row r="185" spans="1:14" ht="15" customHeight="1" thickBot="1">
      <c r="A185" s="144" t="s">
        <v>328</v>
      </c>
      <c r="B185" s="132">
        <v>10800</v>
      </c>
      <c r="C185" s="49">
        <v>9500</v>
      </c>
      <c r="D185" s="49">
        <v>7500</v>
      </c>
      <c r="E185" s="50">
        <v>12700</v>
      </c>
      <c r="F185" s="80">
        <f t="shared" si="18"/>
        <v>21.6</v>
      </c>
      <c r="G185" s="51">
        <f t="shared" si="18"/>
        <v>19</v>
      </c>
      <c r="H185" s="51">
        <f t="shared" si="17"/>
        <v>12.5</v>
      </c>
      <c r="I185" s="63">
        <f t="shared" si="17"/>
        <v>21.166666666666668</v>
      </c>
      <c r="J185" s="52">
        <v>26</v>
      </c>
      <c r="K185" s="76"/>
      <c r="L185" s="54" t="s">
        <v>42</v>
      </c>
      <c r="M185" s="55"/>
      <c r="N185" s="65" t="s">
        <v>189</v>
      </c>
    </row>
    <row r="186" spans="1:14" ht="15" customHeight="1">
      <c r="A186" s="145" t="s">
        <v>329</v>
      </c>
      <c r="B186" s="126"/>
      <c r="C186" s="26">
        <v>13200</v>
      </c>
      <c r="D186" s="26">
        <v>15000</v>
      </c>
      <c r="E186" s="27">
        <v>16300</v>
      </c>
      <c r="F186" s="28">
        <f t="shared" si="18"/>
        <v>0</v>
      </c>
      <c r="G186" s="29">
        <f t="shared" si="18"/>
        <v>26.4</v>
      </c>
      <c r="H186" s="29">
        <f t="shared" si="17"/>
        <v>25</v>
      </c>
      <c r="I186" s="58">
        <f t="shared" si="17"/>
        <v>27.166666666666668</v>
      </c>
      <c r="J186" s="31">
        <v>23.7</v>
      </c>
      <c r="K186" s="32"/>
      <c r="L186" s="146" t="s">
        <v>42</v>
      </c>
      <c r="M186" s="34" t="s">
        <v>62</v>
      </c>
      <c r="N186" s="35" t="s">
        <v>44</v>
      </c>
    </row>
    <row r="187" spans="1:14" ht="15" customHeight="1">
      <c r="A187" s="147" t="s">
        <v>330</v>
      </c>
      <c r="B187" s="128"/>
      <c r="C187" s="36">
        <v>5500</v>
      </c>
      <c r="D187" s="36"/>
      <c r="E187" s="37"/>
      <c r="F187" s="129"/>
      <c r="G187" s="38">
        <f t="shared" si="18"/>
        <v>11</v>
      </c>
      <c r="H187" s="38"/>
      <c r="I187" s="39"/>
      <c r="J187" s="40">
        <v>11</v>
      </c>
      <c r="K187" s="77"/>
      <c r="L187" s="42" t="s">
        <v>331</v>
      </c>
      <c r="M187" s="78"/>
      <c r="N187" s="79"/>
    </row>
    <row r="188" spans="1:14" ht="15" customHeight="1" thickBot="1">
      <c r="A188" s="140" t="s">
        <v>332</v>
      </c>
      <c r="B188" s="132"/>
      <c r="C188" s="49">
        <v>10000</v>
      </c>
      <c r="D188" s="49">
        <v>10000</v>
      </c>
      <c r="E188" s="50">
        <v>10300</v>
      </c>
      <c r="F188" s="80">
        <f t="shared" ref="F188:G208" si="19">B188/500</f>
        <v>0</v>
      </c>
      <c r="G188" s="51">
        <f t="shared" ref="G188:I196" si="20">C188/600</f>
        <v>16.666666666666668</v>
      </c>
      <c r="H188" s="51">
        <f t="shared" si="20"/>
        <v>16.666666666666668</v>
      </c>
      <c r="I188" s="63">
        <f t="shared" si="20"/>
        <v>17.166666666666668</v>
      </c>
      <c r="J188" s="52"/>
      <c r="K188" s="64"/>
      <c r="L188" s="54" t="s">
        <v>105</v>
      </c>
      <c r="M188" s="55" t="s">
        <v>333</v>
      </c>
      <c r="N188" s="65" t="s">
        <v>472</v>
      </c>
    </row>
    <row r="189" spans="1:14" ht="15" customHeight="1">
      <c r="A189" s="141" t="s">
        <v>334</v>
      </c>
      <c r="B189" s="126"/>
      <c r="C189" s="26">
        <v>4700</v>
      </c>
      <c r="D189" s="26">
        <v>5500</v>
      </c>
      <c r="E189" s="27">
        <v>4700</v>
      </c>
      <c r="F189" s="28">
        <f t="shared" si="19"/>
        <v>0</v>
      </c>
      <c r="G189" s="29">
        <f t="shared" si="20"/>
        <v>7.833333333333333</v>
      </c>
      <c r="H189" s="29">
        <f t="shared" si="20"/>
        <v>9.1666666666666661</v>
      </c>
      <c r="I189" s="58">
        <f t="shared" si="20"/>
        <v>7.833333333333333</v>
      </c>
      <c r="J189" s="31">
        <v>9.1999999999999993</v>
      </c>
      <c r="K189" s="32"/>
      <c r="L189" s="33" t="s">
        <v>335</v>
      </c>
      <c r="M189" s="34" t="s">
        <v>336</v>
      </c>
      <c r="N189" s="35" t="s">
        <v>337</v>
      </c>
    </row>
    <row r="190" spans="1:14" ht="15" customHeight="1">
      <c r="A190" s="142" t="s">
        <v>338</v>
      </c>
      <c r="B190" s="128"/>
      <c r="C190" s="36">
        <v>21000</v>
      </c>
      <c r="D190" s="36">
        <v>25500</v>
      </c>
      <c r="E190" s="37">
        <v>25400</v>
      </c>
      <c r="F190" s="129">
        <f t="shared" si="19"/>
        <v>0</v>
      </c>
      <c r="G190" s="44">
        <f t="shared" si="20"/>
        <v>35</v>
      </c>
      <c r="H190" s="38">
        <f t="shared" si="20"/>
        <v>42.5</v>
      </c>
      <c r="I190" s="39">
        <f t="shared" si="20"/>
        <v>42.333333333333336</v>
      </c>
      <c r="J190" s="40">
        <v>35</v>
      </c>
      <c r="K190" s="41"/>
      <c r="L190" s="42" t="s">
        <v>339</v>
      </c>
      <c r="M190" s="42"/>
      <c r="N190" s="43" t="s">
        <v>84</v>
      </c>
    </row>
    <row r="191" spans="1:14" ht="15" customHeight="1">
      <c r="A191" s="142" t="s">
        <v>340</v>
      </c>
      <c r="B191" s="128"/>
      <c r="C191" s="36">
        <v>19000</v>
      </c>
      <c r="D191" s="36">
        <v>19200</v>
      </c>
      <c r="E191" s="37">
        <v>19200</v>
      </c>
      <c r="F191" s="129">
        <f t="shared" si="19"/>
        <v>0</v>
      </c>
      <c r="G191" s="38">
        <f>C191/500</f>
        <v>38</v>
      </c>
      <c r="H191" s="38">
        <f t="shared" si="20"/>
        <v>32</v>
      </c>
      <c r="I191" s="39">
        <f t="shared" si="20"/>
        <v>32</v>
      </c>
      <c r="J191" s="40">
        <v>32</v>
      </c>
      <c r="K191" s="41"/>
      <c r="L191" s="42"/>
      <c r="M191" s="42"/>
      <c r="N191" s="43"/>
    </row>
    <row r="192" spans="1:14" ht="15" customHeight="1">
      <c r="A192" s="142" t="s">
        <v>341</v>
      </c>
      <c r="B192" s="128"/>
      <c r="C192" s="36"/>
      <c r="D192" s="36"/>
      <c r="E192" s="37"/>
      <c r="F192" s="129">
        <f t="shared" si="19"/>
        <v>0</v>
      </c>
      <c r="G192" s="38">
        <f>C192/500</f>
        <v>0</v>
      </c>
      <c r="H192" s="38">
        <f t="shared" si="20"/>
        <v>0</v>
      </c>
      <c r="I192" s="39">
        <f t="shared" si="20"/>
        <v>0</v>
      </c>
      <c r="K192" s="41"/>
      <c r="L192" s="42"/>
      <c r="M192" s="42"/>
      <c r="N192" s="43"/>
    </row>
    <row r="193" spans="1:14" ht="15" customHeight="1" thickBot="1">
      <c r="A193" s="144" t="s">
        <v>342</v>
      </c>
      <c r="B193" s="132"/>
      <c r="C193" s="49">
        <v>5200</v>
      </c>
      <c r="D193" s="49"/>
      <c r="E193" s="50">
        <v>5600</v>
      </c>
      <c r="F193" s="80">
        <f t="shared" si="19"/>
        <v>0</v>
      </c>
      <c r="G193" s="62">
        <f>C193/600</f>
        <v>8.6666666666666661</v>
      </c>
      <c r="H193" s="51">
        <f t="shared" si="20"/>
        <v>0</v>
      </c>
      <c r="I193" s="63">
        <f t="shared" si="20"/>
        <v>9.3333333333333339</v>
      </c>
      <c r="J193" s="52">
        <v>8.6999999999999993</v>
      </c>
      <c r="K193" s="64"/>
      <c r="L193" s="54" t="s">
        <v>73</v>
      </c>
      <c r="M193" s="54"/>
      <c r="N193" s="65" t="s">
        <v>50</v>
      </c>
    </row>
    <row r="194" spans="1:14" ht="15" customHeight="1">
      <c r="A194" s="145" t="s">
        <v>343</v>
      </c>
      <c r="B194" s="126"/>
      <c r="C194" s="26">
        <v>4000</v>
      </c>
      <c r="D194" s="26">
        <v>5500</v>
      </c>
      <c r="E194" s="27">
        <v>5100</v>
      </c>
      <c r="F194" s="28">
        <f t="shared" si="19"/>
        <v>0</v>
      </c>
      <c r="G194" s="29">
        <f t="shared" si="19"/>
        <v>8</v>
      </c>
      <c r="H194" s="29">
        <f t="shared" si="20"/>
        <v>9.1666666666666661</v>
      </c>
      <c r="I194" s="58">
        <f t="shared" si="20"/>
        <v>8.5</v>
      </c>
      <c r="J194" s="31">
        <v>8</v>
      </c>
      <c r="K194" s="32"/>
      <c r="L194" s="33" t="s">
        <v>50</v>
      </c>
      <c r="M194" s="33"/>
      <c r="N194" s="35"/>
    </row>
    <row r="195" spans="1:14" ht="15" customHeight="1">
      <c r="A195" s="139" t="s">
        <v>344</v>
      </c>
      <c r="B195" s="128"/>
      <c r="C195" s="36">
        <v>5900</v>
      </c>
      <c r="D195" s="36">
        <v>6500</v>
      </c>
      <c r="E195" s="37">
        <v>6900</v>
      </c>
      <c r="F195" s="129">
        <f t="shared" si="19"/>
        <v>0</v>
      </c>
      <c r="G195" s="38">
        <f t="shared" si="19"/>
        <v>11.8</v>
      </c>
      <c r="H195" s="38">
        <f t="shared" si="20"/>
        <v>10.833333333333334</v>
      </c>
      <c r="I195" s="39">
        <f t="shared" si="20"/>
        <v>11.5</v>
      </c>
      <c r="J195" s="40">
        <v>12</v>
      </c>
      <c r="K195" s="41"/>
      <c r="L195" s="42"/>
      <c r="M195" s="47" t="s">
        <v>345</v>
      </c>
      <c r="N195" s="43" t="s">
        <v>473</v>
      </c>
    </row>
    <row r="196" spans="1:14" ht="15" customHeight="1">
      <c r="A196" s="139" t="s">
        <v>346</v>
      </c>
      <c r="B196" s="128"/>
      <c r="C196" s="36">
        <v>7200</v>
      </c>
      <c r="D196" s="36">
        <v>9500</v>
      </c>
      <c r="E196" s="37">
        <v>8600</v>
      </c>
      <c r="F196" s="129">
        <f t="shared" si="19"/>
        <v>0</v>
      </c>
      <c r="G196" s="38">
        <f t="shared" si="19"/>
        <v>14.4</v>
      </c>
      <c r="H196" s="38">
        <f t="shared" si="20"/>
        <v>15.833333333333334</v>
      </c>
      <c r="I196" s="105">
        <f t="shared" si="20"/>
        <v>14.333333333333334</v>
      </c>
      <c r="J196" s="40">
        <v>14.7</v>
      </c>
      <c r="K196" s="41"/>
      <c r="L196" s="130" t="s">
        <v>42</v>
      </c>
      <c r="M196" s="47" t="s">
        <v>347</v>
      </c>
      <c r="N196" s="43" t="s">
        <v>42</v>
      </c>
    </row>
    <row r="197" spans="1:14" ht="15" customHeight="1">
      <c r="A197" s="139" t="s">
        <v>348</v>
      </c>
      <c r="B197" s="128"/>
      <c r="C197" s="36"/>
      <c r="D197" s="36"/>
      <c r="E197" s="37">
        <v>39000</v>
      </c>
      <c r="F197" s="129">
        <f t="shared" si="19"/>
        <v>0</v>
      </c>
      <c r="G197" s="38">
        <f t="shared" si="19"/>
        <v>0</v>
      </c>
      <c r="H197" s="38">
        <f>D197/600</f>
        <v>0</v>
      </c>
      <c r="I197" s="39">
        <f>E197/1000</f>
        <v>39</v>
      </c>
      <c r="J197" s="40">
        <v>39</v>
      </c>
      <c r="K197" s="41"/>
      <c r="L197" s="42"/>
      <c r="M197" s="42"/>
      <c r="N197" s="43" t="s">
        <v>349</v>
      </c>
    </row>
    <row r="198" spans="1:14" ht="15" customHeight="1">
      <c r="A198" s="139" t="s">
        <v>350</v>
      </c>
      <c r="B198" s="128"/>
      <c r="C198" s="36">
        <v>12000</v>
      </c>
      <c r="D198" s="36">
        <v>6000</v>
      </c>
      <c r="E198" s="37">
        <v>15300</v>
      </c>
      <c r="F198" s="129">
        <f t="shared" si="19"/>
        <v>0</v>
      </c>
      <c r="G198" s="38">
        <f t="shared" si="19"/>
        <v>24</v>
      </c>
      <c r="H198" s="38">
        <f>D198/600</f>
        <v>10</v>
      </c>
      <c r="I198" s="39">
        <f t="shared" ref="I198:I208" si="21">E198/600</f>
        <v>25.5</v>
      </c>
      <c r="J198" s="40">
        <v>24</v>
      </c>
      <c r="K198" s="41"/>
      <c r="L198" s="42" t="s">
        <v>351</v>
      </c>
      <c r="M198" s="42" t="s">
        <v>252</v>
      </c>
      <c r="N198" s="43" t="s">
        <v>388</v>
      </c>
    </row>
    <row r="199" spans="1:14" ht="15" customHeight="1">
      <c r="A199" s="139" t="s">
        <v>352</v>
      </c>
      <c r="B199" s="128"/>
      <c r="C199" s="36">
        <v>14500</v>
      </c>
      <c r="D199" s="36">
        <v>37000</v>
      </c>
      <c r="E199" s="37">
        <v>35800</v>
      </c>
      <c r="F199" s="129">
        <f t="shared" si="19"/>
        <v>0</v>
      </c>
      <c r="G199" s="38">
        <f>C199/600</f>
        <v>24.166666666666668</v>
      </c>
      <c r="H199" s="38">
        <f>D199/600</f>
        <v>61.666666666666664</v>
      </c>
      <c r="I199" s="39">
        <f t="shared" si="21"/>
        <v>59.666666666666664</v>
      </c>
      <c r="J199" s="40">
        <v>59.7</v>
      </c>
      <c r="K199" s="41"/>
      <c r="L199" s="42"/>
      <c r="M199" s="47"/>
      <c r="N199" s="43"/>
    </row>
    <row r="200" spans="1:14" ht="15" customHeight="1">
      <c r="A200" s="139" t="s">
        <v>353</v>
      </c>
      <c r="B200" s="128"/>
      <c r="C200" s="36">
        <v>8800</v>
      </c>
      <c r="D200" s="36"/>
      <c r="E200" s="37">
        <v>10500</v>
      </c>
      <c r="F200" s="129">
        <f t="shared" si="19"/>
        <v>0</v>
      </c>
      <c r="G200" s="38">
        <f t="shared" si="19"/>
        <v>17.600000000000001</v>
      </c>
      <c r="H200" s="38">
        <f>D200/600</f>
        <v>0</v>
      </c>
      <c r="I200" s="39">
        <f t="shared" si="21"/>
        <v>17.5</v>
      </c>
      <c r="J200" s="40">
        <v>17.600000000000001</v>
      </c>
      <c r="K200" s="41"/>
      <c r="L200" s="42" t="s">
        <v>294</v>
      </c>
      <c r="M200" s="42"/>
      <c r="N200" s="43" t="s">
        <v>393</v>
      </c>
    </row>
    <row r="201" spans="1:14" ht="15" customHeight="1">
      <c r="A201" s="139" t="s">
        <v>354</v>
      </c>
      <c r="B201" s="128"/>
      <c r="C201" s="36">
        <v>19500</v>
      </c>
      <c r="D201" s="36">
        <v>30000</v>
      </c>
      <c r="E201" s="37">
        <v>26000</v>
      </c>
      <c r="F201" s="129">
        <f t="shared" si="19"/>
        <v>0</v>
      </c>
      <c r="G201" s="38">
        <f t="shared" si="19"/>
        <v>39</v>
      </c>
      <c r="H201" s="38">
        <f>D201/600</f>
        <v>50</v>
      </c>
      <c r="I201" s="39">
        <f t="shared" si="21"/>
        <v>43.333333333333336</v>
      </c>
      <c r="J201" s="40">
        <v>44.2</v>
      </c>
      <c r="K201" s="41"/>
      <c r="L201" s="42" t="s">
        <v>355</v>
      </c>
      <c r="M201" s="47" t="s">
        <v>356</v>
      </c>
      <c r="N201" s="43" t="s">
        <v>65</v>
      </c>
    </row>
    <row r="202" spans="1:14" ht="15" customHeight="1">
      <c r="A202" s="139" t="s">
        <v>357</v>
      </c>
      <c r="B202" s="128"/>
      <c r="C202" s="36"/>
      <c r="D202" s="36">
        <v>8500</v>
      </c>
      <c r="E202" s="37"/>
      <c r="F202" s="129">
        <f t="shared" si="19"/>
        <v>0</v>
      </c>
      <c r="G202" s="38">
        <f t="shared" si="19"/>
        <v>0</v>
      </c>
      <c r="H202" s="38">
        <f>D202/1000</f>
        <v>8.5</v>
      </c>
      <c r="I202" s="39">
        <f t="shared" si="21"/>
        <v>0</v>
      </c>
      <c r="K202" s="41"/>
      <c r="L202" s="42"/>
      <c r="M202" s="47" t="s">
        <v>358</v>
      </c>
      <c r="N202" s="43"/>
    </row>
    <row r="203" spans="1:14" ht="15" customHeight="1">
      <c r="A203" s="139" t="s">
        <v>359</v>
      </c>
      <c r="B203" s="128"/>
      <c r="C203" s="36">
        <v>9000</v>
      </c>
      <c r="D203" s="36">
        <v>9000</v>
      </c>
      <c r="E203" s="37">
        <v>13500</v>
      </c>
      <c r="F203" s="129">
        <f t="shared" si="19"/>
        <v>0</v>
      </c>
      <c r="G203" s="38">
        <f t="shared" si="19"/>
        <v>18</v>
      </c>
      <c r="H203" s="38">
        <f t="shared" ref="H203:H208" si="22">D203/600</f>
        <v>15</v>
      </c>
      <c r="I203" s="48">
        <f t="shared" si="21"/>
        <v>22.5</v>
      </c>
      <c r="J203" s="40">
        <v>22.5</v>
      </c>
      <c r="K203" s="41"/>
      <c r="L203" s="42"/>
      <c r="M203" s="47"/>
      <c r="N203" s="43" t="s">
        <v>360</v>
      </c>
    </row>
    <row r="204" spans="1:14" ht="15" customHeight="1">
      <c r="A204" s="139" t="s">
        <v>361</v>
      </c>
      <c r="B204" s="128"/>
      <c r="C204" s="36">
        <v>11000</v>
      </c>
      <c r="D204" s="36">
        <v>24000</v>
      </c>
      <c r="E204" s="37">
        <v>13400</v>
      </c>
      <c r="F204" s="129">
        <f t="shared" si="19"/>
        <v>0</v>
      </c>
      <c r="G204" s="44">
        <f t="shared" si="19"/>
        <v>22</v>
      </c>
      <c r="H204" s="38">
        <f t="shared" si="22"/>
        <v>40</v>
      </c>
      <c r="I204" s="48">
        <f t="shared" si="21"/>
        <v>22.333333333333332</v>
      </c>
      <c r="J204" s="40">
        <v>22</v>
      </c>
      <c r="K204" s="41"/>
      <c r="L204" s="130" t="s">
        <v>362</v>
      </c>
      <c r="M204" s="47" t="s">
        <v>363</v>
      </c>
      <c r="N204" s="43" t="s">
        <v>364</v>
      </c>
    </row>
    <row r="205" spans="1:14" ht="15" customHeight="1">
      <c r="A205" s="139" t="s">
        <v>365</v>
      </c>
      <c r="B205" s="128"/>
      <c r="C205" s="36">
        <v>68400</v>
      </c>
      <c r="D205" s="36">
        <v>85000</v>
      </c>
      <c r="E205" s="37">
        <v>84800</v>
      </c>
      <c r="F205" s="129">
        <f t="shared" si="19"/>
        <v>0</v>
      </c>
      <c r="G205" s="38">
        <f t="shared" si="19"/>
        <v>136.80000000000001</v>
      </c>
      <c r="H205" s="44">
        <f t="shared" si="22"/>
        <v>141.66666666666666</v>
      </c>
      <c r="I205" s="39">
        <f t="shared" si="21"/>
        <v>141.33333333333334</v>
      </c>
      <c r="J205" s="40">
        <v>136.80000000000001</v>
      </c>
      <c r="K205" s="41"/>
      <c r="L205" s="42" t="s">
        <v>366</v>
      </c>
      <c r="M205" s="61" t="s">
        <v>367</v>
      </c>
      <c r="N205" s="43" t="s">
        <v>368</v>
      </c>
    </row>
    <row r="206" spans="1:14" ht="15" customHeight="1">
      <c r="A206" s="139" t="s">
        <v>369</v>
      </c>
      <c r="B206" s="128"/>
      <c r="C206" s="36">
        <v>12800</v>
      </c>
      <c r="D206" s="36">
        <v>9500</v>
      </c>
      <c r="E206" s="37">
        <v>16600</v>
      </c>
      <c r="F206" s="129">
        <f t="shared" si="19"/>
        <v>0</v>
      </c>
      <c r="G206" s="38">
        <f t="shared" si="19"/>
        <v>25.6</v>
      </c>
      <c r="H206" s="38">
        <f t="shared" si="22"/>
        <v>15.833333333333334</v>
      </c>
      <c r="I206" s="39">
        <f t="shared" si="21"/>
        <v>27.666666666666668</v>
      </c>
      <c r="J206" s="40">
        <v>27.7</v>
      </c>
      <c r="K206" s="41"/>
      <c r="L206" s="42"/>
      <c r="M206" s="47" t="s">
        <v>370</v>
      </c>
      <c r="N206" s="43" t="s">
        <v>371</v>
      </c>
    </row>
    <row r="207" spans="1:14" ht="15" customHeight="1">
      <c r="A207" s="139" t="s">
        <v>372</v>
      </c>
      <c r="B207" s="128"/>
      <c r="C207" s="36"/>
      <c r="D207" s="36">
        <v>9500</v>
      </c>
      <c r="E207" s="37"/>
      <c r="F207" s="129">
        <f t="shared" si="19"/>
        <v>0</v>
      </c>
      <c r="G207" s="38">
        <f t="shared" si="19"/>
        <v>0</v>
      </c>
      <c r="H207" s="38">
        <f t="shared" si="22"/>
        <v>15.833333333333334</v>
      </c>
      <c r="I207" s="39">
        <f t="shared" si="21"/>
        <v>0</v>
      </c>
      <c r="K207" s="41"/>
      <c r="L207" s="42"/>
      <c r="M207" s="42"/>
      <c r="N207" s="43"/>
    </row>
    <row r="208" spans="1:14" ht="15" customHeight="1" thickBot="1">
      <c r="A208" s="140" t="s">
        <v>373</v>
      </c>
      <c r="B208" s="132"/>
      <c r="C208" s="49">
        <v>4500</v>
      </c>
      <c r="D208" s="49">
        <v>4500</v>
      </c>
      <c r="E208" s="50">
        <v>5400</v>
      </c>
      <c r="F208" s="80">
        <f t="shared" si="19"/>
        <v>0</v>
      </c>
      <c r="G208" s="51">
        <f t="shared" si="19"/>
        <v>9</v>
      </c>
      <c r="H208" s="51">
        <f t="shared" si="22"/>
        <v>7.5</v>
      </c>
      <c r="I208" s="81">
        <f t="shared" si="21"/>
        <v>9</v>
      </c>
      <c r="J208" s="52">
        <v>9</v>
      </c>
      <c r="K208" s="64"/>
      <c r="L208" s="54" t="s">
        <v>374</v>
      </c>
      <c r="M208" s="55" t="s">
        <v>375</v>
      </c>
      <c r="N208" s="65" t="s">
        <v>376</v>
      </c>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A2370" s="82"/>
      <c r="B2370" s="83"/>
      <c r="C2370" s="83"/>
      <c r="D2370" s="83"/>
      <c r="E2370" s="83"/>
      <c r="F2370" s="84"/>
      <c r="G2370" s="84"/>
      <c r="H2370" s="84"/>
      <c r="I2370" s="84"/>
      <c r="J2370" s="85"/>
      <c r="K2370" s="86"/>
      <c r="L2370" s="86"/>
      <c r="M2370" s="86"/>
      <c r="N2370" s="86"/>
    </row>
    <row r="2371" spans="1:14" ht="15" customHeight="1">
      <c r="A2371" s="82"/>
      <c r="B2371" s="83"/>
      <c r="C2371" s="83"/>
      <c r="D2371" s="83"/>
      <c r="E2371" s="83"/>
      <c r="F2371" s="84"/>
      <c r="G2371" s="84"/>
      <c r="H2371" s="84"/>
      <c r="I2371" s="84"/>
      <c r="J2371" s="85"/>
      <c r="K2371" s="86"/>
      <c r="L2371" s="86"/>
      <c r="M2371" s="86"/>
      <c r="N2371" s="86"/>
    </row>
    <row r="2372" spans="1:14" ht="15" customHeight="1">
      <c r="A2372" s="82"/>
      <c r="B2372" s="83"/>
      <c r="C2372" s="83"/>
      <c r="D2372" s="83"/>
      <c r="E2372" s="83"/>
      <c r="F2372" s="84"/>
      <c r="G2372" s="84"/>
      <c r="H2372" s="84"/>
      <c r="I2372" s="84"/>
      <c r="J2372" s="85"/>
      <c r="K2372" s="86"/>
      <c r="L2372" s="86"/>
      <c r="M2372" s="86"/>
      <c r="N2372" s="86"/>
    </row>
    <row r="2373" spans="1:14" ht="15" customHeight="1">
      <c r="J2373" s="92"/>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청상보하탕 14차</vt:lpstr>
      <vt:lpstr>청상보하탕 13차</vt:lpstr>
      <vt:lpstr>청상보하탕 12차</vt:lpstr>
      <vt:lpstr>청상보하탕 11차</vt:lpstr>
      <vt:lpstr>청상보하탕 10차</vt:lpstr>
      <vt:lpstr>청상보하탕 9차</vt:lpstr>
      <vt:lpstr>청상보하탕 8차</vt:lpstr>
      <vt:lpstr>청상보하탕 7차</vt:lpstr>
      <vt:lpstr>청상보하탕 6차</vt:lpstr>
      <vt:lpstr>청상보하탕 5차</vt:lpstr>
      <vt:lpstr>청상보하탕 4차</vt:lpstr>
      <vt:lpstr>청상보하탕 3차</vt:lpstr>
      <vt:lpstr>청상보하탕 2차</vt:lpstr>
      <vt:lpstr>청상보하탕1차</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2025-04-18T10:59:30Z</cp:lastPrinted>
  <dcterms:created xsi:type="dcterms:W3CDTF">2024-09-12T16:35:01Z</dcterms:created>
  <dcterms:modified xsi:type="dcterms:W3CDTF">2025-07-17T00:49:17Z</dcterms:modified>
</cp:coreProperties>
</file>