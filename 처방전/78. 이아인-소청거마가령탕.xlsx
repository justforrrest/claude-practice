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77" documentId="8_{6EB8DC0A-AB56-415F-A9F3-EA1534264548}" xr6:coauthVersionLast="47" xr6:coauthVersionMax="47" xr10:uidLastSave="{365934B7-4668-4D77-B87E-5479AD638B18}"/>
  <bookViews>
    <workbookView xWindow="-120" yWindow="-120" windowWidth="29040" windowHeight="15720" xr2:uid="{8B9F1886-173A-4475-B0CF-D9F36CE30773}"/>
  </bookViews>
  <sheets>
    <sheet name="황련탕 (2)" sheetId="8" r:id="rId1"/>
    <sheet name="황련탕" sheetId="7" r:id="rId2"/>
    <sheet name="소청거마가령탕2" sheetId="6" r:id="rId3"/>
    <sheet name="소청거마가령탕1" sheetId="4" r:id="rId4"/>
    <sheet name="약재관리"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8" l="1"/>
  <c r="H10" i="8" s="1"/>
  <c r="G9" i="8"/>
  <c r="H9" i="8" s="1"/>
  <c r="H31" i="8"/>
  <c r="F31" i="8"/>
  <c r="I31" i="8" s="1"/>
  <c r="I30" i="8"/>
  <c r="H30" i="8"/>
  <c r="F30" i="8"/>
  <c r="I29" i="8"/>
  <c r="H29" i="8"/>
  <c r="F29" i="8"/>
  <c r="I28" i="8"/>
  <c r="H28" i="8"/>
  <c r="F28" i="8"/>
  <c r="H27" i="8"/>
  <c r="F27" i="8"/>
  <c r="I27" i="8" s="1"/>
  <c r="I26" i="8"/>
  <c r="H26" i="8"/>
  <c r="F26" i="8"/>
  <c r="I25" i="8"/>
  <c r="H25" i="8"/>
  <c r="F25" i="8"/>
  <c r="I24" i="8"/>
  <c r="H24" i="8"/>
  <c r="F24" i="8"/>
  <c r="H23" i="8"/>
  <c r="F23" i="8"/>
  <c r="I23" i="8" s="1"/>
  <c r="H22" i="8"/>
  <c r="F22" i="8"/>
  <c r="I22" i="8" s="1"/>
  <c r="H21" i="8"/>
  <c r="F21" i="8"/>
  <c r="I21" i="8" s="1"/>
  <c r="H20" i="8"/>
  <c r="F20" i="8"/>
  <c r="I20" i="8" s="1"/>
  <c r="I19" i="8"/>
  <c r="H19" i="8"/>
  <c r="F19" i="8"/>
  <c r="L18" i="8"/>
  <c r="L19" i="8" s="1"/>
  <c r="L20" i="8" s="1"/>
  <c r="H18" i="8"/>
  <c r="F18" i="8"/>
  <c r="I18" i="8" s="1"/>
  <c r="I17" i="8"/>
  <c r="H17" i="8"/>
  <c r="F17" i="8"/>
  <c r="H16" i="8"/>
  <c r="F16" i="8"/>
  <c r="I16" i="8" s="1"/>
  <c r="H15" i="8"/>
  <c r="F15" i="8"/>
  <c r="I15" i="8" s="1"/>
  <c r="H14" i="8"/>
  <c r="F14" i="8"/>
  <c r="I14" i="8" s="1"/>
  <c r="I13" i="8"/>
  <c r="H13" i="8"/>
  <c r="F13" i="8"/>
  <c r="H12" i="8"/>
  <c r="F12" i="8"/>
  <c r="I12" i="8" s="1"/>
  <c r="H11" i="8"/>
  <c r="F11" i="8"/>
  <c r="I11" i="8" s="1"/>
  <c r="F10" i="8"/>
  <c r="F9" i="8"/>
  <c r="G8" i="8"/>
  <c r="I8" i="8" s="1"/>
  <c r="F8" i="8"/>
  <c r="G7" i="8"/>
  <c r="I7" i="8" s="1"/>
  <c r="F7" i="8"/>
  <c r="G6" i="8"/>
  <c r="H6" i="8" s="1"/>
  <c r="F6" i="8"/>
  <c r="G5" i="8"/>
  <c r="I5" i="8" s="1"/>
  <c r="F5" i="8"/>
  <c r="G4" i="8"/>
  <c r="I4" i="8" s="1"/>
  <c r="F4" i="8"/>
  <c r="G3" i="8"/>
  <c r="H3" i="8" s="1"/>
  <c r="F3" i="8"/>
  <c r="G2" i="8"/>
  <c r="I2" i="8" s="1"/>
  <c r="F2" i="8"/>
  <c r="L23" i="8" s="1"/>
  <c r="H31" i="7"/>
  <c r="F31" i="7"/>
  <c r="I31" i="7" s="1"/>
  <c r="H30" i="7"/>
  <c r="F30" i="7"/>
  <c r="I30" i="7" s="1"/>
  <c r="H29" i="7"/>
  <c r="F29" i="7"/>
  <c r="I29" i="7" s="1"/>
  <c r="H28" i="7"/>
  <c r="F28" i="7"/>
  <c r="I28" i="7" s="1"/>
  <c r="H27" i="7"/>
  <c r="F27" i="7"/>
  <c r="I27" i="7" s="1"/>
  <c r="I26" i="7"/>
  <c r="H26" i="7"/>
  <c r="F26" i="7"/>
  <c r="H25" i="7"/>
  <c r="F25" i="7"/>
  <c r="I25" i="7" s="1"/>
  <c r="H24" i="7"/>
  <c r="F24" i="7"/>
  <c r="I24" i="7" s="1"/>
  <c r="H23" i="7"/>
  <c r="F23" i="7"/>
  <c r="I23" i="7" s="1"/>
  <c r="H22" i="7"/>
  <c r="F22" i="7"/>
  <c r="I22" i="7" s="1"/>
  <c r="H21" i="7"/>
  <c r="F21" i="7"/>
  <c r="I21" i="7" s="1"/>
  <c r="H20" i="7"/>
  <c r="F20" i="7"/>
  <c r="I20" i="7" s="1"/>
  <c r="H19" i="7"/>
  <c r="F19" i="7"/>
  <c r="I19" i="7" s="1"/>
  <c r="L18" i="7"/>
  <c r="L19" i="7" s="1"/>
  <c r="L20" i="7" s="1"/>
  <c r="H18" i="7"/>
  <c r="F18" i="7"/>
  <c r="I18" i="7" s="1"/>
  <c r="H17" i="7"/>
  <c r="F17" i="7"/>
  <c r="I17" i="7" s="1"/>
  <c r="H16" i="7"/>
  <c r="F16" i="7"/>
  <c r="I16" i="7" s="1"/>
  <c r="H15" i="7"/>
  <c r="F15" i="7"/>
  <c r="I15" i="7" s="1"/>
  <c r="H14" i="7"/>
  <c r="F14" i="7"/>
  <c r="I14" i="7" s="1"/>
  <c r="H13" i="7"/>
  <c r="F13" i="7"/>
  <c r="I13" i="7" s="1"/>
  <c r="H12" i="7"/>
  <c r="F12" i="7"/>
  <c r="I12" i="7" s="1"/>
  <c r="F11" i="7"/>
  <c r="I11" i="7" s="1"/>
  <c r="F10" i="7"/>
  <c r="F9" i="7"/>
  <c r="G8" i="7"/>
  <c r="F8" i="7"/>
  <c r="G7" i="7"/>
  <c r="H7" i="7" s="1"/>
  <c r="F7" i="7"/>
  <c r="G6" i="7"/>
  <c r="I6" i="7" s="1"/>
  <c r="F6" i="7"/>
  <c r="G5" i="7"/>
  <c r="I5" i="7" s="1"/>
  <c r="F5" i="7"/>
  <c r="G4" i="7"/>
  <c r="F4" i="7"/>
  <c r="G3" i="7"/>
  <c r="F3" i="7"/>
  <c r="G2" i="7"/>
  <c r="F2" i="7"/>
  <c r="G10" i="6"/>
  <c r="G11" i="6"/>
  <c r="H31" i="6"/>
  <c r="F31" i="6"/>
  <c r="I31" i="6" s="1"/>
  <c r="H30" i="6"/>
  <c r="F30" i="6"/>
  <c r="I30" i="6" s="1"/>
  <c r="H29" i="6"/>
  <c r="F29" i="6"/>
  <c r="I29" i="6" s="1"/>
  <c r="I28" i="6"/>
  <c r="H28" i="6"/>
  <c r="F28" i="6"/>
  <c r="H27" i="6"/>
  <c r="F27" i="6"/>
  <c r="I27" i="6" s="1"/>
  <c r="I26" i="6"/>
  <c r="H26" i="6"/>
  <c r="F26" i="6"/>
  <c r="H25" i="6"/>
  <c r="F25" i="6"/>
  <c r="I25" i="6" s="1"/>
  <c r="I24" i="6"/>
  <c r="H24" i="6"/>
  <c r="F24" i="6"/>
  <c r="H23" i="6"/>
  <c r="F23" i="6"/>
  <c r="I23" i="6" s="1"/>
  <c r="H22" i="6"/>
  <c r="F22" i="6"/>
  <c r="I22" i="6" s="1"/>
  <c r="H21" i="6"/>
  <c r="F21" i="6"/>
  <c r="I21" i="6" s="1"/>
  <c r="I20" i="6"/>
  <c r="H20" i="6"/>
  <c r="F20" i="6"/>
  <c r="I19" i="6"/>
  <c r="H19" i="6"/>
  <c r="F19" i="6"/>
  <c r="L18" i="6"/>
  <c r="L19" i="6" s="1"/>
  <c r="L20" i="6" s="1"/>
  <c r="H18" i="6"/>
  <c r="F18" i="6"/>
  <c r="I18" i="6" s="1"/>
  <c r="I17" i="6"/>
  <c r="H17" i="6"/>
  <c r="F17" i="6"/>
  <c r="H16" i="6"/>
  <c r="F16" i="6"/>
  <c r="I16" i="6" s="1"/>
  <c r="H15" i="6"/>
  <c r="F15" i="6"/>
  <c r="I15" i="6" s="1"/>
  <c r="H14" i="6"/>
  <c r="F14" i="6"/>
  <c r="I14" i="6" s="1"/>
  <c r="I13" i="6"/>
  <c r="H13" i="6"/>
  <c r="F13" i="6"/>
  <c r="H12" i="6"/>
  <c r="F12" i="6"/>
  <c r="I12" i="6" s="1"/>
  <c r="F11" i="6"/>
  <c r="F10" i="6"/>
  <c r="G9" i="6"/>
  <c r="I9" i="6" s="1"/>
  <c r="F9" i="6"/>
  <c r="G8" i="6"/>
  <c r="I8" i="6" s="1"/>
  <c r="F8" i="6"/>
  <c r="G7" i="6"/>
  <c r="F7" i="6"/>
  <c r="G6" i="6"/>
  <c r="I6" i="6" s="1"/>
  <c r="F6" i="6"/>
  <c r="G5" i="6"/>
  <c r="I5" i="6" s="1"/>
  <c r="F5" i="6"/>
  <c r="G4" i="6"/>
  <c r="H4" i="6" s="1"/>
  <c r="F4" i="6"/>
  <c r="G3" i="6"/>
  <c r="H3" i="6" s="1"/>
  <c r="F3" i="6"/>
  <c r="G2" i="6"/>
  <c r="H2" i="6" s="1"/>
  <c r="F2" i="6"/>
  <c r="L4" i="4"/>
  <c r="I126" i="5"/>
  <c r="G141" i="5"/>
  <c r="I144" i="5"/>
  <c r="H144" i="5"/>
  <c r="G144" i="5"/>
  <c r="F144" i="5"/>
  <c r="G170" i="5"/>
  <c r="G3" i="4"/>
  <c r="G4" i="4"/>
  <c r="G5" i="4"/>
  <c r="G6" i="4"/>
  <c r="G7" i="4"/>
  <c r="G8" i="4"/>
  <c r="G9"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0" i="8" l="1"/>
  <c r="I9" i="8"/>
  <c r="I3" i="8"/>
  <c r="I6" i="8"/>
  <c r="H4" i="8"/>
  <c r="H7" i="8"/>
  <c r="H2" i="8"/>
  <c r="H5" i="8"/>
  <c r="H8" i="8"/>
  <c r="L23" i="7"/>
  <c r="I2" i="7"/>
  <c r="I8" i="7"/>
  <c r="I4" i="7"/>
  <c r="I10" i="7"/>
  <c r="I9" i="7"/>
  <c r="I3" i="7"/>
  <c r="H4" i="7"/>
  <c r="H10" i="7"/>
  <c r="I7" i="7"/>
  <c r="H2" i="7"/>
  <c r="H5" i="7"/>
  <c r="H8" i="7"/>
  <c r="H11" i="7"/>
  <c r="H3" i="7"/>
  <c r="H6" i="7"/>
  <c r="H9" i="7"/>
  <c r="I10" i="6"/>
  <c r="I11" i="6"/>
  <c r="H11" i="6"/>
  <c r="H10" i="6"/>
  <c r="L23" i="6"/>
  <c r="I7" i="6"/>
  <c r="I4" i="6"/>
  <c r="H7" i="6"/>
  <c r="I2" i="6"/>
  <c r="H5" i="6"/>
  <c r="H8" i="6"/>
  <c r="I3" i="6"/>
  <c r="H6" i="6"/>
  <c r="H9" i="6"/>
  <c r="F2" i="4"/>
  <c r="L31" i="8" l="1"/>
  <c r="L30" i="8"/>
  <c r="L31" i="7"/>
  <c r="L30" i="7"/>
  <c r="L30" i="6"/>
  <c r="L31" i="6"/>
  <c r="H4" i="4"/>
  <c r="H5" i="4"/>
  <c r="H6" i="4"/>
  <c r="H7" i="4"/>
  <c r="H8" i="4"/>
  <c r="I10" i="4"/>
  <c r="H12" i="4"/>
  <c r="H13" i="4"/>
  <c r="H14" i="4"/>
  <c r="H15" i="4"/>
  <c r="H16" i="4"/>
  <c r="I18" i="4"/>
  <c r="H20" i="4"/>
  <c r="H21" i="4"/>
  <c r="H22" i="4"/>
  <c r="H23" i="4"/>
  <c r="I25" i="4"/>
  <c r="I26" i="4"/>
  <c r="H28" i="4"/>
  <c r="H29" i="4"/>
  <c r="H30" i="4"/>
  <c r="H31" i="4"/>
  <c r="F3" i="4"/>
  <c r="F4" i="4"/>
  <c r="F5" i="4"/>
  <c r="F6" i="4"/>
  <c r="F7" i="4"/>
  <c r="F8" i="4"/>
  <c r="F9" i="4"/>
  <c r="I9" i="4" s="1"/>
  <c r="F10" i="4"/>
  <c r="F11" i="4"/>
  <c r="F12" i="4"/>
  <c r="F31" i="4"/>
  <c r="F30" i="4"/>
  <c r="F29" i="4"/>
  <c r="F28" i="4"/>
  <c r="F27" i="4"/>
  <c r="F26" i="4"/>
  <c r="F25" i="4"/>
  <c r="F24" i="4"/>
  <c r="L18" i="4"/>
  <c r="L19" i="4" s="1"/>
  <c r="L20" i="4" s="1"/>
  <c r="F23" i="4"/>
  <c r="F22" i="4"/>
  <c r="F21" i="4"/>
  <c r="F20" i="4"/>
  <c r="F19" i="4"/>
  <c r="F18" i="4"/>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<sst xmlns="http://schemas.openxmlformats.org/spreadsheetml/2006/main" count="766" uniqueCount="435">
  <si>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</si>
  <si>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</si>
  <si>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</si>
  <si>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</si>
  <si>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</si>
  <si>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</si>
  <si>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</si>
  <si>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</si>
  <si>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</si>
  <si>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</si>
  <si>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</si>
  <si>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</si>
  <si>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</si>
  <si>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</si>
  <si>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</si>
  <si>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</si>
  <si>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</si>
  <si>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</si>
  <si>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</si>
  <si>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</si>
  <si>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</si>
  <si>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</si>
  <si>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</si>
  <si>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</si>
  <si>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</si>
  <si>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</si>
  <si>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</si>
  <si>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</si>
  <si>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</si>
  <si>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</si>
  <si>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</si>
  <si>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</si>
  <si>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</si>
  <si>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</si>
  <si>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</si>
  <si>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</si>
  <si>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</si>
  <si>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</si>
  <si>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</si>
  <si>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</si>
  <si>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</si>
  <si>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</si>
  <si>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</si>
  <si>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</si>
  <si>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</si>
  <si>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</si>
  <si>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</si>
  <si>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</si>
  <si>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</si>
  <si>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</si>
  <si>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</si>
  <si>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</si>
  <si>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</si>
  <si>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</si>
  <si>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</si>
  <si>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</si>
  <si>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</si>
  <si>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</si>
  <si>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</si>
  <si>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</si>
  <si>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</si>
  <si>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</si>
  <si>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</si>
  <si>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</si>
  <si>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</si>
  <si>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</si>
  <si>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</si>
  <si>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</si>
  <si>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</si>
  <si>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</si>
  <si>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</si>
  <si>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</si>
  <si>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</si>
  <si>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</si>
  <si>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</si>
  <si>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</si>
  <si>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</si>
  <si>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</si>
  <si>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</si>
  <si>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</si>
  <si>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</si>
  <si>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</si>
  <si>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</si>
  <si>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</si>
  <si>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</si>
  <si>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</si>
  <si>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</si>
  <si>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</si>
  <si>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</si>
  <si>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</si>
  <si>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</si>
  <si>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</si>
  <si>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</si>
  <si>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</si>
  <si>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</si>
  <si>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</si>
  <si>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</si>
  <si>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</si>
  <si>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</si>
  <si>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</si>
  <si>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</si>
  <si>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</si>
  <si>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</si>
  <si>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</si>
  <si>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</si>
  <si>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</si>
  <si>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</si>
  <si>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</si>
  <si>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</si>
  <si>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</si>
  <si>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</si>
  <si>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</si>
  <si>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</si>
  <si>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</si>
  <si>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</si>
  <si>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</si>
  <si>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</si>
  <si>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</si>
  <si>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</si>
  <si>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</si>
  <si>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</si>
  <si>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</si>
  <si>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</si>
  <si>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</si>
  <si>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</si>
  <si>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</si>
  <si>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</si>
  <si>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</si>
  <si>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</si>
  <si>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</si>
  <si>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</si>
  <si>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</si>
  <si>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</si>
  <si>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</si>
  <si>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</si>
  <si>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</si>
  <si>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</si>
  <si>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</si>
  <si>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</si>
  <si>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</si>
  <si>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</si>
  <si>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</si>
  <si>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</si>
  <si>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</si>
  <si>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</si>
  <si>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</si>
  <si>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</si>
  <si>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</si>
  <si>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</si>
  <si>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</si>
  <si>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</si>
  <si>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</si>
  <si>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</si>
  <si>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</si>
  <si>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</si>
  <si>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</si>
  <si>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</si>
  <si>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</si>
  <si>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</si>
  <si>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</si>
  <si>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</si>
  <si>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</si>
  <si>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</si>
  <si>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</si>
  <si>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</si>
  <si>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</si>
  <si>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</si>
  <si>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</si>
  <si>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</si>
  <si>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</si>
  <si>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</si>
  <si>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</si>
  <si>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</si>
  <si>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</si>
  <si>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</si>
  <si>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</si>
  <si>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</si>
  <si>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</si>
  <si>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</si>
  <si>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</si>
  <si>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</si>
  <si>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</si>
  <si>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</si>
  <si>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</si>
  <si>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</si>
  <si>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</si>
  <si>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</si>
  <si>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</si>
  <si>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</si>
  <si>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</si>
  <si>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</si>
  <si>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</si>
  <si>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</si>
  <si>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</si>
  <si>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</si>
  <si>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</si>
  <si>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</si>
  <si>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</si>
  <si>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</si>
  <si>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</si>
  <si>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</si>
  <si>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</si>
  <si>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</si>
  <si>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</si>
  <si>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</si>
  <si>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</si>
  <si>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</si>
  <si>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</si>
  <si>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</si>
  <si>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</si>
  <si>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</si>
  <si>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</si>
  <si>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</si>
  <si>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</si>
  <si>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</si>
  <si>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</si>
  <si>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</si>
  <si>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</si>
  <si>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</si>
  <si>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</si>
  <si>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</si>
  <si>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</si>
  <si>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</si>
  <si>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</si>
  <si>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</si>
  <si>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</si>
  <si>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</si>
  <si>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</si>
  <si>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</si>
  <si>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</si>
  <si>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</si>
  <si>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</si>
  <si>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</si>
  <si>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</si>
  <si>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</si>
  <si>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</si>
  <si>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</si>
  <si>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</si>
  <si>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</si>
  <si>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</si>
  <si>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</si>
  <si>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</si>
  <si>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</si>
  <si>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</si>
  <si>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</si>
  <si>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</si>
  <si>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</si>
  <si>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</si>
  <si>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</si>
  <si>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</si>
  <si>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</si>
  <si>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</si>
  <si>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</si>
  <si>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</si>
  <si>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</si>
  <si>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</si>
  <si>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</si>
  <si>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</si>
  <si>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</si>
  <si>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</si>
  <si>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</si>
  <si>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</si>
  <si>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</si>
  <si>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</si>
  <si>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</si>
  <si>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</si>
  <si>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</si>
  <si>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</si>
  <si>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</si>
  <si>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</si>
  <si>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</si>
  <si>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</si>
  <si>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</si>
  <si>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</si>
  <si>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</si>
  <si>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</si>
  <si>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</si>
  <si>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</si>
  <si>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</si>
  <si>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</si>
  <si>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</si>
  <si>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</si>
  <si>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</si>
  <si>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</si>
  <si>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</si>
  <si>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</si>
  <si>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</si>
  <si>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</si>
  <si>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</si>
  <si>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</si>
  <si>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</si>
  <si>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</si>
  <si>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</si>
  <si>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</si>
  <si>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</si>
  <si>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</si>
  <si>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</si>
  <si>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</si>
  <si>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</si>
  <si>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</si>
  <si>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</si>
  <si>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</si>
  <si>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</si>
  <si>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</si>
  <si>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</si>
  <si>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</si>
  <si>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</si>
  <si>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</si>
  <si>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</si>
  <si>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</si>
  <si>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</si>
  <si>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</si>
  <si>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</si>
  <si>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</si>
  <si>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</si>
  <si>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</si>
  <si>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</si>
  <si>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</si>
  <si>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</si>
  <si>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</si>
  <si>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</si>
  <si>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</si>
  <si>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</si>
  <si>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</si>
  <si>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</si>
  <si>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</si>
  <si>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</si>
  <si>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</si>
  <si>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</si>
  <si>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</si>
  <si>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</si>
  <si>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</si>
  <si>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</si>
  <si>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</si>
  <si>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</si>
  <si>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</si>
  <si>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</si>
  <si>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</si>
  <si>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</si>
  <si>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</si>
  <si>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</si>
  <si>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</si>
  <si>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</si>
  <si>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</si>
  <si>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</si>
  <si>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</si>
  <si>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</si>
  <si>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</si>
  <si>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</si>
  <si>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</si>
  <si>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</si>
  <si>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</si>
  <si>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</si>
  <si>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</si>
  <si>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</si>
  <si>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</si>
  <si>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</si>
  <si>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</si>
  <si>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</si>
  <si>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</si>
  <si>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</si>
  <si>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</si>
  <si>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</si>
  <si>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</si>
  <si>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</si>
  <si>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</si>
  <si>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</si>
  <si>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</si>
  <si>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</si>
  <si>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</si>
  <si>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</si>
  <si>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</si>
  <si>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</si>
  <si>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</si>
  <si>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</si>
  <si>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</si>
  <si>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</si>
  <si>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</si>
  <si>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</si>
  <si>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</si>
  <si>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</si>
  <si>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</si>
  <si>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</si>
  <si>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</si>
  <si>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</si>
  <si>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</si>
  <si>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</si>
  <si>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</si>
  <si>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</si>
  <si>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</si>
  <si>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</si>
  <si>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</si>
  <si>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</si>
  <si>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</si>
  <si>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</si>
  <si>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</si>
  <si>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</si>
  <si>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</si>
  <si>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</si>
  <si>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</si>
  <si>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</si>
  <si>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</si>
  <si>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</si>
  <si>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</si>
  <si>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</si>
  <si>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</si>
  <si>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</si>
  <si>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</si>
  <si>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</si>
  <si>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</si>
  <si>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</si>
  <si>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반하</t>
    <phoneticPr fontId="5" type="noConversion"/>
  </si>
  <si>
    <t>세신</t>
    <phoneticPr fontId="5" type="noConversion"/>
  </si>
  <si>
    <t>건강</t>
    <phoneticPr fontId="5" type="noConversion"/>
  </si>
  <si>
    <t>오미자</t>
    <phoneticPr fontId="5" type="noConversion"/>
  </si>
  <si>
    <t>육계</t>
    <phoneticPr fontId="5" type="noConversion"/>
  </si>
  <si>
    <t>감초</t>
    <phoneticPr fontId="5" type="noConversion"/>
  </si>
  <si>
    <t>복령</t>
    <phoneticPr fontId="5" type="noConversion"/>
  </si>
  <si>
    <t>백작약</t>
    <phoneticPr fontId="5" type="noConversion"/>
  </si>
  <si>
    <t>소청거마가령탕</t>
    <phoneticPr fontId="5" type="noConversion"/>
  </si>
  <si>
    <t>이아인</t>
    <phoneticPr fontId="5" type="noConversion"/>
  </si>
  <si>
    <t>F</t>
    <phoneticPr fontId="5" type="noConversion"/>
  </si>
  <si>
    <t>1.5배방</t>
    <phoneticPr fontId="5" type="noConversion"/>
  </si>
  <si>
    <t>소청거마가령탕 + 신이 창이자</t>
    <phoneticPr fontId="5" type="noConversion"/>
  </si>
  <si>
    <t>창이자</t>
    <phoneticPr fontId="5" type="noConversion"/>
  </si>
  <si>
    <t>신이화</t>
    <phoneticPr fontId="5" type="noConversion"/>
  </si>
  <si>
    <t>초</t>
    <phoneticPr fontId="5" type="noConversion"/>
  </si>
  <si>
    <t>황련탕</t>
    <phoneticPr fontId="5" type="noConversion"/>
  </si>
  <si>
    <t>대추</t>
    <phoneticPr fontId="5" type="noConversion"/>
  </si>
  <si>
    <t>황련</t>
    <phoneticPr fontId="5" type="noConversion"/>
  </si>
  <si>
    <t>인삼</t>
    <phoneticPr fontId="5" type="noConversion"/>
  </si>
  <si>
    <t>생강</t>
    <phoneticPr fontId="5" type="noConversion"/>
  </si>
  <si>
    <t>연교</t>
    <phoneticPr fontId="5" type="noConversion"/>
  </si>
  <si>
    <t>원육</t>
    <phoneticPr fontId="5" type="noConversion"/>
  </si>
  <si>
    <t>황련탕+연교, 원육
피부건조, 제반출혈(코피, 생리량) 문진</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</si>
</sst>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1AFF9-F7FD-4A97-8EE1-C072E3085426}">
  <sheetPr>
    <pageSetUpPr fitToPage="1"/>
  </sheetPr>
  <dimension ref="B1:M31"/>
  <sheetViews>
    <sheetView tabSelected="1" workbookViewId="0">
      <selection activeCell="V16" sqref="V1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12</v>
      </c>
      <c r="F2" s="101">
        <f>E2*$L$15</f>
        <v>300</v>
      </c>
      <c r="G2">
        <f>VLOOKUP($C2,약재관리!A:J,10,FALSE)</f>
        <v>47</v>
      </c>
      <c r="H2" s="5">
        <f>G2*E2</f>
        <v>564</v>
      </c>
      <c r="I2" s="90">
        <f>G2*F2</f>
        <v>14100</v>
      </c>
      <c r="K2" s="7" t="s">
        <v>9</v>
      </c>
      <c r="L2" s="161">
        <v>78</v>
      </c>
      <c r="M2" s="162"/>
    </row>
    <row r="3" spans="2:13">
      <c r="B3" s="3">
        <v>2</v>
      </c>
      <c r="C3" t="s">
        <v>428</v>
      </c>
      <c r="D3" s="4"/>
      <c r="E3" s="88">
        <v>8</v>
      </c>
      <c r="F3" s="101">
        <f t="shared" ref="F3:F31" si="0">E3*$L$15</f>
        <v>200</v>
      </c>
      <c r="G3">
        <f>VLOOKUP($C3,약재관리!A:J,10,FALSE)</f>
        <v>20.8</v>
      </c>
      <c r="H3" s="5">
        <f t="shared" ref="H3:H31" si="1">G3*E3</f>
        <v>166.4</v>
      </c>
      <c r="I3" s="6">
        <f t="shared" ref="I3:I31" si="2">G3*F3</f>
        <v>4160</v>
      </c>
      <c r="K3" s="8" t="s">
        <v>10</v>
      </c>
      <c r="L3" s="163" t="s">
        <v>427</v>
      </c>
      <c r="M3" s="164"/>
    </row>
    <row r="4" spans="2:13">
      <c r="B4" s="3">
        <v>3</v>
      </c>
      <c r="C4" t="s">
        <v>429</v>
      </c>
      <c r="D4" s="4"/>
      <c r="E4" s="88">
        <v>6</v>
      </c>
      <c r="F4" s="101">
        <f t="shared" si="0"/>
        <v>150</v>
      </c>
      <c r="G4">
        <f>VLOOKUP($C4,약재관리!A:J,10,FALSE)</f>
        <v>136.80000000000001</v>
      </c>
      <c r="H4" s="5">
        <f t="shared" si="1"/>
        <v>820.80000000000007</v>
      </c>
      <c r="I4" s="6">
        <f t="shared" si="2"/>
        <v>20520</v>
      </c>
      <c r="K4" s="8" t="s">
        <v>11</v>
      </c>
      <c r="L4" s="165">
        <v>45777</v>
      </c>
      <c r="M4" s="164"/>
    </row>
    <row r="5" spans="2:13">
      <c r="B5" s="3">
        <v>4</v>
      </c>
      <c r="C5" t="s">
        <v>430</v>
      </c>
      <c r="D5" s="4"/>
      <c r="E5" s="88">
        <v>6</v>
      </c>
      <c r="F5" s="101">
        <f t="shared" si="0"/>
        <v>150</v>
      </c>
      <c r="G5">
        <f>VLOOKUP($C5,약재관리!A:J,10,FALSE)</f>
        <v>106.7</v>
      </c>
      <c r="H5" s="5">
        <f t="shared" si="1"/>
        <v>640.20000000000005</v>
      </c>
      <c r="I5" s="6">
        <f t="shared" si="2"/>
        <v>16005</v>
      </c>
      <c r="K5" s="8" t="s">
        <v>12</v>
      </c>
      <c r="L5" s="163" t="s">
        <v>420</v>
      </c>
      <c r="M5" s="164"/>
    </row>
    <row r="6" spans="2:13">
      <c r="B6" s="3">
        <v>5</v>
      </c>
      <c r="C6" t="s">
        <v>431</v>
      </c>
      <c r="D6" s="4"/>
      <c r="E6" s="88">
        <v>6</v>
      </c>
      <c r="F6" s="101">
        <f t="shared" si="0"/>
        <v>150</v>
      </c>
      <c r="G6">
        <f>VLOOKUP($C6,약재관리!A:J,10,FALSE)</f>
        <v>15</v>
      </c>
      <c r="H6" s="5">
        <f t="shared" si="1"/>
        <v>90</v>
      </c>
      <c r="I6" s="6">
        <f t="shared" si="2"/>
        <v>2250</v>
      </c>
      <c r="K6" s="8" t="s">
        <v>13</v>
      </c>
      <c r="L6" s="163" t="s">
        <v>421</v>
      </c>
      <c r="M6" s="164"/>
    </row>
    <row r="7" spans="2:13" ht="17.25" thickBot="1">
      <c r="B7" s="3">
        <v>6</v>
      </c>
      <c r="C7" t="s">
        <v>415</v>
      </c>
      <c r="D7" s="4"/>
      <c r="E7" s="88">
        <v>6</v>
      </c>
      <c r="F7" s="101">
        <f t="shared" si="0"/>
        <v>150</v>
      </c>
      <c r="G7">
        <f>VLOOKUP($C7,약재관리!A:J,10,FALSE)</f>
        <v>14.8</v>
      </c>
      <c r="H7" s="5">
        <f t="shared" si="1"/>
        <v>88.800000000000011</v>
      </c>
      <c r="I7" s="6">
        <f t="shared" si="2"/>
        <v>2220</v>
      </c>
      <c r="K7" s="8" t="s">
        <v>14</v>
      </c>
      <c r="L7" s="147">
        <v>35</v>
      </c>
      <c r="M7" s="148"/>
    </row>
    <row r="8" spans="2:13" ht="17.25" thickBot="1">
      <c r="B8" s="3">
        <v>7</v>
      </c>
      <c r="C8" t="s">
        <v>416</v>
      </c>
      <c r="D8" s="4"/>
      <c r="E8" s="88">
        <v>6</v>
      </c>
      <c r="F8" s="101">
        <f t="shared" si="0"/>
        <v>150</v>
      </c>
      <c r="G8">
        <f>VLOOKUP($C8,약재관리!A:J,10,FALSE)</f>
        <v>28.3</v>
      </c>
      <c r="H8" s="5">
        <f t="shared" si="1"/>
        <v>169.8</v>
      </c>
      <c r="I8" s="6">
        <f t="shared" si="2"/>
        <v>4245</v>
      </c>
      <c r="K8" s="149" t="s">
        <v>15</v>
      </c>
      <c r="L8" s="150"/>
      <c r="M8" s="151"/>
    </row>
    <row r="9" spans="2:13">
      <c r="B9" s="3">
        <v>8</v>
      </c>
      <c r="C9" t="s">
        <v>432</v>
      </c>
      <c r="D9" s="4"/>
      <c r="E9" s="88">
        <v>4</v>
      </c>
      <c r="F9" s="101">
        <f t="shared" si="0"/>
        <v>100</v>
      </c>
      <c r="G9">
        <f>VLOOKUP($C9,약재관리!A:J,10,FALSE)</f>
        <v>28</v>
      </c>
      <c r="H9" s="5">
        <f t="shared" si="1"/>
        <v>112</v>
      </c>
      <c r="I9" s="6">
        <f t="shared" si="2"/>
        <v>2800</v>
      </c>
      <c r="K9" s="166" t="s">
        <v>434</v>
      </c>
      <c r="L9" s="153"/>
      <c r="M9" s="154"/>
    </row>
    <row r="10" spans="2:13">
      <c r="B10" s="3">
        <v>9</v>
      </c>
      <c r="C10" t="s">
        <v>433</v>
      </c>
      <c r="D10" s="4"/>
      <c r="E10" s="88">
        <v>4</v>
      </c>
      <c r="F10" s="101">
        <f t="shared" si="0"/>
        <v>100</v>
      </c>
      <c r="G10">
        <f>VLOOKUP($C10,약재관리!A:J,10,FALSE)</f>
        <v>19.2</v>
      </c>
      <c r="H10" s="5">
        <f t="shared" si="1"/>
        <v>76.8</v>
      </c>
      <c r="I10" s="6">
        <f t="shared" si="2"/>
        <v>1920</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20</v>
      </c>
      <c r="M14" s="10" t="s">
        <v>17</v>
      </c>
    </row>
    <row r="15" spans="2:13">
      <c r="B15" s="3">
        <v>14</v>
      </c>
      <c r="D15" s="4"/>
      <c r="F15" s="101">
        <f t="shared" si="0"/>
        <v>0</v>
      </c>
      <c r="H15" s="5">
        <f t="shared" si="1"/>
        <v>0</v>
      </c>
      <c r="I15" s="6">
        <f t="shared" si="2"/>
        <v>0</v>
      </c>
      <c r="K15" s="91" t="s">
        <v>18</v>
      </c>
      <c r="L15">
        <v>25</v>
      </c>
      <c r="M15" s="4" t="s">
        <v>19</v>
      </c>
    </row>
    <row r="16" spans="2:13">
      <c r="B16" s="3">
        <v>15</v>
      </c>
      <c r="D16" s="4"/>
      <c r="F16" s="101">
        <f t="shared" si="0"/>
        <v>0</v>
      </c>
      <c r="H16" s="5">
        <f t="shared" si="1"/>
        <v>0</v>
      </c>
      <c r="I16" s="6">
        <f t="shared" si="2"/>
        <v>0</v>
      </c>
      <c r="K16" s="91" t="s">
        <v>20</v>
      </c>
      <c r="L16">
        <v>40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58</v>
      </c>
      <c r="M18" s="10" t="s">
        <v>25</v>
      </c>
    </row>
    <row r="19" spans="2:13">
      <c r="B19" s="3">
        <v>18</v>
      </c>
      <c r="D19" s="4"/>
      <c r="F19" s="101">
        <f t="shared" si="0"/>
        <v>0</v>
      </c>
      <c r="H19" s="5">
        <f t="shared" si="1"/>
        <v>0</v>
      </c>
      <c r="I19" s="6">
        <f t="shared" si="2"/>
        <v>0</v>
      </c>
      <c r="K19" s="91" t="s">
        <v>26</v>
      </c>
      <c r="L19">
        <f>L15*L18</f>
        <v>1450</v>
      </c>
      <c r="M19" s="4" t="s">
        <v>25</v>
      </c>
    </row>
    <row r="20" spans="2:13" ht="17.25" thickBot="1">
      <c r="B20" s="3">
        <v>19</v>
      </c>
      <c r="D20" s="4"/>
      <c r="F20" s="101">
        <f t="shared" si="0"/>
        <v>0</v>
      </c>
      <c r="H20" s="5">
        <f t="shared" si="1"/>
        <v>0</v>
      </c>
      <c r="I20" s="6">
        <f t="shared" si="2"/>
        <v>0</v>
      </c>
      <c r="K20" s="14" t="s">
        <v>27</v>
      </c>
      <c r="L20" s="11">
        <f>L16*L17+L19</f>
        <v>5450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1450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2728.8000000000006</v>
      </c>
      <c r="M30" s="4" t="s">
        <v>384</v>
      </c>
    </row>
    <row r="31" spans="2:13" ht="17.25" thickBot="1">
      <c r="B31" s="13">
        <v>30</v>
      </c>
      <c r="C31" s="14"/>
      <c r="D31" s="12"/>
      <c r="E31" s="95"/>
      <c r="F31" s="102">
        <f t="shared" si="0"/>
        <v>0</v>
      </c>
      <c r="H31" s="15">
        <f t="shared" si="1"/>
        <v>0</v>
      </c>
      <c r="I31" s="16">
        <f t="shared" si="2"/>
        <v>0</v>
      </c>
      <c r="K31" s="14" t="s">
        <v>383</v>
      </c>
      <c r="L31" s="15">
        <f>SUM(I2:I31)</f>
        <v>68220</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22870-E52F-463E-B7D2-93222668EE41}">
  <sheetPr>
    <pageSetUpPr fitToPage="1"/>
  </sheetPr>
  <dimension ref="B1:M31"/>
  <sheetViews>
    <sheetView workbookViewId="0">
      <selection activeCell="E6" sqref="E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12</v>
      </c>
      <c r="F2" s="101">
        <f>E2*$L$15</f>
        <v>300</v>
      </c>
      <c r="G2">
        <f>VLOOKUP($C2,약재관리!A:J,10,FALSE)</f>
        <v>47</v>
      </c>
      <c r="H2" s="5">
        <f>G2*E2</f>
        <v>564</v>
      </c>
      <c r="I2" s="90">
        <f>G2*F2</f>
        <v>14100</v>
      </c>
      <c r="K2" s="7" t="s">
        <v>9</v>
      </c>
      <c r="L2" s="161">
        <v>78</v>
      </c>
      <c r="M2" s="162"/>
    </row>
    <row r="3" spans="2:13">
      <c r="B3" s="3">
        <v>2</v>
      </c>
      <c r="C3" t="s">
        <v>428</v>
      </c>
      <c r="D3" s="4"/>
      <c r="E3" s="88">
        <v>8</v>
      </c>
      <c r="F3" s="101">
        <f t="shared" ref="F3:F31" si="0">E3*$L$15</f>
        <v>200</v>
      </c>
      <c r="G3">
        <f>VLOOKUP($C3,약재관리!A:J,10,FALSE)</f>
        <v>20.8</v>
      </c>
      <c r="H3" s="5">
        <f t="shared" ref="H3:H31" si="1">G3*E3</f>
        <v>166.4</v>
      </c>
      <c r="I3" s="6">
        <f t="shared" ref="I3:I31" si="2">G3*F3</f>
        <v>4160</v>
      </c>
      <c r="K3" s="8" t="s">
        <v>10</v>
      </c>
      <c r="L3" s="163" t="s">
        <v>427</v>
      </c>
      <c r="M3" s="164"/>
    </row>
    <row r="4" spans="2:13">
      <c r="B4" s="3">
        <v>3</v>
      </c>
      <c r="C4" t="s">
        <v>429</v>
      </c>
      <c r="D4" s="4"/>
      <c r="E4" s="88">
        <v>6</v>
      </c>
      <c r="F4" s="101">
        <f t="shared" si="0"/>
        <v>150</v>
      </c>
      <c r="G4">
        <f>VLOOKUP($C4,약재관리!A:J,10,FALSE)</f>
        <v>136.80000000000001</v>
      </c>
      <c r="H4" s="5">
        <f t="shared" si="1"/>
        <v>820.80000000000007</v>
      </c>
      <c r="I4" s="6">
        <f t="shared" si="2"/>
        <v>20520</v>
      </c>
      <c r="K4" s="8" t="s">
        <v>11</v>
      </c>
      <c r="L4" s="165">
        <v>45743</v>
      </c>
      <c r="M4" s="164"/>
    </row>
    <row r="5" spans="2:13">
      <c r="B5" s="3">
        <v>4</v>
      </c>
      <c r="C5" t="s">
        <v>430</v>
      </c>
      <c r="D5" s="4"/>
      <c r="E5" s="88">
        <v>6</v>
      </c>
      <c r="F5" s="101">
        <f t="shared" si="0"/>
        <v>150</v>
      </c>
      <c r="G5">
        <f>VLOOKUP($C5,약재관리!A:J,10,FALSE)</f>
        <v>106.7</v>
      </c>
      <c r="H5" s="5">
        <f t="shared" si="1"/>
        <v>640.20000000000005</v>
      </c>
      <c r="I5" s="6">
        <f t="shared" si="2"/>
        <v>16005</v>
      </c>
      <c r="K5" s="8" t="s">
        <v>12</v>
      </c>
      <c r="L5" s="163" t="s">
        <v>420</v>
      </c>
      <c r="M5" s="164"/>
    </row>
    <row r="6" spans="2:13">
      <c r="B6" s="3">
        <v>5</v>
      </c>
      <c r="C6" t="s">
        <v>431</v>
      </c>
      <c r="D6" s="4"/>
      <c r="E6" s="88">
        <v>6</v>
      </c>
      <c r="F6" s="101">
        <f t="shared" si="0"/>
        <v>150</v>
      </c>
      <c r="G6">
        <f>VLOOKUP($C6,약재관리!A:J,10,FALSE)</f>
        <v>15</v>
      </c>
      <c r="H6" s="5">
        <f t="shared" si="1"/>
        <v>90</v>
      </c>
      <c r="I6" s="6">
        <f t="shared" si="2"/>
        <v>2250</v>
      </c>
      <c r="K6" s="8" t="s">
        <v>13</v>
      </c>
      <c r="L6" s="163" t="s">
        <v>421</v>
      </c>
      <c r="M6" s="164"/>
    </row>
    <row r="7" spans="2:13" ht="17.25" thickBot="1">
      <c r="B7" s="3">
        <v>6</v>
      </c>
      <c r="C7" t="s">
        <v>415</v>
      </c>
      <c r="D7" s="4"/>
      <c r="E7" s="88">
        <v>6</v>
      </c>
      <c r="F7" s="101">
        <f t="shared" si="0"/>
        <v>150</v>
      </c>
      <c r="G7">
        <f>VLOOKUP($C7,약재관리!A:J,10,FALSE)</f>
        <v>14.8</v>
      </c>
      <c r="H7" s="5">
        <f t="shared" si="1"/>
        <v>88.800000000000011</v>
      </c>
      <c r="I7" s="6">
        <f t="shared" si="2"/>
        <v>2220</v>
      </c>
      <c r="K7" s="8" t="s">
        <v>14</v>
      </c>
      <c r="L7" s="147">
        <v>35</v>
      </c>
      <c r="M7" s="148"/>
    </row>
    <row r="8" spans="2:13" ht="17.25" thickBot="1">
      <c r="B8" s="3">
        <v>7</v>
      </c>
      <c r="C8" t="s">
        <v>416</v>
      </c>
      <c r="D8" s="4"/>
      <c r="E8" s="88">
        <v>6</v>
      </c>
      <c r="F8" s="101">
        <f t="shared" si="0"/>
        <v>150</v>
      </c>
      <c r="G8">
        <f>VLOOKUP($C8,약재관리!A:J,10,FALSE)</f>
        <v>28.3</v>
      </c>
      <c r="H8" s="5">
        <f t="shared" si="1"/>
        <v>169.8</v>
      </c>
      <c r="I8" s="6">
        <f t="shared" si="2"/>
        <v>4245</v>
      </c>
      <c r="K8" s="149" t="s">
        <v>15</v>
      </c>
      <c r="L8" s="150"/>
      <c r="M8" s="151"/>
    </row>
    <row r="9" spans="2:13">
      <c r="B9" s="3">
        <v>8</v>
      </c>
      <c r="D9" s="4"/>
      <c r="F9" s="101">
        <f t="shared" si="0"/>
        <v>0</v>
      </c>
      <c r="H9" s="5">
        <f t="shared" si="1"/>
        <v>0</v>
      </c>
      <c r="I9" s="6">
        <f t="shared" si="2"/>
        <v>0</v>
      </c>
      <c r="K9" s="152" t="s">
        <v>427</v>
      </c>
      <c r="L9" s="153"/>
      <c r="M9" s="154"/>
    </row>
    <row r="10" spans="2:13">
      <c r="B10" s="3">
        <v>9</v>
      </c>
      <c r="D10" s="4"/>
      <c r="F10" s="101">
        <f t="shared" si="0"/>
        <v>0</v>
      </c>
      <c r="H10" s="5">
        <f t="shared" si="1"/>
        <v>0</v>
      </c>
      <c r="I10" s="6">
        <f t="shared" si="2"/>
        <v>0</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20</v>
      </c>
      <c r="M14" s="10" t="s">
        <v>17</v>
      </c>
    </row>
    <row r="15" spans="2:13">
      <c r="B15" s="3">
        <v>14</v>
      </c>
      <c r="D15" s="4"/>
      <c r="F15" s="101">
        <f t="shared" si="0"/>
        <v>0</v>
      </c>
      <c r="H15" s="5">
        <f t="shared" si="1"/>
        <v>0</v>
      </c>
      <c r="I15" s="6">
        <f t="shared" si="2"/>
        <v>0</v>
      </c>
      <c r="K15" s="91" t="s">
        <v>18</v>
      </c>
      <c r="L15">
        <v>25</v>
      </c>
      <c r="M15" s="4" t="s">
        <v>19</v>
      </c>
    </row>
    <row r="16" spans="2:13">
      <c r="B16" s="3">
        <v>15</v>
      </c>
      <c r="D16" s="4"/>
      <c r="F16" s="101">
        <f t="shared" si="0"/>
        <v>0</v>
      </c>
      <c r="H16" s="5">
        <f t="shared" si="1"/>
        <v>0</v>
      </c>
      <c r="I16" s="6">
        <f t="shared" si="2"/>
        <v>0</v>
      </c>
      <c r="K16" s="91" t="s">
        <v>20</v>
      </c>
      <c r="L16">
        <v>40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50</v>
      </c>
      <c r="M18" s="10" t="s">
        <v>25</v>
      </c>
    </row>
    <row r="19" spans="2:13">
      <c r="B19" s="3">
        <v>18</v>
      </c>
      <c r="D19" s="4"/>
      <c r="F19" s="101">
        <f t="shared" si="0"/>
        <v>0</v>
      </c>
      <c r="H19" s="5">
        <f t="shared" si="1"/>
        <v>0</v>
      </c>
      <c r="I19" s="6">
        <f t="shared" si="2"/>
        <v>0</v>
      </c>
      <c r="K19" s="91" t="s">
        <v>26</v>
      </c>
      <c r="L19">
        <f>L15*L18</f>
        <v>1250</v>
      </c>
      <c r="M19" s="4" t="s">
        <v>25</v>
      </c>
    </row>
    <row r="20" spans="2:13" ht="17.25" thickBot="1">
      <c r="B20" s="3">
        <v>19</v>
      </c>
      <c r="D20" s="4"/>
      <c r="F20" s="101">
        <f t="shared" si="0"/>
        <v>0</v>
      </c>
      <c r="H20" s="5">
        <f t="shared" si="1"/>
        <v>0</v>
      </c>
      <c r="I20" s="6">
        <f t="shared" si="2"/>
        <v>0</v>
      </c>
      <c r="K20" s="14" t="s">
        <v>27</v>
      </c>
      <c r="L20" s="11">
        <f>L16*L17+L19</f>
        <v>5250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1250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2540.0000000000005</v>
      </c>
      <c r="M30" s="4" t="s">
        <v>384</v>
      </c>
    </row>
    <row r="31" spans="2:13" ht="17.25" thickBot="1">
      <c r="B31" s="13">
        <v>30</v>
      </c>
      <c r="C31" s="14"/>
      <c r="D31" s="12"/>
      <c r="E31" s="95"/>
      <c r="F31" s="102">
        <f t="shared" si="0"/>
        <v>0</v>
      </c>
      <c r="H31" s="15">
        <f t="shared" si="1"/>
        <v>0</v>
      </c>
      <c r="I31" s="16">
        <f t="shared" si="2"/>
        <v>0</v>
      </c>
      <c r="K31" s="14" t="s">
        <v>383</v>
      </c>
      <c r="L31" s="15">
        <f>SUM(I2:I31)</f>
        <v>63500</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76834-9A0A-4983-8BE4-2EA094EA0FBF}">
  <sheetPr>
    <pageSetUpPr fitToPage="1"/>
  </sheetPr>
  <dimension ref="B1:M31"/>
  <sheetViews>
    <sheetView workbookViewId="0">
      <selection activeCell="G14" sqref="G1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12</v>
      </c>
      <c r="F2" s="101">
        <f>E2*$L$15</f>
        <v>180</v>
      </c>
      <c r="G2">
        <f>VLOOKUP($C2,약재관리!A:J,10,FALSE)</f>
        <v>47</v>
      </c>
      <c r="H2" s="5">
        <f>G2*E2</f>
        <v>564</v>
      </c>
      <c r="I2" s="90">
        <f>G2*F2</f>
        <v>8460</v>
      </c>
      <c r="K2" s="7" t="s">
        <v>9</v>
      </c>
      <c r="L2" s="161">
        <v>78</v>
      </c>
      <c r="M2" s="162"/>
    </row>
    <row r="3" spans="2:13">
      <c r="B3" s="3">
        <v>2</v>
      </c>
      <c r="C3" t="s">
        <v>412</v>
      </c>
      <c r="D3" s="4"/>
      <c r="E3" s="88">
        <v>6</v>
      </c>
      <c r="F3" s="101">
        <f t="shared" ref="F3:F31" si="0">E3*$L$15</f>
        <v>90</v>
      </c>
      <c r="G3">
        <f>VLOOKUP($C3,약재관리!A:J,10,FALSE)</f>
        <v>145.19999999999999</v>
      </c>
      <c r="H3" s="5">
        <f t="shared" ref="H3:H31" si="1">G3*E3</f>
        <v>871.19999999999993</v>
      </c>
      <c r="I3" s="6">
        <f t="shared" ref="I3:I31" si="2">G3*F3</f>
        <v>13067.999999999998</v>
      </c>
      <c r="K3" s="8" t="s">
        <v>10</v>
      </c>
      <c r="L3" s="163" t="s">
        <v>419</v>
      </c>
      <c r="M3" s="164"/>
    </row>
    <row r="4" spans="2:13">
      <c r="B4" s="3">
        <v>3</v>
      </c>
      <c r="C4" t="s">
        <v>413</v>
      </c>
      <c r="D4" s="4"/>
      <c r="E4" s="88">
        <v>6</v>
      </c>
      <c r="F4" s="101">
        <f t="shared" si="0"/>
        <v>90</v>
      </c>
      <c r="G4">
        <f>VLOOKUP($C4,약재관리!A:J,10,FALSE)</f>
        <v>9.5</v>
      </c>
      <c r="H4" s="5">
        <f t="shared" si="1"/>
        <v>57</v>
      </c>
      <c r="I4" s="6">
        <f t="shared" si="2"/>
        <v>855</v>
      </c>
      <c r="K4" s="8" t="s">
        <v>11</v>
      </c>
      <c r="L4" s="165">
        <v>45712</v>
      </c>
      <c r="M4" s="164"/>
    </row>
    <row r="5" spans="2:13">
      <c r="B5" s="3">
        <v>4</v>
      </c>
      <c r="C5" t="s">
        <v>414</v>
      </c>
      <c r="D5" s="4"/>
      <c r="E5" s="88">
        <v>6</v>
      </c>
      <c r="F5" s="101">
        <f t="shared" si="0"/>
        <v>90</v>
      </c>
      <c r="G5">
        <f>VLOOKUP($C5,약재관리!A:J,10,FALSE)</f>
        <v>25.2</v>
      </c>
      <c r="H5" s="5">
        <f t="shared" si="1"/>
        <v>151.19999999999999</v>
      </c>
      <c r="I5" s="6">
        <f t="shared" si="2"/>
        <v>2268</v>
      </c>
      <c r="K5" s="8" t="s">
        <v>12</v>
      </c>
      <c r="L5" s="163" t="s">
        <v>420</v>
      </c>
      <c r="M5" s="164"/>
    </row>
    <row r="6" spans="2:13">
      <c r="B6" s="3">
        <v>5</v>
      </c>
      <c r="C6" t="s">
        <v>415</v>
      </c>
      <c r="D6" s="4"/>
      <c r="E6" s="88">
        <v>6</v>
      </c>
      <c r="F6" s="101">
        <f t="shared" si="0"/>
        <v>90</v>
      </c>
      <c r="G6">
        <f>VLOOKUP($C6,약재관리!A:J,10,FALSE)</f>
        <v>14.8</v>
      </c>
      <c r="H6" s="5">
        <f t="shared" si="1"/>
        <v>88.800000000000011</v>
      </c>
      <c r="I6" s="6">
        <f t="shared" si="2"/>
        <v>1332</v>
      </c>
      <c r="K6" s="8" t="s">
        <v>13</v>
      </c>
      <c r="L6" s="163" t="s">
        <v>421</v>
      </c>
      <c r="M6" s="164"/>
    </row>
    <row r="7" spans="2:13" ht="17.25" thickBot="1">
      <c r="B7" s="3">
        <v>6</v>
      </c>
      <c r="C7" t="s">
        <v>418</v>
      </c>
      <c r="D7" s="4"/>
      <c r="E7" s="88">
        <v>6</v>
      </c>
      <c r="F7" s="101">
        <f t="shared" si="0"/>
        <v>90</v>
      </c>
      <c r="G7">
        <f>VLOOKUP($C7,약재관리!A:J,10,FALSE)</f>
        <v>19.600000000000001</v>
      </c>
      <c r="H7" s="5">
        <f t="shared" si="1"/>
        <v>117.60000000000001</v>
      </c>
      <c r="I7" s="6">
        <f t="shared" si="2"/>
        <v>1764.0000000000002</v>
      </c>
      <c r="K7" s="8" t="s">
        <v>14</v>
      </c>
      <c r="L7" s="147">
        <v>35</v>
      </c>
      <c r="M7" s="148"/>
    </row>
    <row r="8" spans="2:13" ht="17.25" thickBot="1">
      <c r="B8" s="3">
        <v>7</v>
      </c>
      <c r="C8" t="s">
        <v>416</v>
      </c>
      <c r="D8" s="4"/>
      <c r="E8" s="88">
        <v>6</v>
      </c>
      <c r="F8" s="101">
        <f t="shared" si="0"/>
        <v>90</v>
      </c>
      <c r="G8">
        <f>VLOOKUP($C8,약재관리!A:J,10,FALSE)</f>
        <v>28.3</v>
      </c>
      <c r="H8" s="5">
        <f t="shared" si="1"/>
        <v>169.8</v>
      </c>
      <c r="I8" s="6">
        <f t="shared" si="2"/>
        <v>2547</v>
      </c>
      <c r="K8" s="149" t="s">
        <v>15</v>
      </c>
      <c r="L8" s="150"/>
      <c r="M8" s="151"/>
    </row>
    <row r="9" spans="2:13">
      <c r="B9" s="3">
        <v>8</v>
      </c>
      <c r="C9" t="s">
        <v>417</v>
      </c>
      <c r="D9" s="4"/>
      <c r="E9" s="88">
        <v>8</v>
      </c>
      <c r="F9" s="101">
        <f t="shared" si="0"/>
        <v>120</v>
      </c>
      <c r="G9">
        <f>VLOOKUP($C9,약재관리!A:J,10,FALSE)</f>
        <v>11</v>
      </c>
      <c r="H9" s="5">
        <f t="shared" si="1"/>
        <v>88</v>
      </c>
      <c r="I9" s="6">
        <f t="shared" si="2"/>
        <v>1320</v>
      </c>
      <c r="K9" s="152" t="s">
        <v>423</v>
      </c>
      <c r="L9" s="153"/>
      <c r="M9" s="154"/>
    </row>
    <row r="10" spans="2:13">
      <c r="B10" s="3">
        <v>9</v>
      </c>
      <c r="C10" t="s">
        <v>425</v>
      </c>
      <c r="D10" s="4"/>
      <c r="E10" s="88">
        <v>2.5</v>
      </c>
      <c r="F10" s="101">
        <f t="shared" si="0"/>
        <v>37.5</v>
      </c>
      <c r="G10">
        <f>VLOOKUP($C10,약재관리!A:J,10,FALSE)</f>
        <v>25</v>
      </c>
      <c r="H10" s="5">
        <f t="shared" si="1"/>
        <v>62.5</v>
      </c>
      <c r="I10" s="6">
        <f t="shared" si="2"/>
        <v>937.5</v>
      </c>
      <c r="K10" s="155"/>
      <c r="L10" s="156"/>
      <c r="M10" s="157"/>
    </row>
    <row r="11" spans="2:13">
      <c r="B11" s="3">
        <v>10</v>
      </c>
      <c r="C11" t="s">
        <v>424</v>
      </c>
      <c r="D11" s="4" t="s">
        <v>426</v>
      </c>
      <c r="E11" s="88">
        <v>2.5</v>
      </c>
      <c r="F11" s="101">
        <f t="shared" si="0"/>
        <v>37.5</v>
      </c>
      <c r="G11">
        <f>VLOOKUP($C11,약재관리!A:J,10,FALSE)</f>
        <v>6.8</v>
      </c>
      <c r="H11" s="5">
        <f t="shared" si="1"/>
        <v>17</v>
      </c>
      <c r="I11" s="6">
        <f t="shared" si="2"/>
        <v>255</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15</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61</v>
      </c>
      <c r="M18" s="10" t="s">
        <v>25</v>
      </c>
    </row>
    <row r="19" spans="2:13">
      <c r="B19" s="3">
        <v>18</v>
      </c>
      <c r="D19" s="4"/>
      <c r="F19" s="101">
        <f t="shared" si="0"/>
        <v>0</v>
      </c>
      <c r="H19" s="5">
        <f t="shared" si="1"/>
        <v>0</v>
      </c>
      <c r="I19" s="6">
        <f t="shared" si="2"/>
        <v>0</v>
      </c>
      <c r="K19" s="91" t="s">
        <v>26</v>
      </c>
      <c r="L19">
        <f>L15*L18</f>
        <v>915</v>
      </c>
      <c r="M19" s="4" t="s">
        <v>25</v>
      </c>
    </row>
    <row r="20" spans="2:13" ht="17.25" thickBot="1">
      <c r="B20" s="3">
        <v>19</v>
      </c>
      <c r="D20" s="4"/>
      <c r="F20" s="101">
        <f t="shared" si="0"/>
        <v>0</v>
      </c>
      <c r="H20" s="5">
        <f t="shared" si="1"/>
        <v>0</v>
      </c>
      <c r="I20" s="6">
        <f t="shared" si="2"/>
        <v>0</v>
      </c>
      <c r="K20" s="14" t="s">
        <v>27</v>
      </c>
      <c r="L20" s="11">
        <f>L16*L17+L19</f>
        <v>2915</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915</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2187.0999999999995</v>
      </c>
      <c r="M30" s="4" t="s">
        <v>384</v>
      </c>
    </row>
    <row r="31" spans="2:13" ht="17.25" thickBot="1">
      <c r="B31" s="13">
        <v>30</v>
      </c>
      <c r="C31" s="14"/>
      <c r="D31" s="12"/>
      <c r="E31" s="95"/>
      <c r="F31" s="102">
        <f t="shared" si="0"/>
        <v>0</v>
      </c>
      <c r="H31" s="15">
        <f t="shared" si="1"/>
        <v>0</v>
      </c>
      <c r="I31" s="16">
        <f t="shared" si="2"/>
        <v>0</v>
      </c>
      <c r="K31" s="14" t="s">
        <v>383</v>
      </c>
      <c r="L31" s="15">
        <f>SUM(I2:I31)</f>
        <v>32806.5</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W11" sqref="W1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12</v>
      </c>
      <c r="F2" s="101">
        <f>E2*$L$15</f>
        <v>180</v>
      </c>
      <c r="G2">
        <f>VLOOKUP($C2,약재관리!A:J,10,FALSE)</f>
        <v>47</v>
      </c>
      <c r="H2" s="5">
        <f>G2*E2</f>
        <v>564</v>
      </c>
      <c r="I2" s="90">
        <f>G2*F2</f>
        <v>8460</v>
      </c>
      <c r="K2" s="7" t="s">
        <v>9</v>
      </c>
      <c r="L2" s="161">
        <v>78</v>
      </c>
      <c r="M2" s="162"/>
    </row>
    <row r="3" spans="2:13">
      <c r="B3" s="3">
        <v>2</v>
      </c>
      <c r="C3" t="s">
        <v>412</v>
      </c>
      <c r="D3" s="4"/>
      <c r="E3" s="88">
        <v>6</v>
      </c>
      <c r="F3" s="101">
        <f t="shared" ref="F3:F31" si="0">E3*$L$15</f>
        <v>90</v>
      </c>
      <c r="G3">
        <f>VLOOKUP($C3,약재관리!A:J,10,FALSE)</f>
        <v>145.19999999999999</v>
      </c>
      <c r="H3" s="5">
        <f t="shared" ref="H3:H31" si="1">G3*E3</f>
        <v>871.19999999999993</v>
      </c>
      <c r="I3" s="6">
        <f t="shared" ref="I3:I31" si="2">G3*F3</f>
        <v>13067.999999999998</v>
      </c>
      <c r="K3" s="8" t="s">
        <v>10</v>
      </c>
      <c r="L3" s="163" t="s">
        <v>419</v>
      </c>
      <c r="M3" s="164"/>
    </row>
    <row r="4" spans="2:13">
      <c r="B4" s="3">
        <v>3</v>
      </c>
      <c r="C4" t="s">
        <v>413</v>
      </c>
      <c r="D4" s="4"/>
      <c r="E4" s="88">
        <v>6</v>
      </c>
      <c r="F4" s="101">
        <f t="shared" si="0"/>
        <v>90</v>
      </c>
      <c r="G4">
        <f>VLOOKUP($C4,약재관리!A:J,10,FALSE)</f>
        <v>9.5</v>
      </c>
      <c r="H4" s="5">
        <f t="shared" si="1"/>
        <v>57</v>
      </c>
      <c r="I4" s="6">
        <f t="shared" si="2"/>
        <v>855</v>
      </c>
      <c r="K4" s="8" t="s">
        <v>11</v>
      </c>
      <c r="L4" s="165">
        <f ca="1">TODAY()</f>
        <v>45776</v>
      </c>
      <c r="M4" s="164"/>
    </row>
    <row r="5" spans="2:13">
      <c r="B5" s="3">
        <v>4</v>
      </c>
      <c r="C5" t="s">
        <v>414</v>
      </c>
      <c r="D5" s="4"/>
      <c r="E5" s="88">
        <v>6</v>
      </c>
      <c r="F5" s="101">
        <f t="shared" si="0"/>
        <v>90</v>
      </c>
      <c r="G5">
        <f>VLOOKUP($C5,약재관리!A:J,10,FALSE)</f>
        <v>25.2</v>
      </c>
      <c r="H5" s="5">
        <f t="shared" si="1"/>
        <v>151.19999999999999</v>
      </c>
      <c r="I5" s="6">
        <f t="shared" si="2"/>
        <v>2268</v>
      </c>
      <c r="K5" s="8" t="s">
        <v>12</v>
      </c>
      <c r="L5" s="163" t="s">
        <v>420</v>
      </c>
      <c r="M5" s="164"/>
    </row>
    <row r="6" spans="2:13">
      <c r="B6" s="3">
        <v>5</v>
      </c>
      <c r="C6" t="s">
        <v>415</v>
      </c>
      <c r="D6" s="4"/>
      <c r="E6" s="88">
        <v>6</v>
      </c>
      <c r="F6" s="101">
        <f t="shared" si="0"/>
        <v>90</v>
      </c>
      <c r="G6">
        <f>VLOOKUP($C6,약재관리!A:J,10,FALSE)</f>
        <v>14.8</v>
      </c>
      <c r="H6" s="5">
        <f t="shared" si="1"/>
        <v>88.800000000000011</v>
      </c>
      <c r="I6" s="6">
        <f t="shared" si="2"/>
        <v>1332</v>
      </c>
      <c r="K6" s="8" t="s">
        <v>13</v>
      </c>
      <c r="L6" s="163" t="s">
        <v>421</v>
      </c>
      <c r="M6" s="164"/>
    </row>
    <row r="7" spans="2:13" ht="17.25" thickBot="1">
      <c r="B7" s="3">
        <v>6</v>
      </c>
      <c r="C7" t="s">
        <v>418</v>
      </c>
      <c r="D7" s="4"/>
      <c r="E7" s="88">
        <v>6</v>
      </c>
      <c r="F7" s="101">
        <f t="shared" si="0"/>
        <v>90</v>
      </c>
      <c r="G7">
        <f>VLOOKUP($C7,약재관리!A:J,10,FALSE)</f>
        <v>19.600000000000001</v>
      </c>
      <c r="H7" s="5">
        <f t="shared" si="1"/>
        <v>117.60000000000001</v>
      </c>
      <c r="I7" s="6">
        <f t="shared" si="2"/>
        <v>1764.0000000000002</v>
      </c>
      <c r="K7" s="8" t="s">
        <v>14</v>
      </c>
      <c r="L7" s="147">
        <v>35</v>
      </c>
      <c r="M7" s="148"/>
    </row>
    <row r="8" spans="2:13" ht="17.25" thickBot="1">
      <c r="B8" s="3">
        <v>7</v>
      </c>
      <c r="C8" t="s">
        <v>416</v>
      </c>
      <c r="D8" s="4"/>
      <c r="E8" s="88">
        <v>6</v>
      </c>
      <c r="F8" s="101">
        <f t="shared" si="0"/>
        <v>90</v>
      </c>
      <c r="G8">
        <f>VLOOKUP($C8,약재관리!A:J,10,FALSE)</f>
        <v>28.3</v>
      </c>
      <c r="H8" s="5">
        <f t="shared" si="1"/>
        <v>169.8</v>
      </c>
      <c r="I8" s="6">
        <f t="shared" si="2"/>
        <v>2547</v>
      </c>
      <c r="K8" s="149" t="s">
        <v>15</v>
      </c>
      <c r="L8" s="150"/>
      <c r="M8" s="151"/>
    </row>
    <row r="9" spans="2:13">
      <c r="B9" s="3">
        <v>8</v>
      </c>
      <c r="C9" t="s">
        <v>417</v>
      </c>
      <c r="D9" s="4"/>
      <c r="E9" s="88">
        <v>8</v>
      </c>
      <c r="F9" s="101">
        <f t="shared" si="0"/>
        <v>120</v>
      </c>
      <c r="G9">
        <f>VLOOKUP($C9,약재관리!A:J,10,FALSE)</f>
        <v>11</v>
      </c>
      <c r="H9" s="5">
        <f t="shared" si="1"/>
        <v>88</v>
      </c>
      <c r="I9" s="6">
        <f t="shared" si="2"/>
        <v>1320</v>
      </c>
      <c r="K9" s="152" t="s">
        <v>422</v>
      </c>
      <c r="L9" s="153"/>
      <c r="M9" s="154"/>
    </row>
    <row r="10" spans="2:13">
      <c r="B10" s="3">
        <v>9</v>
      </c>
      <c r="D10" s="4"/>
      <c r="F10" s="101">
        <f t="shared" si="0"/>
        <v>0</v>
      </c>
      <c r="H10" s="5">
        <f t="shared" si="1"/>
        <v>0</v>
      </c>
      <c r="I10" s="6">
        <f t="shared" si="2"/>
        <v>0</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15</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56</v>
      </c>
      <c r="M18" s="10" t="s">
        <v>25</v>
      </c>
    </row>
    <row r="19" spans="2:13">
      <c r="B19" s="3">
        <v>18</v>
      </c>
      <c r="D19" s="4"/>
      <c r="F19" s="101">
        <f t="shared" si="0"/>
        <v>0</v>
      </c>
      <c r="H19" s="5">
        <f t="shared" si="1"/>
        <v>0</v>
      </c>
      <c r="I19" s="6">
        <f t="shared" si="2"/>
        <v>0</v>
      </c>
      <c r="K19" s="91" t="s">
        <v>26</v>
      </c>
      <c r="L19">
        <f>L15*L18</f>
        <v>840</v>
      </c>
      <c r="M19" s="4" t="s">
        <v>25</v>
      </c>
    </row>
    <row r="20" spans="2:13" ht="17.25" thickBot="1">
      <c r="B20" s="3">
        <v>19</v>
      </c>
      <c r="D20" s="4"/>
      <c r="F20" s="101">
        <f t="shared" si="0"/>
        <v>0</v>
      </c>
      <c r="H20" s="5">
        <f t="shared" si="1"/>
        <v>0</v>
      </c>
      <c r="I20" s="6">
        <f t="shared" si="2"/>
        <v>0</v>
      </c>
      <c r="K20" s="14" t="s">
        <v>27</v>
      </c>
      <c r="L20" s="11">
        <f>L16*L17+L19</f>
        <v>2840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840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2107.5999999999995</v>
      </c>
      <c r="M30" s="4" t="s">
        <v>384</v>
      </c>
    </row>
    <row r="31" spans="2:13" ht="17.25" thickBot="1">
      <c r="B31" s="13">
        <v>30</v>
      </c>
      <c r="C31" s="14"/>
      <c r="D31" s="12"/>
      <c r="E31" s="95"/>
      <c r="F31" s="102">
        <f t="shared" si="0"/>
        <v>0</v>
      </c>
      <c r="H31" s="15">
        <f t="shared" si="1"/>
        <v>0</v>
      </c>
      <c r="I31" s="16">
        <f t="shared" si="2"/>
        <v>0</v>
      </c>
      <c r="K31" s="14" t="s">
        <v>383</v>
      </c>
      <c r="L31" s="15">
        <f>SUM(I2:I31)</f>
        <v>31614</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zoomScaleNormal="100" workbookViewId="0">
      <selection activeCell="J168" sqref="J168"/>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v>4100</v>
      </c>
      <c r="F167" s="115">
        <f t="shared" si="19"/>
        <v>0</v>
      </c>
      <c r="G167" s="38">
        <f t="shared" si="19"/>
        <v>0</v>
      </c>
      <c r="H167" s="38">
        <f t="shared" si="20"/>
        <v>0</v>
      </c>
      <c r="I167" s="39">
        <f t="shared" si="16"/>
        <v>6.833333333333333</v>
      </c>
      <c r="J167" s="40">
        <v>6.8</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황련탕 (2)</vt:lpstr>
      <vt:lpstr>황련탕</vt:lpstr>
      <vt:lpstr>소청거마가령탕2</vt:lpstr>
      <vt:lpstr>소청거마가령탕1</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2025-04-29T06:23:40Z</cp:lastPrinted>
  <dcterms:created xsi:type="dcterms:W3CDTF">2024-09-12T16:35:01Z</dcterms:created>
  <dcterms:modified xsi:type="dcterms:W3CDTF">2025-04-29T06:24:33Z</dcterms:modified>
</cp:coreProperties>
</file>