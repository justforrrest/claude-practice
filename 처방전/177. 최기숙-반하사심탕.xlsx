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defaultThemeVersion="166925"/>
  <mc:AlternateContent xmlns:mc="http://schemas.openxmlformats.org/markup-compatibility/2006">
    <mc:Choice Requires="x15">
      <x15ac:absPath xmlns:x15ac="http://schemas.microsoft.com/office/spreadsheetml/2010/11/ac" url="https://d.docs.live.net/2ab25238472eeb1d/문서/★HOME PC★/claude-practice/처방전/"/>
    </mc:Choice>
  </mc:AlternateContent>
  <xr:revisionPtr revIDLastSave="3640" documentId="8_{6EB8DC0A-AB56-415F-A9F3-EA1534264548}" xr6:coauthVersionLast="47" xr6:coauthVersionMax="47" xr10:uidLastSave="{FC3D35D2-FBBF-4D78-A7F6-1715F5D43161}"/>
  <bookViews>
    <workbookView xWindow="-120" yWindow="-120" windowWidth="29040" windowHeight="15720" xr2:uid="{8B9F1886-173A-4475-B0CF-D9F36CE30773}"/>
  </bookViews>
  <sheets>
    <sheet name="처방전양식 (4)" sheetId="10" r:id="rId1"/>
    <sheet name="처방전양식 (3)" sheetId="9" r:id="rId2"/>
    <sheet name="처방전양식 (2)" sheetId="8" r:id="rId3"/>
    <sheet name="처방전양식" sheetId="7" r:id="rId4"/>
    <sheet name="약재관리" sheetId="6" r:id="rId5"/>
  </sheets>
  <externalReferences>
    <externalReference r:id="rId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10" l="1"/>
  <c r="H31" i="10"/>
  <c r="F31" i="10"/>
  <c r="I30" i="10"/>
  <c r="H30" i="10"/>
  <c r="F30" i="10"/>
  <c r="I29" i="10"/>
  <c r="H29" i="10"/>
  <c r="F29" i="10"/>
  <c r="H28" i="10"/>
  <c r="F28" i="10"/>
  <c r="I28" i="10" s="1"/>
  <c r="H27" i="10"/>
  <c r="F27" i="10"/>
  <c r="I27" i="10" s="1"/>
  <c r="I26" i="10"/>
  <c r="H26" i="10"/>
  <c r="F26" i="10"/>
  <c r="I25" i="10"/>
  <c r="H25" i="10"/>
  <c r="F25" i="10"/>
  <c r="I24" i="10"/>
  <c r="H24" i="10"/>
  <c r="F24" i="10"/>
  <c r="I23" i="10"/>
  <c r="H23" i="10"/>
  <c r="F23" i="10"/>
  <c r="I22" i="10"/>
  <c r="H22" i="10"/>
  <c r="F22" i="10"/>
  <c r="H21" i="10"/>
  <c r="F21" i="10"/>
  <c r="I21" i="10" s="1"/>
  <c r="H20" i="10"/>
  <c r="F20" i="10"/>
  <c r="I20" i="10" s="1"/>
  <c r="L19" i="10"/>
  <c r="L20" i="10" s="1"/>
  <c r="I19" i="10"/>
  <c r="H19" i="10"/>
  <c r="F19" i="10"/>
  <c r="L18" i="10"/>
  <c r="H18" i="10"/>
  <c r="F18" i="10"/>
  <c r="J18" i="10" s="1"/>
  <c r="I17" i="10"/>
  <c r="H17" i="10"/>
  <c r="F17" i="10"/>
  <c r="J17" i="10" s="1"/>
  <c r="I16" i="10"/>
  <c r="H16" i="10"/>
  <c r="F16" i="10"/>
  <c r="J16" i="10" s="1"/>
  <c r="H15" i="10"/>
  <c r="F15" i="10"/>
  <c r="J15" i="10" s="1"/>
  <c r="I14" i="10"/>
  <c r="H14" i="10"/>
  <c r="F14" i="10"/>
  <c r="J14" i="10" s="1"/>
  <c r="J13" i="10"/>
  <c r="I13" i="10"/>
  <c r="H13" i="10"/>
  <c r="F13" i="10"/>
  <c r="I12" i="10"/>
  <c r="F12" i="10"/>
  <c r="J12" i="10" s="1"/>
  <c r="I11" i="10"/>
  <c r="F11" i="10"/>
  <c r="J11" i="10" s="1"/>
  <c r="I10" i="10"/>
  <c r="F10" i="10"/>
  <c r="J10" i="10" s="1"/>
  <c r="I9" i="10"/>
  <c r="F9" i="10"/>
  <c r="J9" i="10" s="1"/>
  <c r="J8" i="10"/>
  <c r="G8" i="10"/>
  <c r="H8" i="10" s="1"/>
  <c r="F8" i="10"/>
  <c r="J7" i="10"/>
  <c r="G7" i="10"/>
  <c r="I7" i="10" s="1"/>
  <c r="F7" i="10"/>
  <c r="G6" i="10"/>
  <c r="H6" i="10" s="1"/>
  <c r="F6" i="10"/>
  <c r="J6" i="10" s="1"/>
  <c r="G5" i="10"/>
  <c r="H5" i="10" s="1"/>
  <c r="F5" i="10"/>
  <c r="J5" i="10" s="1"/>
  <c r="G4" i="10"/>
  <c r="H4" i="10" s="1"/>
  <c r="F4" i="10"/>
  <c r="J4" i="10" s="1"/>
  <c r="G3" i="10"/>
  <c r="I3" i="10" s="1"/>
  <c r="F3" i="10"/>
  <c r="J3" i="10" s="1"/>
  <c r="J2" i="10"/>
  <c r="G2" i="10"/>
  <c r="H2" i="10" s="1"/>
  <c r="F2" i="10"/>
  <c r="G12" i="9"/>
  <c r="H7" i="10" l="1"/>
  <c r="L23" i="10"/>
  <c r="H12" i="10"/>
  <c r="I15" i="10"/>
  <c r="I18" i="10"/>
  <c r="I5" i="10"/>
  <c r="H10" i="10"/>
  <c r="I8" i="10"/>
  <c r="I6" i="10"/>
  <c r="H11" i="10"/>
  <c r="I4" i="10"/>
  <c r="H9" i="10"/>
  <c r="I2" i="10"/>
  <c r="H3" i="10"/>
  <c r="G6" i="9"/>
  <c r="H6" i="9" s="1"/>
  <c r="H31" i="9"/>
  <c r="F31" i="9"/>
  <c r="I31" i="9" s="1"/>
  <c r="H30" i="9"/>
  <c r="F30" i="9"/>
  <c r="I30" i="9" s="1"/>
  <c r="H29" i="9"/>
  <c r="F29" i="9"/>
  <c r="I29" i="9" s="1"/>
  <c r="I28" i="9"/>
  <c r="H28" i="9"/>
  <c r="F28" i="9"/>
  <c r="H27" i="9"/>
  <c r="F27" i="9"/>
  <c r="I27" i="9" s="1"/>
  <c r="H26" i="9"/>
  <c r="F26" i="9"/>
  <c r="I26" i="9" s="1"/>
  <c r="H25" i="9"/>
  <c r="F25" i="9"/>
  <c r="I25" i="9" s="1"/>
  <c r="I24" i="9"/>
  <c r="H24" i="9"/>
  <c r="F24" i="9"/>
  <c r="H23" i="9"/>
  <c r="F23" i="9"/>
  <c r="I23" i="9" s="1"/>
  <c r="H22" i="9"/>
  <c r="F22" i="9"/>
  <c r="I22" i="9" s="1"/>
  <c r="H21" i="9"/>
  <c r="F21" i="9"/>
  <c r="I21" i="9" s="1"/>
  <c r="H20" i="9"/>
  <c r="F20" i="9"/>
  <c r="I20" i="9" s="1"/>
  <c r="H19" i="9"/>
  <c r="F19" i="9"/>
  <c r="I19" i="9" s="1"/>
  <c r="L18" i="9"/>
  <c r="L19" i="9" s="1"/>
  <c r="L20" i="9" s="1"/>
  <c r="J18" i="9"/>
  <c r="I18" i="9"/>
  <c r="H18" i="9"/>
  <c r="F18" i="9"/>
  <c r="H17" i="9"/>
  <c r="F17" i="9"/>
  <c r="J17" i="9" s="1"/>
  <c r="H16" i="9"/>
  <c r="F16" i="9"/>
  <c r="J16" i="9" s="1"/>
  <c r="J15" i="9"/>
  <c r="I15" i="9"/>
  <c r="H15" i="9"/>
  <c r="F15" i="9"/>
  <c r="H14" i="9"/>
  <c r="F14" i="9"/>
  <c r="J14" i="9" s="1"/>
  <c r="H13" i="9"/>
  <c r="F13" i="9"/>
  <c r="J13" i="9" s="1"/>
  <c r="H12" i="9"/>
  <c r="F12" i="9"/>
  <c r="J12" i="9" s="1"/>
  <c r="G11" i="9"/>
  <c r="I11" i="9" s="1"/>
  <c r="F11" i="9"/>
  <c r="J11" i="9" s="1"/>
  <c r="G10" i="9"/>
  <c r="I10" i="9" s="1"/>
  <c r="F10" i="9"/>
  <c r="J10" i="9" s="1"/>
  <c r="G9" i="9"/>
  <c r="F9" i="9"/>
  <c r="J9" i="9" s="1"/>
  <c r="J8" i="9"/>
  <c r="G8" i="9"/>
  <c r="I8" i="9" s="1"/>
  <c r="F8" i="9"/>
  <c r="J7" i="9"/>
  <c r="G7" i="9"/>
  <c r="H7" i="9" s="1"/>
  <c r="F7" i="9"/>
  <c r="F6" i="9"/>
  <c r="J6" i="9" s="1"/>
  <c r="G5" i="9"/>
  <c r="I5" i="9" s="1"/>
  <c r="F5" i="9"/>
  <c r="J5" i="9" s="1"/>
  <c r="G4" i="9"/>
  <c r="H4" i="9" s="1"/>
  <c r="F4" i="9"/>
  <c r="J4" i="9" s="1"/>
  <c r="J3" i="9"/>
  <c r="G3" i="9"/>
  <c r="I3" i="9" s="1"/>
  <c r="F3" i="9"/>
  <c r="J2" i="9"/>
  <c r="G2" i="9"/>
  <c r="H2" i="9" s="1"/>
  <c r="F2" i="9"/>
  <c r="G11" i="8"/>
  <c r="H11" i="8" s="1"/>
  <c r="H31" i="8"/>
  <c r="F31" i="8"/>
  <c r="I31" i="8" s="1"/>
  <c r="H30" i="8"/>
  <c r="F30" i="8"/>
  <c r="I30" i="8" s="1"/>
  <c r="I29" i="8"/>
  <c r="H29" i="8"/>
  <c r="F29" i="8"/>
  <c r="H28" i="8"/>
  <c r="F28" i="8"/>
  <c r="I28" i="8" s="1"/>
  <c r="H27" i="8"/>
  <c r="F27" i="8"/>
  <c r="I27" i="8" s="1"/>
  <c r="H26" i="8"/>
  <c r="F26" i="8"/>
  <c r="I26" i="8" s="1"/>
  <c r="I25" i="8"/>
  <c r="H25" i="8"/>
  <c r="F25" i="8"/>
  <c r="H24" i="8"/>
  <c r="F24" i="8"/>
  <c r="I24" i="8" s="1"/>
  <c r="H23" i="8"/>
  <c r="F23" i="8"/>
  <c r="I23" i="8" s="1"/>
  <c r="I22" i="8"/>
  <c r="H22" i="8"/>
  <c r="F22" i="8"/>
  <c r="H21" i="8"/>
  <c r="F21" i="8"/>
  <c r="I21" i="8" s="1"/>
  <c r="H20" i="8"/>
  <c r="F20" i="8"/>
  <c r="I20" i="8" s="1"/>
  <c r="I19" i="8"/>
  <c r="H19" i="8"/>
  <c r="F19" i="8"/>
  <c r="L18" i="8"/>
  <c r="L19" i="8" s="1"/>
  <c r="L20" i="8" s="1"/>
  <c r="H18" i="8"/>
  <c r="F18" i="8"/>
  <c r="H17" i="8"/>
  <c r="F17" i="8"/>
  <c r="J16" i="8"/>
  <c r="H16" i="8"/>
  <c r="F16" i="8"/>
  <c r="I16" i="8" s="1"/>
  <c r="H15" i="8"/>
  <c r="F15" i="8"/>
  <c r="H14" i="8"/>
  <c r="F14" i="8"/>
  <c r="H13" i="8"/>
  <c r="F13" i="8"/>
  <c r="H12" i="8"/>
  <c r="F12" i="8"/>
  <c r="F11" i="8"/>
  <c r="G10" i="8"/>
  <c r="F10" i="8"/>
  <c r="J10" i="8" s="1"/>
  <c r="G9" i="8"/>
  <c r="F9" i="8"/>
  <c r="J9" i="8" s="1"/>
  <c r="G8" i="8"/>
  <c r="F8" i="8"/>
  <c r="J8" i="8" s="1"/>
  <c r="G7" i="8"/>
  <c r="F7" i="8"/>
  <c r="J7" i="8" s="1"/>
  <c r="G6" i="8"/>
  <c r="F6" i="8"/>
  <c r="J6" i="8" s="1"/>
  <c r="G5" i="8"/>
  <c r="F5" i="8"/>
  <c r="J5" i="8" s="1"/>
  <c r="G4" i="8"/>
  <c r="F4" i="8"/>
  <c r="J4" i="8" s="1"/>
  <c r="G3" i="8"/>
  <c r="F3" i="8"/>
  <c r="J3" i="8" s="1"/>
  <c r="G2" i="8"/>
  <c r="F2" i="8"/>
  <c r="J2" i="8" s="1"/>
  <c r="G9" i="7"/>
  <c r="G10" i="7"/>
  <c r="G8" i="7"/>
  <c r="G7" i="7"/>
  <c r="G3" i="7"/>
  <c r="G4" i="7"/>
  <c r="G5" i="7"/>
  <c r="G6" i="7"/>
  <c r="L31" i="10" l="1"/>
  <c r="L30" i="10"/>
  <c r="I12" i="9"/>
  <c r="I9" i="9"/>
  <c r="L23" i="9"/>
  <c r="I7" i="9"/>
  <c r="I2" i="9"/>
  <c r="H5" i="9"/>
  <c r="H10" i="9"/>
  <c r="H3" i="9"/>
  <c r="H8" i="9"/>
  <c r="I13" i="9"/>
  <c r="I16" i="9"/>
  <c r="I6" i="9"/>
  <c r="H11" i="9"/>
  <c r="I14" i="9"/>
  <c r="I17" i="9"/>
  <c r="I4" i="9"/>
  <c r="H9" i="9"/>
  <c r="L23" i="8"/>
  <c r="J11" i="8"/>
  <c r="I11" i="8"/>
  <c r="J18" i="8"/>
  <c r="I18" i="8"/>
  <c r="I17" i="8"/>
  <c r="J17" i="8"/>
  <c r="J15" i="8"/>
  <c r="I15" i="8"/>
  <c r="I14" i="8"/>
  <c r="J14" i="8"/>
  <c r="I13" i="8"/>
  <c r="J13" i="8"/>
  <c r="I12" i="8"/>
  <c r="J12" i="8"/>
  <c r="I10" i="8"/>
  <c r="H10" i="8"/>
  <c r="I9" i="8"/>
  <c r="H9" i="8"/>
  <c r="H8" i="8"/>
  <c r="I8" i="8"/>
  <c r="I7" i="8"/>
  <c r="H7" i="8"/>
  <c r="I6" i="8"/>
  <c r="H6" i="8"/>
  <c r="H5" i="8"/>
  <c r="I5" i="8"/>
  <c r="I4" i="8"/>
  <c r="H4" i="8"/>
  <c r="H3" i="8"/>
  <c r="I3" i="8"/>
  <c r="I2" i="8"/>
  <c r="H2" i="8"/>
  <c r="F3" i="7"/>
  <c r="J3" i="7" s="1"/>
  <c r="F4" i="7"/>
  <c r="F2" i="7"/>
  <c r="J2" i="7" s="1"/>
  <c r="L30" i="9" l="1"/>
  <c r="L30" i="8"/>
  <c r="L31" i="9"/>
  <c r="L31" i="8"/>
  <c r="I4" i="7"/>
  <c r="J4" i="7"/>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J18" i="7" s="1"/>
  <c r="F17" i="7"/>
  <c r="J17" i="7" s="1"/>
  <c r="F16" i="7"/>
  <c r="J16" i="7" s="1"/>
  <c r="F15" i="7"/>
  <c r="J15" i="7" s="1"/>
  <c r="F14" i="7"/>
  <c r="J14" i="7" s="1"/>
  <c r="H13" i="7"/>
  <c r="F13" i="7"/>
  <c r="J13" i="7" s="1"/>
  <c r="F12" i="7"/>
  <c r="J12" i="7" s="1"/>
  <c r="F11" i="7"/>
  <c r="H10" i="7"/>
  <c r="F10" i="7"/>
  <c r="J10" i="7" s="1"/>
  <c r="F9" i="7"/>
  <c r="J9" i="7" s="1"/>
  <c r="F8" i="7"/>
  <c r="J8" i="7" s="1"/>
  <c r="H7" i="7"/>
  <c r="F7" i="7"/>
  <c r="F6" i="7"/>
  <c r="F5"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1" i="7" l="1"/>
  <c r="J11" i="7"/>
  <c r="I7" i="7"/>
  <c r="J7" i="7"/>
  <c r="I6" i="7"/>
  <c r="J6" i="7"/>
  <c r="I5" i="7"/>
  <c r="J5" i="7"/>
  <c r="I18" i="7"/>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<sst xmlns="http://schemas.openxmlformats.org/spreadsheetml/2006/main" count="770" uniqueCount="438">
  <si>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</si>
  <si>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</si>
  <si>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</si>
  <si>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</si>
  <si>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</si>
  <si>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</si>
  <si>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</si>
  <si>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</si>
  <si>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</si>
  <si>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</si>
  <si>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</si>
  <si>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</si>
  <si>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</si>
  <si>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</si>
  <si>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</si>
  <si>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</si>
  <si>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</si>
  <si>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</si>
  <si>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</si>
  <si>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</si>
  <si>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</si>
  <si>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</si>
  <si>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</si>
  <si>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</si>
  <si>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</si>
  <si>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</si>
  <si>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</si>
  <si>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</si>
  <si>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</si>
  <si>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</si>
  <si>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</si>
  <si>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</si>
  <si>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</si>
  <si>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</si>
  <si>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</si>
  <si>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</si>
  <si>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</si>
  <si>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</si>
  <si>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</si>
  <si>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</si>
  <si>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</si>
  <si>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</si>
  <si>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</si>
  <si>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</si>
  <si>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</si>
  <si>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</si>
  <si>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</si>
  <si>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</si>
  <si>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</si>
  <si>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</si>
  <si>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</si>
  <si>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</si>
  <si>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</si>
  <si>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</si>
  <si>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</si>
  <si>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</si>
  <si>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</si>
  <si>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</si>
  <si>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</si>
  <si>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</si>
  <si>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</si>
  <si>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</si>
  <si>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</si>
  <si>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</si>
  <si>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</si>
  <si>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</si>
  <si>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</si>
  <si>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</si>
  <si>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</si>
  <si>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</si>
  <si>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</si>
  <si>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</si>
  <si>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</si>
  <si>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</si>
  <si>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</si>
  <si>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</si>
  <si>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</si>
  <si>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</si>
  <si>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</si>
  <si>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</si>
  <si>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</si>
  <si>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</si>
  <si>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</si>
  <si>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</si>
  <si>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</si>
  <si>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</si>
  <si>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</si>
  <si>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</si>
  <si>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</si>
  <si>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</si>
  <si>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</si>
  <si>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</si>
  <si>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</si>
  <si>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</si>
  <si>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</si>
  <si>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</si>
  <si>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</si>
  <si>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</si>
  <si>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</si>
  <si>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</si>
  <si>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</si>
  <si>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</si>
  <si>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</si>
  <si>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</si>
  <si>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</si>
  <si>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</si>
  <si>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</si>
  <si>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</si>
  <si>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</si>
  <si>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</si>
  <si>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</si>
  <si>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</si>
  <si>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</si>
  <si>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</si>
  <si>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</si>
  <si>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</si>
  <si>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</si>
  <si>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</si>
  <si>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</si>
  <si>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</si>
  <si>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</si>
  <si>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</si>
  <si>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</si>
  <si>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</si>
  <si>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</si>
  <si>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</si>
  <si>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</si>
  <si>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</si>
  <si>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</si>
  <si>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</si>
  <si>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</si>
  <si>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</si>
  <si>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</si>
  <si>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</si>
  <si>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</si>
  <si>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</si>
  <si>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</si>
  <si>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</si>
  <si>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</si>
  <si>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</si>
  <si>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</si>
  <si>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</si>
  <si>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</si>
  <si>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</si>
  <si>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</si>
  <si>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</si>
  <si>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</si>
  <si>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</si>
  <si>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</si>
  <si>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</si>
  <si>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</si>
  <si>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</si>
  <si>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</si>
  <si>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</si>
  <si>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</si>
  <si>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</si>
  <si>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</si>
  <si>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</si>
  <si>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</si>
  <si>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</si>
  <si>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</si>
  <si>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</si>
  <si>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</si>
  <si>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</si>
  <si>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</si>
  <si>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</si>
  <si>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</si>
  <si>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</si>
  <si>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</si>
  <si>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</si>
  <si>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</si>
  <si>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</si>
  <si>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</si>
  <si>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</si>
  <si>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</si>
  <si>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</si>
  <si>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</si>
  <si>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</si>
  <si>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</si>
  <si>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</si>
  <si>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</si>
  <si>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</si>
  <si>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</si>
  <si>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</si>
  <si>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</si>
  <si>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</si>
  <si>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</si>
  <si>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</si>
  <si>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</si>
  <si>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</si>
  <si>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</si>
  <si>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</si>
  <si>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</si>
  <si>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</si>
  <si>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</si>
  <si>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</si>
  <si>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</si>
  <si>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</si>
  <si>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</si>
  <si>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</si>
  <si>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</si>
  <si>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</si>
  <si>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</si>
  <si>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</si>
  <si>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</si>
  <si>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</si>
  <si>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</si>
  <si>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</si>
  <si>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</si>
  <si>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</si>
  <si>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</si>
  <si>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</si>
  <si>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</si>
  <si>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</si>
  <si>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</si>
  <si>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</si>
  <si>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</si>
  <si>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</si>
  <si>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</si>
  <si>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</si>
  <si>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</si>
  <si>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</si>
  <si>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</si>
  <si>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</si>
  <si>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</si>
  <si>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</si>
  <si>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</si>
  <si>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</si>
  <si>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</si>
  <si>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</si>
  <si>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</si>
  <si>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</si>
  <si>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</si>
  <si>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</si>
  <si>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</si>
  <si>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</si>
  <si>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</si>
  <si>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</si>
  <si>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</si>
  <si>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</si>
  <si>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</si>
  <si>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</si>
  <si>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</si>
  <si>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</si>
  <si>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</si>
  <si>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</si>
  <si>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</si>
  <si>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</si>
  <si>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</si>
  <si>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</si>
  <si>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</si>
  <si>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</si>
  <si>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</si>
  <si>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</si>
  <si>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</si>
  <si>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</si>
  <si>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</si>
  <si>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</si>
  <si>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</si>
  <si>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</si>
  <si>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</si>
  <si>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</si>
  <si>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</si>
  <si>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</si>
  <si>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</si>
  <si>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</si>
  <si>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</si>
  <si>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</si>
  <si>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</si>
  <si>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</si>
  <si>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</si>
  <si>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</si>
  <si>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</si>
  <si>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</si>
  <si>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</si>
  <si>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</si>
  <si>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</si>
  <si>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</si>
  <si>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</si>
  <si>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</si>
  <si>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</si>
  <si>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</si>
  <si>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</si>
  <si>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</si>
  <si>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</si>
  <si>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</si>
  <si>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</si>
  <si>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</si>
  <si>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</si>
  <si>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</si>
  <si>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</si>
  <si>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</si>
  <si>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</si>
  <si>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</si>
  <si>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</si>
  <si>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</si>
  <si>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</si>
  <si>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</si>
  <si>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</si>
  <si>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</si>
  <si>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</si>
  <si>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</si>
  <si>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</si>
  <si>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</si>
  <si>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</si>
  <si>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</si>
  <si>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</si>
  <si>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</si>
  <si>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</si>
  <si>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</si>
  <si>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</si>
  <si>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</si>
  <si>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</si>
  <si>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</si>
  <si>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</si>
  <si>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</si>
  <si>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</si>
  <si>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</si>
  <si>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</si>
  <si>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</si>
  <si>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</si>
  <si>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</si>
  <si>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</si>
  <si>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</si>
  <si>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</si>
  <si>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</si>
  <si>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</si>
  <si>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</si>
  <si>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</si>
  <si>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</si>
  <si>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</si>
  <si>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</si>
  <si>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</si>
  <si>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</si>
  <si>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</si>
  <si>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</si>
  <si>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</si>
  <si>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</si>
  <si>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</si>
  <si>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</si>
  <si>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</si>
  <si>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</si>
  <si>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</si>
  <si>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</si>
  <si>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</si>
  <si>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</si>
  <si>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</si>
  <si>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</si>
  <si>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</si>
  <si>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</si>
  <si>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</si>
  <si>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</si>
  <si>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</si>
  <si>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</si>
  <si>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</si>
  <si>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</si>
  <si>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</si>
  <si>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</si>
  <si>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</si>
  <si>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</si>
  <si>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</si>
  <si>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</si>
  <si>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</si>
  <si>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</si>
  <si>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</si>
  <si>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</si>
  <si>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</si>
  <si>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</si>
  <si>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</si>
  <si>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</si>
  <si>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</si>
  <si>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</si>
  <si>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</si>
  <si>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</si>
  <si>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</si>
  <si>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</si>
  <si>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</si>
  <si>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</si>
  <si>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</si>
  <si>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</si>
  <si>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</si>
  <si>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</si>
  <si>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</si>
  <si>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</si>
  <si>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</si>
  <si>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</si>
  <si>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</si>
  <si>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</si>
  <si>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</si>
  <si>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</si>
  <si>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</si>
  <si>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</si>
  <si>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</si>
  <si>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</si>
  <si>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</si>
  <si>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</si>
  <si>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</si>
  <si>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</si>
  <si>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</si>
  <si>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</si>
  <si>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</si>
  <si>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</si>
  <si>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</si>
  <si>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</si>
  <si>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</si>
  <si>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</si>
  <si>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</si>
  <si>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</si>
  <si>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</si>
  <si>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</si>
  <si>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</si>
  <si>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</si>
  <si>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</si>
  <si>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</si>
  <si>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</si>
  <si>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</si>
  <si>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</si>
  <si>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</si>
  <si>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1일당</t>
    <phoneticPr fontId="5" type="noConversion"/>
  </si>
  <si>
    <t>인삼</t>
    <phoneticPr fontId="5" type="noConversion"/>
  </si>
  <si>
    <t>감초</t>
    <phoneticPr fontId="5" type="noConversion"/>
  </si>
  <si>
    <t>건강</t>
    <phoneticPr fontId="5" type="noConversion"/>
  </si>
  <si>
    <t>최기숙</t>
    <phoneticPr fontId="5" type="noConversion"/>
  </si>
  <si>
    <t>반하사심탕</t>
    <phoneticPr fontId="5" type="noConversion"/>
  </si>
  <si>
    <t>반하</t>
    <phoneticPr fontId="5" type="noConversion"/>
  </si>
  <si>
    <t>대추</t>
    <phoneticPr fontId="5" type="noConversion"/>
  </si>
  <si>
    <t>황금</t>
    <phoneticPr fontId="5" type="noConversion"/>
  </si>
  <si>
    <t>황련</t>
    <phoneticPr fontId="5" type="noConversion"/>
  </si>
  <si>
    <t>현삼</t>
    <phoneticPr fontId="5" type="noConversion"/>
  </si>
  <si>
    <t>맥문동</t>
    <phoneticPr fontId="5" type="noConversion"/>
  </si>
  <si>
    <t>반하사심탕 + 현삼 맥문동</t>
    <phoneticPr fontId="5" type="noConversion"/>
  </si>
  <si>
    <t>오미자</t>
    <phoneticPr fontId="5" type="noConversion"/>
  </si>
  <si>
    <t>반하사심탕 + 현삼 맥문동 오미자</t>
    <phoneticPr fontId="5" type="noConversion"/>
  </si>
  <si>
    <t>사삼</t>
    <phoneticPr fontId="5" type="noConversion"/>
  </si>
  <si>
    <t>생지황</t>
    <phoneticPr fontId="5" type="noConversion"/>
  </si>
  <si>
    <t>감초사심탕</t>
    <phoneticPr fontId="5" type="noConversion"/>
  </si>
  <si>
    <t>당귀1</t>
    <phoneticPr fontId="5" type="noConversion"/>
  </si>
  <si>
    <t>감초사심탕 + 사삼 현삼 생지황 오미자 당귀</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</si>
</sst>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31000</v>
          </cell>
          <cell r="E8"/>
          <cell r="F8">
            <v>54.4</v>
          </cell>
          <cell r="G8">
            <v>40</v>
          </cell>
          <cell r="H8">
            <v>62</v>
          </cell>
          <cell r="I8">
            <v>0</v>
          </cell>
          <cell r="J8">
            <v>40</v>
          </cell>
        </row>
        <row r="9">
          <cell r="A9" t="str">
            <v>강활2</v>
          </cell>
          <cell r="B9"/>
          <cell r="C9">
            <v>21000</v>
          </cell>
          <cell r="D9">
            <v>30000</v>
          </cell>
          <cell r="E9">
            <v>27400</v>
          </cell>
          <cell r="F9">
            <v>0</v>
          </cell>
          <cell r="G9">
            <v>35</v>
          </cell>
          <cell r="H9">
            <v>60</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35600</v>
          </cell>
          <cell r="E19">
            <v>41600</v>
          </cell>
          <cell r="F19">
            <v>0</v>
          </cell>
          <cell r="G19">
            <v>0</v>
          </cell>
          <cell r="H19">
            <v>71.2</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5400</v>
          </cell>
          <cell r="F97">
            <v>0</v>
          </cell>
          <cell r="G97">
            <v>11.666666666666666</v>
          </cell>
          <cell r="H97">
            <v>8.4</v>
          </cell>
          <cell r="I97">
            <v>9</v>
          </cell>
          <cell r="J97">
            <v>9</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78000</v>
          </cell>
          <cell r="E157">
            <v>81000</v>
          </cell>
          <cell r="F157">
            <v>0</v>
          </cell>
          <cell r="G157">
            <v>100</v>
          </cell>
          <cell r="H157">
            <v>130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13000</v>
          </cell>
          <cell r="F186">
            <v>63.8</v>
          </cell>
          <cell r="G186">
            <v>28.333333333333332</v>
          </cell>
          <cell r="H186">
            <v>0</v>
          </cell>
          <cell r="I186">
            <v>21.666666666666668</v>
          </cell>
          <cell r="J186">
            <v>21.7</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10100</v>
          </cell>
          <cell r="F221">
            <v>0</v>
          </cell>
          <cell r="G221">
            <v>40</v>
          </cell>
          <cell r="H221">
            <v>22</v>
          </cell>
          <cell r="I221">
            <v>16.833333333333332</v>
          </cell>
          <cell r="J221">
            <v>16.8</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E309-EBD9-4054-B991-D0C13ED0FDBB}">
  <sheetPr>
    <pageSetUpPr fitToPage="1"/>
  </sheetPr>
  <dimension ref="B1:M31"/>
  <sheetViews>
    <sheetView tabSelected="1" topLeftCell="B1" workbookViewId="0">
      <selection activeCell="J22" sqref="J22"/>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418</v>
      </c>
      <c r="K1" s="175" t="s">
        <v>5</v>
      </c>
      <c r="L1" s="176"/>
      <c r="M1" s="177"/>
    </row>
    <row r="2" spans="2:13">
      <c r="B2" s="2">
        <v>1</v>
      </c>
      <c r="C2" t="s">
        <v>424</v>
      </c>
      <c r="D2" s="3"/>
      <c r="E2" s="87">
        <v>12</v>
      </c>
      <c r="F2" s="171">
        <f>E2*$L$15</f>
        <v>240</v>
      </c>
      <c r="G2">
        <f>VLOOKUP($C2,[1]약재관리!$A:$J,10,FALSE)</f>
        <v>41</v>
      </c>
      <c r="H2" s="4">
        <f>G2*E2</f>
        <v>492</v>
      </c>
      <c r="I2" s="5">
        <f t="shared" ref="I2:I31" si="0">G2*F2</f>
        <v>9840</v>
      </c>
      <c r="J2" s="99">
        <f>F2/$L$14</f>
        <v>16</v>
      </c>
      <c r="K2" s="6" t="s">
        <v>6</v>
      </c>
      <c r="L2" s="187">
        <v>177</v>
      </c>
      <c r="M2" s="188"/>
    </row>
    <row r="3" spans="2:13">
      <c r="B3" s="2">
        <v>2</v>
      </c>
      <c r="C3" t="s">
        <v>425</v>
      </c>
      <c r="D3" s="3"/>
      <c r="E3" s="87">
        <v>8</v>
      </c>
      <c r="F3" s="97">
        <f t="shared" ref="F3:F31" si="1">E3*$L$15</f>
        <v>160</v>
      </c>
      <c r="G3">
        <f>VLOOKUP($C3,[1]약재관리!$A:$J,10,FALSE)</f>
        <v>21.2</v>
      </c>
      <c r="H3" s="4">
        <f t="shared" ref="H3:H31" si="2">G3*E3</f>
        <v>169.6</v>
      </c>
      <c r="I3" s="5">
        <f t="shared" si="0"/>
        <v>3392</v>
      </c>
      <c r="J3" s="99">
        <f t="shared" ref="J3:J18" si="3">F3/$L$14</f>
        <v>10.666666666666666</v>
      </c>
      <c r="K3" s="7" t="s">
        <v>7</v>
      </c>
      <c r="L3" s="189" t="s">
        <v>435</v>
      </c>
      <c r="M3" s="190"/>
    </row>
    <row r="4" spans="2:13">
      <c r="B4" s="2">
        <v>3</v>
      </c>
      <c r="C4" t="s">
        <v>426</v>
      </c>
      <c r="D4" s="3"/>
      <c r="E4" s="87">
        <v>6</v>
      </c>
      <c r="F4" s="97">
        <f t="shared" si="1"/>
        <v>120</v>
      </c>
      <c r="G4">
        <f>VLOOKUP($C4,[1]약재관리!$A:$J,10,FALSE)</f>
        <v>22.5</v>
      </c>
      <c r="H4" s="4">
        <f t="shared" si="2"/>
        <v>135</v>
      </c>
      <c r="I4" s="5">
        <f t="shared" si="0"/>
        <v>2700</v>
      </c>
      <c r="J4" s="99">
        <f t="shared" si="3"/>
        <v>8</v>
      </c>
      <c r="K4" s="7" t="s">
        <v>8</v>
      </c>
      <c r="L4" s="191">
        <v>46139</v>
      </c>
      <c r="M4" s="190"/>
    </row>
    <row r="5" spans="2:13">
      <c r="B5" s="2">
        <v>4</v>
      </c>
      <c r="C5" t="s">
        <v>421</v>
      </c>
      <c r="D5" s="3"/>
      <c r="E5" s="87">
        <v>6</v>
      </c>
      <c r="F5" s="97">
        <f t="shared" si="1"/>
        <v>120</v>
      </c>
      <c r="G5">
        <f>VLOOKUP($C5,[1]약재관리!$A:$J,10,FALSE)</f>
        <v>9.5</v>
      </c>
      <c r="H5" s="4">
        <f t="shared" si="2"/>
        <v>57</v>
      </c>
      <c r="I5" s="5">
        <f t="shared" si="0"/>
        <v>1140</v>
      </c>
      <c r="J5" s="99">
        <f t="shared" si="3"/>
        <v>8</v>
      </c>
      <c r="K5" s="7" t="s">
        <v>9</v>
      </c>
      <c r="L5" s="189" t="s">
        <v>422</v>
      </c>
      <c r="M5" s="190"/>
    </row>
    <row r="6" spans="2:13">
      <c r="B6" s="2">
        <v>5</v>
      </c>
      <c r="C6" t="s">
        <v>433</v>
      </c>
      <c r="D6" s="3"/>
      <c r="E6" s="87">
        <v>6</v>
      </c>
      <c r="F6" s="97">
        <f t="shared" si="1"/>
        <v>120</v>
      </c>
      <c r="G6">
        <f>VLOOKUP($C6,[1]약재관리!$A:$J,10,FALSE)</f>
        <v>27.2</v>
      </c>
      <c r="H6" s="4">
        <f t="shared" si="2"/>
        <v>163.19999999999999</v>
      </c>
      <c r="I6" s="5">
        <f t="shared" si="0"/>
        <v>3264</v>
      </c>
      <c r="J6" s="99">
        <f t="shared" si="3"/>
        <v>8</v>
      </c>
      <c r="K6" s="7" t="s">
        <v>10</v>
      </c>
      <c r="L6" s="189">
        <v>67</v>
      </c>
      <c r="M6" s="190"/>
    </row>
    <row r="7" spans="2:13" ht="17.25" thickBot="1">
      <c r="B7" s="2">
        <v>6</v>
      </c>
      <c r="C7" t="s">
        <v>420</v>
      </c>
      <c r="D7" s="3"/>
      <c r="E7" s="87">
        <v>8</v>
      </c>
      <c r="F7" s="97">
        <f t="shared" si="1"/>
        <v>160</v>
      </c>
      <c r="G7">
        <f>VLOOKUP($C7,[1]약재관리!$A:$J,10,FALSE)</f>
        <v>30</v>
      </c>
      <c r="H7" s="4">
        <f t="shared" si="2"/>
        <v>240</v>
      </c>
      <c r="I7" s="5">
        <f t="shared" si="0"/>
        <v>4800</v>
      </c>
      <c r="J7" s="99">
        <f t="shared" si="3"/>
        <v>10.666666666666666</v>
      </c>
      <c r="K7" s="7" t="s">
        <v>11</v>
      </c>
      <c r="L7" s="173" t="s">
        <v>417</v>
      </c>
      <c r="M7" s="174"/>
    </row>
    <row r="8" spans="2:13" ht="17.25" thickBot="1">
      <c r="B8" s="2">
        <v>7</v>
      </c>
      <c r="C8" t="s">
        <v>427</v>
      </c>
      <c r="D8" s="3"/>
      <c r="E8" s="87">
        <v>6</v>
      </c>
      <c r="F8" s="97">
        <f t="shared" si="1"/>
        <v>120</v>
      </c>
      <c r="G8">
        <f>VLOOKUP($C8,[1]약재관리!$A:$J,10,FALSE)</f>
        <v>136.80000000000001</v>
      </c>
      <c r="H8" s="4">
        <f t="shared" si="2"/>
        <v>820.80000000000007</v>
      </c>
      <c r="I8" s="5">
        <f t="shared" si="0"/>
        <v>16416</v>
      </c>
      <c r="J8" s="99">
        <f t="shared" si="3"/>
        <v>8</v>
      </c>
      <c r="K8" s="175" t="s">
        <v>12</v>
      </c>
      <c r="L8" s="176"/>
      <c r="M8" s="177"/>
    </row>
    <row r="9" spans="2:13">
      <c r="B9" s="2">
        <v>8</v>
      </c>
      <c r="D9" s="3"/>
      <c r="F9" s="97">
        <f t="shared" si="1"/>
        <v>0</v>
      </c>
      <c r="H9" s="4">
        <f t="shared" si="2"/>
        <v>0</v>
      </c>
      <c r="I9" s="5">
        <f t="shared" si="0"/>
        <v>0</v>
      </c>
      <c r="J9" s="99">
        <f t="shared" si="3"/>
        <v>0</v>
      </c>
      <c r="K9" s="178"/>
      <c r="L9" s="179"/>
      <c r="M9" s="180"/>
    </row>
    <row r="10" spans="2:13">
      <c r="B10" s="2">
        <v>9</v>
      </c>
      <c r="D10" s="3"/>
      <c r="F10" s="97">
        <f t="shared" si="1"/>
        <v>0</v>
      </c>
      <c r="H10" s="4">
        <f t="shared" si="2"/>
        <v>0</v>
      </c>
      <c r="I10" s="5">
        <f t="shared" si="0"/>
        <v>0</v>
      </c>
      <c r="J10" s="99">
        <f t="shared" si="3"/>
        <v>0</v>
      </c>
      <c r="K10" s="181"/>
      <c r="L10" s="182"/>
      <c r="M10" s="183"/>
    </row>
    <row r="11" spans="2:13">
      <c r="B11" s="2">
        <v>10</v>
      </c>
      <c r="D11" s="3"/>
      <c r="F11" s="97">
        <f t="shared" si="1"/>
        <v>0</v>
      </c>
      <c r="H11" s="4">
        <f t="shared" si="2"/>
        <v>0</v>
      </c>
      <c r="I11" s="5">
        <f t="shared" si="0"/>
        <v>0</v>
      </c>
      <c r="J11" s="99">
        <f t="shared" si="3"/>
        <v>0</v>
      </c>
      <c r="K11" s="181"/>
      <c r="L11" s="182"/>
      <c r="M11" s="183"/>
    </row>
    <row r="12" spans="2:13">
      <c r="B12" s="2">
        <v>11</v>
      </c>
      <c r="D12" s="3"/>
      <c r="F12" s="97">
        <f t="shared" si="1"/>
        <v>0</v>
      </c>
      <c r="H12" s="4">
        <f t="shared" si="2"/>
        <v>0</v>
      </c>
      <c r="I12" s="5">
        <f t="shared" si="0"/>
        <v>0</v>
      </c>
      <c r="J12" s="99">
        <f t="shared" si="3"/>
        <v>0</v>
      </c>
      <c r="K12" s="181"/>
      <c r="L12" s="182"/>
      <c r="M12" s="183"/>
    </row>
    <row r="13" spans="2:13" ht="17.25" thickBot="1">
      <c r="B13" s="2">
        <v>12</v>
      </c>
      <c r="D13" s="3"/>
      <c r="F13" s="97">
        <f t="shared" si="1"/>
        <v>0</v>
      </c>
      <c r="H13" s="4">
        <f t="shared" si="2"/>
        <v>0</v>
      </c>
      <c r="I13" s="5">
        <f t="shared" si="0"/>
        <v>0</v>
      </c>
      <c r="J13" s="99">
        <f t="shared" si="3"/>
        <v>0</v>
      </c>
      <c r="K13" s="184"/>
      <c r="L13" s="185"/>
      <c r="M13" s="186"/>
    </row>
    <row r="14" spans="2:13">
      <c r="B14" s="2">
        <v>13</v>
      </c>
      <c r="D14" s="3"/>
      <c r="F14" s="97">
        <f t="shared" si="1"/>
        <v>0</v>
      </c>
      <c r="H14" s="4">
        <f>G14*E14</f>
        <v>0</v>
      </c>
      <c r="I14" s="5">
        <f>G14*F14</f>
        <v>0</v>
      </c>
      <c r="J14" s="99">
        <f t="shared" si="3"/>
        <v>0</v>
      </c>
      <c r="K14" s="90" t="s">
        <v>13</v>
      </c>
      <c r="L14" s="8">
        <v>15</v>
      </c>
      <c r="M14" s="9" t="s">
        <v>14</v>
      </c>
    </row>
    <row r="15" spans="2:13">
      <c r="B15" s="2">
        <v>14</v>
      </c>
      <c r="D15" s="3"/>
      <c r="F15" s="97">
        <f t="shared" si="1"/>
        <v>0</v>
      </c>
      <c r="H15" s="4">
        <f>G15*E15</f>
        <v>0</v>
      </c>
      <c r="I15" s="5">
        <f>G15*F15</f>
        <v>0</v>
      </c>
      <c r="J15" s="99">
        <f t="shared" si="3"/>
        <v>0</v>
      </c>
      <c r="K15" s="89" t="s">
        <v>15</v>
      </c>
      <c r="L15">
        <v>20</v>
      </c>
      <c r="M15" s="3" t="s">
        <v>16</v>
      </c>
    </row>
    <row r="16" spans="2:13">
      <c r="B16" s="2">
        <v>15</v>
      </c>
      <c r="D16" s="3"/>
      <c r="F16" s="97">
        <f t="shared" si="1"/>
        <v>0</v>
      </c>
      <c r="H16" s="4">
        <f t="shared" si="2"/>
        <v>0</v>
      </c>
      <c r="I16" s="5">
        <f t="shared" si="0"/>
        <v>0</v>
      </c>
      <c r="J16" s="99">
        <f t="shared" si="3"/>
        <v>0</v>
      </c>
      <c r="K16" s="89" t="s">
        <v>17</v>
      </c>
      <c r="L16">
        <v>30</v>
      </c>
      <c r="M16" s="3" t="s">
        <v>18</v>
      </c>
    </row>
    <row r="17" spans="2:13" ht="17.25" thickBot="1">
      <c r="B17" s="2">
        <v>16</v>
      </c>
      <c r="D17" s="3"/>
      <c r="F17" s="97">
        <f t="shared" si="1"/>
        <v>0</v>
      </c>
      <c r="H17" s="4">
        <f t="shared" si="2"/>
        <v>0</v>
      </c>
      <c r="I17" s="5">
        <f t="shared" si="0"/>
        <v>0</v>
      </c>
      <c r="J17" s="99">
        <f t="shared" si="3"/>
        <v>0</v>
      </c>
      <c r="K17" s="13" t="s">
        <v>19</v>
      </c>
      <c r="L17" s="10">
        <v>110</v>
      </c>
      <c r="M17" s="11" t="s">
        <v>20</v>
      </c>
    </row>
    <row r="18" spans="2:13">
      <c r="B18" s="2">
        <v>17</v>
      </c>
      <c r="D18" s="3"/>
      <c r="F18" s="97">
        <f t="shared" si="1"/>
        <v>0</v>
      </c>
      <c r="H18" s="4">
        <f t="shared" si="2"/>
        <v>0</v>
      </c>
      <c r="I18" s="5">
        <f t="shared" si="0"/>
        <v>0</v>
      </c>
      <c r="J18" s="99">
        <f t="shared" si="3"/>
        <v>0</v>
      </c>
      <c r="K18" s="90" t="s">
        <v>21</v>
      </c>
      <c r="L18" s="8">
        <f>SUM(E2:E31)</f>
        <v>52</v>
      </c>
      <c r="M18" s="9" t="s">
        <v>22</v>
      </c>
    </row>
    <row r="19" spans="2:13">
      <c r="B19" s="2">
        <v>18</v>
      </c>
      <c r="D19" s="3"/>
      <c r="F19" s="97">
        <f t="shared" si="1"/>
        <v>0</v>
      </c>
      <c r="H19" s="4">
        <f t="shared" si="2"/>
        <v>0</v>
      </c>
      <c r="I19" s="5">
        <f t="shared" si="0"/>
        <v>0</v>
      </c>
      <c r="K19" s="89" t="s">
        <v>23</v>
      </c>
      <c r="L19">
        <f>L15*L18</f>
        <v>1040</v>
      </c>
      <c r="M19" s="3" t="s">
        <v>22</v>
      </c>
    </row>
    <row r="20" spans="2:13" ht="17.25" thickBot="1">
      <c r="B20" s="2">
        <v>19</v>
      </c>
      <c r="D20" s="3"/>
      <c r="F20" s="97">
        <f t="shared" si="1"/>
        <v>0</v>
      </c>
      <c r="H20" s="4">
        <f t="shared" si="2"/>
        <v>0</v>
      </c>
      <c r="I20" s="5">
        <f t="shared" si="0"/>
        <v>0</v>
      </c>
      <c r="K20" s="13" t="s">
        <v>24</v>
      </c>
      <c r="L20" s="10">
        <f>L16*L17+L19</f>
        <v>4340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5" t="s">
        <v>25</v>
      </c>
      <c r="L22" s="176"/>
      <c r="M22" s="177"/>
    </row>
    <row r="23" spans="2:13">
      <c r="B23" s="2">
        <v>22</v>
      </c>
      <c r="D23" s="3"/>
      <c r="F23" s="97">
        <f t="shared" si="1"/>
        <v>0</v>
      </c>
      <c r="H23" s="4">
        <f t="shared" si="2"/>
        <v>0</v>
      </c>
      <c r="I23" s="5">
        <f t="shared" si="0"/>
        <v>0</v>
      </c>
      <c r="K23" s="89" t="s">
        <v>26</v>
      </c>
      <c r="L23">
        <f>SUM(F2:F31)</f>
        <v>1040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5" t="s">
        <v>32</v>
      </c>
      <c r="L29" s="176"/>
      <c r="M29" s="177"/>
    </row>
    <row r="30" spans="2:13">
      <c r="B30" s="2">
        <v>29</v>
      </c>
      <c r="D30" s="3"/>
      <c r="F30" s="97">
        <f t="shared" si="1"/>
        <v>0</v>
      </c>
      <c r="H30" s="4">
        <f t="shared" si="2"/>
        <v>0</v>
      </c>
      <c r="I30" s="5">
        <f t="shared" si="0"/>
        <v>0</v>
      </c>
      <c r="K30" s="89" t="s">
        <v>28</v>
      </c>
      <c r="L30" s="4">
        <f>SUM(H2:H31)</f>
        <v>2077.6</v>
      </c>
      <c r="M30" s="3" t="s">
        <v>33</v>
      </c>
    </row>
    <row r="31" spans="2:13" ht="17.25" thickBot="1">
      <c r="B31" s="12">
        <v>30</v>
      </c>
      <c r="C31" s="13"/>
      <c r="D31" s="11"/>
      <c r="E31" s="93"/>
      <c r="F31" s="98">
        <f t="shared" si="1"/>
        <v>0</v>
      </c>
      <c r="G31" s="10"/>
      <c r="H31" s="14">
        <f t="shared" si="2"/>
        <v>0</v>
      </c>
      <c r="I31" s="15">
        <f t="shared" si="0"/>
        <v>0</v>
      </c>
      <c r="K31" s="13" t="s">
        <v>34</v>
      </c>
      <c r="L31" s="14">
        <f>SUM(I2:I31)</f>
        <v>41552</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8A061-1747-4307-9BE0-E2E923E52248}">
  <sheetPr>
    <pageSetUpPr fitToPage="1"/>
  </sheetPr>
  <dimension ref="B1:M31"/>
  <sheetViews>
    <sheetView topLeftCell="B1" workbookViewId="0">
      <selection activeCell="L5" sqref="L5:M5"/>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418</v>
      </c>
      <c r="K1" s="175" t="s">
        <v>5</v>
      </c>
      <c r="L1" s="176"/>
      <c r="M1" s="177"/>
    </row>
    <row r="2" spans="2:13">
      <c r="B2" s="2">
        <v>1</v>
      </c>
      <c r="C2" t="s">
        <v>424</v>
      </c>
      <c r="D2" s="3"/>
      <c r="E2" s="87">
        <v>12</v>
      </c>
      <c r="F2" s="171">
        <f>E2*$L$15</f>
        <v>240</v>
      </c>
      <c r="G2">
        <f>VLOOKUP($C2,[1]약재관리!$A:$J,10,FALSE)</f>
        <v>41</v>
      </c>
      <c r="H2" s="4">
        <f>G2*E2</f>
        <v>492</v>
      </c>
      <c r="I2" s="5">
        <f t="shared" ref="I2:I31" si="0">G2*F2</f>
        <v>9840</v>
      </c>
      <c r="J2" s="99">
        <f>F2/$L$14</f>
        <v>16</v>
      </c>
      <c r="K2" s="6" t="s">
        <v>6</v>
      </c>
      <c r="L2" s="187">
        <v>177</v>
      </c>
      <c r="M2" s="188"/>
    </row>
    <row r="3" spans="2:13">
      <c r="B3" s="2">
        <v>2</v>
      </c>
      <c r="C3" t="s">
        <v>425</v>
      </c>
      <c r="D3" s="3"/>
      <c r="E3" s="87">
        <v>8</v>
      </c>
      <c r="F3" s="97">
        <f t="shared" ref="F3:F31" si="1">E3*$L$15</f>
        <v>160</v>
      </c>
      <c r="G3">
        <f>VLOOKUP($C3,[1]약재관리!$A:$J,10,FALSE)</f>
        <v>21.2</v>
      </c>
      <c r="H3" s="4">
        <f t="shared" ref="H3:H31" si="2">G3*E3</f>
        <v>169.6</v>
      </c>
      <c r="I3" s="5">
        <f t="shared" si="0"/>
        <v>3392</v>
      </c>
      <c r="J3" s="99">
        <f t="shared" ref="J3:J18" si="3">F3/$L$14</f>
        <v>10.666666666666666</v>
      </c>
      <c r="K3" s="7" t="s">
        <v>7</v>
      </c>
      <c r="L3" s="189" t="s">
        <v>435</v>
      </c>
      <c r="M3" s="190"/>
    </row>
    <row r="4" spans="2:13">
      <c r="B4" s="2">
        <v>3</v>
      </c>
      <c r="C4" t="s">
        <v>426</v>
      </c>
      <c r="D4" s="3"/>
      <c r="E4" s="87">
        <v>6</v>
      </c>
      <c r="F4" s="97">
        <f t="shared" si="1"/>
        <v>120</v>
      </c>
      <c r="G4">
        <f>VLOOKUP($C4,[1]약재관리!$A:$J,10,FALSE)</f>
        <v>22.5</v>
      </c>
      <c r="H4" s="4">
        <f t="shared" si="2"/>
        <v>135</v>
      </c>
      <c r="I4" s="5">
        <f t="shared" si="0"/>
        <v>2700</v>
      </c>
      <c r="J4" s="99">
        <f t="shared" si="3"/>
        <v>8</v>
      </c>
      <c r="K4" s="7" t="s">
        <v>8</v>
      </c>
      <c r="L4" s="191">
        <v>46065</v>
      </c>
      <c r="M4" s="190"/>
    </row>
    <row r="5" spans="2:13">
      <c r="B5" s="2">
        <v>4</v>
      </c>
      <c r="C5" t="s">
        <v>421</v>
      </c>
      <c r="D5" s="3"/>
      <c r="E5" s="87">
        <v>6</v>
      </c>
      <c r="F5" s="97">
        <f t="shared" si="1"/>
        <v>120</v>
      </c>
      <c r="G5">
        <f>VLOOKUP($C5,[1]약재관리!$A:$J,10,FALSE)</f>
        <v>9.5</v>
      </c>
      <c r="H5" s="4">
        <f t="shared" si="2"/>
        <v>57</v>
      </c>
      <c r="I5" s="5">
        <f t="shared" si="0"/>
        <v>1140</v>
      </c>
      <c r="J5" s="99">
        <f t="shared" si="3"/>
        <v>8</v>
      </c>
      <c r="K5" s="7" t="s">
        <v>9</v>
      </c>
      <c r="L5" s="189" t="s">
        <v>422</v>
      </c>
      <c r="M5" s="190"/>
    </row>
    <row r="6" spans="2:13">
      <c r="B6" s="2">
        <v>5</v>
      </c>
      <c r="C6" t="s">
        <v>433</v>
      </c>
      <c r="D6" s="3"/>
      <c r="E6" s="87">
        <v>6</v>
      </c>
      <c r="F6" s="97">
        <f t="shared" si="1"/>
        <v>120</v>
      </c>
      <c r="G6">
        <f>VLOOKUP($C6,[1]약재관리!$A:$J,10,FALSE)</f>
        <v>27.2</v>
      </c>
      <c r="H6" s="4">
        <f t="shared" si="2"/>
        <v>163.19999999999999</v>
      </c>
      <c r="I6" s="5">
        <f t="shared" si="0"/>
        <v>3264</v>
      </c>
      <c r="J6" s="99">
        <f t="shared" si="3"/>
        <v>8</v>
      </c>
      <c r="K6" s="7" t="s">
        <v>10</v>
      </c>
      <c r="L6" s="189">
        <v>67</v>
      </c>
      <c r="M6" s="190"/>
    </row>
    <row r="7" spans="2:13" ht="17.25" thickBot="1">
      <c r="B7" s="2">
        <v>6</v>
      </c>
      <c r="C7" t="s">
        <v>420</v>
      </c>
      <c r="D7" s="3"/>
      <c r="E7" s="87">
        <v>8</v>
      </c>
      <c r="F7" s="97">
        <f t="shared" si="1"/>
        <v>160</v>
      </c>
      <c r="G7">
        <f>VLOOKUP($C7,[1]약재관리!$A:$J,10,FALSE)</f>
        <v>30</v>
      </c>
      <c r="H7" s="4">
        <f t="shared" si="2"/>
        <v>240</v>
      </c>
      <c r="I7" s="5">
        <f t="shared" si="0"/>
        <v>4800</v>
      </c>
      <c r="J7" s="99">
        <f t="shared" si="3"/>
        <v>10.666666666666666</v>
      </c>
      <c r="K7" s="7" t="s">
        <v>11</v>
      </c>
      <c r="L7" s="173" t="s">
        <v>417</v>
      </c>
      <c r="M7" s="174"/>
    </row>
    <row r="8" spans="2:13" ht="17.25" thickBot="1">
      <c r="B8" s="2">
        <v>7</v>
      </c>
      <c r="C8" t="s">
        <v>427</v>
      </c>
      <c r="D8" s="3"/>
      <c r="E8" s="87">
        <v>6</v>
      </c>
      <c r="F8" s="97">
        <f t="shared" si="1"/>
        <v>120</v>
      </c>
      <c r="G8">
        <f>VLOOKUP($C8,[1]약재관리!$A:$J,10,FALSE)</f>
        <v>136.80000000000001</v>
      </c>
      <c r="H8" s="4">
        <f t="shared" si="2"/>
        <v>820.80000000000007</v>
      </c>
      <c r="I8" s="5">
        <f t="shared" si="0"/>
        <v>16416</v>
      </c>
      <c r="J8" s="99">
        <f t="shared" si="3"/>
        <v>8</v>
      </c>
      <c r="K8" s="175" t="s">
        <v>12</v>
      </c>
      <c r="L8" s="176"/>
      <c r="M8" s="177"/>
    </row>
    <row r="9" spans="2:13">
      <c r="B9" s="2">
        <v>8</v>
      </c>
      <c r="C9" t="s">
        <v>428</v>
      </c>
      <c r="D9" s="3"/>
      <c r="E9" s="87">
        <v>4</v>
      </c>
      <c r="F9" s="97">
        <f t="shared" si="1"/>
        <v>80</v>
      </c>
      <c r="G9">
        <f>VLOOKUP($C9,[1]약재관리!$A:$J,10,FALSE)</f>
        <v>27.5</v>
      </c>
      <c r="H9" s="4">
        <f t="shared" si="2"/>
        <v>110</v>
      </c>
      <c r="I9" s="5">
        <f t="shared" si="0"/>
        <v>2200</v>
      </c>
      <c r="J9" s="99">
        <f t="shared" si="3"/>
        <v>5.333333333333333</v>
      </c>
      <c r="K9" s="178" t="s">
        <v>437</v>
      </c>
      <c r="L9" s="179"/>
      <c r="M9" s="180"/>
    </row>
    <row r="10" spans="2:13">
      <c r="B10" s="2">
        <v>9</v>
      </c>
      <c r="C10" t="s">
        <v>434</v>
      </c>
      <c r="D10" s="3"/>
      <c r="E10" s="87">
        <v>4</v>
      </c>
      <c r="F10" s="97">
        <f t="shared" si="1"/>
        <v>80</v>
      </c>
      <c r="G10">
        <f>VLOOKUP($C10,[1]약재관리!$A:$J,10,FALSE)</f>
        <v>19</v>
      </c>
      <c r="H10" s="4">
        <f t="shared" si="2"/>
        <v>76</v>
      </c>
      <c r="I10" s="5">
        <f t="shared" si="0"/>
        <v>1520</v>
      </c>
      <c r="J10" s="99">
        <f t="shared" si="3"/>
        <v>5.333333333333333</v>
      </c>
      <c r="K10" s="181"/>
      <c r="L10" s="182"/>
      <c r="M10" s="183"/>
    </row>
    <row r="11" spans="2:13">
      <c r="B11" s="2">
        <v>10</v>
      </c>
      <c r="C11" t="s">
        <v>431</v>
      </c>
      <c r="D11" s="3"/>
      <c r="E11" s="87">
        <v>3</v>
      </c>
      <c r="F11" s="97">
        <f t="shared" si="1"/>
        <v>60</v>
      </c>
      <c r="G11">
        <f>VLOOKUP($C11,[1]약재관리!$A:$J,10,FALSE)</f>
        <v>23.5</v>
      </c>
      <c r="H11" s="4">
        <f t="shared" si="2"/>
        <v>70.5</v>
      </c>
      <c r="I11" s="5">
        <f t="shared" si="0"/>
        <v>1410</v>
      </c>
      <c r="J11" s="99">
        <f t="shared" si="3"/>
        <v>4</v>
      </c>
      <c r="K11" s="181"/>
      <c r="L11" s="182"/>
      <c r="M11" s="183"/>
    </row>
    <row r="12" spans="2:13">
      <c r="B12" s="2">
        <v>11</v>
      </c>
      <c r="C12" t="s">
        <v>436</v>
      </c>
      <c r="D12" s="3"/>
      <c r="E12" s="87">
        <v>4</v>
      </c>
      <c r="F12" s="97">
        <f t="shared" si="1"/>
        <v>80</v>
      </c>
      <c r="G12">
        <f>VLOOKUP($C12,[1]약재관리!$A:$J,10,FALSE)</f>
        <v>31.7</v>
      </c>
      <c r="H12" s="4">
        <f t="shared" si="2"/>
        <v>126.8</v>
      </c>
      <c r="I12" s="5">
        <f t="shared" si="0"/>
        <v>2536</v>
      </c>
      <c r="J12" s="99">
        <f t="shared" si="3"/>
        <v>5.333333333333333</v>
      </c>
      <c r="K12" s="181"/>
      <c r="L12" s="182"/>
      <c r="M12" s="183"/>
    </row>
    <row r="13" spans="2:13" ht="17.25" thickBot="1">
      <c r="B13" s="2">
        <v>12</v>
      </c>
      <c r="D13" s="3"/>
      <c r="F13" s="97">
        <f t="shared" si="1"/>
        <v>0</v>
      </c>
      <c r="H13" s="4">
        <f t="shared" si="2"/>
        <v>0</v>
      </c>
      <c r="I13" s="5">
        <f t="shared" si="0"/>
        <v>0</v>
      </c>
      <c r="J13" s="99">
        <f t="shared" si="3"/>
        <v>0</v>
      </c>
      <c r="K13" s="184"/>
      <c r="L13" s="185"/>
      <c r="M13" s="186"/>
    </row>
    <row r="14" spans="2:13">
      <c r="B14" s="2">
        <v>13</v>
      </c>
      <c r="D14" s="3"/>
      <c r="F14" s="97">
        <f t="shared" si="1"/>
        <v>0</v>
      </c>
      <c r="H14" s="4">
        <f>G14*E14</f>
        <v>0</v>
      </c>
      <c r="I14" s="5">
        <f>G14*F14</f>
        <v>0</v>
      </c>
      <c r="J14" s="99">
        <f t="shared" si="3"/>
        <v>0</v>
      </c>
      <c r="K14" s="90" t="s">
        <v>13</v>
      </c>
      <c r="L14" s="8">
        <v>15</v>
      </c>
      <c r="M14" s="9" t="s">
        <v>14</v>
      </c>
    </row>
    <row r="15" spans="2:13">
      <c r="B15" s="2">
        <v>14</v>
      </c>
      <c r="D15" s="3"/>
      <c r="F15" s="97">
        <f t="shared" si="1"/>
        <v>0</v>
      </c>
      <c r="H15" s="4">
        <f>G15*E15</f>
        <v>0</v>
      </c>
      <c r="I15" s="5">
        <f>G15*F15</f>
        <v>0</v>
      </c>
      <c r="J15" s="99">
        <f t="shared" si="3"/>
        <v>0</v>
      </c>
      <c r="K15" s="89" t="s">
        <v>15</v>
      </c>
      <c r="L15">
        <v>20</v>
      </c>
      <c r="M15" s="3" t="s">
        <v>16</v>
      </c>
    </row>
    <row r="16" spans="2:13">
      <c r="B16" s="2">
        <v>15</v>
      </c>
      <c r="D16" s="3"/>
      <c r="F16" s="97">
        <f t="shared" si="1"/>
        <v>0</v>
      </c>
      <c r="H16" s="4">
        <f t="shared" si="2"/>
        <v>0</v>
      </c>
      <c r="I16" s="5">
        <f t="shared" si="0"/>
        <v>0</v>
      </c>
      <c r="J16" s="99">
        <f t="shared" si="3"/>
        <v>0</v>
      </c>
      <c r="K16" s="89" t="s">
        <v>17</v>
      </c>
      <c r="L16">
        <v>30</v>
      </c>
      <c r="M16" s="3" t="s">
        <v>18</v>
      </c>
    </row>
    <row r="17" spans="2:13" ht="17.25" thickBot="1">
      <c r="B17" s="2">
        <v>16</v>
      </c>
      <c r="D17" s="3"/>
      <c r="F17" s="97">
        <f t="shared" si="1"/>
        <v>0</v>
      </c>
      <c r="H17" s="4">
        <f t="shared" si="2"/>
        <v>0</v>
      </c>
      <c r="I17" s="5">
        <f t="shared" si="0"/>
        <v>0</v>
      </c>
      <c r="J17" s="99">
        <f t="shared" si="3"/>
        <v>0</v>
      </c>
      <c r="K17" s="13" t="s">
        <v>19</v>
      </c>
      <c r="L17" s="10">
        <v>110</v>
      </c>
      <c r="M17" s="11" t="s">
        <v>20</v>
      </c>
    </row>
    <row r="18" spans="2:13">
      <c r="B18" s="2">
        <v>17</v>
      </c>
      <c r="D18" s="3"/>
      <c r="F18" s="97">
        <f t="shared" si="1"/>
        <v>0</v>
      </c>
      <c r="H18" s="4">
        <f t="shared" si="2"/>
        <v>0</v>
      </c>
      <c r="I18" s="5">
        <f t="shared" si="0"/>
        <v>0</v>
      </c>
      <c r="J18" s="99">
        <f t="shared" si="3"/>
        <v>0</v>
      </c>
      <c r="K18" s="90" t="s">
        <v>21</v>
      </c>
      <c r="L18" s="8">
        <f>SUM(E2:E31)</f>
        <v>67</v>
      </c>
      <c r="M18" s="9" t="s">
        <v>22</v>
      </c>
    </row>
    <row r="19" spans="2:13">
      <c r="B19" s="2">
        <v>18</v>
      </c>
      <c r="D19" s="3"/>
      <c r="F19" s="97">
        <f t="shared" si="1"/>
        <v>0</v>
      </c>
      <c r="H19" s="4">
        <f t="shared" si="2"/>
        <v>0</v>
      </c>
      <c r="I19" s="5">
        <f t="shared" si="0"/>
        <v>0</v>
      </c>
      <c r="K19" s="89" t="s">
        <v>23</v>
      </c>
      <c r="L19">
        <f>L15*L18</f>
        <v>1340</v>
      </c>
      <c r="M19" s="3" t="s">
        <v>22</v>
      </c>
    </row>
    <row r="20" spans="2:13" ht="17.25" thickBot="1">
      <c r="B20" s="2">
        <v>19</v>
      </c>
      <c r="D20" s="3"/>
      <c r="F20" s="97">
        <f t="shared" si="1"/>
        <v>0</v>
      </c>
      <c r="H20" s="4">
        <f t="shared" si="2"/>
        <v>0</v>
      </c>
      <c r="I20" s="5">
        <f t="shared" si="0"/>
        <v>0</v>
      </c>
      <c r="K20" s="13" t="s">
        <v>24</v>
      </c>
      <c r="L20" s="10">
        <f>L16*L17+L19</f>
        <v>4640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5" t="s">
        <v>25</v>
      </c>
      <c r="L22" s="176"/>
      <c r="M22" s="177"/>
    </row>
    <row r="23" spans="2:13">
      <c r="B23" s="2">
        <v>22</v>
      </c>
      <c r="D23" s="3"/>
      <c r="F23" s="97">
        <f t="shared" si="1"/>
        <v>0</v>
      </c>
      <c r="H23" s="4">
        <f t="shared" si="2"/>
        <v>0</v>
      </c>
      <c r="I23" s="5">
        <f t="shared" si="0"/>
        <v>0</v>
      </c>
      <c r="K23" s="89" t="s">
        <v>26</v>
      </c>
      <c r="L23">
        <f>SUM(F2:F31)</f>
        <v>1340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5" t="s">
        <v>32</v>
      </c>
      <c r="L29" s="176"/>
      <c r="M29" s="177"/>
    </row>
    <row r="30" spans="2:13">
      <c r="B30" s="2">
        <v>29</v>
      </c>
      <c r="D30" s="3"/>
      <c r="F30" s="97">
        <f t="shared" si="1"/>
        <v>0</v>
      </c>
      <c r="H30" s="4">
        <f t="shared" si="2"/>
        <v>0</v>
      </c>
      <c r="I30" s="5">
        <f t="shared" si="0"/>
        <v>0</v>
      </c>
      <c r="K30" s="89" t="s">
        <v>28</v>
      </c>
      <c r="L30" s="4">
        <f>SUM(H2:H31)</f>
        <v>2460.9</v>
      </c>
      <c r="M30" s="3" t="s">
        <v>33</v>
      </c>
    </row>
    <row r="31" spans="2:13" ht="17.25" thickBot="1">
      <c r="B31" s="12">
        <v>30</v>
      </c>
      <c r="C31" s="13"/>
      <c r="D31" s="11"/>
      <c r="E31" s="93"/>
      <c r="F31" s="98">
        <f t="shared" si="1"/>
        <v>0</v>
      </c>
      <c r="G31" s="10"/>
      <c r="H31" s="14">
        <f t="shared" si="2"/>
        <v>0</v>
      </c>
      <c r="I31" s="15">
        <f t="shared" si="0"/>
        <v>0</v>
      </c>
      <c r="K31" s="13" t="s">
        <v>34</v>
      </c>
      <c r="L31" s="14">
        <f>SUM(I2:I31)</f>
        <v>49218</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5572A-D878-45B8-B071-33322CE69EAD}">
  <sheetPr>
    <pageSetUpPr fitToPage="1"/>
  </sheetPr>
  <dimension ref="B1:M31"/>
  <sheetViews>
    <sheetView topLeftCell="B1" workbookViewId="0">
      <selection activeCell="O14" sqref="O14"/>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418</v>
      </c>
      <c r="K1" s="175" t="s">
        <v>5</v>
      </c>
      <c r="L1" s="176"/>
      <c r="M1" s="177"/>
    </row>
    <row r="2" spans="2:13">
      <c r="B2" s="2">
        <v>1</v>
      </c>
      <c r="C2" t="s">
        <v>424</v>
      </c>
      <c r="D2" s="3"/>
      <c r="E2" s="87">
        <v>12</v>
      </c>
      <c r="F2" s="171">
        <f>E2*$L$15</f>
        <v>240</v>
      </c>
      <c r="G2">
        <f>VLOOKUP($C2,[1]약재관리!$A:$J,10,FALSE)</f>
        <v>41</v>
      </c>
      <c r="H2" s="4">
        <f>G2*E2</f>
        <v>492</v>
      </c>
      <c r="I2" s="5">
        <f t="shared" ref="I2:I31" si="0">G2*F2</f>
        <v>9840</v>
      </c>
      <c r="J2" s="99">
        <f>F2/$L$14</f>
        <v>16</v>
      </c>
      <c r="K2" s="6" t="s">
        <v>6</v>
      </c>
      <c r="L2" s="187">
        <v>177</v>
      </c>
      <c r="M2" s="188"/>
    </row>
    <row r="3" spans="2:13">
      <c r="B3" s="2">
        <v>2</v>
      </c>
      <c r="C3" t="s">
        <v>425</v>
      </c>
      <c r="D3" s="3"/>
      <c r="E3" s="87">
        <v>8</v>
      </c>
      <c r="F3" s="97">
        <f t="shared" ref="F3:F31" si="1">E3*$L$15</f>
        <v>160</v>
      </c>
      <c r="G3">
        <f>VLOOKUP($C3,[1]약재관리!$A:$J,10,FALSE)</f>
        <v>21.2</v>
      </c>
      <c r="H3" s="4">
        <f t="shared" ref="H3:H31" si="2">G3*E3</f>
        <v>169.6</v>
      </c>
      <c r="I3" s="5">
        <f t="shared" si="0"/>
        <v>3392</v>
      </c>
      <c r="J3" s="99">
        <f t="shared" ref="J3:J18" si="3">F3/$L$14</f>
        <v>10.666666666666666</v>
      </c>
      <c r="K3" s="7" t="s">
        <v>7</v>
      </c>
      <c r="L3" s="189" t="s">
        <v>423</v>
      </c>
      <c r="M3" s="190"/>
    </row>
    <row r="4" spans="2:13">
      <c r="B4" s="2">
        <v>3</v>
      </c>
      <c r="C4" t="s">
        <v>426</v>
      </c>
      <c r="D4" s="3"/>
      <c r="E4" s="87">
        <v>6</v>
      </c>
      <c r="F4" s="97">
        <f t="shared" si="1"/>
        <v>120</v>
      </c>
      <c r="G4">
        <f>VLOOKUP($C4,[1]약재관리!$A:$J,10,FALSE)</f>
        <v>22.5</v>
      </c>
      <c r="H4" s="4">
        <f t="shared" si="2"/>
        <v>135</v>
      </c>
      <c r="I4" s="5">
        <f t="shared" si="0"/>
        <v>2700</v>
      </c>
      <c r="J4" s="99">
        <f t="shared" si="3"/>
        <v>8</v>
      </c>
      <c r="K4" s="7" t="s">
        <v>8</v>
      </c>
      <c r="L4" s="191">
        <v>46043</v>
      </c>
      <c r="M4" s="190"/>
    </row>
    <row r="5" spans="2:13">
      <c r="B5" s="2">
        <v>4</v>
      </c>
      <c r="C5" t="s">
        <v>421</v>
      </c>
      <c r="D5" s="3"/>
      <c r="E5" s="87">
        <v>6</v>
      </c>
      <c r="F5" s="97">
        <f t="shared" si="1"/>
        <v>120</v>
      </c>
      <c r="G5">
        <f>VLOOKUP($C5,[1]약재관리!$A:$J,10,FALSE)</f>
        <v>9.5</v>
      </c>
      <c r="H5" s="4">
        <f t="shared" si="2"/>
        <v>57</v>
      </c>
      <c r="I5" s="5">
        <f t="shared" si="0"/>
        <v>1140</v>
      </c>
      <c r="J5" s="99">
        <f t="shared" si="3"/>
        <v>8</v>
      </c>
      <c r="K5" s="7" t="s">
        <v>9</v>
      </c>
      <c r="L5" s="189" t="s">
        <v>422</v>
      </c>
      <c r="M5" s="190"/>
    </row>
    <row r="6" spans="2:13">
      <c r="B6" s="2">
        <v>5</v>
      </c>
      <c r="C6" t="s">
        <v>419</v>
      </c>
      <c r="D6" s="3"/>
      <c r="E6" s="87">
        <v>6</v>
      </c>
      <c r="F6" s="97">
        <f t="shared" si="1"/>
        <v>120</v>
      </c>
      <c r="G6">
        <f>VLOOKUP($C6,[1]약재관리!$A:$J,10,FALSE)</f>
        <v>120</v>
      </c>
      <c r="H6" s="4">
        <f t="shared" si="2"/>
        <v>720</v>
      </c>
      <c r="I6" s="5">
        <f t="shared" si="0"/>
        <v>14400</v>
      </c>
      <c r="J6" s="99">
        <f t="shared" si="3"/>
        <v>8</v>
      </c>
      <c r="K6" s="7" t="s">
        <v>10</v>
      </c>
      <c r="L6" s="189">
        <v>67</v>
      </c>
      <c r="M6" s="190"/>
    </row>
    <row r="7" spans="2:13" ht="17.25" thickBot="1">
      <c r="B7" s="2">
        <v>6</v>
      </c>
      <c r="C7" t="s">
        <v>420</v>
      </c>
      <c r="D7" s="3"/>
      <c r="E7" s="87">
        <v>6</v>
      </c>
      <c r="F7" s="97">
        <f t="shared" si="1"/>
        <v>120</v>
      </c>
      <c r="G7">
        <f>VLOOKUP($C7,[1]약재관리!$A:$J,10,FALSE)</f>
        <v>30</v>
      </c>
      <c r="H7" s="4">
        <f t="shared" si="2"/>
        <v>180</v>
      </c>
      <c r="I7" s="5">
        <f t="shared" si="0"/>
        <v>3600</v>
      </c>
      <c r="J7" s="99">
        <f t="shared" si="3"/>
        <v>8</v>
      </c>
      <c r="K7" s="7" t="s">
        <v>11</v>
      </c>
      <c r="L7" s="173" t="s">
        <v>417</v>
      </c>
      <c r="M7" s="174"/>
    </row>
    <row r="8" spans="2:13" ht="17.25" thickBot="1">
      <c r="B8" s="2">
        <v>7</v>
      </c>
      <c r="C8" t="s">
        <v>427</v>
      </c>
      <c r="D8" s="3"/>
      <c r="E8" s="87">
        <v>6</v>
      </c>
      <c r="F8" s="97">
        <f t="shared" si="1"/>
        <v>120</v>
      </c>
      <c r="G8">
        <f>VLOOKUP($C8,[1]약재관리!$A:$J,10,FALSE)</f>
        <v>136.80000000000001</v>
      </c>
      <c r="H8" s="4">
        <f t="shared" si="2"/>
        <v>820.80000000000007</v>
      </c>
      <c r="I8" s="5">
        <f t="shared" si="0"/>
        <v>16416</v>
      </c>
      <c r="J8" s="99">
        <f t="shared" si="3"/>
        <v>8</v>
      </c>
      <c r="K8" s="175" t="s">
        <v>12</v>
      </c>
      <c r="L8" s="176"/>
      <c r="M8" s="177"/>
    </row>
    <row r="9" spans="2:13">
      <c r="B9" s="2">
        <v>8</v>
      </c>
      <c r="C9" t="s">
        <v>428</v>
      </c>
      <c r="D9" s="3"/>
      <c r="E9" s="87">
        <v>3</v>
      </c>
      <c r="F9" s="97">
        <f t="shared" si="1"/>
        <v>60</v>
      </c>
      <c r="G9">
        <f>VLOOKUP($C9,[1]약재관리!$A:$J,10,FALSE)</f>
        <v>27.5</v>
      </c>
      <c r="H9" s="4">
        <f t="shared" si="2"/>
        <v>82.5</v>
      </c>
      <c r="I9" s="5">
        <f t="shared" si="0"/>
        <v>1650</v>
      </c>
      <c r="J9" s="99">
        <f t="shared" si="3"/>
        <v>4</v>
      </c>
      <c r="K9" s="178" t="s">
        <v>432</v>
      </c>
      <c r="L9" s="179"/>
      <c r="M9" s="180"/>
    </row>
    <row r="10" spans="2:13">
      <c r="B10" s="2">
        <v>9</v>
      </c>
      <c r="C10" t="s">
        <v>429</v>
      </c>
      <c r="D10" s="3"/>
      <c r="E10" s="87">
        <v>4</v>
      </c>
      <c r="F10" s="97">
        <f t="shared" si="1"/>
        <v>80</v>
      </c>
      <c r="G10">
        <f>VLOOKUP($C10,[1]약재관리!$A:$J,10,FALSE)</f>
        <v>39.200000000000003</v>
      </c>
      <c r="H10" s="4">
        <f t="shared" si="2"/>
        <v>156.80000000000001</v>
      </c>
      <c r="I10" s="5">
        <f t="shared" si="0"/>
        <v>3136</v>
      </c>
      <c r="J10" s="99">
        <f t="shared" si="3"/>
        <v>5.333333333333333</v>
      </c>
      <c r="K10" s="181"/>
      <c r="L10" s="182"/>
      <c r="M10" s="183"/>
    </row>
    <row r="11" spans="2:13">
      <c r="B11" s="2">
        <v>10</v>
      </c>
      <c r="C11" t="s">
        <v>431</v>
      </c>
      <c r="D11" s="3"/>
      <c r="E11" s="87">
        <v>3</v>
      </c>
      <c r="F11" s="97">
        <f t="shared" si="1"/>
        <v>60</v>
      </c>
      <c r="G11">
        <f>VLOOKUP($C11,[1]약재관리!$A:$J,10,FALSE)</f>
        <v>23.5</v>
      </c>
      <c r="H11" s="4">
        <f t="shared" si="2"/>
        <v>70.5</v>
      </c>
      <c r="I11" s="5">
        <f t="shared" si="0"/>
        <v>1410</v>
      </c>
      <c r="J11" s="99">
        <f t="shared" si="3"/>
        <v>4</v>
      </c>
      <c r="K11" s="181"/>
      <c r="L11" s="182"/>
      <c r="M11" s="183"/>
    </row>
    <row r="12" spans="2:13">
      <c r="B12" s="2">
        <v>11</v>
      </c>
      <c r="D12" s="3"/>
      <c r="F12" s="97">
        <f t="shared" si="1"/>
        <v>0</v>
      </c>
      <c r="H12" s="4">
        <f t="shared" si="2"/>
        <v>0</v>
      </c>
      <c r="I12" s="5">
        <f t="shared" si="0"/>
        <v>0</v>
      </c>
      <c r="J12" s="99">
        <f t="shared" si="3"/>
        <v>0</v>
      </c>
      <c r="K12" s="181"/>
      <c r="L12" s="182"/>
      <c r="M12" s="183"/>
    </row>
    <row r="13" spans="2:13" ht="17.25" thickBot="1">
      <c r="B13" s="2">
        <v>12</v>
      </c>
      <c r="D13" s="3"/>
      <c r="F13" s="97">
        <f t="shared" si="1"/>
        <v>0</v>
      </c>
      <c r="H13" s="4">
        <f t="shared" si="2"/>
        <v>0</v>
      </c>
      <c r="I13" s="5">
        <f t="shared" si="0"/>
        <v>0</v>
      </c>
      <c r="J13" s="99">
        <f t="shared" si="3"/>
        <v>0</v>
      </c>
      <c r="K13" s="184"/>
      <c r="L13" s="185"/>
      <c r="M13" s="186"/>
    </row>
    <row r="14" spans="2:13">
      <c r="B14" s="2">
        <v>13</v>
      </c>
      <c r="D14" s="3"/>
      <c r="F14" s="97">
        <f t="shared" si="1"/>
        <v>0</v>
      </c>
      <c r="H14" s="4">
        <f>G14*E14</f>
        <v>0</v>
      </c>
      <c r="I14" s="5">
        <f>G14*F14</f>
        <v>0</v>
      </c>
      <c r="J14" s="99">
        <f t="shared" si="3"/>
        <v>0</v>
      </c>
      <c r="K14" s="90" t="s">
        <v>13</v>
      </c>
      <c r="L14" s="8">
        <v>15</v>
      </c>
      <c r="M14" s="9" t="s">
        <v>14</v>
      </c>
    </row>
    <row r="15" spans="2:13">
      <c r="B15" s="2">
        <v>14</v>
      </c>
      <c r="D15" s="3"/>
      <c r="F15" s="97">
        <f t="shared" si="1"/>
        <v>0</v>
      </c>
      <c r="H15" s="4">
        <f>G15*E15</f>
        <v>0</v>
      </c>
      <c r="I15" s="5">
        <f>G15*F15</f>
        <v>0</v>
      </c>
      <c r="J15" s="99">
        <f t="shared" si="3"/>
        <v>0</v>
      </c>
      <c r="K15" s="89" t="s">
        <v>15</v>
      </c>
      <c r="L15">
        <v>20</v>
      </c>
      <c r="M15" s="3" t="s">
        <v>16</v>
      </c>
    </row>
    <row r="16" spans="2:13">
      <c r="B16" s="2">
        <v>15</v>
      </c>
      <c r="D16" s="3"/>
      <c r="F16" s="97">
        <f t="shared" si="1"/>
        <v>0</v>
      </c>
      <c r="H16" s="4">
        <f t="shared" si="2"/>
        <v>0</v>
      </c>
      <c r="I16" s="5">
        <f t="shared" si="0"/>
        <v>0</v>
      </c>
      <c r="J16" s="99">
        <f t="shared" si="3"/>
        <v>0</v>
      </c>
      <c r="K16" s="89" t="s">
        <v>17</v>
      </c>
      <c r="L16">
        <v>30</v>
      </c>
      <c r="M16" s="3" t="s">
        <v>18</v>
      </c>
    </row>
    <row r="17" spans="2:13" ht="17.25" thickBot="1">
      <c r="B17" s="2">
        <v>16</v>
      </c>
      <c r="D17" s="3"/>
      <c r="F17" s="97">
        <f t="shared" si="1"/>
        <v>0</v>
      </c>
      <c r="H17" s="4">
        <f t="shared" si="2"/>
        <v>0</v>
      </c>
      <c r="I17" s="5">
        <f t="shared" si="0"/>
        <v>0</v>
      </c>
      <c r="J17" s="99">
        <f t="shared" si="3"/>
        <v>0</v>
      </c>
      <c r="K17" s="13" t="s">
        <v>19</v>
      </c>
      <c r="L17" s="10">
        <v>110</v>
      </c>
      <c r="M17" s="11" t="s">
        <v>20</v>
      </c>
    </row>
    <row r="18" spans="2:13">
      <c r="B18" s="2">
        <v>17</v>
      </c>
      <c r="D18" s="3"/>
      <c r="F18" s="97">
        <f t="shared" si="1"/>
        <v>0</v>
      </c>
      <c r="H18" s="4">
        <f t="shared" si="2"/>
        <v>0</v>
      </c>
      <c r="I18" s="5">
        <f t="shared" si="0"/>
        <v>0</v>
      </c>
      <c r="J18" s="99">
        <f t="shared" si="3"/>
        <v>0</v>
      </c>
      <c r="K18" s="90" t="s">
        <v>21</v>
      </c>
      <c r="L18" s="8">
        <f>SUM(E2:E31)</f>
        <v>60</v>
      </c>
      <c r="M18" s="9" t="s">
        <v>22</v>
      </c>
    </row>
    <row r="19" spans="2:13">
      <c r="B19" s="2">
        <v>18</v>
      </c>
      <c r="D19" s="3"/>
      <c r="F19" s="97">
        <f t="shared" si="1"/>
        <v>0</v>
      </c>
      <c r="H19" s="4">
        <f t="shared" si="2"/>
        <v>0</v>
      </c>
      <c r="I19" s="5">
        <f t="shared" si="0"/>
        <v>0</v>
      </c>
      <c r="K19" s="89" t="s">
        <v>23</v>
      </c>
      <c r="L19">
        <f>L15*L18</f>
        <v>1200</v>
      </c>
      <c r="M19" s="3" t="s">
        <v>22</v>
      </c>
    </row>
    <row r="20" spans="2:13" ht="17.25" thickBot="1">
      <c r="B20" s="2">
        <v>19</v>
      </c>
      <c r="D20" s="3"/>
      <c r="F20" s="97">
        <f t="shared" si="1"/>
        <v>0</v>
      </c>
      <c r="H20" s="4">
        <f t="shared" si="2"/>
        <v>0</v>
      </c>
      <c r="I20" s="5">
        <f t="shared" si="0"/>
        <v>0</v>
      </c>
      <c r="K20" s="13" t="s">
        <v>24</v>
      </c>
      <c r="L20" s="10">
        <f>L16*L17+L19</f>
        <v>4500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5" t="s">
        <v>25</v>
      </c>
      <c r="L22" s="176"/>
      <c r="M22" s="177"/>
    </row>
    <row r="23" spans="2:13">
      <c r="B23" s="2">
        <v>22</v>
      </c>
      <c r="D23" s="3"/>
      <c r="F23" s="97">
        <f t="shared" si="1"/>
        <v>0</v>
      </c>
      <c r="H23" s="4">
        <f t="shared" si="2"/>
        <v>0</v>
      </c>
      <c r="I23" s="5">
        <f t="shared" si="0"/>
        <v>0</v>
      </c>
      <c r="K23" s="89" t="s">
        <v>26</v>
      </c>
      <c r="L23">
        <f>SUM(F2:F31)</f>
        <v>1200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5" t="s">
        <v>32</v>
      </c>
      <c r="L29" s="176"/>
      <c r="M29" s="177"/>
    </row>
    <row r="30" spans="2:13">
      <c r="B30" s="2">
        <v>29</v>
      </c>
      <c r="D30" s="3"/>
      <c r="F30" s="97">
        <f t="shared" si="1"/>
        <v>0</v>
      </c>
      <c r="H30" s="4">
        <f t="shared" si="2"/>
        <v>0</v>
      </c>
      <c r="I30" s="5">
        <f t="shared" si="0"/>
        <v>0</v>
      </c>
      <c r="K30" s="89" t="s">
        <v>28</v>
      </c>
      <c r="L30" s="4">
        <f>SUM(H2:H31)</f>
        <v>2884.2000000000003</v>
      </c>
      <c r="M30" s="3" t="s">
        <v>33</v>
      </c>
    </row>
    <row r="31" spans="2:13" ht="17.25" thickBot="1">
      <c r="B31" s="12">
        <v>30</v>
      </c>
      <c r="C31" s="13"/>
      <c r="D31" s="11"/>
      <c r="E31" s="93"/>
      <c r="F31" s="98">
        <f t="shared" si="1"/>
        <v>0</v>
      </c>
      <c r="G31" s="10"/>
      <c r="H31" s="14">
        <f t="shared" si="2"/>
        <v>0</v>
      </c>
      <c r="I31" s="15">
        <f t="shared" si="0"/>
        <v>0</v>
      </c>
      <c r="K31" s="13" t="s">
        <v>34</v>
      </c>
      <c r="L31" s="14">
        <f>SUM(I2:I31)</f>
        <v>57684</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418</v>
      </c>
      <c r="K1" s="175" t="s">
        <v>5</v>
      </c>
      <c r="L1" s="176"/>
      <c r="M1" s="177"/>
    </row>
    <row r="2" spans="2:13">
      <c r="B2" s="2">
        <v>1</v>
      </c>
      <c r="C2" t="s">
        <v>424</v>
      </c>
      <c r="D2" s="3"/>
      <c r="E2" s="87">
        <v>12</v>
      </c>
      <c r="F2" s="171">
        <f>E2*$L$15</f>
        <v>240</v>
      </c>
      <c r="G2">
        <f>VLOOKUP($C2,[1]약재관리!$A:$J,10,FALSE)</f>
        <v>41</v>
      </c>
      <c r="H2" s="4">
        <f>G2*E2</f>
        <v>492</v>
      </c>
      <c r="I2" s="5">
        <f t="shared" ref="I2:I7" si="0">G2*F2</f>
        <v>9840</v>
      </c>
      <c r="J2" s="99">
        <f>F2/$L$14</f>
        <v>16</v>
      </c>
      <c r="K2" s="6" t="s">
        <v>6</v>
      </c>
      <c r="L2" s="187">
        <v>177</v>
      </c>
      <c r="M2" s="188"/>
    </row>
    <row r="3" spans="2:13">
      <c r="B3" s="2">
        <v>2</v>
      </c>
      <c r="C3" t="s">
        <v>425</v>
      </c>
      <c r="D3" s="3"/>
      <c r="E3" s="87">
        <v>8</v>
      </c>
      <c r="F3" s="97">
        <f t="shared" ref="F3:F4" si="1">E3*$L$15</f>
        <v>160</v>
      </c>
      <c r="G3">
        <f>VLOOKUP($C3,[1]약재관리!$A:$J,10,FALSE)</f>
        <v>21.2</v>
      </c>
      <c r="H3" s="4">
        <f t="shared" ref="H3:H4" si="2">G3*E3</f>
        <v>169.6</v>
      </c>
      <c r="I3" s="5">
        <f t="shared" si="0"/>
        <v>3392</v>
      </c>
      <c r="J3" s="99">
        <f t="shared" ref="J3:J18" si="3">F3/$L$14</f>
        <v>10.666666666666666</v>
      </c>
      <c r="K3" s="7" t="s">
        <v>7</v>
      </c>
      <c r="L3" s="189" t="s">
        <v>423</v>
      </c>
      <c r="M3" s="190"/>
    </row>
    <row r="4" spans="2:13">
      <c r="B4" s="2">
        <v>3</v>
      </c>
      <c r="C4" t="s">
        <v>426</v>
      </c>
      <c r="D4" s="3"/>
      <c r="E4" s="87">
        <v>6</v>
      </c>
      <c r="F4" s="97">
        <f t="shared" si="1"/>
        <v>120</v>
      </c>
      <c r="G4">
        <f>VLOOKUP($C4,[1]약재관리!$A:$J,10,FALSE)</f>
        <v>22.5</v>
      </c>
      <c r="H4" s="4">
        <f t="shared" si="2"/>
        <v>135</v>
      </c>
      <c r="I4" s="5">
        <f t="shared" si="0"/>
        <v>2700</v>
      </c>
      <c r="J4" s="99">
        <f t="shared" si="3"/>
        <v>8</v>
      </c>
      <c r="K4" s="7" t="s">
        <v>8</v>
      </c>
      <c r="L4" s="191">
        <v>46029</v>
      </c>
      <c r="M4" s="190"/>
    </row>
    <row r="5" spans="2:13">
      <c r="B5" s="2">
        <v>4</v>
      </c>
      <c r="C5" t="s">
        <v>421</v>
      </c>
      <c r="D5" s="3"/>
      <c r="E5" s="87">
        <v>6</v>
      </c>
      <c r="F5" s="97">
        <f t="shared" ref="F5:F31" si="4">E5*$L$15</f>
        <v>120</v>
      </c>
      <c r="G5">
        <f>VLOOKUP($C5,[1]약재관리!$A:$J,10,FALSE)</f>
        <v>9.5</v>
      </c>
      <c r="H5" s="4">
        <f t="shared" ref="H5:H31" si="5">G5*E5</f>
        <v>57</v>
      </c>
      <c r="I5" s="5">
        <f t="shared" si="0"/>
        <v>1140</v>
      </c>
      <c r="J5" s="99">
        <f t="shared" si="3"/>
        <v>8</v>
      </c>
      <c r="K5" s="7" t="s">
        <v>9</v>
      </c>
      <c r="L5" s="189" t="s">
        <v>422</v>
      </c>
      <c r="M5" s="190"/>
    </row>
    <row r="6" spans="2:13">
      <c r="B6" s="2">
        <v>5</v>
      </c>
      <c r="C6" t="s">
        <v>419</v>
      </c>
      <c r="D6" s="3"/>
      <c r="E6" s="87">
        <v>6</v>
      </c>
      <c r="F6" s="97">
        <f t="shared" si="4"/>
        <v>120</v>
      </c>
      <c r="G6">
        <f>VLOOKUP($C6,[1]약재관리!$A:$J,10,FALSE)</f>
        <v>120</v>
      </c>
      <c r="H6" s="4">
        <f t="shared" si="5"/>
        <v>720</v>
      </c>
      <c r="I6" s="5">
        <f t="shared" si="0"/>
        <v>14400</v>
      </c>
      <c r="J6" s="99">
        <f t="shared" si="3"/>
        <v>8</v>
      </c>
      <c r="K6" s="7" t="s">
        <v>10</v>
      </c>
      <c r="L6" s="189">
        <v>67</v>
      </c>
      <c r="M6" s="190"/>
    </row>
    <row r="7" spans="2:13" ht="17.25" thickBot="1">
      <c r="B7" s="2">
        <v>6</v>
      </c>
      <c r="C7" t="s">
        <v>420</v>
      </c>
      <c r="D7" s="3"/>
      <c r="E7" s="87">
        <v>6</v>
      </c>
      <c r="F7" s="97">
        <f t="shared" si="4"/>
        <v>120</v>
      </c>
      <c r="G7">
        <f>VLOOKUP($C7,[1]약재관리!$A:$J,10,FALSE)</f>
        <v>30</v>
      </c>
      <c r="H7" s="4">
        <f t="shared" si="5"/>
        <v>180</v>
      </c>
      <c r="I7" s="5">
        <f t="shared" si="0"/>
        <v>3600</v>
      </c>
      <c r="J7" s="99">
        <f t="shared" si="3"/>
        <v>8</v>
      </c>
      <c r="K7" s="7" t="s">
        <v>11</v>
      </c>
      <c r="L7" s="173" t="s">
        <v>417</v>
      </c>
      <c r="M7" s="174"/>
    </row>
    <row r="8" spans="2:13" ht="17.25" thickBot="1">
      <c r="B8" s="2">
        <v>7</v>
      </c>
      <c r="C8" t="s">
        <v>427</v>
      </c>
      <c r="D8" s="3"/>
      <c r="E8" s="87">
        <v>6</v>
      </c>
      <c r="F8" s="97">
        <f t="shared" si="4"/>
        <v>120</v>
      </c>
      <c r="G8">
        <f>VLOOKUP($C8,[1]약재관리!$A:$J,10,FALSE)</f>
        <v>136.80000000000001</v>
      </c>
      <c r="H8" s="4">
        <f t="shared" si="5"/>
        <v>820.80000000000007</v>
      </c>
      <c r="I8" s="5">
        <f t="shared" ref="I8:I31" si="6">G8*F8</f>
        <v>16416</v>
      </c>
      <c r="J8" s="99">
        <f t="shared" si="3"/>
        <v>8</v>
      </c>
      <c r="K8" s="175" t="s">
        <v>12</v>
      </c>
      <c r="L8" s="176"/>
      <c r="M8" s="177"/>
    </row>
    <row r="9" spans="2:13">
      <c r="B9" s="2">
        <v>8</v>
      </c>
      <c r="C9" t="s">
        <v>428</v>
      </c>
      <c r="D9" s="3"/>
      <c r="E9" s="87">
        <v>2</v>
      </c>
      <c r="F9" s="97">
        <f t="shared" si="4"/>
        <v>40</v>
      </c>
      <c r="G9">
        <f>VLOOKUP($C9,[1]약재관리!$A:$J,10,FALSE)</f>
        <v>27.5</v>
      </c>
      <c r="H9" s="4">
        <f t="shared" si="5"/>
        <v>55</v>
      </c>
      <c r="I9" s="5">
        <f t="shared" si="6"/>
        <v>1100</v>
      </c>
      <c r="J9" s="99">
        <f t="shared" si="3"/>
        <v>2.6666666666666665</v>
      </c>
      <c r="K9" s="178" t="s">
        <v>430</v>
      </c>
      <c r="L9" s="179"/>
      <c r="M9" s="180"/>
    </row>
    <row r="10" spans="2:13">
      <c r="B10" s="2">
        <v>9</v>
      </c>
      <c r="C10" t="s">
        <v>429</v>
      </c>
      <c r="D10" s="3"/>
      <c r="E10" s="87">
        <v>6</v>
      </c>
      <c r="F10" s="97">
        <f t="shared" si="4"/>
        <v>120</v>
      </c>
      <c r="G10">
        <f>VLOOKUP($C10,[1]약재관리!$A:$J,10,FALSE)</f>
        <v>39.200000000000003</v>
      </c>
      <c r="H10" s="4">
        <f t="shared" si="5"/>
        <v>235.20000000000002</v>
      </c>
      <c r="I10" s="5">
        <f t="shared" si="6"/>
        <v>4704</v>
      </c>
      <c r="J10" s="99">
        <f t="shared" si="3"/>
        <v>8</v>
      </c>
      <c r="K10" s="181"/>
      <c r="L10" s="182"/>
      <c r="M10" s="183"/>
    </row>
    <row r="11" spans="2:13">
      <c r="B11" s="2">
        <v>10</v>
      </c>
      <c r="D11" s="3"/>
      <c r="F11" s="97">
        <f t="shared" si="4"/>
        <v>0</v>
      </c>
      <c r="H11" s="4">
        <f t="shared" si="5"/>
        <v>0</v>
      </c>
      <c r="I11" s="5">
        <f t="shared" si="6"/>
        <v>0</v>
      </c>
      <c r="J11" s="99">
        <f t="shared" si="3"/>
        <v>0</v>
      </c>
      <c r="K11" s="181"/>
      <c r="L11" s="182"/>
      <c r="M11" s="183"/>
    </row>
    <row r="12" spans="2:13">
      <c r="B12" s="2">
        <v>11</v>
      </c>
      <c r="D12" s="3"/>
      <c r="F12" s="97">
        <f t="shared" si="4"/>
        <v>0</v>
      </c>
      <c r="H12" s="4">
        <f t="shared" si="5"/>
        <v>0</v>
      </c>
      <c r="I12" s="5">
        <f t="shared" si="6"/>
        <v>0</v>
      </c>
      <c r="J12" s="99">
        <f t="shared" si="3"/>
        <v>0</v>
      </c>
      <c r="K12" s="181"/>
      <c r="L12" s="182"/>
      <c r="M12" s="183"/>
    </row>
    <row r="13" spans="2:13" ht="17.25" thickBot="1">
      <c r="B13" s="2">
        <v>12</v>
      </c>
      <c r="D13" s="3"/>
      <c r="F13" s="97">
        <f t="shared" si="4"/>
        <v>0</v>
      </c>
      <c r="H13" s="4">
        <f t="shared" si="5"/>
        <v>0</v>
      </c>
      <c r="I13" s="5">
        <f t="shared" si="6"/>
        <v>0</v>
      </c>
      <c r="J13" s="99">
        <f t="shared" si="3"/>
        <v>0</v>
      </c>
      <c r="K13" s="184"/>
      <c r="L13" s="185"/>
      <c r="M13" s="186"/>
    </row>
    <row r="14" spans="2:13">
      <c r="B14" s="2">
        <v>13</v>
      </c>
      <c r="D14" s="3"/>
      <c r="F14" s="97">
        <f t="shared" si="4"/>
        <v>0</v>
      </c>
      <c r="H14" s="4">
        <f>G14*E14</f>
        <v>0</v>
      </c>
      <c r="I14" s="5">
        <f>G14*F14</f>
        <v>0</v>
      </c>
      <c r="J14" s="99">
        <f t="shared" si="3"/>
        <v>0</v>
      </c>
      <c r="K14" s="90" t="s">
        <v>13</v>
      </c>
      <c r="L14" s="8">
        <v>15</v>
      </c>
      <c r="M14" s="9" t="s">
        <v>14</v>
      </c>
    </row>
    <row r="15" spans="2:13">
      <c r="B15" s="2">
        <v>14</v>
      </c>
      <c r="D15" s="3"/>
      <c r="F15" s="97">
        <f t="shared" si="4"/>
        <v>0</v>
      </c>
      <c r="H15" s="4">
        <f>G15*E15</f>
        <v>0</v>
      </c>
      <c r="I15" s="5">
        <f>G15*F15</f>
        <v>0</v>
      </c>
      <c r="J15" s="99">
        <f t="shared" si="3"/>
        <v>0</v>
      </c>
      <c r="K15" s="89" t="s">
        <v>15</v>
      </c>
      <c r="L15">
        <v>20</v>
      </c>
      <c r="M15" s="3" t="s">
        <v>16</v>
      </c>
    </row>
    <row r="16" spans="2:13">
      <c r="B16" s="2">
        <v>15</v>
      </c>
      <c r="D16" s="3"/>
      <c r="F16" s="97">
        <f t="shared" si="4"/>
        <v>0</v>
      </c>
      <c r="H16" s="4">
        <f t="shared" si="5"/>
        <v>0</v>
      </c>
      <c r="I16" s="5">
        <f t="shared" si="6"/>
        <v>0</v>
      </c>
      <c r="J16" s="99">
        <f t="shared" si="3"/>
        <v>0</v>
      </c>
      <c r="K16" s="89" t="s">
        <v>17</v>
      </c>
      <c r="L16">
        <v>30</v>
      </c>
      <c r="M16" s="3" t="s">
        <v>18</v>
      </c>
    </row>
    <row r="17" spans="2:13" ht="17.25" thickBot="1">
      <c r="B17" s="2">
        <v>16</v>
      </c>
      <c r="D17" s="3"/>
      <c r="F17" s="97">
        <f t="shared" si="4"/>
        <v>0</v>
      </c>
      <c r="H17" s="4">
        <f t="shared" si="5"/>
        <v>0</v>
      </c>
      <c r="I17" s="5">
        <f t="shared" si="6"/>
        <v>0</v>
      </c>
      <c r="J17" s="99">
        <f t="shared" si="3"/>
        <v>0</v>
      </c>
      <c r="K17" s="13" t="s">
        <v>19</v>
      </c>
      <c r="L17" s="10">
        <v>110</v>
      </c>
      <c r="M17" s="11" t="s">
        <v>20</v>
      </c>
    </row>
    <row r="18" spans="2:13">
      <c r="B18" s="2">
        <v>17</v>
      </c>
      <c r="D18" s="3"/>
      <c r="F18" s="97">
        <f t="shared" si="4"/>
        <v>0</v>
      </c>
      <c r="H18" s="4">
        <f t="shared" si="5"/>
        <v>0</v>
      </c>
      <c r="I18" s="5">
        <f t="shared" si="6"/>
        <v>0</v>
      </c>
      <c r="J18" s="99">
        <f t="shared" si="3"/>
        <v>0</v>
      </c>
      <c r="K18" s="90" t="s">
        <v>21</v>
      </c>
      <c r="L18" s="8">
        <f>SUM(E2:E31)</f>
        <v>58</v>
      </c>
      <c r="M18" s="9" t="s">
        <v>22</v>
      </c>
    </row>
    <row r="19" spans="2:13">
      <c r="B19" s="2">
        <v>18</v>
      </c>
      <c r="D19" s="3"/>
      <c r="F19" s="97">
        <f t="shared" si="4"/>
        <v>0</v>
      </c>
      <c r="H19" s="4">
        <f t="shared" si="5"/>
        <v>0</v>
      </c>
      <c r="I19" s="5">
        <f t="shared" si="6"/>
        <v>0</v>
      </c>
      <c r="K19" s="89" t="s">
        <v>23</v>
      </c>
      <c r="L19">
        <f>L15*L18</f>
        <v>1160</v>
      </c>
      <c r="M19" s="3" t="s">
        <v>22</v>
      </c>
    </row>
    <row r="20" spans="2:13" ht="17.25" thickBot="1">
      <c r="B20" s="2">
        <v>19</v>
      </c>
      <c r="D20" s="3"/>
      <c r="F20" s="97">
        <f t="shared" si="4"/>
        <v>0</v>
      </c>
      <c r="H20" s="4">
        <f t="shared" si="5"/>
        <v>0</v>
      </c>
      <c r="I20" s="5">
        <f t="shared" si="6"/>
        <v>0</v>
      </c>
      <c r="K20" s="13" t="s">
        <v>24</v>
      </c>
      <c r="L20" s="10">
        <f>L16*L17+L19</f>
        <v>4460</v>
      </c>
      <c r="M20" s="11" t="s">
        <v>20</v>
      </c>
    </row>
    <row r="21" spans="2:13" ht="17.25" thickBot="1">
      <c r="B21" s="2">
        <v>20</v>
      </c>
      <c r="D21" s="3"/>
      <c r="F21" s="97">
        <f t="shared" si="4"/>
        <v>0</v>
      </c>
      <c r="H21" s="4">
        <f t="shared" si="5"/>
        <v>0</v>
      </c>
      <c r="I21" s="5">
        <f t="shared" si="6"/>
        <v>0</v>
      </c>
      <c r="J21" s="89"/>
      <c r="M21" s="92"/>
    </row>
    <row r="22" spans="2:13" ht="17.25" thickBot="1">
      <c r="B22" s="2">
        <v>21</v>
      </c>
      <c r="D22" s="3"/>
      <c r="F22" s="97">
        <f t="shared" si="4"/>
        <v>0</v>
      </c>
      <c r="H22" s="4">
        <f t="shared" si="5"/>
        <v>0</v>
      </c>
      <c r="I22" s="5">
        <f t="shared" si="6"/>
        <v>0</v>
      </c>
      <c r="K22" s="175" t="s">
        <v>25</v>
      </c>
      <c r="L22" s="176"/>
      <c r="M22" s="177"/>
    </row>
    <row r="23" spans="2:13">
      <c r="B23" s="2">
        <v>22</v>
      </c>
      <c r="D23" s="3"/>
      <c r="F23" s="97">
        <f t="shared" si="4"/>
        <v>0</v>
      </c>
      <c r="H23" s="4">
        <f t="shared" si="5"/>
        <v>0</v>
      </c>
      <c r="I23" s="5">
        <f t="shared" si="6"/>
        <v>0</v>
      </c>
      <c r="K23" s="89" t="s">
        <v>26</v>
      </c>
      <c r="L23">
        <f>SUM(F2:F31)</f>
        <v>1160</v>
      </c>
      <c r="M23" s="3" t="s">
        <v>22</v>
      </c>
    </row>
    <row r="24" spans="2:13">
      <c r="B24" s="2">
        <v>23</v>
      </c>
      <c r="D24" s="3"/>
      <c r="F24" s="97">
        <f t="shared" si="4"/>
        <v>0</v>
      </c>
      <c r="H24" s="4">
        <f t="shared" si="5"/>
        <v>0</v>
      </c>
      <c r="I24" s="5">
        <f t="shared" si="6"/>
        <v>0</v>
      </c>
      <c r="K24" s="89" t="s">
        <v>27</v>
      </c>
      <c r="L24">
        <v>5000</v>
      </c>
      <c r="M24" s="3" t="s">
        <v>20</v>
      </c>
    </row>
    <row r="25" spans="2:13">
      <c r="B25" s="2">
        <v>24</v>
      </c>
      <c r="D25" s="3"/>
      <c r="F25" s="97">
        <f t="shared" si="4"/>
        <v>0</v>
      </c>
      <c r="H25" s="4">
        <f t="shared" si="5"/>
        <v>0</v>
      </c>
      <c r="I25" s="5">
        <f t="shared" si="6"/>
        <v>0</v>
      </c>
      <c r="K25" s="89" t="s">
        <v>28</v>
      </c>
      <c r="L25" s="91" t="s">
        <v>29</v>
      </c>
      <c r="M25" s="3" t="s">
        <v>22</v>
      </c>
    </row>
    <row r="26" spans="2:13">
      <c r="B26" s="2">
        <v>25</v>
      </c>
      <c r="D26" s="3"/>
      <c r="F26" s="97">
        <f t="shared" si="4"/>
        <v>0</v>
      </c>
      <c r="H26" s="4">
        <f t="shared" si="5"/>
        <v>0</v>
      </c>
      <c r="I26" s="5">
        <f t="shared" si="6"/>
        <v>0</v>
      </c>
      <c r="K26" s="89" t="s">
        <v>30</v>
      </c>
      <c r="L26" s="91">
        <v>1600</v>
      </c>
      <c r="M26" s="3" t="s">
        <v>22</v>
      </c>
    </row>
    <row r="27" spans="2:13" ht="17.25" thickBot="1">
      <c r="B27" s="2">
        <v>26</v>
      </c>
      <c r="D27" s="3"/>
      <c r="F27" s="97">
        <f t="shared" si="4"/>
        <v>0</v>
      </c>
      <c r="H27" s="4">
        <f t="shared" si="5"/>
        <v>0</v>
      </c>
      <c r="I27" s="5">
        <f t="shared" si="6"/>
        <v>0</v>
      </c>
      <c r="K27" s="13" t="s">
        <v>31</v>
      </c>
      <c r="L27" s="10">
        <v>4</v>
      </c>
      <c r="M27" s="11" t="s">
        <v>22</v>
      </c>
    </row>
    <row r="28" spans="2:13" ht="17.25" thickBot="1">
      <c r="B28" s="2">
        <v>27</v>
      </c>
      <c r="D28" s="3"/>
      <c r="F28" s="97">
        <f t="shared" si="4"/>
        <v>0</v>
      </c>
      <c r="H28" s="4">
        <f t="shared" si="5"/>
        <v>0</v>
      </c>
      <c r="I28" s="5">
        <f t="shared" si="6"/>
        <v>0</v>
      </c>
      <c r="J28" s="89"/>
      <c r="K28" s="10"/>
      <c r="L28" s="10"/>
      <c r="M28" s="92"/>
    </row>
    <row r="29" spans="2:13" ht="17.25" thickBot="1">
      <c r="B29" s="2">
        <v>28</v>
      </c>
      <c r="D29" s="3"/>
      <c r="F29" s="97">
        <f t="shared" si="4"/>
        <v>0</v>
      </c>
      <c r="H29" s="4">
        <f t="shared" si="5"/>
        <v>0</v>
      </c>
      <c r="I29" s="5">
        <f t="shared" si="6"/>
        <v>0</v>
      </c>
      <c r="K29" s="175" t="s">
        <v>32</v>
      </c>
      <c r="L29" s="176"/>
      <c r="M29" s="177"/>
    </row>
    <row r="30" spans="2:13">
      <c r="B30" s="2">
        <v>29</v>
      </c>
      <c r="D30" s="3"/>
      <c r="F30" s="97">
        <f t="shared" si="4"/>
        <v>0</v>
      </c>
      <c r="H30" s="4">
        <f t="shared" si="5"/>
        <v>0</v>
      </c>
      <c r="I30" s="5">
        <f t="shared" si="6"/>
        <v>0</v>
      </c>
      <c r="K30" s="89" t="s">
        <v>28</v>
      </c>
      <c r="L30" s="4">
        <f>SUM(H2:H31)</f>
        <v>2864.6</v>
      </c>
      <c r="M30" s="3" t="s">
        <v>33</v>
      </c>
    </row>
    <row r="31" spans="2:13" ht="17.25" thickBot="1">
      <c r="B31" s="12">
        <v>30</v>
      </c>
      <c r="C31" s="13"/>
      <c r="D31" s="11"/>
      <c r="E31" s="93"/>
      <c r="F31" s="98">
        <f t="shared" si="4"/>
        <v>0</v>
      </c>
      <c r="G31" s="10"/>
      <c r="H31" s="14">
        <f t="shared" si="5"/>
        <v>0</v>
      </c>
      <c r="I31" s="15">
        <f t="shared" si="6"/>
        <v>0</v>
      </c>
      <c r="K31" s="13" t="s">
        <v>34</v>
      </c>
      <c r="L31" s="14">
        <f>SUM(I2:I31)</f>
        <v>57292</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처방전양식 (4)</vt: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2026-04-27T02:31:36Z</cp:lastPrinted>
  <dcterms:created xsi:type="dcterms:W3CDTF">2024-09-12T16:35:01Z</dcterms:created>
  <dcterms:modified xsi:type="dcterms:W3CDTF">2026-05-13T10:16:46Z</dcterms:modified>
  <cp:category/>
  <cp:contentStatus/>
</cp:coreProperties>
</file>