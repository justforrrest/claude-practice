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428" documentId="8_{6EB8DC0A-AB56-415F-A9F3-EA1534264548}" xr6:coauthVersionLast="47" xr6:coauthVersionMax="47" xr10:uidLastSave="{2999908C-ACC1-4198-B174-3F6D6B69E3E3}"/>
  <bookViews>
    <workbookView xWindow="11520" yWindow="615" windowWidth="16890" windowHeight="15450" xr2:uid="{8B9F1886-173A-4475-B0CF-D9F36CE30773}"/>
  </bookViews>
  <sheets>
    <sheet name="처방전양식 (3)" sheetId="9"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H30" i="9"/>
  <c r="F30" i="9"/>
  <c r="I30" i="9" s="1"/>
  <c r="H29" i="9"/>
  <c r="F29" i="9"/>
  <c r="I29" i="9" s="1"/>
  <c r="I28" i="9"/>
  <c r="H28" i="9"/>
  <c r="F28" i="9"/>
  <c r="H27" i="9"/>
  <c r="F27" i="9"/>
  <c r="I27" i="9" s="1"/>
  <c r="I26" i="9"/>
  <c r="H26" i="9"/>
  <c r="F26" i="9"/>
  <c r="H25" i="9"/>
  <c r="F25" i="9"/>
  <c r="I25" i="9" s="1"/>
  <c r="I24" i="9"/>
  <c r="H24" i="9"/>
  <c r="F24" i="9"/>
  <c r="G23" i="9"/>
  <c r="I23" i="9" s="1"/>
  <c r="F23" i="9"/>
  <c r="G22" i="9"/>
  <c r="I22" i="9" s="1"/>
  <c r="F22" i="9"/>
  <c r="G21" i="9"/>
  <c r="H21" i="9" s="1"/>
  <c r="F21" i="9"/>
  <c r="G20" i="9"/>
  <c r="I20" i="9" s="1"/>
  <c r="F20" i="9"/>
  <c r="G19" i="9"/>
  <c r="I19" i="9" s="1"/>
  <c r="F19" i="9"/>
  <c r="L18" i="9"/>
  <c r="L19" i="9" s="1"/>
  <c r="L20" i="9" s="1"/>
  <c r="G18" i="9"/>
  <c r="I18" i="9" s="1"/>
  <c r="F18" i="9"/>
  <c r="G17" i="9"/>
  <c r="I17" i="9" s="1"/>
  <c r="F17" i="9"/>
  <c r="G16" i="9"/>
  <c r="I16" i="9" s="1"/>
  <c r="F16" i="9"/>
  <c r="G15" i="9"/>
  <c r="I15" i="9" s="1"/>
  <c r="F15" i="9"/>
  <c r="G14" i="9"/>
  <c r="F14" i="9"/>
  <c r="G13" i="9"/>
  <c r="H13" i="9" s="1"/>
  <c r="F13" i="9"/>
  <c r="G12" i="9"/>
  <c r="I12" i="9" s="1"/>
  <c r="F12" i="9"/>
  <c r="G11" i="9"/>
  <c r="I11" i="9" s="1"/>
  <c r="F11" i="9"/>
  <c r="G10" i="9"/>
  <c r="I10" i="9" s="1"/>
  <c r="F10" i="9"/>
  <c r="G9" i="9"/>
  <c r="I9" i="9" s="1"/>
  <c r="F9" i="9"/>
  <c r="G8" i="9"/>
  <c r="I8" i="9" s="1"/>
  <c r="F8" i="9"/>
  <c r="G7" i="9"/>
  <c r="I7" i="9" s="1"/>
  <c r="F7" i="9"/>
  <c r="G6" i="9"/>
  <c r="I6" i="9" s="1"/>
  <c r="F6" i="9"/>
  <c r="G5" i="9"/>
  <c r="I5" i="9" s="1"/>
  <c r="F5" i="9"/>
  <c r="G4" i="9"/>
  <c r="F4" i="9"/>
  <c r="G3" i="9"/>
  <c r="I3" i="9" s="1"/>
  <c r="F3" i="9"/>
  <c r="G2" i="9"/>
  <c r="I2" i="9" s="1"/>
  <c r="F2" i="9"/>
  <c r="H31" i="8"/>
  <c r="F31" i="8"/>
  <c r="I31" i="8" s="1"/>
  <c r="H30" i="8"/>
  <c r="F30" i="8"/>
  <c r="I30" i="8" s="1"/>
  <c r="H29" i="8"/>
  <c r="F29" i="8"/>
  <c r="I29" i="8" s="1"/>
  <c r="H28" i="8"/>
  <c r="F28" i="8"/>
  <c r="I28" i="8" s="1"/>
  <c r="H27" i="8"/>
  <c r="F27" i="8"/>
  <c r="I27" i="8" s="1"/>
  <c r="H26" i="8"/>
  <c r="F26" i="8"/>
  <c r="I26" i="8" s="1"/>
  <c r="H25" i="8"/>
  <c r="F25" i="8"/>
  <c r="I25" i="8" s="1"/>
  <c r="H24" i="8"/>
  <c r="F24" i="8"/>
  <c r="I24" i="8" s="1"/>
  <c r="G23" i="8"/>
  <c r="F23" i="8"/>
  <c r="G22" i="8"/>
  <c r="F22" i="8"/>
  <c r="G21" i="8"/>
  <c r="F21" i="8"/>
  <c r="G20" i="8"/>
  <c r="F20" i="8"/>
  <c r="G19" i="8"/>
  <c r="F19" i="8"/>
  <c r="L18" i="8"/>
  <c r="L19" i="8" s="1"/>
  <c r="L20" i="8" s="1"/>
  <c r="G18" i="8"/>
  <c r="F18" i="8"/>
  <c r="G17" i="8"/>
  <c r="F17" i="8"/>
  <c r="G16" i="8"/>
  <c r="F16" i="8"/>
  <c r="G15" i="8"/>
  <c r="F15" i="8"/>
  <c r="G14" i="8"/>
  <c r="F14" i="8"/>
  <c r="G13" i="8"/>
  <c r="F13" i="8"/>
  <c r="G12" i="8"/>
  <c r="F12" i="8"/>
  <c r="G11" i="8"/>
  <c r="F11" i="8"/>
  <c r="G10" i="8"/>
  <c r="F10" i="8"/>
  <c r="G9" i="8"/>
  <c r="F9" i="8"/>
  <c r="G8" i="8"/>
  <c r="F8" i="8"/>
  <c r="G7" i="8"/>
  <c r="F7" i="8"/>
  <c r="G6" i="8"/>
  <c r="F6" i="8"/>
  <c r="G5" i="8"/>
  <c r="F5" i="8"/>
  <c r="G4" i="8"/>
  <c r="F4" i="8"/>
  <c r="G3" i="8"/>
  <c r="F3" i="8"/>
  <c r="G2" i="8"/>
  <c r="F2" i="8"/>
  <c r="G22" i="7"/>
  <c r="G23" i="7"/>
  <c r="G21" i="7"/>
  <c r="G18" i="7"/>
  <c r="G19" i="7"/>
  <c r="G20" i="7"/>
  <c r="G17" i="7"/>
  <c r="G16" i="7"/>
  <c r="G14" i="7"/>
  <c r="G15" i="7"/>
  <c r="G12" i="7"/>
  <c r="G13" i="7"/>
  <c r="G9" i="7"/>
  <c r="G10" i="7"/>
  <c r="G11" i="7"/>
  <c r="G3" i="7"/>
  <c r="G4" i="7"/>
  <c r="G5" i="7"/>
  <c r="G6" i="7"/>
  <c r="G7" i="7"/>
  <c r="G8" i="7"/>
  <c r="I14" i="9" l="1"/>
  <c r="I4" i="9"/>
  <c r="L23" i="9"/>
  <c r="H20" i="9"/>
  <c r="I21" i="9"/>
  <c r="H10" i="9"/>
  <c r="I13" i="9"/>
  <c r="L31" i="9" s="1"/>
  <c r="H22" i="9"/>
  <c r="H7" i="9"/>
  <c r="H16" i="9"/>
  <c r="H19" i="9"/>
  <c r="H2" i="9"/>
  <c r="H5" i="9"/>
  <c r="H8" i="9"/>
  <c r="H11" i="9"/>
  <c r="H14" i="9"/>
  <c r="H17" i="9"/>
  <c r="H4" i="9"/>
  <c r="H23" i="9"/>
  <c r="H3" i="9"/>
  <c r="H6" i="9"/>
  <c r="H9" i="9"/>
  <c r="H12" i="9"/>
  <c r="H15" i="9"/>
  <c r="H18" i="9"/>
  <c r="L23" i="8"/>
  <c r="H4" i="8"/>
  <c r="I4" i="8"/>
  <c r="I23" i="8"/>
  <c r="H23" i="8"/>
  <c r="H22" i="8"/>
  <c r="I22" i="8"/>
  <c r="I21" i="8"/>
  <c r="H21" i="8"/>
  <c r="I20" i="8"/>
  <c r="H20" i="8"/>
  <c r="H19" i="8"/>
  <c r="I19" i="8"/>
  <c r="I18" i="8"/>
  <c r="H18" i="8"/>
  <c r="H17" i="8"/>
  <c r="I17" i="8"/>
  <c r="I16" i="8"/>
  <c r="H16" i="8"/>
  <c r="I15" i="8"/>
  <c r="H15" i="8"/>
  <c r="I14" i="8"/>
  <c r="H14" i="8"/>
  <c r="I13" i="8"/>
  <c r="H13" i="8"/>
  <c r="H12" i="8"/>
  <c r="I12" i="8"/>
  <c r="I11" i="8"/>
  <c r="H11" i="8"/>
  <c r="H10" i="8"/>
  <c r="I10" i="8"/>
  <c r="I9" i="8"/>
  <c r="H9" i="8"/>
  <c r="H8" i="8"/>
  <c r="I8" i="8"/>
  <c r="I7" i="8"/>
  <c r="H7" i="8"/>
  <c r="I6" i="8"/>
  <c r="H6" i="8"/>
  <c r="H5" i="8"/>
  <c r="I5" i="8"/>
  <c r="H3" i="8"/>
  <c r="I3" i="8"/>
  <c r="H2" i="8"/>
  <c r="I2" i="8"/>
  <c r="F3" i="7"/>
  <c r="F4" i="7"/>
  <c r="I4" i="7" s="1"/>
  <c r="F2" i="7"/>
  <c r="L30" i="9" l="1"/>
  <c r="L31" i="8"/>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<sst xmlns="http://schemas.openxmlformats.org/spreadsheetml/2006/main" count="748" uniqueCount="448">
  <si>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</si>
  <si>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</si>
  <si>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</si>
  <si>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</si>
  <si>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</si>
  <si>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</si>
  <si>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</si>
  <si>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</si>
  <si>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</si>
  <si>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</si>
  <si>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</si>
  <si>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</si>
  <si>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</si>
  <si>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</si>
  <si>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</si>
  <si>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</si>
  <si>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</si>
  <si>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</si>
  <si>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</si>
  <si>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</si>
  <si>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</si>
  <si>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</si>
  <si>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</si>
  <si>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</si>
  <si>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</si>
  <si>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</si>
  <si>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</si>
  <si>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</si>
  <si>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</si>
  <si>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</si>
  <si>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</si>
  <si>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</si>
  <si>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</si>
  <si>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</si>
  <si>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</si>
  <si>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</si>
  <si>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</si>
  <si>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</si>
  <si>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</si>
  <si>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</si>
  <si>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</si>
  <si>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</si>
  <si>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</si>
  <si>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</si>
  <si>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</si>
  <si>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</si>
  <si>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</si>
  <si>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</si>
  <si>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</si>
  <si>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</si>
  <si>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</si>
  <si>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</si>
  <si>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</si>
  <si>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</si>
  <si>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</si>
  <si>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</si>
  <si>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</si>
  <si>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</si>
  <si>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</si>
  <si>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</si>
  <si>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</si>
  <si>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</si>
  <si>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</si>
  <si>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</si>
  <si>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</si>
  <si>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</si>
  <si>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</si>
  <si>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</si>
  <si>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</si>
  <si>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</si>
  <si>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</si>
  <si>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</si>
  <si>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</si>
  <si>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</si>
  <si>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</si>
  <si>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</si>
  <si>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</si>
  <si>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</si>
  <si>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</si>
  <si>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</si>
  <si>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</si>
  <si>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</si>
  <si>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</si>
  <si>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</si>
  <si>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</si>
  <si>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</si>
  <si>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</si>
  <si>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</si>
  <si>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</si>
  <si>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</si>
  <si>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</si>
  <si>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</si>
  <si>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</si>
  <si>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</si>
  <si>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</si>
  <si>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</si>
  <si>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</si>
  <si>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</si>
  <si>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</si>
  <si>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</si>
  <si>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</si>
  <si>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</si>
  <si>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</si>
  <si>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</si>
  <si>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</si>
  <si>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</si>
  <si>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</si>
  <si>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</si>
  <si>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</si>
  <si>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</si>
  <si>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</si>
  <si>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</si>
  <si>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</si>
  <si>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</si>
  <si>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</si>
  <si>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</si>
  <si>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</si>
  <si>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</si>
  <si>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</si>
  <si>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</si>
  <si>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</si>
  <si>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</si>
  <si>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</si>
  <si>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</si>
  <si>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</si>
  <si>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</si>
  <si>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</si>
  <si>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</si>
  <si>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</si>
  <si>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</si>
  <si>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</si>
  <si>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</si>
  <si>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</si>
  <si>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</si>
  <si>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</si>
  <si>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</si>
  <si>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</si>
  <si>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</si>
  <si>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</si>
  <si>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</si>
  <si>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</si>
  <si>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</si>
  <si>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</si>
  <si>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</si>
  <si>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</si>
  <si>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</si>
  <si>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</si>
  <si>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</si>
  <si>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</si>
  <si>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</si>
  <si>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</si>
  <si>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</si>
  <si>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</si>
  <si>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</si>
  <si>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</si>
  <si>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</si>
  <si>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</si>
  <si>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</si>
  <si>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</si>
  <si>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</si>
  <si>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</si>
  <si>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</si>
  <si>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</si>
  <si>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</si>
  <si>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</si>
  <si>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</si>
  <si>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</si>
  <si>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</si>
  <si>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</si>
  <si>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</si>
  <si>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</si>
  <si>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</si>
  <si>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</si>
  <si>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</si>
  <si>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</si>
  <si>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</si>
  <si>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</si>
  <si>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</si>
  <si>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</si>
  <si>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</si>
  <si>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</si>
  <si>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</si>
  <si>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</si>
  <si>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</si>
  <si>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</si>
  <si>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</si>
  <si>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</si>
  <si>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</si>
  <si>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</si>
  <si>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</si>
  <si>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</si>
  <si>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</si>
  <si>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</si>
  <si>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</si>
  <si>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</si>
  <si>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</si>
  <si>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</si>
  <si>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</si>
  <si>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</si>
  <si>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</si>
  <si>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</si>
  <si>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</si>
  <si>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</si>
  <si>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</si>
  <si>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</si>
  <si>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</si>
  <si>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</si>
  <si>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</si>
  <si>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</si>
  <si>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</si>
  <si>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</si>
  <si>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</si>
  <si>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</si>
  <si>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</si>
  <si>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</si>
  <si>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</si>
  <si>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</si>
  <si>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</si>
  <si>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</si>
  <si>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</si>
  <si>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</si>
  <si>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</si>
  <si>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</si>
  <si>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</si>
  <si>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</si>
  <si>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</si>
  <si>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</si>
  <si>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</si>
  <si>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</si>
  <si>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</si>
  <si>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</si>
  <si>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</si>
  <si>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</si>
  <si>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</si>
  <si>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</si>
  <si>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</si>
  <si>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</si>
  <si>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</si>
  <si>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</si>
  <si>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</si>
  <si>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</si>
  <si>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</si>
  <si>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</si>
  <si>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</si>
  <si>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</si>
  <si>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</si>
  <si>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</si>
  <si>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</si>
  <si>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</si>
  <si>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</si>
  <si>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</si>
  <si>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</si>
  <si>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</si>
  <si>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</si>
  <si>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</si>
  <si>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</si>
  <si>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</si>
  <si>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</si>
  <si>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</si>
  <si>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</si>
  <si>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</si>
  <si>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</si>
  <si>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</si>
  <si>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</si>
  <si>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</si>
  <si>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</si>
  <si>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</si>
  <si>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</si>
  <si>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</si>
  <si>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</si>
  <si>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</si>
  <si>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</si>
  <si>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</si>
  <si>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</si>
  <si>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</si>
  <si>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</si>
  <si>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</si>
  <si>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</si>
  <si>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</si>
  <si>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</si>
  <si>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</si>
  <si>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</si>
  <si>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</si>
  <si>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</si>
  <si>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</si>
  <si>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</si>
  <si>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</si>
  <si>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</si>
  <si>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</si>
  <si>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</si>
  <si>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</si>
  <si>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</si>
  <si>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</si>
  <si>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</si>
  <si>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</si>
  <si>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</si>
  <si>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</si>
  <si>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</si>
  <si>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</si>
  <si>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</si>
  <si>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</si>
  <si>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</si>
  <si>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</si>
  <si>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</si>
  <si>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</si>
  <si>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</si>
  <si>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</si>
  <si>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</si>
  <si>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</si>
  <si>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</si>
  <si>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</si>
  <si>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</si>
  <si>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</si>
  <si>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</si>
  <si>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</si>
  <si>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</si>
  <si>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</si>
  <si>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</si>
  <si>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</si>
  <si>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</si>
  <si>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</si>
  <si>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</si>
  <si>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</si>
  <si>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</si>
  <si>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</si>
  <si>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</si>
  <si>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</si>
  <si>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</si>
  <si>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</si>
  <si>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</si>
  <si>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</si>
  <si>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</si>
  <si>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</si>
  <si>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</si>
  <si>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</si>
  <si>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</si>
  <si>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</si>
  <si>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</si>
  <si>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</si>
  <si>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</si>
  <si>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</si>
  <si>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</si>
  <si>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</si>
  <si>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</si>
  <si>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</si>
  <si>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</si>
  <si>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</si>
  <si>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</si>
  <si>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</si>
  <si>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</si>
  <si>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</si>
  <si>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</si>
  <si>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</si>
  <si>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</si>
  <si>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</si>
  <si>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</si>
  <si>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</si>
  <si>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</si>
  <si>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</si>
  <si>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</si>
  <si>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</si>
  <si>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</si>
  <si>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</si>
  <si>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</si>
  <si>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</si>
  <si>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</si>
  <si>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</si>
  <si>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</si>
  <si>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</si>
  <si>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</si>
  <si>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</si>
  <si>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</si>
  <si>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</si>
  <si>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</si>
  <si>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</si>
  <si>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</si>
  <si>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</si>
  <si>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</si>
  <si>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</si>
  <si>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</si>
  <si>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</si>
  <si>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</si>
  <si>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</si>
  <si>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</si>
  <si>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</si>
  <si>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</si>
  <si>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</si>
  <si>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</si>
  <si>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</si>
  <si>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</si>
  <si>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</si>
  <si>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</si>
  <si>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</si>
  <si>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</si>
  <si>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</si>
  <si>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</si>
  <si>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</si>
  <si>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</si>
  <si>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</si>
  <si>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</si>
  <si>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</si>
  <si>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</si>
  <si>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</si>
  <si>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</si>
  <si>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</si>
  <si>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</si>
  <si>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</si>
  <si>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</si>
  <si>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</si>
  <si>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</si>
  <si>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</si>
  <si>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</si>
  <si>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</si>
  <si>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</si>
  <si>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</si>
  <si>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</si>
  <si>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</si>
  <si>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</si>
  <si>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인삼</t>
    <phoneticPr fontId="5" type="noConversion"/>
  </si>
  <si>
    <t>백출</t>
    <phoneticPr fontId="5" type="noConversion"/>
  </si>
  <si>
    <t>복령</t>
    <phoneticPr fontId="5" type="noConversion"/>
  </si>
  <si>
    <t>진피1</t>
    <phoneticPr fontId="5" type="noConversion"/>
  </si>
  <si>
    <t>육계</t>
    <phoneticPr fontId="5" type="noConversion"/>
  </si>
  <si>
    <t>향부자</t>
    <phoneticPr fontId="5" type="noConversion"/>
  </si>
  <si>
    <t>황기</t>
    <phoneticPr fontId="5" type="noConversion"/>
  </si>
  <si>
    <t>귀비군자탕가감</t>
    <phoneticPr fontId="5" type="noConversion"/>
  </si>
  <si>
    <t>원육</t>
    <phoneticPr fontId="5" type="noConversion"/>
  </si>
  <si>
    <t>원지</t>
    <phoneticPr fontId="5" type="noConversion"/>
  </si>
  <si>
    <t>반하</t>
    <phoneticPr fontId="5" type="noConversion"/>
  </si>
  <si>
    <t>후박</t>
    <phoneticPr fontId="5" type="noConversion"/>
  </si>
  <si>
    <t>맥문동</t>
    <phoneticPr fontId="5" type="noConversion"/>
  </si>
  <si>
    <t>사인</t>
    <phoneticPr fontId="5" type="noConversion"/>
  </si>
  <si>
    <t>목향</t>
    <phoneticPr fontId="5" type="noConversion"/>
  </si>
  <si>
    <t>청피</t>
    <phoneticPr fontId="5" type="noConversion"/>
  </si>
  <si>
    <t>백작약</t>
    <phoneticPr fontId="5" type="noConversion"/>
  </si>
  <si>
    <t>소회향</t>
    <phoneticPr fontId="5" type="noConversion"/>
  </si>
  <si>
    <t>현호색</t>
    <phoneticPr fontId="5" type="noConversion"/>
  </si>
  <si>
    <t>당귀1</t>
    <phoneticPr fontId="5" type="noConversion"/>
  </si>
  <si>
    <t>김지우</t>
    <phoneticPr fontId="5" type="noConversion"/>
  </si>
  <si>
    <t>익지인</t>
    <phoneticPr fontId="5" type="noConversion"/>
  </si>
  <si>
    <t>백두구</t>
    <phoneticPr fontId="5" type="noConversion"/>
  </si>
  <si>
    <t>건강</t>
    <phoneticPr fontId="5" type="noConversion"/>
  </si>
  <si>
    <t>귀비군자탕 + 청피 백작약 소회향 현호색 건강 육계</t>
    <phoneticPr fontId="5" type="noConversion"/>
  </si>
  <si>
    <t>오약</t>
    <phoneticPr fontId="5" type="noConversion"/>
  </si>
  <si>
    <t>1차처방 - 원지, 원육감량 + 오약 청피 증량</t>
    <phoneticPr fontId="5" type="noConversion"/>
  </si>
  <si>
    <t>감초</t>
    <phoneticPr fontId="5" type="noConversion"/>
  </si>
  <si>
    <t>천궁1</t>
    <phoneticPr fontId="5" type="noConversion"/>
  </si>
  <si>
    <t>2차처방 - 오약 백두구 + 사인 증량, 천궁 감초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</si>
</sst>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1D8E-193E-4587-A404-8B59D453EA11}">
  <sheetPr>
    <pageSetUpPr fitToPage="1"/>
  </sheetPr>
  <dimension ref="B1:M31"/>
  <sheetViews>
    <sheetView tabSelected="1" topLeftCell="B1" workbookViewId="0">
      <selection activeCell="F24" sqref="F2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437</v>
      </c>
      <c r="D2" s="3"/>
      <c r="E2" s="87">
        <v>4</v>
      </c>
      <c r="F2" s="171">
        <f>E2*$L$15</f>
        <v>40</v>
      </c>
      <c r="G2">
        <f>VLOOKUP($C2,[1]약재관리!$A:$J,10,FALSE)</f>
        <v>31.7</v>
      </c>
      <c r="H2" s="4">
        <f>G2*E2</f>
        <v>126.8</v>
      </c>
      <c r="I2" s="5">
        <f t="shared" ref="I2:I31" si="0">G2*F2</f>
        <v>1268</v>
      </c>
      <c r="K2" s="6" t="s">
        <v>6</v>
      </c>
      <c r="L2" s="186">
        <v>173</v>
      </c>
      <c r="M2" s="187"/>
    </row>
    <row r="3" spans="2:13">
      <c r="B3" s="2">
        <v>2</v>
      </c>
      <c r="C3" t="s">
        <v>426</v>
      </c>
      <c r="D3" s="3"/>
      <c r="E3" s="87">
        <v>4</v>
      </c>
      <c r="F3" s="97">
        <f t="shared" ref="F3:F31" si="1">E3*$L$15</f>
        <v>40</v>
      </c>
      <c r="G3">
        <f>VLOOKUP($C3,[1]약재관리!$A:$J,10,FALSE)</f>
        <v>20.5</v>
      </c>
      <c r="H3" s="4">
        <f t="shared" ref="H3:H31" si="2">G3*E3</f>
        <v>82</v>
      </c>
      <c r="I3" s="5">
        <f t="shared" si="0"/>
        <v>820</v>
      </c>
      <c r="K3" s="7" t="s">
        <v>7</v>
      </c>
      <c r="L3" s="188" t="s">
        <v>425</v>
      </c>
      <c r="M3" s="189"/>
    </row>
    <row r="4" spans="2:13">
      <c r="B4" s="2">
        <v>3</v>
      </c>
      <c r="C4" t="s">
        <v>445</v>
      </c>
      <c r="D4" s="3"/>
      <c r="E4" s="87">
        <v>2</v>
      </c>
      <c r="F4" s="97">
        <f t="shared" si="1"/>
        <v>20</v>
      </c>
      <c r="G4">
        <f>VLOOKUP($C4,[1]약재관리!$A:$J,10,FALSE)</f>
        <v>30</v>
      </c>
      <c r="H4" s="4">
        <f t="shared" si="2"/>
        <v>60</v>
      </c>
      <c r="I4" s="5">
        <f t="shared" si="0"/>
        <v>600</v>
      </c>
      <c r="K4" s="7" t="s">
        <v>8</v>
      </c>
      <c r="L4" s="190">
        <v>46099</v>
      </c>
      <c r="M4" s="189"/>
    </row>
    <row r="5" spans="2:13">
      <c r="B5" s="2">
        <v>4</v>
      </c>
      <c r="C5" t="s">
        <v>418</v>
      </c>
      <c r="D5" s="3"/>
      <c r="E5" s="87">
        <v>4</v>
      </c>
      <c r="F5" s="97">
        <f t="shared" si="1"/>
        <v>40</v>
      </c>
      <c r="G5">
        <f>VLOOKUP($C5,[1]약재관리!$A:$J,10,FALSE)</f>
        <v>120</v>
      </c>
      <c r="H5" s="4">
        <f t="shared" si="2"/>
        <v>480</v>
      </c>
      <c r="I5" s="5">
        <f t="shared" si="0"/>
        <v>4800</v>
      </c>
      <c r="K5" s="7" t="s">
        <v>9</v>
      </c>
      <c r="L5" s="188" t="s">
        <v>438</v>
      </c>
      <c r="M5" s="189"/>
    </row>
    <row r="6" spans="2:13">
      <c r="B6" s="2">
        <v>5</v>
      </c>
      <c r="C6" t="s">
        <v>424</v>
      </c>
      <c r="D6" s="3"/>
      <c r="E6" s="87">
        <v>6</v>
      </c>
      <c r="F6" s="97">
        <f t="shared" si="1"/>
        <v>60</v>
      </c>
      <c r="G6">
        <f>VLOOKUP($C6,[1]약재관리!$A:$J,10,FALSE)</f>
        <v>22.3</v>
      </c>
      <c r="H6" s="4">
        <f t="shared" si="2"/>
        <v>133.80000000000001</v>
      </c>
      <c r="I6" s="5">
        <f t="shared" si="0"/>
        <v>1338</v>
      </c>
      <c r="K6" s="7" t="s">
        <v>10</v>
      </c>
      <c r="L6" s="188">
        <v>27</v>
      </c>
      <c r="M6" s="189"/>
    </row>
    <row r="7" spans="2:13" ht="17.25" thickBot="1">
      <c r="B7" s="2">
        <v>6</v>
      </c>
      <c r="C7" t="s">
        <v>419</v>
      </c>
      <c r="D7" s="3"/>
      <c r="E7" s="87">
        <v>4</v>
      </c>
      <c r="F7" s="97">
        <f t="shared" si="1"/>
        <v>40</v>
      </c>
      <c r="G7">
        <f>VLOOKUP($C7,[1]약재관리!$A:$J,10,FALSE)</f>
        <v>13</v>
      </c>
      <c r="H7" s="4">
        <f t="shared" si="2"/>
        <v>52</v>
      </c>
      <c r="I7" s="5">
        <f t="shared" si="0"/>
        <v>520</v>
      </c>
      <c r="K7" s="7" t="s">
        <v>11</v>
      </c>
      <c r="L7" s="172" t="s">
        <v>417</v>
      </c>
      <c r="M7" s="173"/>
    </row>
    <row r="8" spans="2:13" ht="17.25" thickBot="1">
      <c r="B8" s="2">
        <v>7</v>
      </c>
      <c r="C8" t="s">
        <v>420</v>
      </c>
      <c r="D8" s="3"/>
      <c r="E8" s="87">
        <v>6</v>
      </c>
      <c r="F8" s="97">
        <f t="shared" si="1"/>
        <v>60</v>
      </c>
      <c r="G8">
        <f>VLOOKUP($C8,[1]약재관리!$A:$J,10,FALSE)</f>
        <v>8.6999999999999993</v>
      </c>
      <c r="H8" s="4">
        <f t="shared" si="2"/>
        <v>52.199999999999996</v>
      </c>
      <c r="I8" s="5">
        <f t="shared" si="0"/>
        <v>522</v>
      </c>
      <c r="K8" s="174" t="s">
        <v>12</v>
      </c>
      <c r="L8" s="175"/>
      <c r="M8" s="176"/>
    </row>
    <row r="9" spans="2:13">
      <c r="B9" s="2">
        <v>8</v>
      </c>
      <c r="C9" t="s">
        <v>423</v>
      </c>
      <c r="D9" s="3"/>
      <c r="E9" s="87">
        <v>8</v>
      </c>
      <c r="F9" s="97">
        <f t="shared" si="1"/>
        <v>80</v>
      </c>
      <c r="G9">
        <f>VLOOKUP($C9,[1]약재관리!$A:$J,10,FALSE)</f>
        <v>14.7</v>
      </c>
      <c r="H9" s="4">
        <f t="shared" si="2"/>
        <v>117.6</v>
      </c>
      <c r="I9" s="5">
        <f t="shared" si="0"/>
        <v>1176</v>
      </c>
      <c r="K9" s="177" t="s">
        <v>447</v>
      </c>
      <c r="L9" s="178"/>
      <c r="M9" s="179"/>
    </row>
    <row r="10" spans="2:13">
      <c r="B10" s="2">
        <v>9</v>
      </c>
      <c r="C10" t="s">
        <v>428</v>
      </c>
      <c r="D10" s="3"/>
      <c r="E10" s="87">
        <v>4</v>
      </c>
      <c r="F10" s="97">
        <f t="shared" si="1"/>
        <v>40</v>
      </c>
      <c r="G10">
        <f>VLOOKUP($C10,[1]약재관리!$A:$J,10,FALSE)</f>
        <v>41</v>
      </c>
      <c r="H10" s="4">
        <f t="shared" si="2"/>
        <v>164</v>
      </c>
      <c r="I10" s="5">
        <f t="shared" si="0"/>
        <v>1640</v>
      </c>
      <c r="K10" s="180"/>
      <c r="L10" s="181"/>
      <c r="M10" s="182"/>
    </row>
    <row r="11" spans="2:13">
      <c r="B11" s="2">
        <v>10</v>
      </c>
      <c r="C11" t="s">
        <v>421</v>
      </c>
      <c r="D11" s="3"/>
      <c r="E11" s="87">
        <v>4</v>
      </c>
      <c r="F11" s="97">
        <f t="shared" si="1"/>
        <v>40</v>
      </c>
      <c r="G11">
        <f>VLOOKUP($C11,[1]약재관리!$A:$J,10,FALSE)</f>
        <v>17.600000000000001</v>
      </c>
      <c r="H11" s="4">
        <f t="shared" si="2"/>
        <v>70.400000000000006</v>
      </c>
      <c r="I11" s="5">
        <f t="shared" si="0"/>
        <v>704</v>
      </c>
      <c r="K11" s="180"/>
      <c r="L11" s="181"/>
      <c r="M11" s="182"/>
    </row>
    <row r="12" spans="2:13">
      <c r="B12" s="2">
        <v>11</v>
      </c>
      <c r="C12" t="s">
        <v>429</v>
      </c>
      <c r="D12" s="3"/>
      <c r="E12" s="87">
        <v>4</v>
      </c>
      <c r="F12" s="97">
        <f t="shared" si="1"/>
        <v>40</v>
      </c>
      <c r="G12">
        <f>VLOOKUP($C12,[1]약재관리!$A:$J,10,FALSE)</f>
        <v>8.8000000000000007</v>
      </c>
      <c r="H12" s="4">
        <f t="shared" si="2"/>
        <v>35.200000000000003</v>
      </c>
      <c r="I12" s="5">
        <f t="shared" si="0"/>
        <v>352</v>
      </c>
      <c r="K12" s="180"/>
      <c r="L12" s="181"/>
      <c r="M12" s="182"/>
    </row>
    <row r="13" spans="2:13" ht="17.25" thickBot="1">
      <c r="B13" s="2">
        <v>12</v>
      </c>
      <c r="C13" t="s">
        <v>430</v>
      </c>
      <c r="D13" s="3"/>
      <c r="E13" s="87">
        <v>3</v>
      </c>
      <c r="F13" s="97">
        <f t="shared" si="1"/>
        <v>30</v>
      </c>
      <c r="G13">
        <f>VLOOKUP($C13,[1]약재관리!$A:$J,10,FALSE)</f>
        <v>39.200000000000003</v>
      </c>
      <c r="H13" s="4">
        <f t="shared" si="2"/>
        <v>117.60000000000001</v>
      </c>
      <c r="I13" s="5">
        <f t="shared" si="0"/>
        <v>1176</v>
      </c>
      <c r="K13" s="183"/>
      <c r="L13" s="184"/>
      <c r="M13" s="185"/>
    </row>
    <row r="14" spans="2:13">
      <c r="B14" s="2">
        <v>13</v>
      </c>
      <c r="C14" t="s">
        <v>431</v>
      </c>
      <c r="D14" s="3"/>
      <c r="E14" s="87">
        <v>4</v>
      </c>
      <c r="F14" s="97">
        <f t="shared" si="1"/>
        <v>40</v>
      </c>
      <c r="G14">
        <f>VLOOKUP($C14,[1]약재관리!$A:$J,10,FALSE)</f>
        <v>21.8</v>
      </c>
      <c r="H14" s="4">
        <f>G14*E14</f>
        <v>87.2</v>
      </c>
      <c r="I14" s="5">
        <f>G14*F14</f>
        <v>872</v>
      </c>
      <c r="K14" s="90" t="s">
        <v>13</v>
      </c>
      <c r="L14" s="8">
        <v>10</v>
      </c>
      <c r="M14" s="9" t="s">
        <v>14</v>
      </c>
    </row>
    <row r="15" spans="2:13">
      <c r="B15" s="2">
        <v>14</v>
      </c>
      <c r="C15" t="s">
        <v>432</v>
      </c>
      <c r="D15" s="3"/>
      <c r="E15" s="87">
        <v>3</v>
      </c>
      <c r="F15" s="97">
        <f t="shared" si="1"/>
        <v>30</v>
      </c>
      <c r="G15">
        <f>VLOOKUP($C15,[1]약재관리!$A:$J,10,FALSE)</f>
        <v>12.2</v>
      </c>
      <c r="H15" s="4">
        <f>G15*E15</f>
        <v>36.599999999999994</v>
      </c>
      <c r="I15" s="5">
        <f>G15*F15</f>
        <v>366</v>
      </c>
      <c r="K15" s="89" t="s">
        <v>15</v>
      </c>
      <c r="L15">
        <v>10</v>
      </c>
      <c r="M15" s="3" t="s">
        <v>16</v>
      </c>
    </row>
    <row r="16" spans="2:13">
      <c r="B16" s="2">
        <v>15</v>
      </c>
      <c r="C16" t="s">
        <v>433</v>
      </c>
      <c r="D16" s="3"/>
      <c r="E16" s="87">
        <v>4</v>
      </c>
      <c r="F16" s="97">
        <f t="shared" si="1"/>
        <v>40</v>
      </c>
      <c r="G16">
        <f>VLOOKUP($C16,[1]약재관리!$A:$J,10,FALSE)</f>
        <v>7.3</v>
      </c>
      <c r="H16" s="4">
        <f t="shared" si="2"/>
        <v>29.2</v>
      </c>
      <c r="I16" s="5">
        <f t="shared" si="0"/>
        <v>292</v>
      </c>
      <c r="K16" s="89" t="s">
        <v>17</v>
      </c>
      <c r="L16">
        <v>20</v>
      </c>
      <c r="M16" s="3" t="s">
        <v>18</v>
      </c>
    </row>
    <row r="17" spans="2:13" ht="17.25" thickBot="1">
      <c r="B17" s="2">
        <v>16</v>
      </c>
      <c r="C17" t="s">
        <v>434</v>
      </c>
      <c r="D17" s="3"/>
      <c r="E17" s="87">
        <v>4</v>
      </c>
      <c r="F17" s="97">
        <f t="shared" si="1"/>
        <v>40</v>
      </c>
      <c r="G17">
        <f>VLOOKUP($C17,[1]약재관리!$A:$J,10,FALSE)</f>
        <v>19.600000000000001</v>
      </c>
      <c r="H17" s="4">
        <f t="shared" si="2"/>
        <v>78.400000000000006</v>
      </c>
      <c r="I17" s="5">
        <f t="shared" si="0"/>
        <v>784</v>
      </c>
      <c r="K17" s="13" t="s">
        <v>19</v>
      </c>
      <c r="L17" s="10">
        <v>110</v>
      </c>
      <c r="M17" s="11" t="s">
        <v>20</v>
      </c>
    </row>
    <row r="18" spans="2:13">
      <c r="B18" s="2">
        <v>17</v>
      </c>
      <c r="C18" t="s">
        <v>435</v>
      </c>
      <c r="D18" s="3"/>
      <c r="E18" s="87">
        <v>4</v>
      </c>
      <c r="F18" s="97">
        <f t="shared" si="1"/>
        <v>40</v>
      </c>
      <c r="G18">
        <f>VLOOKUP($C18,[1]약재관리!$A:$J,10,FALSE)</f>
        <v>8.3000000000000007</v>
      </c>
      <c r="H18" s="4">
        <f t="shared" si="2"/>
        <v>33.200000000000003</v>
      </c>
      <c r="I18" s="5">
        <f t="shared" si="0"/>
        <v>332</v>
      </c>
      <c r="K18" s="90" t="s">
        <v>21</v>
      </c>
      <c r="L18" s="8">
        <f>SUM(E2:E31)</f>
        <v>89</v>
      </c>
      <c r="M18" s="9" t="s">
        <v>22</v>
      </c>
    </row>
    <row r="19" spans="2:13">
      <c r="B19" s="2">
        <v>18</v>
      </c>
      <c r="C19" t="s">
        <v>436</v>
      </c>
      <c r="D19" s="3"/>
      <c r="E19" s="87">
        <v>4</v>
      </c>
      <c r="F19" s="97">
        <f t="shared" si="1"/>
        <v>40</v>
      </c>
      <c r="G19">
        <f>VLOOKUP($C19,[1]약재관리!$A:$J,10,FALSE)</f>
        <v>59.7</v>
      </c>
      <c r="H19" s="4">
        <f t="shared" si="2"/>
        <v>238.8</v>
      </c>
      <c r="I19" s="5">
        <f t="shared" si="0"/>
        <v>2388</v>
      </c>
      <c r="K19" s="89" t="s">
        <v>23</v>
      </c>
      <c r="L19">
        <f>L15*L18</f>
        <v>890</v>
      </c>
      <c r="M19" s="3" t="s">
        <v>22</v>
      </c>
    </row>
    <row r="20" spans="2:13" ht="17.25" thickBot="1">
      <c r="B20" s="2">
        <v>19</v>
      </c>
      <c r="C20" t="s">
        <v>441</v>
      </c>
      <c r="D20" s="3"/>
      <c r="E20" s="87">
        <v>3</v>
      </c>
      <c r="F20" s="97">
        <f t="shared" si="1"/>
        <v>30</v>
      </c>
      <c r="G20">
        <f>VLOOKUP($C20,[1]약재관리!$A:$J,10,FALSE)</f>
        <v>9.5</v>
      </c>
      <c r="H20" s="4">
        <f t="shared" si="2"/>
        <v>28.5</v>
      </c>
      <c r="I20" s="5">
        <f t="shared" si="0"/>
        <v>285</v>
      </c>
      <c r="K20" s="13" t="s">
        <v>24</v>
      </c>
      <c r="L20" s="10">
        <f>L16*L17+L19</f>
        <v>3090</v>
      </c>
      <c r="M20" s="11" t="s">
        <v>20</v>
      </c>
    </row>
    <row r="21" spans="2:13" ht="17.25" thickBot="1">
      <c r="B21" s="2">
        <v>20</v>
      </c>
      <c r="C21" t="s">
        <v>422</v>
      </c>
      <c r="D21" s="3"/>
      <c r="E21" s="87">
        <v>4</v>
      </c>
      <c r="F21" s="97">
        <f t="shared" si="1"/>
        <v>40</v>
      </c>
      <c r="G21">
        <f>VLOOKUP($C21,[1]약재관리!$A:$J,10,FALSE)</f>
        <v>14.8</v>
      </c>
      <c r="H21" s="4">
        <f t="shared" si="2"/>
        <v>59.2</v>
      </c>
      <c r="I21" s="5">
        <f t="shared" si="0"/>
        <v>592</v>
      </c>
      <c r="J21" s="89"/>
      <c r="M21" s="92"/>
    </row>
    <row r="22" spans="2:13" ht="17.25" thickBot="1">
      <c r="B22" s="2">
        <v>21</v>
      </c>
      <c r="C22" t="s">
        <v>439</v>
      </c>
      <c r="D22" s="3"/>
      <c r="E22" s="87">
        <v>2</v>
      </c>
      <c r="F22" s="97">
        <f t="shared" si="1"/>
        <v>20</v>
      </c>
      <c r="G22">
        <f>VLOOKUP($C22,[1]약재관리!$A:$J,10,FALSE)</f>
        <v>22.8</v>
      </c>
      <c r="H22" s="4">
        <f t="shared" si="2"/>
        <v>45.6</v>
      </c>
      <c r="I22" s="5">
        <f t="shared" si="0"/>
        <v>456</v>
      </c>
      <c r="K22" s="174" t="s">
        <v>25</v>
      </c>
      <c r="L22" s="175"/>
      <c r="M22" s="176"/>
    </row>
    <row r="23" spans="2:13">
      <c r="B23" s="2">
        <v>22</v>
      </c>
      <c r="C23" t="s">
        <v>446</v>
      </c>
      <c r="D23" s="3"/>
      <c r="E23" s="87">
        <v>4</v>
      </c>
      <c r="F23" s="97">
        <f t="shared" si="1"/>
        <v>40</v>
      </c>
      <c r="G23">
        <f>VLOOKUP($C23,[1]약재관리!$A:$J,10,FALSE)</f>
        <v>10.8</v>
      </c>
      <c r="H23" s="4">
        <f t="shared" si="2"/>
        <v>43.2</v>
      </c>
      <c r="I23" s="5">
        <f t="shared" si="0"/>
        <v>432</v>
      </c>
      <c r="K23" s="89" t="s">
        <v>26</v>
      </c>
      <c r="L23">
        <f>SUM(F2:F31)</f>
        <v>890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2171.4999999999995</v>
      </c>
      <c r="M30" s="3" t="s">
        <v>33</v>
      </c>
    </row>
    <row r="31" spans="2:13" ht="17.25" thickBot="1">
      <c r="B31" s="12">
        <v>30</v>
      </c>
      <c r="C31" s="13"/>
      <c r="D31" s="11"/>
      <c r="E31" s="93"/>
      <c r="F31" s="98">
        <f t="shared" si="1"/>
        <v>0</v>
      </c>
      <c r="G31" s="10"/>
      <c r="H31" s="14">
        <f t="shared" si="2"/>
        <v>0</v>
      </c>
      <c r="I31" s="15">
        <f t="shared" si="0"/>
        <v>0</v>
      </c>
      <c r="K31" s="13" t="s">
        <v>34</v>
      </c>
      <c r="L31" s="14">
        <f>SUM(I2:I31)</f>
        <v>21715</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CEAA-6726-49F3-A975-0052D246A9FF}">
  <sheetPr>
    <pageSetUpPr fitToPage="1"/>
  </sheetPr>
  <dimension ref="B1:M31"/>
  <sheetViews>
    <sheetView topLeftCell="B1" workbookViewId="0">
      <selection activeCell="L14" sqref="L1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437</v>
      </c>
      <c r="D2" s="3"/>
      <c r="E2" s="87">
        <v>4</v>
      </c>
      <c r="F2" s="171">
        <f>E2*$L$15</f>
        <v>40</v>
      </c>
      <c r="G2">
        <f>VLOOKUP($C2,[1]약재관리!$A:$J,10,FALSE)</f>
        <v>31.7</v>
      </c>
      <c r="H2" s="4">
        <f>G2*E2</f>
        <v>126.8</v>
      </c>
      <c r="I2" s="5">
        <f t="shared" ref="I2:I31" si="0">G2*F2</f>
        <v>1268</v>
      </c>
      <c r="K2" s="6" t="s">
        <v>6</v>
      </c>
      <c r="L2" s="186">
        <v>173</v>
      </c>
      <c r="M2" s="187"/>
    </row>
    <row r="3" spans="2:13">
      <c r="B3" s="2">
        <v>2</v>
      </c>
      <c r="C3" t="s">
        <v>426</v>
      </c>
      <c r="D3" s="3"/>
      <c r="E3" s="87">
        <v>4</v>
      </c>
      <c r="F3" s="97">
        <f t="shared" ref="F3:F31" si="1">E3*$L$15</f>
        <v>40</v>
      </c>
      <c r="G3">
        <f>VLOOKUP($C3,[1]약재관리!$A:$J,10,FALSE)</f>
        <v>20.5</v>
      </c>
      <c r="H3" s="4">
        <f t="shared" ref="H3:H31" si="2">G3*E3</f>
        <v>82</v>
      </c>
      <c r="I3" s="5">
        <f t="shared" si="0"/>
        <v>820</v>
      </c>
      <c r="K3" s="7" t="s">
        <v>7</v>
      </c>
      <c r="L3" s="188" t="s">
        <v>425</v>
      </c>
      <c r="M3" s="189"/>
    </row>
    <row r="4" spans="2:13">
      <c r="B4" s="2">
        <v>3</v>
      </c>
      <c r="C4" t="s">
        <v>443</v>
      </c>
      <c r="D4" s="3"/>
      <c r="E4" s="87">
        <v>4</v>
      </c>
      <c r="F4" s="97">
        <f t="shared" si="1"/>
        <v>40</v>
      </c>
      <c r="G4">
        <f>VLOOKUP($C4,[1]약재관리!$A:$J,10,FALSE)</f>
        <v>9.1999999999999993</v>
      </c>
      <c r="H4" s="4">
        <f t="shared" si="2"/>
        <v>36.799999999999997</v>
      </c>
      <c r="I4" s="5">
        <f t="shared" si="0"/>
        <v>368</v>
      </c>
      <c r="K4" s="7" t="s">
        <v>8</v>
      </c>
      <c r="L4" s="190">
        <v>46043</v>
      </c>
      <c r="M4" s="189"/>
    </row>
    <row r="5" spans="2:13">
      <c r="B5" s="2">
        <v>4</v>
      </c>
      <c r="C5" t="s">
        <v>418</v>
      </c>
      <c r="D5" s="3"/>
      <c r="E5" s="87">
        <v>4</v>
      </c>
      <c r="F5" s="97">
        <f t="shared" si="1"/>
        <v>40</v>
      </c>
      <c r="G5">
        <f>VLOOKUP($C5,[1]약재관리!$A:$J,10,FALSE)</f>
        <v>120</v>
      </c>
      <c r="H5" s="4">
        <f t="shared" si="2"/>
        <v>480</v>
      </c>
      <c r="I5" s="5">
        <f t="shared" si="0"/>
        <v>4800</v>
      </c>
      <c r="K5" s="7" t="s">
        <v>9</v>
      </c>
      <c r="L5" s="188" t="s">
        <v>438</v>
      </c>
      <c r="M5" s="189"/>
    </row>
    <row r="6" spans="2:13">
      <c r="B6" s="2">
        <v>5</v>
      </c>
      <c r="C6" t="s">
        <v>424</v>
      </c>
      <c r="D6" s="3"/>
      <c r="E6" s="87">
        <v>6</v>
      </c>
      <c r="F6" s="97">
        <f t="shared" si="1"/>
        <v>60</v>
      </c>
      <c r="G6">
        <f>VLOOKUP($C6,[1]약재관리!$A:$J,10,FALSE)</f>
        <v>22.3</v>
      </c>
      <c r="H6" s="4">
        <f t="shared" si="2"/>
        <v>133.80000000000001</v>
      </c>
      <c r="I6" s="5">
        <f t="shared" si="0"/>
        <v>1338</v>
      </c>
      <c r="K6" s="7" t="s">
        <v>10</v>
      </c>
      <c r="L6" s="188">
        <v>27</v>
      </c>
      <c r="M6" s="189"/>
    </row>
    <row r="7" spans="2:13" ht="17.25" thickBot="1">
      <c r="B7" s="2">
        <v>6</v>
      </c>
      <c r="C7" t="s">
        <v>419</v>
      </c>
      <c r="D7" s="3"/>
      <c r="E7" s="87">
        <v>4</v>
      </c>
      <c r="F7" s="97">
        <f t="shared" si="1"/>
        <v>40</v>
      </c>
      <c r="G7">
        <f>VLOOKUP($C7,[1]약재관리!$A:$J,10,FALSE)</f>
        <v>13</v>
      </c>
      <c r="H7" s="4">
        <f t="shared" si="2"/>
        <v>52</v>
      </c>
      <c r="I7" s="5">
        <f t="shared" si="0"/>
        <v>520</v>
      </c>
      <c r="K7" s="7" t="s">
        <v>11</v>
      </c>
      <c r="L7" s="172" t="s">
        <v>417</v>
      </c>
      <c r="M7" s="173"/>
    </row>
    <row r="8" spans="2:13" ht="17.25" thickBot="1">
      <c r="B8" s="2">
        <v>7</v>
      </c>
      <c r="C8" t="s">
        <v>420</v>
      </c>
      <c r="D8" s="3"/>
      <c r="E8" s="87">
        <v>6</v>
      </c>
      <c r="F8" s="97">
        <f t="shared" si="1"/>
        <v>60</v>
      </c>
      <c r="G8">
        <f>VLOOKUP($C8,[1]약재관리!$A:$J,10,FALSE)</f>
        <v>8.6999999999999993</v>
      </c>
      <c r="H8" s="4">
        <f t="shared" si="2"/>
        <v>52.199999999999996</v>
      </c>
      <c r="I8" s="5">
        <f t="shared" si="0"/>
        <v>522</v>
      </c>
      <c r="K8" s="174" t="s">
        <v>12</v>
      </c>
      <c r="L8" s="175"/>
      <c r="M8" s="176"/>
    </row>
    <row r="9" spans="2:13">
      <c r="B9" s="2">
        <v>8</v>
      </c>
      <c r="C9" t="s">
        <v>423</v>
      </c>
      <c r="D9" s="3"/>
      <c r="E9" s="87">
        <v>8</v>
      </c>
      <c r="F9" s="97">
        <f t="shared" si="1"/>
        <v>80</v>
      </c>
      <c r="G9">
        <f>VLOOKUP($C9,[1]약재관리!$A:$J,10,FALSE)</f>
        <v>14.7</v>
      </c>
      <c r="H9" s="4">
        <f t="shared" si="2"/>
        <v>117.6</v>
      </c>
      <c r="I9" s="5">
        <f t="shared" si="0"/>
        <v>1176</v>
      </c>
      <c r="K9" s="177" t="s">
        <v>444</v>
      </c>
      <c r="L9" s="178"/>
      <c r="M9" s="179"/>
    </row>
    <row r="10" spans="2:13">
      <c r="B10" s="2">
        <v>9</v>
      </c>
      <c r="C10" t="s">
        <v>428</v>
      </c>
      <c r="D10" s="3"/>
      <c r="E10" s="87">
        <v>4</v>
      </c>
      <c r="F10" s="97">
        <f t="shared" si="1"/>
        <v>40</v>
      </c>
      <c r="G10">
        <f>VLOOKUP($C10,[1]약재관리!$A:$J,10,FALSE)</f>
        <v>41</v>
      </c>
      <c r="H10" s="4">
        <f t="shared" si="2"/>
        <v>164</v>
      </c>
      <c r="I10" s="5">
        <f t="shared" si="0"/>
        <v>1640</v>
      </c>
      <c r="K10" s="180"/>
      <c r="L10" s="181"/>
      <c r="M10" s="182"/>
    </row>
    <row r="11" spans="2:13">
      <c r="B11" s="2">
        <v>10</v>
      </c>
      <c r="C11" t="s">
        <v>421</v>
      </c>
      <c r="D11" s="3"/>
      <c r="E11" s="87">
        <v>4</v>
      </c>
      <c r="F11" s="97">
        <f t="shared" si="1"/>
        <v>40</v>
      </c>
      <c r="G11">
        <f>VLOOKUP($C11,[1]약재관리!$A:$J,10,FALSE)</f>
        <v>17.600000000000001</v>
      </c>
      <c r="H11" s="4">
        <f t="shared" si="2"/>
        <v>70.400000000000006</v>
      </c>
      <c r="I11" s="5">
        <f t="shared" si="0"/>
        <v>704</v>
      </c>
      <c r="K11" s="180"/>
      <c r="L11" s="181"/>
      <c r="M11" s="182"/>
    </row>
    <row r="12" spans="2:13">
      <c r="B12" s="2">
        <v>11</v>
      </c>
      <c r="C12" t="s">
        <v>429</v>
      </c>
      <c r="D12" s="3"/>
      <c r="E12" s="87">
        <v>4</v>
      </c>
      <c r="F12" s="97">
        <f t="shared" si="1"/>
        <v>40</v>
      </c>
      <c r="G12">
        <f>VLOOKUP($C12,[1]약재관리!$A:$J,10,FALSE)</f>
        <v>8.8000000000000007</v>
      </c>
      <c r="H12" s="4">
        <f t="shared" si="2"/>
        <v>35.200000000000003</v>
      </c>
      <c r="I12" s="5">
        <f t="shared" si="0"/>
        <v>352</v>
      </c>
      <c r="K12" s="180"/>
      <c r="L12" s="181"/>
      <c r="M12" s="182"/>
    </row>
    <row r="13" spans="2:13" ht="17.25" thickBot="1">
      <c r="B13" s="2">
        <v>12</v>
      </c>
      <c r="C13" t="s">
        <v>430</v>
      </c>
      <c r="D13" s="3"/>
      <c r="E13" s="87">
        <v>3</v>
      </c>
      <c r="F13" s="97">
        <f t="shared" si="1"/>
        <v>30</v>
      </c>
      <c r="G13">
        <f>VLOOKUP($C13,[1]약재관리!$A:$J,10,FALSE)</f>
        <v>39.200000000000003</v>
      </c>
      <c r="H13" s="4">
        <f t="shared" si="2"/>
        <v>117.60000000000001</v>
      </c>
      <c r="I13" s="5">
        <f t="shared" si="0"/>
        <v>1176</v>
      </c>
      <c r="K13" s="183"/>
      <c r="L13" s="184"/>
      <c r="M13" s="185"/>
    </row>
    <row r="14" spans="2:13">
      <c r="B14" s="2">
        <v>13</v>
      </c>
      <c r="C14" t="s">
        <v>431</v>
      </c>
      <c r="D14" s="3"/>
      <c r="E14" s="87">
        <v>2</v>
      </c>
      <c r="F14" s="97">
        <f t="shared" si="1"/>
        <v>20</v>
      </c>
      <c r="G14">
        <f>VLOOKUP($C14,[1]약재관리!$A:$J,10,FALSE)</f>
        <v>21.8</v>
      </c>
      <c r="H14" s="4">
        <f>G14*E14</f>
        <v>43.6</v>
      </c>
      <c r="I14" s="5">
        <f>G14*F14</f>
        <v>436</v>
      </c>
      <c r="K14" s="90" t="s">
        <v>13</v>
      </c>
      <c r="L14" s="8">
        <v>10</v>
      </c>
      <c r="M14" s="9" t="s">
        <v>14</v>
      </c>
    </row>
    <row r="15" spans="2:13">
      <c r="B15" s="2">
        <v>14</v>
      </c>
      <c r="C15" t="s">
        <v>432</v>
      </c>
      <c r="D15" s="3"/>
      <c r="E15" s="87">
        <v>3</v>
      </c>
      <c r="F15" s="97">
        <f t="shared" si="1"/>
        <v>30</v>
      </c>
      <c r="G15">
        <f>VLOOKUP($C15,[1]약재관리!$A:$J,10,FALSE)</f>
        <v>12.2</v>
      </c>
      <c r="H15" s="4">
        <f>G15*E15</f>
        <v>36.599999999999994</v>
      </c>
      <c r="I15" s="5">
        <f>G15*F15</f>
        <v>366</v>
      </c>
      <c r="K15" s="89" t="s">
        <v>15</v>
      </c>
      <c r="L15">
        <v>10</v>
      </c>
      <c r="M15" s="3" t="s">
        <v>16</v>
      </c>
    </row>
    <row r="16" spans="2:13">
      <c r="B16" s="2">
        <v>15</v>
      </c>
      <c r="C16" t="s">
        <v>433</v>
      </c>
      <c r="D16" s="3"/>
      <c r="E16" s="87">
        <v>4</v>
      </c>
      <c r="F16" s="97">
        <f t="shared" si="1"/>
        <v>40</v>
      </c>
      <c r="G16">
        <f>VLOOKUP($C16,[1]약재관리!$A:$J,10,FALSE)</f>
        <v>7.3</v>
      </c>
      <c r="H16" s="4">
        <f t="shared" si="2"/>
        <v>29.2</v>
      </c>
      <c r="I16" s="5">
        <f t="shared" si="0"/>
        <v>292</v>
      </c>
      <c r="K16" s="89" t="s">
        <v>17</v>
      </c>
      <c r="L16">
        <v>20</v>
      </c>
      <c r="M16" s="3" t="s">
        <v>18</v>
      </c>
    </row>
    <row r="17" spans="2:13" ht="17.25" thickBot="1">
      <c r="B17" s="2">
        <v>16</v>
      </c>
      <c r="C17" t="s">
        <v>434</v>
      </c>
      <c r="D17" s="3"/>
      <c r="E17" s="87">
        <v>4</v>
      </c>
      <c r="F17" s="97">
        <f t="shared" si="1"/>
        <v>40</v>
      </c>
      <c r="G17">
        <f>VLOOKUP($C17,[1]약재관리!$A:$J,10,FALSE)</f>
        <v>19.600000000000001</v>
      </c>
      <c r="H17" s="4">
        <f t="shared" si="2"/>
        <v>78.400000000000006</v>
      </c>
      <c r="I17" s="5">
        <f t="shared" si="0"/>
        <v>784</v>
      </c>
      <c r="K17" s="13" t="s">
        <v>19</v>
      </c>
      <c r="L17" s="10">
        <v>110</v>
      </c>
      <c r="M17" s="11" t="s">
        <v>20</v>
      </c>
    </row>
    <row r="18" spans="2:13">
      <c r="B18" s="2">
        <v>17</v>
      </c>
      <c r="C18" t="s">
        <v>435</v>
      </c>
      <c r="D18" s="3"/>
      <c r="E18" s="87">
        <v>4</v>
      </c>
      <c r="F18" s="97">
        <f t="shared" si="1"/>
        <v>40</v>
      </c>
      <c r="G18">
        <f>VLOOKUP($C18,[1]약재관리!$A:$J,10,FALSE)</f>
        <v>8.3000000000000007</v>
      </c>
      <c r="H18" s="4">
        <f t="shared" si="2"/>
        <v>33.200000000000003</v>
      </c>
      <c r="I18" s="5">
        <f t="shared" si="0"/>
        <v>332</v>
      </c>
      <c r="K18" s="90" t="s">
        <v>21</v>
      </c>
      <c r="L18" s="8">
        <f>SUM(E2:E31)</f>
        <v>89</v>
      </c>
      <c r="M18" s="9" t="s">
        <v>22</v>
      </c>
    </row>
    <row r="19" spans="2:13">
      <c r="B19" s="2">
        <v>18</v>
      </c>
      <c r="C19" t="s">
        <v>436</v>
      </c>
      <c r="D19" s="3"/>
      <c r="E19" s="87">
        <v>4</v>
      </c>
      <c r="F19" s="97">
        <f t="shared" si="1"/>
        <v>40</v>
      </c>
      <c r="G19">
        <f>VLOOKUP($C19,[1]약재관리!$A:$J,10,FALSE)</f>
        <v>59.7</v>
      </c>
      <c r="H19" s="4">
        <f t="shared" si="2"/>
        <v>238.8</v>
      </c>
      <c r="I19" s="5">
        <f t="shared" si="0"/>
        <v>2388</v>
      </c>
      <c r="K19" s="89" t="s">
        <v>23</v>
      </c>
      <c r="L19">
        <f>L15*L18</f>
        <v>890</v>
      </c>
      <c r="M19" s="3" t="s">
        <v>22</v>
      </c>
    </row>
    <row r="20" spans="2:13" ht="17.25" thickBot="1">
      <c r="B20" s="2">
        <v>19</v>
      </c>
      <c r="C20" t="s">
        <v>441</v>
      </c>
      <c r="D20" s="3"/>
      <c r="E20" s="87">
        <v>3</v>
      </c>
      <c r="F20" s="97">
        <f t="shared" si="1"/>
        <v>30</v>
      </c>
      <c r="G20">
        <f>VLOOKUP($C20,[1]약재관리!$A:$J,10,FALSE)</f>
        <v>9.5</v>
      </c>
      <c r="H20" s="4">
        <f t="shared" si="2"/>
        <v>28.5</v>
      </c>
      <c r="I20" s="5">
        <f t="shared" si="0"/>
        <v>285</v>
      </c>
      <c r="K20" s="13" t="s">
        <v>24</v>
      </c>
      <c r="L20" s="10">
        <f>L16*L17+L19</f>
        <v>3090</v>
      </c>
      <c r="M20" s="11" t="s">
        <v>20</v>
      </c>
    </row>
    <row r="21" spans="2:13" ht="17.25" thickBot="1">
      <c r="B21" s="2">
        <v>20</v>
      </c>
      <c r="C21" t="s">
        <v>422</v>
      </c>
      <c r="D21" s="3"/>
      <c r="E21" s="87">
        <v>4</v>
      </c>
      <c r="F21" s="97">
        <f t="shared" si="1"/>
        <v>40</v>
      </c>
      <c r="G21">
        <f>VLOOKUP($C21,[1]약재관리!$A:$J,10,FALSE)</f>
        <v>14.8</v>
      </c>
      <c r="H21" s="4">
        <f t="shared" si="2"/>
        <v>59.2</v>
      </c>
      <c r="I21" s="5">
        <f t="shared" si="0"/>
        <v>592</v>
      </c>
      <c r="J21" s="89"/>
      <c r="M21" s="92"/>
    </row>
    <row r="22" spans="2:13" ht="17.25" thickBot="1">
      <c r="B22" s="2">
        <v>21</v>
      </c>
      <c r="C22" t="s">
        <v>439</v>
      </c>
      <c r="D22" s="3"/>
      <c r="E22" s="87">
        <v>2</v>
      </c>
      <c r="F22" s="97">
        <f t="shared" si="1"/>
        <v>20</v>
      </c>
      <c r="G22">
        <f>VLOOKUP($C22,[1]약재관리!$A:$J,10,FALSE)</f>
        <v>22.8</v>
      </c>
      <c r="H22" s="4">
        <f t="shared" si="2"/>
        <v>45.6</v>
      </c>
      <c r="I22" s="5">
        <f t="shared" si="0"/>
        <v>456</v>
      </c>
      <c r="K22" s="174" t="s">
        <v>25</v>
      </c>
      <c r="L22" s="175"/>
      <c r="M22" s="176"/>
    </row>
    <row r="23" spans="2:13">
      <c r="B23" s="2">
        <v>22</v>
      </c>
      <c r="C23" t="s">
        <v>440</v>
      </c>
      <c r="D23" s="3"/>
      <c r="E23" s="87">
        <v>4</v>
      </c>
      <c r="F23" s="97">
        <f t="shared" si="1"/>
        <v>40</v>
      </c>
      <c r="G23">
        <f>VLOOKUP($C23,[1]약재관리!$A:$J,10,FALSE)</f>
        <v>21</v>
      </c>
      <c r="H23" s="4">
        <f t="shared" si="2"/>
        <v>84</v>
      </c>
      <c r="I23" s="5">
        <f t="shared" si="0"/>
        <v>840</v>
      </c>
      <c r="K23" s="89" t="s">
        <v>26</v>
      </c>
      <c r="L23">
        <f>SUM(F2:F31)</f>
        <v>890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2145.5</v>
      </c>
      <c r="M30" s="3" t="s">
        <v>33</v>
      </c>
    </row>
    <row r="31" spans="2:13" ht="17.25" thickBot="1">
      <c r="B31" s="12">
        <v>30</v>
      </c>
      <c r="C31" s="13"/>
      <c r="D31" s="11"/>
      <c r="E31" s="93"/>
      <c r="F31" s="98">
        <f t="shared" si="1"/>
        <v>0</v>
      </c>
      <c r="G31" s="10"/>
      <c r="H31" s="14">
        <f t="shared" si="2"/>
        <v>0</v>
      </c>
      <c r="I31" s="15">
        <f t="shared" si="0"/>
        <v>0</v>
      </c>
      <c r="K31" s="13" t="s">
        <v>34</v>
      </c>
      <c r="L31" s="14">
        <f>SUM(I2:I31)</f>
        <v>21455</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437</v>
      </c>
      <c r="D2" s="3"/>
      <c r="E2" s="87">
        <v>4</v>
      </c>
      <c r="F2" s="171">
        <f>E2*$L$15</f>
        <v>40</v>
      </c>
      <c r="G2">
        <f>VLOOKUP($C2,[1]약재관리!$A:$J,10,FALSE)</f>
        <v>31.7</v>
      </c>
      <c r="H2" s="4">
        <f>G2*E2</f>
        <v>126.8</v>
      </c>
      <c r="I2" s="5">
        <f t="shared" ref="I2:I7" si="0">G2*F2</f>
        <v>1268</v>
      </c>
      <c r="K2" s="6" t="s">
        <v>6</v>
      </c>
      <c r="L2" s="186">
        <v>173</v>
      </c>
      <c r="M2" s="187"/>
    </row>
    <row r="3" spans="2:13">
      <c r="B3" s="2">
        <v>2</v>
      </c>
      <c r="C3" t="s">
        <v>426</v>
      </c>
      <c r="D3" s="3"/>
      <c r="E3" s="87">
        <v>6</v>
      </c>
      <c r="F3" s="97">
        <f t="shared" ref="F3:F4" si="1">E3*$L$15</f>
        <v>60</v>
      </c>
      <c r="G3">
        <f>VLOOKUP($C3,[1]약재관리!$A:$J,10,FALSE)</f>
        <v>20.5</v>
      </c>
      <c r="H3" s="4">
        <f t="shared" ref="H3:H4" si="2">G3*E3</f>
        <v>123</v>
      </c>
      <c r="I3" s="5">
        <f t="shared" si="0"/>
        <v>1230</v>
      </c>
      <c r="K3" s="7" t="s">
        <v>7</v>
      </c>
      <c r="L3" s="188" t="s">
        <v>425</v>
      </c>
      <c r="M3" s="189"/>
    </row>
    <row r="4" spans="2:13">
      <c r="B4" s="2">
        <v>3</v>
      </c>
      <c r="C4" t="s">
        <v>427</v>
      </c>
      <c r="D4" s="3"/>
      <c r="E4" s="87">
        <v>2</v>
      </c>
      <c r="F4" s="97">
        <f t="shared" si="1"/>
        <v>20</v>
      </c>
      <c r="G4">
        <f>VLOOKUP($C4,[1]약재관리!$A:$J,10,FALSE)</f>
        <v>68</v>
      </c>
      <c r="H4" s="4">
        <f t="shared" si="2"/>
        <v>136</v>
      </c>
      <c r="I4" s="5">
        <f t="shared" si="0"/>
        <v>1360</v>
      </c>
      <c r="K4" s="7" t="s">
        <v>8</v>
      </c>
      <c r="L4" s="190">
        <v>46022</v>
      </c>
      <c r="M4" s="189"/>
    </row>
    <row r="5" spans="2:13">
      <c r="B5" s="2">
        <v>4</v>
      </c>
      <c r="C5" t="s">
        <v>418</v>
      </c>
      <c r="D5" s="3"/>
      <c r="E5" s="87">
        <v>4</v>
      </c>
      <c r="F5" s="97">
        <f t="shared" ref="F5:F31" si="3">E5*$L$15</f>
        <v>40</v>
      </c>
      <c r="G5">
        <f>VLOOKUP($C5,[1]약재관리!$A:$J,10,FALSE)</f>
        <v>120</v>
      </c>
      <c r="H5" s="4">
        <f t="shared" ref="H5:H31" si="4">G5*E5</f>
        <v>480</v>
      </c>
      <c r="I5" s="5">
        <f t="shared" si="0"/>
        <v>4800</v>
      </c>
      <c r="K5" s="7" t="s">
        <v>9</v>
      </c>
      <c r="L5" s="188" t="s">
        <v>438</v>
      </c>
      <c r="M5" s="189"/>
    </row>
    <row r="6" spans="2:13">
      <c r="B6" s="2">
        <v>5</v>
      </c>
      <c r="C6" t="s">
        <v>424</v>
      </c>
      <c r="D6" s="3"/>
      <c r="E6" s="87">
        <v>6</v>
      </c>
      <c r="F6" s="97">
        <f t="shared" si="3"/>
        <v>60</v>
      </c>
      <c r="G6">
        <f>VLOOKUP($C6,[1]약재관리!$A:$J,10,FALSE)</f>
        <v>22.3</v>
      </c>
      <c r="H6" s="4">
        <f t="shared" si="4"/>
        <v>133.80000000000001</v>
      </c>
      <c r="I6" s="5">
        <f t="shared" si="0"/>
        <v>1338</v>
      </c>
      <c r="K6" s="7" t="s">
        <v>10</v>
      </c>
      <c r="L6" s="188">
        <v>27</v>
      </c>
      <c r="M6" s="189"/>
    </row>
    <row r="7" spans="2:13" ht="17.25" thickBot="1">
      <c r="B7" s="2">
        <v>6</v>
      </c>
      <c r="C7" t="s">
        <v>419</v>
      </c>
      <c r="D7" s="3"/>
      <c r="E7" s="87">
        <v>4</v>
      </c>
      <c r="F7" s="97">
        <f t="shared" si="3"/>
        <v>40</v>
      </c>
      <c r="G7">
        <f>VLOOKUP($C7,[1]약재관리!$A:$J,10,FALSE)</f>
        <v>13</v>
      </c>
      <c r="H7" s="4">
        <f t="shared" si="4"/>
        <v>52</v>
      </c>
      <c r="I7" s="5">
        <f t="shared" si="0"/>
        <v>520</v>
      </c>
      <c r="K7" s="7" t="s">
        <v>11</v>
      </c>
      <c r="L7" s="172" t="s">
        <v>417</v>
      </c>
      <c r="M7" s="173"/>
    </row>
    <row r="8" spans="2:13" ht="17.25" thickBot="1">
      <c r="B8" s="2">
        <v>7</v>
      </c>
      <c r="C8" t="s">
        <v>420</v>
      </c>
      <c r="D8" s="3"/>
      <c r="E8" s="87">
        <v>6</v>
      </c>
      <c r="F8" s="97">
        <f t="shared" si="3"/>
        <v>60</v>
      </c>
      <c r="G8">
        <f>VLOOKUP($C8,[1]약재관리!$A:$J,10,FALSE)</f>
        <v>8.6999999999999993</v>
      </c>
      <c r="H8" s="4">
        <f t="shared" si="4"/>
        <v>52.199999999999996</v>
      </c>
      <c r="I8" s="5">
        <f t="shared" ref="I8:I31" si="5">G8*F8</f>
        <v>522</v>
      </c>
      <c r="K8" s="174" t="s">
        <v>12</v>
      </c>
      <c r="L8" s="175"/>
      <c r="M8" s="176"/>
    </row>
    <row r="9" spans="2:13">
      <c r="B9" s="2">
        <v>8</v>
      </c>
      <c r="C9" t="s">
        <v>423</v>
      </c>
      <c r="D9" s="3"/>
      <c r="E9" s="87">
        <v>8</v>
      </c>
      <c r="F9" s="97">
        <f t="shared" si="3"/>
        <v>80</v>
      </c>
      <c r="G9">
        <f>VLOOKUP($C9,[1]약재관리!$A:$J,10,FALSE)</f>
        <v>14.7</v>
      </c>
      <c r="H9" s="4">
        <f t="shared" si="4"/>
        <v>117.6</v>
      </c>
      <c r="I9" s="5">
        <f t="shared" si="5"/>
        <v>1176</v>
      </c>
      <c r="K9" s="177" t="s">
        <v>442</v>
      </c>
      <c r="L9" s="178"/>
      <c r="M9" s="179"/>
    </row>
    <row r="10" spans="2:13">
      <c r="B10" s="2">
        <v>9</v>
      </c>
      <c r="C10" t="s">
        <v>428</v>
      </c>
      <c r="D10" s="3"/>
      <c r="E10" s="87">
        <v>4</v>
      </c>
      <c r="F10" s="97">
        <f t="shared" si="3"/>
        <v>40</v>
      </c>
      <c r="G10">
        <f>VLOOKUP($C10,[1]약재관리!$A:$J,10,FALSE)</f>
        <v>41</v>
      </c>
      <c r="H10" s="4">
        <f t="shared" si="4"/>
        <v>164</v>
      </c>
      <c r="I10" s="5">
        <f t="shared" si="5"/>
        <v>1640</v>
      </c>
      <c r="K10" s="180"/>
      <c r="L10" s="181"/>
      <c r="M10" s="182"/>
    </row>
    <row r="11" spans="2:13">
      <c r="B11" s="2">
        <v>10</v>
      </c>
      <c r="C11" t="s">
        <v>421</v>
      </c>
      <c r="D11" s="3"/>
      <c r="E11" s="87">
        <v>4</v>
      </c>
      <c r="F11" s="97">
        <f t="shared" si="3"/>
        <v>40</v>
      </c>
      <c r="G11">
        <f>VLOOKUP($C11,[1]약재관리!$A:$J,10,FALSE)</f>
        <v>17.600000000000001</v>
      </c>
      <c r="H11" s="4">
        <f t="shared" si="4"/>
        <v>70.400000000000006</v>
      </c>
      <c r="I11" s="5">
        <f t="shared" si="5"/>
        <v>704</v>
      </c>
      <c r="K11" s="180"/>
      <c r="L11" s="181"/>
      <c r="M11" s="182"/>
    </row>
    <row r="12" spans="2:13">
      <c r="B12" s="2">
        <v>11</v>
      </c>
      <c r="C12" t="s">
        <v>429</v>
      </c>
      <c r="D12" s="3"/>
      <c r="E12" s="87">
        <v>4</v>
      </c>
      <c r="F12" s="97">
        <f t="shared" si="3"/>
        <v>40</v>
      </c>
      <c r="G12">
        <f>VLOOKUP($C12,[1]약재관리!$A:$J,10,FALSE)</f>
        <v>8.8000000000000007</v>
      </c>
      <c r="H12" s="4">
        <f t="shared" si="4"/>
        <v>35.200000000000003</v>
      </c>
      <c r="I12" s="5">
        <f t="shared" si="5"/>
        <v>352</v>
      </c>
      <c r="K12" s="180"/>
      <c r="L12" s="181"/>
      <c r="M12" s="182"/>
    </row>
    <row r="13" spans="2:13" ht="17.25" thickBot="1">
      <c r="B13" s="2">
        <v>12</v>
      </c>
      <c r="C13" t="s">
        <v>430</v>
      </c>
      <c r="D13" s="3"/>
      <c r="E13" s="87">
        <v>3</v>
      </c>
      <c r="F13" s="97">
        <f t="shared" si="3"/>
        <v>30</v>
      </c>
      <c r="G13">
        <f>VLOOKUP($C13,[1]약재관리!$A:$J,10,FALSE)</f>
        <v>39.200000000000003</v>
      </c>
      <c r="H13" s="4">
        <f t="shared" si="4"/>
        <v>117.60000000000001</v>
      </c>
      <c r="I13" s="5">
        <f t="shared" si="5"/>
        <v>1176</v>
      </c>
      <c r="K13" s="183"/>
      <c r="L13" s="184"/>
      <c r="M13" s="185"/>
    </row>
    <row r="14" spans="2:13">
      <c r="B14" s="2">
        <v>13</v>
      </c>
      <c r="C14" t="s">
        <v>431</v>
      </c>
      <c r="D14" s="3"/>
      <c r="E14" s="87">
        <v>2</v>
      </c>
      <c r="F14" s="97">
        <f t="shared" si="3"/>
        <v>20</v>
      </c>
      <c r="G14">
        <f>VLOOKUP($C14,[1]약재관리!$A:$J,10,FALSE)</f>
        <v>21.8</v>
      </c>
      <c r="H14" s="4">
        <f>G14*E14</f>
        <v>43.6</v>
      </c>
      <c r="I14" s="5">
        <f>G14*F14</f>
        <v>436</v>
      </c>
      <c r="K14" s="90" t="s">
        <v>13</v>
      </c>
      <c r="L14" s="8">
        <v>10</v>
      </c>
      <c r="M14" s="9" t="s">
        <v>14</v>
      </c>
    </row>
    <row r="15" spans="2:13">
      <c r="B15" s="2">
        <v>14</v>
      </c>
      <c r="C15" t="s">
        <v>432</v>
      </c>
      <c r="D15" s="3"/>
      <c r="E15" s="87">
        <v>3</v>
      </c>
      <c r="F15" s="97">
        <f t="shared" si="3"/>
        <v>30</v>
      </c>
      <c r="G15">
        <f>VLOOKUP($C15,[1]약재관리!$A:$J,10,FALSE)</f>
        <v>12.2</v>
      </c>
      <c r="H15" s="4">
        <f>G15*E15</f>
        <v>36.599999999999994</v>
      </c>
      <c r="I15" s="5">
        <f>G15*F15</f>
        <v>366</v>
      </c>
      <c r="K15" s="89" t="s">
        <v>15</v>
      </c>
      <c r="L15">
        <v>10</v>
      </c>
      <c r="M15" s="3" t="s">
        <v>16</v>
      </c>
    </row>
    <row r="16" spans="2:13">
      <c r="B16" s="2">
        <v>15</v>
      </c>
      <c r="C16" t="s">
        <v>433</v>
      </c>
      <c r="D16" s="3"/>
      <c r="E16" s="87">
        <v>3</v>
      </c>
      <c r="F16" s="97">
        <f t="shared" si="3"/>
        <v>30</v>
      </c>
      <c r="G16">
        <f>VLOOKUP($C16,[1]약재관리!$A:$J,10,FALSE)</f>
        <v>7.3</v>
      </c>
      <c r="H16" s="4">
        <f t="shared" si="4"/>
        <v>21.9</v>
      </c>
      <c r="I16" s="5">
        <f t="shared" si="5"/>
        <v>219</v>
      </c>
      <c r="K16" s="89" t="s">
        <v>17</v>
      </c>
      <c r="L16">
        <v>20</v>
      </c>
      <c r="M16" s="3" t="s">
        <v>18</v>
      </c>
    </row>
    <row r="17" spans="2:13" ht="17.25" thickBot="1">
      <c r="B17" s="2">
        <v>16</v>
      </c>
      <c r="C17" t="s">
        <v>434</v>
      </c>
      <c r="D17" s="3"/>
      <c r="E17" s="87">
        <v>4</v>
      </c>
      <c r="F17" s="97">
        <f t="shared" si="3"/>
        <v>40</v>
      </c>
      <c r="G17">
        <f>VLOOKUP($C17,[1]약재관리!$A:$J,10,FALSE)</f>
        <v>19.600000000000001</v>
      </c>
      <c r="H17" s="4">
        <f t="shared" si="4"/>
        <v>78.400000000000006</v>
      </c>
      <c r="I17" s="5">
        <f t="shared" si="5"/>
        <v>784</v>
      </c>
      <c r="K17" s="13" t="s">
        <v>19</v>
      </c>
      <c r="L17" s="10">
        <v>110</v>
      </c>
      <c r="M17" s="11" t="s">
        <v>20</v>
      </c>
    </row>
    <row r="18" spans="2:13">
      <c r="B18" s="2">
        <v>17</v>
      </c>
      <c r="C18" t="s">
        <v>435</v>
      </c>
      <c r="D18" s="3"/>
      <c r="E18" s="87">
        <v>4</v>
      </c>
      <c r="F18" s="97">
        <f t="shared" si="3"/>
        <v>40</v>
      </c>
      <c r="G18">
        <f>VLOOKUP($C18,[1]약재관리!$A:$J,10,FALSE)</f>
        <v>8.3000000000000007</v>
      </c>
      <c r="H18" s="4">
        <f t="shared" si="4"/>
        <v>33.200000000000003</v>
      </c>
      <c r="I18" s="5">
        <f t="shared" si="5"/>
        <v>332</v>
      </c>
      <c r="K18" s="90" t="s">
        <v>21</v>
      </c>
      <c r="L18" s="8">
        <f>SUM(E2:E31)</f>
        <v>88</v>
      </c>
      <c r="M18" s="9" t="s">
        <v>22</v>
      </c>
    </row>
    <row r="19" spans="2:13">
      <c r="B19" s="2">
        <v>18</v>
      </c>
      <c r="C19" t="s">
        <v>436</v>
      </c>
      <c r="D19" s="3"/>
      <c r="E19" s="87">
        <v>4</v>
      </c>
      <c r="F19" s="97">
        <f t="shared" si="3"/>
        <v>40</v>
      </c>
      <c r="G19">
        <f>VLOOKUP($C19,[1]약재관리!$A:$J,10,FALSE)</f>
        <v>59.7</v>
      </c>
      <c r="H19" s="4">
        <f t="shared" si="4"/>
        <v>238.8</v>
      </c>
      <c r="I19" s="5">
        <f t="shared" si="5"/>
        <v>2388</v>
      </c>
      <c r="K19" s="89" t="s">
        <v>23</v>
      </c>
      <c r="L19">
        <f>L15*L18</f>
        <v>880</v>
      </c>
      <c r="M19" s="3" t="s">
        <v>22</v>
      </c>
    </row>
    <row r="20" spans="2:13" ht="17.25" thickBot="1">
      <c r="B20" s="2">
        <v>19</v>
      </c>
      <c r="C20" t="s">
        <v>441</v>
      </c>
      <c r="D20" s="3"/>
      <c r="E20" s="87">
        <v>3</v>
      </c>
      <c r="F20" s="97">
        <f t="shared" si="3"/>
        <v>30</v>
      </c>
      <c r="G20">
        <f>VLOOKUP($C20,[1]약재관리!$A:$J,10,FALSE)</f>
        <v>9.5</v>
      </c>
      <c r="H20" s="4">
        <f t="shared" si="4"/>
        <v>28.5</v>
      </c>
      <c r="I20" s="5">
        <f t="shared" si="5"/>
        <v>285</v>
      </c>
      <c r="K20" s="13" t="s">
        <v>24</v>
      </c>
      <c r="L20" s="10">
        <f>L16*L17+L19</f>
        <v>3080</v>
      </c>
      <c r="M20" s="11" t="s">
        <v>20</v>
      </c>
    </row>
    <row r="21" spans="2:13" ht="17.25" thickBot="1">
      <c r="B21" s="2">
        <v>20</v>
      </c>
      <c r="C21" t="s">
        <v>422</v>
      </c>
      <c r="D21" s="3"/>
      <c r="E21" s="87">
        <v>4</v>
      </c>
      <c r="F21" s="97">
        <f t="shared" si="3"/>
        <v>40</v>
      </c>
      <c r="G21">
        <f>VLOOKUP($C21,[1]약재관리!$A:$J,10,FALSE)</f>
        <v>14.8</v>
      </c>
      <c r="H21" s="4">
        <f t="shared" si="4"/>
        <v>59.2</v>
      </c>
      <c r="I21" s="5">
        <f t="shared" si="5"/>
        <v>592</v>
      </c>
      <c r="J21" s="89"/>
      <c r="M21" s="92"/>
    </row>
    <row r="22" spans="2:13" ht="17.25" thickBot="1">
      <c r="B22" s="2">
        <v>21</v>
      </c>
      <c r="C22" t="s">
        <v>439</v>
      </c>
      <c r="D22" s="3"/>
      <c r="E22" s="87">
        <v>2</v>
      </c>
      <c r="F22" s="97">
        <f t="shared" si="3"/>
        <v>20</v>
      </c>
      <c r="G22">
        <f>VLOOKUP($C22,[1]약재관리!$A:$J,10,FALSE)</f>
        <v>22.8</v>
      </c>
      <c r="H22" s="4">
        <f t="shared" si="4"/>
        <v>45.6</v>
      </c>
      <c r="I22" s="5">
        <f t="shared" si="5"/>
        <v>456</v>
      </c>
      <c r="K22" s="174" t="s">
        <v>25</v>
      </c>
      <c r="L22" s="175"/>
      <c r="M22" s="176"/>
    </row>
    <row r="23" spans="2:13">
      <c r="B23" s="2">
        <v>22</v>
      </c>
      <c r="C23" t="s">
        <v>440</v>
      </c>
      <c r="D23" s="3"/>
      <c r="E23" s="87">
        <v>4</v>
      </c>
      <c r="F23" s="97">
        <f t="shared" si="3"/>
        <v>40</v>
      </c>
      <c r="G23">
        <f>VLOOKUP($C23,[1]약재관리!$A:$J,10,FALSE)</f>
        <v>21</v>
      </c>
      <c r="H23" s="4">
        <f t="shared" si="4"/>
        <v>84</v>
      </c>
      <c r="I23" s="5">
        <f t="shared" si="5"/>
        <v>840</v>
      </c>
      <c r="K23" s="89" t="s">
        <v>26</v>
      </c>
      <c r="L23">
        <f>SUM(F2:F31)</f>
        <v>880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2278.3999999999996</v>
      </c>
      <c r="M30" s="3" t="s">
        <v>33</v>
      </c>
    </row>
    <row r="31" spans="2:13" ht="17.25" thickBot="1">
      <c r="B31" s="12">
        <v>30</v>
      </c>
      <c r="C31" s="13"/>
      <c r="D31" s="11"/>
      <c r="E31" s="93"/>
      <c r="F31" s="98">
        <f t="shared" si="3"/>
        <v>0</v>
      </c>
      <c r="G31" s="10"/>
      <c r="H31" s="14">
        <f t="shared" si="4"/>
        <v>0</v>
      </c>
      <c r="I31" s="15">
        <f t="shared" si="5"/>
        <v>0</v>
      </c>
      <c r="K31" s="13" t="s">
        <v>34</v>
      </c>
      <c r="L31" s="14">
        <f>SUM(I2:I31)</f>
        <v>22784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2025-12-15T05:50:52Z</cp:lastPrinted>
  <dcterms:created xsi:type="dcterms:W3CDTF">2024-09-12T16:35:01Z</dcterms:created>
  <dcterms:modified xsi:type="dcterms:W3CDTF">2026-03-18T01:23:15Z</dcterms:modified>
  <cp:category/>
  <cp:contentStatus/>
</cp:coreProperties>
</file>