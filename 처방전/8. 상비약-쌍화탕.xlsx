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32" documentId="8_{6EB8DC0A-AB56-415F-A9F3-EA1534264548}" xr6:coauthVersionLast="47" xr6:coauthVersionMax="47" xr10:uidLastSave="{576E9363-C044-42A0-AF95-94AE1C7D8BC5}"/>
  <bookViews>
    <workbookView xWindow="3120" yWindow="30" windowWidth="16890" windowHeight="15450" activeTab="1" xr2:uid="{8B9F1886-173A-4475-B0CF-D9F36CE30773}"/>
  </bookViews>
  <sheets>
    <sheet name="쌍화탕B" sheetId="5" r:id="rId1"/>
    <sheet name="쌍화탕A"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4" l="1"/>
  <c r="H24" i="5"/>
  <c r="H25" i="5"/>
  <c r="H26" i="5"/>
  <c r="H27" i="5"/>
  <c r="H28" i="5"/>
  <c r="H23" i="4"/>
  <c r="H28" i="4"/>
  <c r="H30" i="4"/>
  <c r="H29" i="5"/>
  <c r="H30" i="5"/>
  <c r="H14" i="4"/>
  <c r="H16" i="4"/>
  <c r="H21" i="4"/>
  <c r="H22" i="4"/>
  <c r="G11" i="5"/>
  <c r="H11" i="5" s="1"/>
  <c r="G12" i="5"/>
  <c r="H12" i="5" s="1"/>
  <c r="G13" i="5"/>
  <c r="H14" i="5"/>
  <c r="H15" i="5"/>
  <c r="H19" i="5"/>
  <c r="H20" i="5"/>
  <c r="H21" i="5"/>
  <c r="H31" i="5"/>
  <c r="F31" i="5"/>
  <c r="F30" i="5"/>
  <c r="F29" i="5"/>
  <c r="F28" i="5"/>
  <c r="F27" i="5"/>
  <c r="F26" i="5"/>
  <c r="F25" i="5"/>
  <c r="F24" i="5"/>
  <c r="H23" i="5"/>
  <c r="F23" i="5"/>
  <c r="I23" i="5" s="1"/>
  <c r="H22" i="5"/>
  <c r="F22" i="5"/>
  <c r="I22" i="5" s="1"/>
  <c r="F21" i="5"/>
  <c r="F20" i="5"/>
  <c r="F19" i="5"/>
  <c r="L18" i="5"/>
  <c r="L19" i="5" s="1"/>
  <c r="L20" i="5" s="1"/>
  <c r="H18" i="5"/>
  <c r="F18" i="5"/>
  <c r="I18" i="5" s="1"/>
  <c r="H17" i="5"/>
  <c r="F17" i="5"/>
  <c r="I17" i="5" s="1"/>
  <c r="F16" i="5"/>
  <c r="F15" i="5"/>
  <c r="F14" i="5"/>
  <c r="F13" i="5"/>
  <c r="F12" i="5"/>
  <c r="F11" i="5"/>
  <c r="G10" i="5"/>
  <c r="F10" i="5"/>
  <c r="G9" i="5"/>
  <c r="F9" i="5"/>
  <c r="G8" i="5"/>
  <c r="F8" i="5"/>
  <c r="G7" i="5"/>
  <c r="F7" i="5"/>
  <c r="G6" i="5"/>
  <c r="F6" i="5"/>
  <c r="G5" i="5"/>
  <c r="F5" i="5"/>
  <c r="G4" i="5"/>
  <c r="F4" i="5"/>
  <c r="G3" i="5"/>
  <c r="F3" i="5"/>
  <c r="G2" i="5"/>
  <c r="F2" i="5"/>
  <c r="F11" i="4"/>
  <c r="H11" i="4"/>
  <c r="F12" i="4"/>
  <c r="H12" i="4"/>
  <c r="F13" i="4"/>
  <c r="G3" i="4"/>
  <c r="G4" i="4"/>
  <c r="H4" i="4" s="1"/>
  <c r="G5" i="4"/>
  <c r="H5" i="4" s="1"/>
  <c r="G6" i="4"/>
  <c r="H6" i="4" s="1"/>
  <c r="G7" i="4"/>
  <c r="H7" i="4" s="1"/>
  <c r="G8" i="4"/>
  <c r="H8" i="4" s="1"/>
  <c r="G9" i="4"/>
  <c r="G10" i="4"/>
  <c r="H15" i="4"/>
  <c r="H20" i="4"/>
  <c r="H29" i="4"/>
  <c r="H31" i="4"/>
  <c r="F3" i="4"/>
  <c r="F4" i="4"/>
  <c r="F5" i="4"/>
  <c r="F6" i="4"/>
  <c r="F7" i="4"/>
  <c r="F8" i="4"/>
  <c r="F9" i="4"/>
  <c r="F10" i="4"/>
  <c r="F31" i="4"/>
  <c r="F30" i="4"/>
  <c r="F29" i="4"/>
  <c r="F28" i="4"/>
  <c r="F27" i="4"/>
  <c r="F26" i="4"/>
  <c r="F25" i="4"/>
  <c r="F24" i="4"/>
  <c r="L18" i="4"/>
  <c r="L19" i="4" s="1"/>
  <c r="F23" i="4"/>
  <c r="F22" i="4"/>
  <c r="F21" i="4"/>
  <c r="F20" i="4"/>
  <c r="F19" i="4"/>
  <c r="F18" i="4"/>
  <c r="F17" i="4"/>
  <c r="F16" i="4"/>
  <c r="F15" i="4"/>
  <c r="F14" i="4"/>
  <c r="G2" i="4"/>
  <c r="F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3" i="4" l="1"/>
  <c r="I18" i="4"/>
  <c r="I29" i="5"/>
  <c r="I25" i="4"/>
  <c r="I26" i="4"/>
  <c r="I16" i="5"/>
  <c r="L23" i="5"/>
  <c r="I13" i="5"/>
  <c r="I11" i="5"/>
  <c r="I12" i="5"/>
  <c r="I28" i="5"/>
  <c r="I14" i="5"/>
  <c r="I30" i="5"/>
  <c r="I19" i="5"/>
  <c r="I25" i="5"/>
  <c r="I15" i="5"/>
  <c r="I31" i="5"/>
  <c r="H13" i="5"/>
  <c r="I20" i="5"/>
  <c r="I26" i="5"/>
  <c r="H16" i="5"/>
  <c r="I21" i="5"/>
  <c r="I27" i="5"/>
  <c r="I24" i="5"/>
  <c r="I2" i="5"/>
  <c r="I8" i="5"/>
  <c r="I3" i="5"/>
  <c r="I4" i="5"/>
  <c r="I10" i="5"/>
  <c r="I9" i="5"/>
  <c r="I5" i="5"/>
  <c r="I6" i="5"/>
  <c r="I7" i="5"/>
  <c r="H4" i="5"/>
  <c r="H7" i="5"/>
  <c r="H10" i="5"/>
  <c r="H2" i="5"/>
  <c r="H5" i="5"/>
  <c r="H8" i="5"/>
  <c r="H3" i="5"/>
  <c r="H6" i="5"/>
  <c r="H9" i="5"/>
  <c r="I12" i="4"/>
  <c r="H13" i="4"/>
  <c r="I11" i="4"/>
  <c r="I10" i="4"/>
  <c r="I9" i="4"/>
  <c r="I27" i="4"/>
  <c r="L23" i="4"/>
  <c r="I2" i="4"/>
  <c r="I17" i="4"/>
  <c r="I24" i="4"/>
  <c r="I19" i="4"/>
  <c r="I3" i="4"/>
  <c r="H2" i="4"/>
  <c r="H3" i="4"/>
  <c r="I31" i="4"/>
  <c r="I30" i="4"/>
  <c r="H27" i="4"/>
  <c r="I29" i="4"/>
  <c r="H17" i="4"/>
  <c r="I16" i="4"/>
  <c r="I15" i="4"/>
  <c r="I14" i="4"/>
  <c r="I8" i="4"/>
  <c r="H24" i="4"/>
  <c r="H9" i="4"/>
  <c r="I23" i="4"/>
  <c r="I7" i="4"/>
  <c r="H25" i="4"/>
  <c r="H10" i="4"/>
  <c r="I22" i="4"/>
  <c r="I6" i="4"/>
  <c r="H19" i="4"/>
  <c r="I21" i="4"/>
  <c r="I5" i="4"/>
  <c r="I28" i="4"/>
  <c r="I20" i="4"/>
  <c r="I4" i="4"/>
  <c r="H26" i="4"/>
  <c r="H18" i="4"/>
  <c r="L31" i="5" l="1"/>
  <c r="L30" i="5"/>
  <c r="L30" i="4"/>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<sst xmlns="http://schemas.openxmlformats.org/spreadsheetml/2006/main" count="628" uniqueCount="415">
  <si>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</si>
  <si>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</si>
  <si>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</si>
  <si>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</si>
  <si>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</si>
  <si>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</si>
  <si>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</si>
  <si>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</si>
  <si>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</si>
  <si>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</si>
  <si>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</si>
  <si>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</si>
  <si>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</si>
  <si>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</si>
  <si>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</si>
  <si>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</si>
  <si>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</si>
  <si>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</si>
  <si>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</si>
  <si>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</si>
  <si>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</si>
  <si>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</si>
  <si>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</si>
  <si>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</si>
  <si>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</si>
  <si>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</si>
  <si>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</si>
  <si>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</si>
  <si>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</si>
  <si>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</si>
  <si>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</si>
  <si>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</si>
  <si>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</si>
  <si>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</si>
  <si>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</si>
  <si>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</si>
  <si>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</si>
  <si>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</si>
  <si>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</si>
  <si>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</si>
  <si>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</si>
  <si>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</si>
  <si>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</si>
  <si>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</si>
  <si>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</si>
  <si>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</si>
  <si>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</si>
  <si>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</si>
  <si>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</si>
  <si>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</si>
  <si>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</si>
  <si>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</si>
  <si>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</si>
  <si>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</si>
  <si>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</si>
  <si>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</si>
  <si>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</si>
  <si>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</si>
  <si>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</si>
  <si>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</si>
  <si>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</si>
  <si>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</si>
  <si>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</si>
  <si>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</si>
  <si>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</si>
  <si>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</si>
  <si>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</si>
  <si>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</si>
  <si>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</si>
  <si>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</si>
  <si>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</si>
  <si>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</si>
  <si>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</si>
  <si>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</si>
  <si>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</si>
  <si>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</si>
  <si>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</si>
  <si>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</si>
  <si>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</si>
  <si>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</si>
  <si>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</si>
  <si>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</si>
  <si>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</si>
  <si>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</si>
  <si>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</si>
  <si>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</si>
  <si>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</si>
  <si>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</si>
  <si>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</si>
  <si>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</si>
  <si>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</si>
  <si>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</si>
  <si>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</si>
  <si>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</si>
  <si>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</si>
  <si>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</si>
  <si>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</si>
  <si>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</si>
  <si>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</si>
  <si>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</si>
  <si>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</si>
  <si>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</si>
  <si>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</si>
  <si>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</si>
  <si>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</si>
  <si>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</si>
  <si>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</si>
  <si>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</si>
  <si>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</si>
  <si>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</si>
  <si>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</si>
  <si>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</si>
  <si>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</si>
  <si>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</si>
  <si>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</si>
  <si>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</si>
  <si>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</si>
  <si>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</si>
  <si>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</si>
  <si>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</si>
  <si>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</si>
  <si>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</si>
  <si>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</si>
  <si>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</si>
  <si>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</si>
  <si>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</si>
  <si>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</si>
  <si>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</si>
  <si>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</si>
  <si>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</si>
  <si>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</si>
  <si>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</si>
  <si>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</si>
  <si>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</si>
  <si>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</si>
  <si>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</si>
  <si>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</si>
  <si>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</si>
  <si>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</si>
  <si>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</si>
  <si>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</si>
  <si>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</si>
  <si>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</si>
  <si>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</si>
  <si>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</si>
  <si>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</si>
  <si>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</si>
  <si>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</si>
  <si>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</si>
  <si>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</si>
  <si>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</si>
  <si>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</si>
  <si>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</si>
  <si>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</si>
  <si>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</si>
  <si>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</si>
  <si>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</si>
  <si>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</si>
  <si>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</si>
  <si>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</si>
  <si>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</si>
  <si>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</si>
  <si>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</si>
  <si>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</si>
  <si>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</si>
  <si>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</si>
  <si>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</si>
  <si>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</si>
  <si>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</si>
  <si>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</si>
  <si>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</si>
  <si>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</si>
  <si>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</si>
  <si>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</si>
  <si>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</si>
  <si>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</si>
  <si>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</si>
  <si>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</si>
  <si>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</si>
  <si>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</si>
  <si>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</si>
  <si>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</si>
  <si>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</si>
  <si>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</si>
  <si>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</si>
  <si>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</si>
  <si>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</si>
  <si>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</si>
  <si>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</si>
  <si>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</si>
  <si>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</si>
  <si>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</si>
  <si>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</si>
  <si>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</si>
  <si>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</si>
  <si>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</si>
  <si>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</si>
  <si>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</si>
  <si>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</si>
  <si>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</si>
  <si>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</si>
  <si>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</si>
  <si>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</si>
  <si>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</si>
  <si>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</si>
  <si>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</si>
  <si>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</si>
  <si>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</si>
  <si>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</si>
  <si>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</si>
  <si>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</si>
  <si>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</si>
  <si>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</si>
  <si>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</si>
  <si>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</si>
  <si>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</si>
  <si>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</si>
  <si>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</si>
  <si>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</si>
  <si>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</si>
  <si>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</si>
  <si>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</si>
  <si>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</si>
  <si>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</si>
  <si>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</si>
  <si>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</si>
  <si>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</si>
  <si>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</si>
  <si>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</si>
  <si>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</si>
  <si>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</si>
  <si>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</si>
  <si>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</si>
  <si>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</si>
  <si>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</si>
  <si>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</si>
  <si>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</si>
  <si>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</si>
  <si>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</si>
  <si>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</si>
  <si>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</si>
  <si>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</si>
  <si>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</si>
  <si>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</si>
  <si>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</si>
  <si>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</si>
  <si>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</si>
  <si>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</si>
  <si>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</si>
  <si>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</si>
  <si>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</si>
  <si>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</si>
  <si>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</si>
  <si>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</si>
  <si>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</si>
  <si>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</si>
  <si>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</si>
  <si>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</si>
  <si>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</si>
  <si>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</si>
  <si>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</si>
  <si>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</si>
  <si>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</si>
  <si>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</si>
  <si>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</si>
  <si>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</si>
  <si>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</si>
  <si>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</si>
  <si>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</si>
  <si>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</si>
  <si>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</si>
  <si>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</si>
  <si>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</si>
  <si>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</si>
  <si>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</si>
  <si>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</si>
  <si>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</si>
  <si>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</si>
  <si>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</si>
  <si>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</si>
  <si>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</si>
  <si>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</si>
  <si>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</si>
  <si>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</si>
  <si>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</si>
  <si>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</si>
  <si>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</si>
  <si>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</si>
  <si>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</si>
  <si>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</si>
  <si>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</si>
  <si>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</si>
  <si>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</si>
  <si>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</si>
  <si>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</si>
  <si>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</si>
  <si>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</si>
  <si>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</si>
  <si>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</si>
  <si>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</si>
  <si>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</si>
  <si>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</si>
  <si>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</si>
  <si>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</si>
  <si>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</si>
  <si>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</si>
  <si>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</si>
  <si>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</si>
  <si>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</si>
  <si>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</si>
  <si>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</si>
  <si>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</si>
  <si>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</si>
  <si>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</si>
  <si>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</si>
  <si>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</si>
  <si>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</si>
  <si>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</si>
  <si>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</si>
  <si>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</si>
  <si>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</si>
  <si>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</si>
  <si>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</si>
  <si>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</si>
  <si>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</si>
  <si>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</si>
  <si>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</si>
  <si>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</si>
  <si>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</si>
  <si>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</si>
  <si>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</si>
  <si>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</si>
  <si>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</si>
  <si>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</si>
  <si>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</si>
  <si>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</si>
  <si>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</si>
  <si>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</si>
  <si>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</si>
  <si>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</si>
  <si>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</si>
  <si>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</si>
  <si>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</si>
  <si>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</si>
  <si>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</si>
  <si>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</si>
  <si>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</si>
  <si>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</si>
  <si>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</si>
  <si>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</si>
  <si>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</si>
  <si>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</si>
  <si>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</si>
  <si>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</si>
  <si>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</si>
  <si>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</si>
  <si>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</si>
  <si>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</si>
  <si>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</si>
  <si>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</si>
  <si>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</si>
  <si>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</si>
  <si>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</si>
  <si>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</si>
  <si>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</si>
  <si>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</si>
  <si>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</si>
  <si>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</si>
  <si>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</si>
  <si>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</si>
  <si>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</si>
  <si>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</si>
  <si>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</si>
  <si>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</si>
  <si>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</si>
  <si>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</si>
  <si>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</si>
  <si>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</si>
  <si>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</si>
  <si>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</si>
  <si>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</si>
  <si>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</si>
  <si>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</si>
  <si>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</si>
  <si>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</si>
  <si>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</si>
  <si>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</si>
  <si>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</si>
  <si>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</si>
  <si>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</si>
  <si>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</si>
  <si>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</si>
  <si>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</si>
  <si>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</si>
  <si>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</si>
  <si>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</si>
  <si>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</si>
  <si>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</si>
  <si>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</si>
  <si>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백작약</t>
    <phoneticPr fontId="5" type="noConversion"/>
  </si>
  <si>
    <t>숙지황</t>
    <phoneticPr fontId="5" type="noConversion"/>
  </si>
  <si>
    <t>황기</t>
    <phoneticPr fontId="5" type="noConversion"/>
  </si>
  <si>
    <t>당귀1</t>
    <phoneticPr fontId="5" type="noConversion"/>
  </si>
  <si>
    <t>천궁1</t>
    <phoneticPr fontId="5" type="noConversion"/>
  </si>
  <si>
    <t>육계</t>
    <phoneticPr fontId="5" type="noConversion"/>
  </si>
  <si>
    <t>감초</t>
    <phoneticPr fontId="5" type="noConversion"/>
  </si>
  <si>
    <t>생강</t>
    <phoneticPr fontId="5" type="noConversion"/>
  </si>
  <si>
    <t>대추</t>
    <phoneticPr fontId="5" type="noConversion"/>
  </si>
  <si>
    <t>상비약</t>
    <phoneticPr fontId="5" type="noConversion"/>
  </si>
  <si>
    <t>쌍화탕</t>
    <phoneticPr fontId="5" type="noConversion"/>
  </si>
  <si>
    <t>산수유</t>
    <phoneticPr fontId="5" type="noConversion"/>
  </si>
  <si>
    <t>택사1</t>
    <phoneticPr fontId="5" type="noConversion"/>
  </si>
  <si>
    <t>시호2</t>
    <phoneticPr fontId="5" type="noConversion"/>
  </si>
  <si>
    <t>쌍화탕B</t>
    <phoneticPr fontId="5" type="noConversion"/>
  </si>
  <si>
    <t>쌍화탕A</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</si>
</sst>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mm&quot;월&quot;\ dd&quot;일&quot;"/>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9">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178" fontId="0" fillId="0" borderId="0" xfId="0" applyNumberFormat="1">
      <alignment vertical="center"/>
    </xf>
    <xf numFmtId="179" fontId="0" fillId="0" borderId="0" xfId="0" applyNumberForma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78"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5EB3-0D61-4C02-B340-B437434881A0}">
  <sheetPr>
    <pageSetUpPr fitToPage="1"/>
  </sheetPr>
  <dimension ref="B1:N31"/>
  <sheetViews>
    <sheetView topLeftCell="E1" workbookViewId="0">
      <selection activeCell="N8" sqref="N8"/>
    </sheetView>
  </sheetViews>
  <sheetFormatPr defaultRowHeight="16.5"/>
  <cols>
    <col min="1" max="1" width="2.875" customWidth="1"/>
    <col min="2" max="2" width="7.125" customWidth="1"/>
    <col min="3" max="3" width="10.25" customWidth="1"/>
    <col min="5" max="6" width="9" style="151"/>
    <col min="14" max="14" width="9.875" bestFit="1" customWidth="1"/>
  </cols>
  <sheetData>
    <row r="1" spans="2:14" ht="17.25" thickBot="1">
      <c r="B1" s="1" t="s">
        <v>0</v>
      </c>
      <c r="C1" s="165" t="s">
        <v>1</v>
      </c>
      <c r="D1" s="2" t="s">
        <v>2</v>
      </c>
      <c r="E1" s="162" t="s">
        <v>3</v>
      </c>
      <c r="F1" s="152" t="s">
        <v>4</v>
      </c>
      <c r="G1" s="164" t="s">
        <v>5</v>
      </c>
      <c r="H1" s="165" t="s">
        <v>6</v>
      </c>
      <c r="I1" s="2" t="s">
        <v>7</v>
      </c>
      <c r="K1" s="172" t="s">
        <v>8</v>
      </c>
      <c r="L1" s="173"/>
      <c r="M1" s="174"/>
    </row>
    <row r="2" spans="2:14">
      <c r="B2" s="3">
        <v>1</v>
      </c>
      <c r="C2" t="s">
        <v>399</v>
      </c>
      <c r="D2" s="4"/>
      <c r="E2" s="151">
        <v>10</v>
      </c>
      <c r="F2" s="153">
        <f t="shared" ref="F2:F31" si="0">E2*$L$15</f>
        <v>200</v>
      </c>
      <c r="G2">
        <f>VLOOKUP($C2,약재관리!A:J,10,FALSE)</f>
        <v>19.600000000000001</v>
      </c>
      <c r="H2" s="5">
        <f>G2*E2</f>
        <v>196</v>
      </c>
      <c r="I2" s="157">
        <f>G2*F2</f>
        <v>3920.0000000000005</v>
      </c>
      <c r="K2" s="7" t="s">
        <v>9</v>
      </c>
      <c r="L2" s="175">
        <v>8</v>
      </c>
      <c r="M2" s="176"/>
    </row>
    <row r="3" spans="2:14">
      <c r="B3" s="3">
        <v>2</v>
      </c>
      <c r="C3" t="s">
        <v>400</v>
      </c>
      <c r="D3" s="4"/>
      <c r="E3" s="151">
        <v>4</v>
      </c>
      <c r="F3" s="153">
        <f t="shared" si="0"/>
        <v>80</v>
      </c>
      <c r="G3">
        <f>VLOOKUP($C3,약재관리!A:J,10,FALSE)</f>
        <v>20</v>
      </c>
      <c r="H3" s="5">
        <f t="shared" ref="H3:H31" si="1">G3*E3</f>
        <v>80</v>
      </c>
      <c r="I3" s="6">
        <f t="shared" ref="I3:I31" si="2">G3*F3</f>
        <v>1600</v>
      </c>
      <c r="K3" s="8" t="s">
        <v>10</v>
      </c>
      <c r="L3" s="170" t="s">
        <v>413</v>
      </c>
      <c r="M3" s="171"/>
    </row>
    <row r="4" spans="2:14">
      <c r="B4" s="3">
        <v>3</v>
      </c>
      <c r="C4" t="s">
        <v>401</v>
      </c>
      <c r="D4" s="4"/>
      <c r="E4" s="151">
        <v>4</v>
      </c>
      <c r="F4" s="153">
        <f t="shared" si="0"/>
        <v>80</v>
      </c>
      <c r="G4">
        <f>VLOOKUP($C4,약재관리!A:J,10,FALSE)</f>
        <v>22</v>
      </c>
      <c r="H4" s="5">
        <f t="shared" si="1"/>
        <v>88</v>
      </c>
      <c r="I4" s="6">
        <f t="shared" si="2"/>
        <v>1760</v>
      </c>
      <c r="K4" s="8" t="s">
        <v>11</v>
      </c>
      <c r="L4" s="177">
        <v>45617</v>
      </c>
      <c r="M4" s="171"/>
      <c r="N4" s="168">
        <v>45575</v>
      </c>
    </row>
    <row r="5" spans="2:14">
      <c r="B5" s="3">
        <v>4</v>
      </c>
      <c r="C5" t="s">
        <v>402</v>
      </c>
      <c r="D5" s="4"/>
      <c r="E5" s="151">
        <v>4</v>
      </c>
      <c r="F5" s="153">
        <f t="shared" si="0"/>
        <v>80</v>
      </c>
      <c r="G5">
        <f>VLOOKUP($C5,약재관리!A:J,10,FALSE)</f>
        <v>25</v>
      </c>
      <c r="H5" s="5">
        <f t="shared" si="1"/>
        <v>100</v>
      </c>
      <c r="I5" s="6">
        <f t="shared" si="2"/>
        <v>2000</v>
      </c>
      <c r="K5" s="8" t="s">
        <v>12</v>
      </c>
      <c r="L5" s="170" t="s">
        <v>408</v>
      </c>
      <c r="M5" s="171"/>
      <c r="N5">
        <v>9</v>
      </c>
    </row>
    <row r="6" spans="2:14">
      <c r="B6" s="3">
        <v>5</v>
      </c>
      <c r="C6" t="s">
        <v>403</v>
      </c>
      <c r="D6" s="4"/>
      <c r="E6" s="151">
        <v>4</v>
      </c>
      <c r="F6" s="153">
        <f t="shared" si="0"/>
        <v>80</v>
      </c>
      <c r="G6">
        <f>VLOOKUP($C6,약재관리!A:J,10,FALSE)</f>
        <v>10.8</v>
      </c>
      <c r="H6" s="5">
        <f t="shared" si="1"/>
        <v>43.2</v>
      </c>
      <c r="I6" s="6">
        <f t="shared" si="2"/>
        <v>864</v>
      </c>
      <c r="K6" s="8" t="s">
        <v>13</v>
      </c>
      <c r="L6" s="170"/>
      <c r="M6" s="171"/>
      <c r="N6">
        <v>3.8</v>
      </c>
    </row>
    <row r="7" spans="2:14" ht="17.25" thickBot="1">
      <c r="B7" s="3">
        <v>6</v>
      </c>
      <c r="C7" t="s">
        <v>404</v>
      </c>
      <c r="D7" s="4"/>
      <c r="E7" s="151">
        <v>3</v>
      </c>
      <c r="F7" s="153">
        <f t="shared" si="0"/>
        <v>60</v>
      </c>
      <c r="G7">
        <f>VLOOKUP($C7,약재관리!A:J,10,FALSE)</f>
        <v>14.8</v>
      </c>
      <c r="H7" s="5">
        <f t="shared" si="1"/>
        <v>44.400000000000006</v>
      </c>
      <c r="I7" s="6">
        <f t="shared" si="2"/>
        <v>888</v>
      </c>
      <c r="K7" s="8" t="s">
        <v>14</v>
      </c>
      <c r="L7" s="178"/>
      <c r="M7" s="179"/>
      <c r="N7">
        <v>3</v>
      </c>
    </row>
    <row r="8" spans="2:14" ht="17.25" thickBot="1">
      <c r="B8" s="3">
        <v>7</v>
      </c>
      <c r="C8" t="s">
        <v>405</v>
      </c>
      <c r="D8" s="4"/>
      <c r="E8" s="151">
        <v>3</v>
      </c>
      <c r="F8" s="153">
        <f t="shared" si="0"/>
        <v>60</v>
      </c>
      <c r="G8">
        <f>VLOOKUP($C8,약재관리!A:J,10,FALSE)</f>
        <v>28.3</v>
      </c>
      <c r="H8" s="5">
        <f t="shared" si="1"/>
        <v>84.9</v>
      </c>
      <c r="I8" s="6">
        <f t="shared" si="2"/>
        <v>1698</v>
      </c>
      <c r="K8" s="172" t="s">
        <v>15</v>
      </c>
      <c r="L8" s="173"/>
      <c r="M8" s="174"/>
    </row>
    <row r="9" spans="2:14">
      <c r="B9" s="3">
        <v>8</v>
      </c>
      <c r="C9" t="s">
        <v>406</v>
      </c>
      <c r="D9" s="4"/>
      <c r="E9" s="151">
        <v>4</v>
      </c>
      <c r="F9" s="153">
        <f t="shared" si="0"/>
        <v>80</v>
      </c>
      <c r="G9">
        <f>VLOOKUP($C9,약재관리!A:J,10,FALSE)</f>
        <v>18</v>
      </c>
      <c r="H9" s="5">
        <f t="shared" si="1"/>
        <v>72</v>
      </c>
      <c r="I9" s="6">
        <f t="shared" si="2"/>
        <v>1440</v>
      </c>
      <c r="K9" s="180" t="s">
        <v>409</v>
      </c>
      <c r="L9" s="181"/>
      <c r="M9" s="182"/>
    </row>
    <row r="10" spans="2:14">
      <c r="B10" s="3">
        <v>9</v>
      </c>
      <c r="C10" t="s">
        <v>407</v>
      </c>
      <c r="D10" s="4"/>
      <c r="E10" s="151">
        <v>4</v>
      </c>
      <c r="F10" s="153">
        <f t="shared" si="0"/>
        <v>80</v>
      </c>
      <c r="G10">
        <f>VLOOKUP($C10,약재관리!A:J,10,FALSE)</f>
        <v>20.8</v>
      </c>
      <c r="H10" s="5">
        <f t="shared" si="1"/>
        <v>83.2</v>
      </c>
      <c r="I10" s="6">
        <f t="shared" si="2"/>
        <v>1664</v>
      </c>
      <c r="K10" s="183"/>
      <c r="L10" s="184"/>
      <c r="M10" s="185"/>
    </row>
    <row r="11" spans="2:14">
      <c r="B11" s="3">
        <v>10</v>
      </c>
      <c r="C11" t="s">
        <v>412</v>
      </c>
      <c r="D11" s="4"/>
      <c r="E11" s="151">
        <v>4</v>
      </c>
      <c r="F11" s="153">
        <f t="shared" si="0"/>
        <v>80</v>
      </c>
      <c r="G11">
        <f>VLOOKUP($C11,약재관리!A:J,10,FALSE)</f>
        <v>15.3</v>
      </c>
      <c r="H11" s="5">
        <f t="shared" si="1"/>
        <v>61.2</v>
      </c>
      <c r="I11" s="6">
        <f t="shared" si="2"/>
        <v>1224</v>
      </c>
      <c r="K11" s="183"/>
      <c r="L11" s="184"/>
      <c r="M11" s="185"/>
    </row>
    <row r="12" spans="2:14">
      <c r="B12" s="3">
        <v>11</v>
      </c>
      <c r="C12" t="s">
        <v>410</v>
      </c>
      <c r="D12" s="4"/>
      <c r="E12" s="151">
        <v>4</v>
      </c>
      <c r="F12" s="153">
        <f t="shared" si="0"/>
        <v>80</v>
      </c>
      <c r="G12">
        <f>VLOOKUP($C12,약재관리!A:J,10,FALSE)</f>
        <v>31.2</v>
      </c>
      <c r="H12" s="5">
        <f t="shared" si="1"/>
        <v>124.8</v>
      </c>
      <c r="I12" s="6">
        <f t="shared" si="2"/>
        <v>2496</v>
      </c>
      <c r="K12" s="183"/>
      <c r="L12" s="184"/>
      <c r="M12" s="185"/>
    </row>
    <row r="13" spans="2:14" ht="17.25" thickBot="1">
      <c r="B13" s="3">
        <v>12</v>
      </c>
      <c r="C13" t="s">
        <v>411</v>
      </c>
      <c r="D13" s="4"/>
      <c r="E13" s="151">
        <v>4</v>
      </c>
      <c r="F13" s="153">
        <f t="shared" si="0"/>
        <v>80</v>
      </c>
      <c r="G13">
        <f>VLOOKUP($C13,약재관리!A:J,10,FALSE)</f>
        <v>23.7</v>
      </c>
      <c r="H13" s="5">
        <f t="shared" si="1"/>
        <v>94.8</v>
      </c>
      <c r="I13" s="6">
        <f t="shared" si="2"/>
        <v>1896</v>
      </c>
      <c r="K13" s="186"/>
      <c r="L13" s="187"/>
      <c r="M13" s="188"/>
    </row>
    <row r="14" spans="2:14">
      <c r="B14" s="3">
        <v>13</v>
      </c>
      <c r="D14" s="4"/>
      <c r="F14" s="153">
        <f t="shared" si="0"/>
        <v>0</v>
      </c>
      <c r="H14" s="5">
        <f t="shared" si="1"/>
        <v>0</v>
      </c>
      <c r="I14" s="6">
        <f t="shared" si="2"/>
        <v>0</v>
      </c>
      <c r="K14" s="159" t="s">
        <v>16</v>
      </c>
      <c r="L14" s="9">
        <v>15</v>
      </c>
      <c r="M14" s="10" t="s">
        <v>17</v>
      </c>
      <c r="N14">
        <v>15</v>
      </c>
    </row>
    <row r="15" spans="2:14">
      <c r="B15" s="3">
        <v>14</v>
      </c>
      <c r="D15" s="4"/>
      <c r="F15" s="153">
        <f t="shared" si="0"/>
        <v>0</v>
      </c>
      <c r="H15" s="5">
        <f t="shared" si="1"/>
        <v>0</v>
      </c>
      <c r="I15" s="6">
        <f t="shared" si="2"/>
        <v>0</v>
      </c>
      <c r="K15" s="158" t="s">
        <v>18</v>
      </c>
      <c r="L15">
        <v>20</v>
      </c>
      <c r="M15" s="4" t="s">
        <v>19</v>
      </c>
      <c r="N15">
        <v>13</v>
      </c>
    </row>
    <row r="16" spans="2:14">
      <c r="B16" s="3">
        <v>15</v>
      </c>
      <c r="D16" s="4"/>
      <c r="F16" s="153">
        <f t="shared" si="0"/>
        <v>0</v>
      </c>
      <c r="H16" s="5">
        <f t="shared" si="1"/>
        <v>0</v>
      </c>
      <c r="I16" s="6">
        <f t="shared" si="2"/>
        <v>0</v>
      </c>
      <c r="K16" s="158" t="s">
        <v>20</v>
      </c>
      <c r="L16">
        <v>45</v>
      </c>
      <c r="M16" s="4" t="s">
        <v>21</v>
      </c>
      <c r="N16">
        <v>45</v>
      </c>
    </row>
    <row r="17" spans="2:14" ht="17.25" thickBot="1">
      <c r="B17" s="3">
        <v>16</v>
      </c>
      <c r="D17" s="4"/>
      <c r="F17" s="153">
        <f t="shared" si="0"/>
        <v>0</v>
      </c>
      <c r="H17" s="5">
        <f t="shared" si="1"/>
        <v>0</v>
      </c>
      <c r="I17" s="6">
        <f t="shared" si="2"/>
        <v>0</v>
      </c>
      <c r="K17" s="14" t="s">
        <v>22</v>
      </c>
      <c r="L17" s="11">
        <v>100</v>
      </c>
      <c r="M17" s="12" t="s">
        <v>23</v>
      </c>
      <c r="N17">
        <v>100</v>
      </c>
    </row>
    <row r="18" spans="2:14">
      <c r="B18" s="3">
        <v>17</v>
      </c>
      <c r="D18" s="4"/>
      <c r="F18" s="153">
        <f t="shared" si="0"/>
        <v>0</v>
      </c>
      <c r="H18" s="5">
        <f t="shared" si="1"/>
        <v>0</v>
      </c>
      <c r="I18" s="6">
        <f t="shared" si="2"/>
        <v>0</v>
      </c>
      <c r="K18" s="159" t="s">
        <v>24</v>
      </c>
      <c r="L18" s="9">
        <f>SUM(E2:E31)</f>
        <v>52</v>
      </c>
      <c r="M18" s="10" t="s">
        <v>25</v>
      </c>
      <c r="N18">
        <v>48.75</v>
      </c>
    </row>
    <row r="19" spans="2:14">
      <c r="B19" s="3">
        <v>18</v>
      </c>
      <c r="D19" s="4"/>
      <c r="F19" s="153">
        <f t="shared" si="0"/>
        <v>0</v>
      </c>
      <c r="H19" s="5">
        <f t="shared" si="1"/>
        <v>0</v>
      </c>
      <c r="I19" s="6">
        <f t="shared" si="2"/>
        <v>0</v>
      </c>
      <c r="K19" s="158" t="s">
        <v>26</v>
      </c>
      <c r="L19">
        <f>L15*L18</f>
        <v>1040</v>
      </c>
      <c r="M19" s="4" t="s">
        <v>25</v>
      </c>
      <c r="N19">
        <v>633.75</v>
      </c>
    </row>
    <row r="20" spans="2:14" ht="17.25" thickBot="1">
      <c r="B20" s="3">
        <v>19</v>
      </c>
      <c r="D20" s="4"/>
      <c r="F20" s="153">
        <f t="shared" si="0"/>
        <v>0</v>
      </c>
      <c r="H20" s="5">
        <f t="shared" si="1"/>
        <v>0</v>
      </c>
      <c r="I20" s="6">
        <f t="shared" si="2"/>
        <v>0</v>
      </c>
      <c r="K20" s="14" t="s">
        <v>27</v>
      </c>
      <c r="L20" s="11">
        <f>L16*L17+L19</f>
        <v>5540</v>
      </c>
      <c r="M20" s="12" t="s">
        <v>23</v>
      </c>
      <c r="N20">
        <v>5133.75</v>
      </c>
    </row>
    <row r="21" spans="2:14" ht="17.25" thickBot="1">
      <c r="B21" s="3">
        <v>20</v>
      </c>
      <c r="D21" s="4"/>
      <c r="F21" s="153">
        <f t="shared" si="0"/>
        <v>0</v>
      </c>
      <c r="H21" s="5">
        <f t="shared" si="1"/>
        <v>0</v>
      </c>
      <c r="I21" s="6">
        <f t="shared" si="2"/>
        <v>0</v>
      </c>
      <c r="J21" s="158"/>
      <c r="M21" s="161"/>
    </row>
    <row r="22" spans="2:14" ht="17.25" thickBot="1">
      <c r="B22" s="3">
        <v>21</v>
      </c>
      <c r="D22" s="4"/>
      <c r="F22" s="153">
        <f t="shared" si="0"/>
        <v>0</v>
      </c>
      <c r="H22" s="5">
        <f t="shared" si="1"/>
        <v>0</v>
      </c>
      <c r="I22" s="6">
        <f t="shared" si="2"/>
        <v>0</v>
      </c>
      <c r="K22" s="172" t="s">
        <v>390</v>
      </c>
      <c r="L22" s="173"/>
      <c r="M22" s="174"/>
    </row>
    <row r="23" spans="2:14">
      <c r="B23" s="3">
        <v>22</v>
      </c>
      <c r="D23" s="4"/>
      <c r="F23" s="153">
        <f t="shared" si="0"/>
        <v>0</v>
      </c>
      <c r="H23" s="5">
        <f t="shared" si="1"/>
        <v>0</v>
      </c>
      <c r="I23" s="6">
        <f t="shared" si="2"/>
        <v>0</v>
      </c>
      <c r="K23" s="158" t="s">
        <v>384</v>
      </c>
      <c r="L23">
        <f>SUM(F2:F31)</f>
        <v>1040</v>
      </c>
      <c r="M23" s="4" t="s">
        <v>25</v>
      </c>
    </row>
    <row r="24" spans="2:14">
      <c r="B24" s="3">
        <v>23</v>
      </c>
      <c r="D24" s="4"/>
      <c r="F24" s="153">
        <f t="shared" si="0"/>
        <v>0</v>
      </c>
      <c r="H24" s="5">
        <f t="shared" si="1"/>
        <v>0</v>
      </c>
      <c r="I24" s="6">
        <f t="shared" si="2"/>
        <v>0</v>
      </c>
      <c r="K24" s="158" t="s">
        <v>391</v>
      </c>
      <c r="L24">
        <v>5000</v>
      </c>
      <c r="M24" s="4" t="s">
        <v>23</v>
      </c>
    </row>
    <row r="25" spans="2:14">
      <c r="B25" s="3">
        <v>24</v>
      </c>
      <c r="D25" s="4"/>
      <c r="F25" s="153">
        <f t="shared" si="0"/>
        <v>0</v>
      </c>
      <c r="H25" s="5">
        <f t="shared" si="1"/>
        <v>0</v>
      </c>
      <c r="I25" s="6">
        <f t="shared" si="2"/>
        <v>0</v>
      </c>
      <c r="K25" s="158" t="s">
        <v>28</v>
      </c>
      <c r="L25" s="160" t="s">
        <v>386</v>
      </c>
      <c r="M25" s="4" t="s">
        <v>25</v>
      </c>
    </row>
    <row r="26" spans="2:14">
      <c r="B26" s="3">
        <v>25</v>
      </c>
      <c r="D26" s="4"/>
      <c r="F26" s="153">
        <f t="shared" si="0"/>
        <v>0</v>
      </c>
      <c r="H26" s="5">
        <f t="shared" si="1"/>
        <v>0</v>
      </c>
      <c r="I26" s="6">
        <f t="shared" si="2"/>
        <v>0</v>
      </c>
      <c r="K26" s="158" t="s">
        <v>29</v>
      </c>
      <c r="L26" s="160">
        <v>1600</v>
      </c>
      <c r="M26" s="4" t="s">
        <v>25</v>
      </c>
    </row>
    <row r="27" spans="2:14" ht="17.25" thickBot="1">
      <c r="B27" s="3">
        <v>26</v>
      </c>
      <c r="D27" s="4"/>
      <c r="F27" s="153">
        <f t="shared" si="0"/>
        <v>0</v>
      </c>
      <c r="H27" s="5">
        <f t="shared" si="1"/>
        <v>0</v>
      </c>
      <c r="I27" s="6">
        <f t="shared" si="2"/>
        <v>0</v>
      </c>
      <c r="K27" s="14" t="s">
        <v>385</v>
      </c>
      <c r="L27" s="11">
        <v>4</v>
      </c>
      <c r="M27" s="12" t="s">
        <v>25</v>
      </c>
    </row>
    <row r="28" spans="2:14" ht="17.25" thickBot="1">
      <c r="B28" s="3">
        <v>27</v>
      </c>
      <c r="D28" s="4"/>
      <c r="F28" s="153">
        <f t="shared" si="0"/>
        <v>0</v>
      </c>
      <c r="H28" s="5">
        <f t="shared" si="1"/>
        <v>0</v>
      </c>
      <c r="I28" s="6">
        <f t="shared" si="2"/>
        <v>0</v>
      </c>
      <c r="J28" s="158"/>
      <c r="K28" s="11"/>
      <c r="L28" s="11"/>
      <c r="M28" s="161"/>
    </row>
    <row r="29" spans="2:14" ht="17.25" thickBot="1">
      <c r="B29" s="3">
        <v>28</v>
      </c>
      <c r="D29" s="4"/>
      <c r="F29" s="153">
        <f t="shared" si="0"/>
        <v>0</v>
      </c>
      <c r="H29" s="5">
        <f t="shared" si="1"/>
        <v>0</v>
      </c>
      <c r="I29" s="6">
        <f t="shared" si="2"/>
        <v>0</v>
      </c>
      <c r="K29" s="172" t="s">
        <v>389</v>
      </c>
      <c r="L29" s="173"/>
      <c r="M29" s="174"/>
    </row>
    <row r="30" spans="2:14">
      <c r="B30" s="3">
        <v>29</v>
      </c>
      <c r="D30" s="4"/>
      <c r="F30" s="153">
        <f t="shared" si="0"/>
        <v>0</v>
      </c>
      <c r="H30" s="5">
        <f t="shared" si="1"/>
        <v>0</v>
      </c>
      <c r="I30" s="6">
        <f t="shared" si="2"/>
        <v>0</v>
      </c>
      <c r="K30" s="158" t="s">
        <v>28</v>
      </c>
      <c r="L30" s="5">
        <f>SUM(H2:H31)</f>
        <v>1072.5</v>
      </c>
      <c r="M30" s="4" t="s">
        <v>388</v>
      </c>
      <c r="N30">
        <v>1006</v>
      </c>
    </row>
    <row r="31" spans="2:14" ht="17.25" thickBot="1">
      <c r="B31" s="13">
        <v>30</v>
      </c>
      <c r="C31" s="14"/>
      <c r="D31" s="12"/>
      <c r="E31" s="163"/>
      <c r="F31" s="154">
        <f t="shared" si="0"/>
        <v>0</v>
      </c>
      <c r="H31" s="15">
        <f t="shared" si="1"/>
        <v>0</v>
      </c>
      <c r="I31" s="16">
        <f t="shared" si="2"/>
        <v>0</v>
      </c>
      <c r="K31" s="14" t="s">
        <v>387</v>
      </c>
      <c r="L31" s="15">
        <f>SUM(I2:I31)</f>
        <v>21450</v>
      </c>
      <c r="M31" s="12" t="s">
        <v>388</v>
      </c>
      <c r="N31">
        <v>13081</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67"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O31"/>
  <sheetViews>
    <sheetView tabSelected="1" workbookViewId="0">
      <selection activeCell="L20" sqref="L20"/>
    </sheetView>
  </sheetViews>
  <sheetFormatPr defaultRowHeight="16.5"/>
  <cols>
    <col min="1" max="1" width="2.875" customWidth="1"/>
    <col min="2" max="2" width="7.125" customWidth="1"/>
    <col min="3" max="3" width="10.25" customWidth="1"/>
    <col min="5" max="6" width="9" style="151"/>
    <col min="14" max="15" width="9.875" bestFit="1" customWidth="1"/>
  </cols>
  <sheetData>
    <row r="1" spans="2:15" ht="17.25" thickBot="1">
      <c r="B1" s="1" t="s">
        <v>0</v>
      </c>
      <c r="C1" s="165" t="s">
        <v>1</v>
      </c>
      <c r="D1" s="2" t="s">
        <v>2</v>
      </c>
      <c r="E1" s="162" t="s">
        <v>3</v>
      </c>
      <c r="F1" s="152" t="s">
        <v>4</v>
      </c>
      <c r="G1" s="164" t="s">
        <v>5</v>
      </c>
      <c r="H1" s="165" t="s">
        <v>6</v>
      </c>
      <c r="I1" s="2" t="s">
        <v>7</v>
      </c>
      <c r="K1" s="172" t="s">
        <v>8</v>
      </c>
      <c r="L1" s="173"/>
      <c r="M1" s="174"/>
    </row>
    <row r="2" spans="2:15">
      <c r="B2" s="3">
        <v>1</v>
      </c>
      <c r="C2" t="s">
        <v>399</v>
      </c>
      <c r="D2" s="4"/>
      <c r="E2" s="151">
        <v>10</v>
      </c>
      <c r="F2" s="153">
        <f t="shared" ref="F2:F31" si="0">E2*$L$15</f>
        <v>200</v>
      </c>
      <c r="G2">
        <f>VLOOKUP($C2,약재관리!A:J,10,FALSE)</f>
        <v>19.600000000000001</v>
      </c>
      <c r="H2" s="5">
        <f>G2*E2</f>
        <v>196</v>
      </c>
      <c r="I2" s="157">
        <f>G2*F2</f>
        <v>3920.0000000000005</v>
      </c>
      <c r="K2" s="7" t="s">
        <v>9</v>
      </c>
      <c r="L2" s="175">
        <v>8</v>
      </c>
      <c r="M2" s="176"/>
    </row>
    <row r="3" spans="2:15">
      <c r="B3" s="3">
        <v>2</v>
      </c>
      <c r="C3" t="s">
        <v>400</v>
      </c>
      <c r="D3" s="4"/>
      <c r="E3" s="151">
        <v>5</v>
      </c>
      <c r="F3" s="153">
        <f t="shared" si="0"/>
        <v>100</v>
      </c>
      <c r="G3">
        <f>VLOOKUP($C3,약재관리!A:J,10,FALSE)</f>
        <v>20</v>
      </c>
      <c r="H3" s="5">
        <f t="shared" ref="H3:H31" si="1">G3*E3</f>
        <v>100</v>
      </c>
      <c r="I3" s="6">
        <f t="shared" ref="I3:I31" si="2">G3*F3</f>
        <v>2000</v>
      </c>
      <c r="K3" s="8" t="s">
        <v>10</v>
      </c>
      <c r="L3" s="170" t="s">
        <v>414</v>
      </c>
      <c r="M3" s="171"/>
    </row>
    <row r="4" spans="2:15">
      <c r="B4" s="3">
        <v>3</v>
      </c>
      <c r="C4" t="s">
        <v>401</v>
      </c>
      <c r="D4" s="4"/>
      <c r="E4" s="151">
        <v>5</v>
      </c>
      <c r="F4" s="153">
        <f t="shared" si="0"/>
        <v>100</v>
      </c>
      <c r="G4">
        <f>VLOOKUP($C4,약재관리!A:J,10,FALSE)</f>
        <v>22</v>
      </c>
      <c r="H4" s="5">
        <f t="shared" si="1"/>
        <v>110</v>
      </c>
      <c r="I4" s="6">
        <f t="shared" si="2"/>
        <v>2200</v>
      </c>
      <c r="K4" s="8" t="s">
        <v>11</v>
      </c>
      <c r="L4" s="177">
        <v>45628</v>
      </c>
      <c r="M4" s="171"/>
      <c r="N4" s="168">
        <v>45548</v>
      </c>
      <c r="O4" s="168"/>
    </row>
    <row r="5" spans="2:15">
      <c r="B5" s="3">
        <v>4</v>
      </c>
      <c r="C5" t="s">
        <v>402</v>
      </c>
      <c r="D5" s="4"/>
      <c r="E5" s="151">
        <v>5</v>
      </c>
      <c r="F5" s="153">
        <f t="shared" si="0"/>
        <v>100</v>
      </c>
      <c r="G5">
        <f>VLOOKUP($C5,약재관리!A:J,10,FALSE)</f>
        <v>25</v>
      </c>
      <c r="H5" s="5">
        <f t="shared" si="1"/>
        <v>125</v>
      </c>
      <c r="I5" s="6">
        <f t="shared" si="2"/>
        <v>2500</v>
      </c>
      <c r="K5" s="8" t="s">
        <v>12</v>
      </c>
      <c r="L5" s="170" t="s">
        <v>408</v>
      </c>
      <c r="M5" s="171"/>
      <c r="N5" s="168">
        <v>45575</v>
      </c>
    </row>
    <row r="6" spans="2:15">
      <c r="B6" s="3">
        <v>5</v>
      </c>
      <c r="C6" t="s">
        <v>403</v>
      </c>
      <c r="D6" s="4"/>
      <c r="E6" s="151">
        <v>5</v>
      </c>
      <c r="F6" s="153">
        <f t="shared" si="0"/>
        <v>100</v>
      </c>
      <c r="G6">
        <f>VLOOKUP($C6,약재관리!A:J,10,FALSE)</f>
        <v>10.8</v>
      </c>
      <c r="H6" s="5">
        <f t="shared" si="1"/>
        <v>54</v>
      </c>
      <c r="I6" s="6">
        <f t="shared" si="2"/>
        <v>1080</v>
      </c>
      <c r="K6" s="8" t="s">
        <v>13</v>
      </c>
      <c r="L6" s="170"/>
      <c r="M6" s="171"/>
    </row>
    <row r="7" spans="2:15" ht="17.25" thickBot="1">
      <c r="B7" s="3">
        <v>6</v>
      </c>
      <c r="C7" t="s">
        <v>404</v>
      </c>
      <c r="D7" s="4"/>
      <c r="E7" s="151">
        <v>3</v>
      </c>
      <c r="F7" s="153">
        <f t="shared" si="0"/>
        <v>60</v>
      </c>
      <c r="G7">
        <f>VLOOKUP($C7,약재관리!A:J,10,FALSE)</f>
        <v>14.8</v>
      </c>
      <c r="H7" s="5">
        <f t="shared" si="1"/>
        <v>44.400000000000006</v>
      </c>
      <c r="I7" s="6">
        <f t="shared" si="2"/>
        <v>888</v>
      </c>
      <c r="K7" s="8" t="s">
        <v>14</v>
      </c>
      <c r="L7" s="178"/>
      <c r="M7" s="179"/>
    </row>
    <row r="8" spans="2:15" ht="17.25" thickBot="1">
      <c r="B8" s="3">
        <v>7</v>
      </c>
      <c r="C8" t="s">
        <v>405</v>
      </c>
      <c r="D8" s="4"/>
      <c r="E8" s="151">
        <v>3</v>
      </c>
      <c r="F8" s="153">
        <f t="shared" si="0"/>
        <v>60</v>
      </c>
      <c r="G8">
        <f>VLOOKUP($C8,약재관리!A:J,10,FALSE)</f>
        <v>28.3</v>
      </c>
      <c r="H8" s="5">
        <f t="shared" si="1"/>
        <v>84.9</v>
      </c>
      <c r="I8" s="6">
        <f t="shared" si="2"/>
        <v>1698</v>
      </c>
      <c r="K8" s="172" t="s">
        <v>15</v>
      </c>
      <c r="L8" s="173"/>
      <c r="M8" s="174"/>
    </row>
    <row r="9" spans="2:15">
      <c r="B9" s="3">
        <v>8</v>
      </c>
      <c r="C9" t="s">
        <v>406</v>
      </c>
      <c r="D9" s="4"/>
      <c r="E9" s="151">
        <v>5</v>
      </c>
      <c r="F9" s="153">
        <f t="shared" si="0"/>
        <v>100</v>
      </c>
      <c r="G9">
        <f>VLOOKUP($C9,약재관리!A:J,10,FALSE)</f>
        <v>18</v>
      </c>
      <c r="H9" s="5">
        <f t="shared" si="1"/>
        <v>90</v>
      </c>
      <c r="I9" s="6">
        <f t="shared" si="2"/>
        <v>1800</v>
      </c>
      <c r="K9" s="180" t="s">
        <v>409</v>
      </c>
      <c r="L9" s="181"/>
      <c r="M9" s="182"/>
    </row>
    <row r="10" spans="2:15">
      <c r="B10" s="3">
        <v>9</v>
      </c>
      <c r="C10" t="s">
        <v>407</v>
      </c>
      <c r="D10" s="4"/>
      <c r="E10" s="151">
        <v>5</v>
      </c>
      <c r="F10" s="153">
        <f t="shared" si="0"/>
        <v>100</v>
      </c>
      <c r="G10">
        <f>VLOOKUP($C10,약재관리!A:J,10,FALSE)</f>
        <v>20.8</v>
      </c>
      <c r="H10" s="5">
        <f t="shared" si="1"/>
        <v>104</v>
      </c>
      <c r="I10" s="6">
        <f t="shared" si="2"/>
        <v>2080</v>
      </c>
      <c r="K10" s="183"/>
      <c r="L10" s="184"/>
      <c r="M10" s="185"/>
    </row>
    <row r="11" spans="2:15">
      <c r="B11" s="3">
        <v>10</v>
      </c>
      <c r="D11" s="4"/>
      <c r="F11" s="153">
        <f t="shared" si="0"/>
        <v>0</v>
      </c>
      <c r="H11" s="5">
        <f t="shared" si="1"/>
        <v>0</v>
      </c>
      <c r="I11" s="6">
        <f t="shared" si="2"/>
        <v>0</v>
      </c>
      <c r="K11" s="183"/>
      <c r="L11" s="184"/>
      <c r="M11" s="185"/>
    </row>
    <row r="12" spans="2:15">
      <c r="B12" s="3">
        <v>11</v>
      </c>
      <c r="D12" s="4"/>
      <c r="F12" s="153">
        <f t="shared" si="0"/>
        <v>0</v>
      </c>
      <c r="H12" s="5">
        <f t="shared" si="1"/>
        <v>0</v>
      </c>
      <c r="I12" s="6">
        <f t="shared" si="2"/>
        <v>0</v>
      </c>
      <c r="K12" s="183"/>
      <c r="L12" s="184"/>
      <c r="M12" s="185"/>
    </row>
    <row r="13" spans="2:15" ht="17.25" thickBot="1">
      <c r="B13" s="3">
        <v>12</v>
      </c>
      <c r="D13" s="4"/>
      <c r="F13" s="153">
        <f t="shared" si="0"/>
        <v>0</v>
      </c>
      <c r="H13" s="5">
        <f t="shared" si="1"/>
        <v>0</v>
      </c>
      <c r="I13" s="6">
        <f t="shared" si="2"/>
        <v>0</v>
      </c>
      <c r="K13" s="186"/>
      <c r="L13" s="187"/>
      <c r="M13" s="188"/>
    </row>
    <row r="14" spans="2:15">
      <c r="B14" s="3">
        <v>13</v>
      </c>
      <c r="D14" s="4"/>
      <c r="F14" s="153">
        <f t="shared" si="0"/>
        <v>0</v>
      </c>
      <c r="H14" s="5">
        <f t="shared" si="1"/>
        <v>0</v>
      </c>
      <c r="I14" s="6">
        <f t="shared" si="2"/>
        <v>0</v>
      </c>
      <c r="K14" s="159" t="s">
        <v>16</v>
      </c>
      <c r="L14" s="9">
        <v>15</v>
      </c>
      <c r="M14" s="10" t="s">
        <v>17</v>
      </c>
      <c r="N14">
        <v>15</v>
      </c>
    </row>
    <row r="15" spans="2:15">
      <c r="B15" s="3">
        <v>14</v>
      </c>
      <c r="D15" s="4"/>
      <c r="F15" s="153">
        <f t="shared" si="0"/>
        <v>0</v>
      </c>
      <c r="H15" s="5">
        <f t="shared" si="1"/>
        <v>0</v>
      </c>
      <c r="I15" s="6">
        <f t="shared" si="2"/>
        <v>0</v>
      </c>
      <c r="K15" s="158" t="s">
        <v>18</v>
      </c>
      <c r="L15">
        <v>20</v>
      </c>
      <c r="M15" s="4" t="s">
        <v>19</v>
      </c>
      <c r="N15">
        <v>20</v>
      </c>
    </row>
    <row r="16" spans="2:15">
      <c r="B16" s="3">
        <v>15</v>
      </c>
      <c r="D16" s="4"/>
      <c r="F16" s="153">
        <f t="shared" si="0"/>
        <v>0</v>
      </c>
      <c r="H16" s="5">
        <f t="shared" si="1"/>
        <v>0</v>
      </c>
      <c r="I16" s="6">
        <f t="shared" si="2"/>
        <v>0</v>
      </c>
      <c r="K16" s="158" t="s">
        <v>20</v>
      </c>
      <c r="L16">
        <v>45</v>
      </c>
      <c r="M16" s="4" t="s">
        <v>21</v>
      </c>
      <c r="N16">
        <v>45</v>
      </c>
    </row>
    <row r="17" spans="2:14" ht="17.25" thickBot="1">
      <c r="B17" s="3">
        <v>16</v>
      </c>
      <c r="D17" s="4"/>
      <c r="F17" s="153">
        <f t="shared" si="0"/>
        <v>0</v>
      </c>
      <c r="H17" s="5">
        <f t="shared" si="1"/>
        <v>0</v>
      </c>
      <c r="I17" s="6">
        <f t="shared" si="2"/>
        <v>0</v>
      </c>
      <c r="K17" s="14" t="s">
        <v>22</v>
      </c>
      <c r="L17" s="11">
        <v>100</v>
      </c>
      <c r="M17" s="12" t="s">
        <v>23</v>
      </c>
      <c r="N17">
        <v>100</v>
      </c>
    </row>
    <row r="18" spans="2:14">
      <c r="B18" s="3">
        <v>17</v>
      </c>
      <c r="D18" s="4"/>
      <c r="F18" s="153">
        <f t="shared" si="0"/>
        <v>0</v>
      </c>
      <c r="H18" s="5">
        <f t="shared" si="1"/>
        <v>0</v>
      </c>
      <c r="I18" s="6">
        <f t="shared" si="2"/>
        <v>0</v>
      </c>
      <c r="K18" s="159" t="s">
        <v>24</v>
      </c>
      <c r="L18" s="9">
        <f>SUM(E2:E31)</f>
        <v>46</v>
      </c>
      <c r="M18" s="10" t="s">
        <v>25</v>
      </c>
      <c r="N18" s="169">
        <v>46</v>
      </c>
    </row>
    <row r="19" spans="2:14">
      <c r="B19" s="3">
        <v>18</v>
      </c>
      <c r="D19" s="4"/>
      <c r="F19" s="153">
        <f t="shared" si="0"/>
        <v>0</v>
      </c>
      <c r="H19" s="5">
        <f t="shared" si="1"/>
        <v>0</v>
      </c>
      <c r="I19" s="6">
        <f t="shared" si="2"/>
        <v>0</v>
      </c>
      <c r="K19" s="158" t="s">
        <v>26</v>
      </c>
      <c r="L19">
        <f>L15*L18</f>
        <v>920</v>
      </c>
      <c r="M19" s="4" t="s">
        <v>25</v>
      </c>
      <c r="N19">
        <v>920</v>
      </c>
    </row>
    <row r="20" spans="2:14" ht="17.25" thickBot="1">
      <c r="B20" s="3">
        <v>19</v>
      </c>
      <c r="D20" s="4"/>
      <c r="F20" s="153">
        <f t="shared" si="0"/>
        <v>0</v>
      </c>
      <c r="H20" s="5">
        <f t="shared" si="1"/>
        <v>0</v>
      </c>
      <c r="I20" s="6">
        <f t="shared" si="2"/>
        <v>0</v>
      </c>
      <c r="K20" s="14" t="s">
        <v>27</v>
      </c>
      <c r="L20" s="11">
        <f>L16*L17+L19*1.3+400</f>
        <v>6096</v>
      </c>
      <c r="M20" s="12" t="s">
        <v>23</v>
      </c>
      <c r="N20">
        <v>5420</v>
      </c>
    </row>
    <row r="21" spans="2:14" ht="17.25" thickBot="1">
      <c r="B21" s="3">
        <v>20</v>
      </c>
      <c r="D21" s="4"/>
      <c r="F21" s="153">
        <f t="shared" si="0"/>
        <v>0</v>
      </c>
      <c r="H21" s="5">
        <f t="shared" si="1"/>
        <v>0</v>
      </c>
      <c r="I21" s="6">
        <f t="shared" si="2"/>
        <v>0</v>
      </c>
      <c r="J21" s="158"/>
      <c r="M21" s="161"/>
    </row>
    <row r="22" spans="2:14" ht="17.25" thickBot="1">
      <c r="B22" s="3">
        <v>21</v>
      </c>
      <c r="D22" s="4"/>
      <c r="F22" s="153">
        <f t="shared" si="0"/>
        <v>0</v>
      </c>
      <c r="H22" s="5">
        <f t="shared" si="1"/>
        <v>0</v>
      </c>
      <c r="I22" s="6">
        <f t="shared" si="2"/>
        <v>0</v>
      </c>
      <c r="K22" s="172" t="s">
        <v>390</v>
      </c>
      <c r="L22" s="173"/>
      <c r="M22" s="174"/>
    </row>
    <row r="23" spans="2:14">
      <c r="B23" s="3">
        <v>22</v>
      </c>
      <c r="D23" s="4"/>
      <c r="F23" s="153">
        <f t="shared" si="0"/>
        <v>0</v>
      </c>
      <c r="H23" s="5">
        <f t="shared" si="1"/>
        <v>0</v>
      </c>
      <c r="I23" s="6">
        <f t="shared" si="2"/>
        <v>0</v>
      </c>
      <c r="K23" s="158" t="s">
        <v>384</v>
      </c>
      <c r="L23">
        <f>SUM(F2:F31)</f>
        <v>920</v>
      </c>
      <c r="M23" s="4" t="s">
        <v>25</v>
      </c>
    </row>
    <row r="24" spans="2:14">
      <c r="B24" s="3">
        <v>23</v>
      </c>
      <c r="D24" s="4"/>
      <c r="F24" s="153">
        <f t="shared" si="0"/>
        <v>0</v>
      </c>
      <c r="H24" s="5">
        <f t="shared" si="1"/>
        <v>0</v>
      </c>
      <c r="I24" s="6">
        <f t="shared" si="2"/>
        <v>0</v>
      </c>
      <c r="K24" s="158" t="s">
        <v>391</v>
      </c>
      <c r="L24">
        <v>5000</v>
      </c>
      <c r="M24" s="4" t="s">
        <v>23</v>
      </c>
    </row>
    <row r="25" spans="2:14">
      <c r="B25" s="3">
        <v>24</v>
      </c>
      <c r="D25" s="4"/>
      <c r="F25" s="153">
        <f t="shared" si="0"/>
        <v>0</v>
      </c>
      <c r="H25" s="5">
        <f t="shared" si="1"/>
        <v>0</v>
      </c>
      <c r="I25" s="6">
        <f t="shared" si="2"/>
        <v>0</v>
      </c>
      <c r="K25" s="158" t="s">
        <v>28</v>
      </c>
      <c r="L25" s="160" t="s">
        <v>386</v>
      </c>
      <c r="M25" s="4" t="s">
        <v>25</v>
      </c>
    </row>
    <row r="26" spans="2:14">
      <c r="B26" s="3">
        <v>25</v>
      </c>
      <c r="D26" s="4"/>
      <c r="F26" s="153">
        <f t="shared" si="0"/>
        <v>0</v>
      </c>
      <c r="H26" s="5">
        <f t="shared" si="1"/>
        <v>0</v>
      </c>
      <c r="I26" s="6">
        <f t="shared" si="2"/>
        <v>0</v>
      </c>
      <c r="K26" s="158" t="s">
        <v>29</v>
      </c>
      <c r="L26" s="160">
        <v>1600</v>
      </c>
      <c r="M26" s="4" t="s">
        <v>25</v>
      </c>
    </row>
    <row r="27" spans="2:14" ht="17.25" thickBot="1">
      <c r="B27" s="3">
        <v>26</v>
      </c>
      <c r="D27" s="4"/>
      <c r="F27" s="153">
        <f t="shared" si="0"/>
        <v>0</v>
      </c>
      <c r="H27" s="5">
        <f t="shared" si="1"/>
        <v>0</v>
      </c>
      <c r="I27" s="6">
        <f t="shared" si="2"/>
        <v>0</v>
      </c>
      <c r="K27" s="14" t="s">
        <v>385</v>
      </c>
      <c r="L27" s="11">
        <v>4</v>
      </c>
      <c r="M27" s="12" t="s">
        <v>25</v>
      </c>
    </row>
    <row r="28" spans="2:14" ht="17.25" thickBot="1">
      <c r="B28" s="3">
        <v>27</v>
      </c>
      <c r="D28" s="4"/>
      <c r="F28" s="153">
        <f t="shared" si="0"/>
        <v>0</v>
      </c>
      <c r="H28" s="5">
        <f t="shared" si="1"/>
        <v>0</v>
      </c>
      <c r="I28" s="6">
        <f t="shared" si="2"/>
        <v>0</v>
      </c>
      <c r="J28" s="158"/>
      <c r="K28" s="11"/>
      <c r="L28" s="11"/>
      <c r="M28" s="161"/>
    </row>
    <row r="29" spans="2:14" ht="17.25" thickBot="1">
      <c r="B29" s="3">
        <v>28</v>
      </c>
      <c r="D29" s="4"/>
      <c r="F29" s="153">
        <f t="shared" si="0"/>
        <v>0</v>
      </c>
      <c r="H29" s="5">
        <f t="shared" si="1"/>
        <v>0</v>
      </c>
      <c r="I29" s="6">
        <f t="shared" si="2"/>
        <v>0</v>
      </c>
      <c r="K29" s="172" t="s">
        <v>389</v>
      </c>
      <c r="L29" s="173"/>
      <c r="M29" s="174"/>
    </row>
    <row r="30" spans="2:14">
      <c r="B30" s="3">
        <v>29</v>
      </c>
      <c r="D30" s="4"/>
      <c r="F30" s="153">
        <f t="shared" si="0"/>
        <v>0</v>
      </c>
      <c r="H30" s="5">
        <f t="shared" si="1"/>
        <v>0</v>
      </c>
      <c r="I30" s="6">
        <f t="shared" si="2"/>
        <v>0</v>
      </c>
      <c r="K30" s="158" t="s">
        <v>28</v>
      </c>
      <c r="L30" s="5">
        <f>SUM(H2:H31)</f>
        <v>908.3</v>
      </c>
      <c r="M30" s="4" t="s">
        <v>388</v>
      </c>
      <c r="N30" s="5">
        <v>908</v>
      </c>
    </row>
    <row r="31" spans="2:14" ht="17.25" thickBot="1">
      <c r="B31" s="13">
        <v>30</v>
      </c>
      <c r="C31" s="14"/>
      <c r="D31" s="12"/>
      <c r="E31" s="163"/>
      <c r="F31" s="154">
        <f t="shared" si="0"/>
        <v>0</v>
      </c>
      <c r="G31" s="14"/>
      <c r="H31" s="15">
        <f t="shared" si="1"/>
        <v>0</v>
      </c>
      <c r="I31" s="16">
        <f t="shared" si="2"/>
        <v>0</v>
      </c>
      <c r="K31" s="14" t="s">
        <v>387</v>
      </c>
      <c r="L31" s="15">
        <f>SUM(I2:I31)</f>
        <v>18166</v>
      </c>
      <c r="M31" s="12" t="s">
        <v>388</v>
      </c>
      <c r="N31" s="5">
        <v>18166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67"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78" zoomScaleNormal="100" workbookViewId="0">
      <selection activeCell="G9" sqref="G9"/>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7">
        <v>45548</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c r="D51" s="51"/>
      <c r="E51" s="52"/>
      <c r="F51" s="53">
        <f t="shared" si="9"/>
        <v>0</v>
      </c>
      <c r="G51" s="54">
        <f>C51/500</f>
        <v>0</v>
      </c>
      <c r="H51" s="54">
        <f t="shared" si="10"/>
        <v>0</v>
      </c>
      <c r="I51" s="55">
        <f t="shared" si="10"/>
        <v>0</v>
      </c>
      <c r="K51" s="57"/>
      <c r="L51" s="58"/>
      <c r="M51" s="58"/>
      <c r="N51" s="59"/>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5"/>
      <c r="L71" s="58"/>
      <c r="M71" s="58"/>
      <c r="N71" s="155"/>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6"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6">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쌍화탕B</vt:lpstr>
      <vt:lpstr>쌍화탕A</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2024-11-20T09:41:17Z</cp:lastPrinted>
  <dcterms:created xsi:type="dcterms:W3CDTF">2024-09-12T16:35:01Z</dcterms:created>
  <dcterms:modified xsi:type="dcterms:W3CDTF">2026-02-25T05:15:10Z</dcterms:modified>
</cp:coreProperties>
</file>