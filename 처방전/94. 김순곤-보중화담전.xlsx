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67" documentId="8_{6EB8DC0A-AB56-415F-A9F3-EA1534264548}" xr6:coauthVersionLast="47" xr6:coauthVersionMax="47" xr10:uidLastSave="{10C5C65D-BF86-44EE-BE02-6BF76FF0B573}"/>
  <bookViews>
    <workbookView xWindow="13560" yWindow="30" windowWidth="15240" windowHeight="1545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6" l="1"/>
  <c r="H21" i="6" s="1"/>
  <c r="H31" i="6"/>
  <c r="F31" i="6"/>
  <c r="I31" i="6" s="1"/>
  <c r="H30" i="6"/>
  <c r="F30" i="6"/>
  <c r="I30" i="6" s="1"/>
  <c r="H29" i="6"/>
  <c r="F29" i="6"/>
  <c r="I29" i="6" s="1"/>
  <c r="I28" i="6"/>
  <c r="H28" i="6"/>
  <c r="F28" i="6"/>
  <c r="H27" i="6"/>
  <c r="F27" i="6"/>
  <c r="I27" i="6" s="1"/>
  <c r="H26" i="6"/>
  <c r="F26" i="6"/>
  <c r="I26" i="6" s="1"/>
  <c r="H25" i="6"/>
  <c r="F25" i="6"/>
  <c r="I25" i="6" s="1"/>
  <c r="I24" i="6"/>
  <c r="H24" i="6"/>
  <c r="F24" i="6"/>
  <c r="I23" i="6"/>
  <c r="H23" i="6"/>
  <c r="F23" i="6"/>
  <c r="I22" i="6"/>
  <c r="H22" i="6"/>
  <c r="F22" i="6"/>
  <c r="F21" i="6"/>
  <c r="G20" i="6"/>
  <c r="F20" i="6"/>
  <c r="G19" i="6"/>
  <c r="I19" i="6" s="1"/>
  <c r="F19" i="6"/>
  <c r="L18" i="6"/>
  <c r="L19" i="6" s="1"/>
  <c r="L20" i="6" s="1"/>
  <c r="G18" i="6"/>
  <c r="H18" i="6" s="1"/>
  <c r="F18" i="6"/>
  <c r="G17" i="6"/>
  <c r="F17" i="6"/>
  <c r="G16" i="6"/>
  <c r="I16" i="6" s="1"/>
  <c r="F16" i="6"/>
  <c r="G15" i="6"/>
  <c r="H15" i="6" s="1"/>
  <c r="F15" i="6"/>
  <c r="G14" i="6"/>
  <c r="I14" i="6" s="1"/>
  <c r="F14" i="6"/>
  <c r="G13" i="6"/>
  <c r="H13" i="6" s="1"/>
  <c r="F13" i="6"/>
  <c r="G12" i="6"/>
  <c r="H12" i="6" s="1"/>
  <c r="F12" i="6"/>
  <c r="G11" i="6"/>
  <c r="I11" i="6" s="1"/>
  <c r="F11" i="6"/>
  <c r="G10" i="6"/>
  <c r="I10" i="6" s="1"/>
  <c r="F10" i="6"/>
  <c r="G9" i="6"/>
  <c r="H9" i="6" s="1"/>
  <c r="F9" i="6"/>
  <c r="G8" i="6"/>
  <c r="I8" i="6" s="1"/>
  <c r="F8" i="6"/>
  <c r="G7" i="6"/>
  <c r="F7" i="6"/>
  <c r="G6" i="6"/>
  <c r="H6" i="6" s="1"/>
  <c r="F6" i="6"/>
  <c r="G5" i="6"/>
  <c r="I5" i="6" s="1"/>
  <c r="F5" i="6"/>
  <c r="G4" i="6"/>
  <c r="I4" i="6" s="1"/>
  <c r="F4" i="6"/>
  <c r="G3" i="6"/>
  <c r="H3" i="6" s="1"/>
  <c r="F3" i="6"/>
  <c r="G2" i="6"/>
  <c r="I2" i="6" s="1"/>
  <c r="F2" i="6"/>
  <c r="I86" i="5"/>
  <c r="I53" i="5"/>
  <c r="I54" i="5"/>
  <c r="I127" i="5"/>
  <c r="G142" i="5"/>
  <c r="I145" i="5"/>
  <c r="H145" i="5"/>
  <c r="G145" i="5"/>
  <c r="F145" i="5"/>
  <c r="G171" i="5"/>
  <c r="G3" i="4"/>
  <c r="G4" i="4"/>
  <c r="G5" i="4"/>
  <c r="G6" i="4"/>
  <c r="G7" i="4"/>
  <c r="G8" i="4"/>
  <c r="G9" i="4"/>
  <c r="G10" i="4"/>
  <c r="G11" i="4"/>
  <c r="G12" i="4"/>
  <c r="G13" i="4"/>
  <c r="G14" i="4"/>
  <c r="G15" i="4"/>
  <c r="G16" i="4"/>
  <c r="G17" i="4"/>
  <c r="G18" i="4"/>
  <c r="G19" i="4"/>
  <c r="G20"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0" i="6" l="1"/>
  <c r="I21" i="6"/>
  <c r="I17" i="6"/>
  <c r="I7" i="6"/>
  <c r="L23" i="6"/>
  <c r="I3" i="6"/>
  <c r="I6" i="6"/>
  <c r="I9" i="6"/>
  <c r="I12" i="6"/>
  <c r="I15" i="6"/>
  <c r="I18" i="6"/>
  <c r="H4" i="6"/>
  <c r="H7" i="6"/>
  <c r="H10" i="6"/>
  <c r="H16" i="6"/>
  <c r="I13" i="6"/>
  <c r="H19" i="6"/>
  <c r="H2" i="6"/>
  <c r="H5" i="6"/>
  <c r="H8" i="6"/>
  <c r="H11" i="6"/>
  <c r="H14" i="6"/>
  <c r="H17" i="6"/>
  <c r="H20" i="6"/>
  <c r="F2" i="4"/>
  <c r="L31" i="6" l="1"/>
  <c r="L30" i="6"/>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<sst xmlns="http://schemas.openxmlformats.org/spreadsheetml/2006/main" count="675" uniqueCount="445">
  <si>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</si>
  <si>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</si>
  <si>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</si>
  <si>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</si>
  <si>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</si>
  <si>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</si>
  <si>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</si>
  <si>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</si>
  <si>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</si>
  <si>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</si>
  <si>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</si>
  <si>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</si>
  <si>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</si>
  <si>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</si>
  <si>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</si>
  <si>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</si>
  <si>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</si>
  <si>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</si>
  <si>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</si>
  <si>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</si>
  <si>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</si>
  <si>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</si>
  <si>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</si>
  <si>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</si>
  <si>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</si>
  <si>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</si>
  <si>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</si>
  <si>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</si>
  <si>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</si>
  <si>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</si>
  <si>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</si>
  <si>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</si>
  <si>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</si>
  <si>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</si>
  <si>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</si>
  <si>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</si>
  <si>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</si>
  <si>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</si>
  <si>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</si>
  <si>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</si>
  <si>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</si>
  <si>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</si>
  <si>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</si>
  <si>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</si>
  <si>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</si>
  <si>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</si>
  <si>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</si>
  <si>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</si>
  <si>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</si>
  <si>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</si>
  <si>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</si>
  <si>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</si>
  <si>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</si>
  <si>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</si>
  <si>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</si>
  <si>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</si>
  <si>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</si>
  <si>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</si>
  <si>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</si>
  <si>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</si>
  <si>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</si>
  <si>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</si>
  <si>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</si>
  <si>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</si>
  <si>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</si>
  <si>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</si>
  <si>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</si>
  <si>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</si>
  <si>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</si>
  <si>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</si>
  <si>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</si>
  <si>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</si>
  <si>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</si>
  <si>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</si>
  <si>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</si>
  <si>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</si>
  <si>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</si>
  <si>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</si>
  <si>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</si>
  <si>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</si>
  <si>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</si>
  <si>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</si>
  <si>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</si>
  <si>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</si>
  <si>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</si>
  <si>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</si>
  <si>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</si>
  <si>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</si>
  <si>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</si>
  <si>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</si>
  <si>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</si>
  <si>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</si>
  <si>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</si>
  <si>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</si>
  <si>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</si>
  <si>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</si>
  <si>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</si>
  <si>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</si>
  <si>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</si>
  <si>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</si>
  <si>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</si>
  <si>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</si>
  <si>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</si>
  <si>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</si>
  <si>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</si>
  <si>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</si>
  <si>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</si>
  <si>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</si>
  <si>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</si>
  <si>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</si>
  <si>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</si>
  <si>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</si>
  <si>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</si>
  <si>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</si>
  <si>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</si>
  <si>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</si>
  <si>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</si>
  <si>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</si>
  <si>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</si>
  <si>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</si>
  <si>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</si>
  <si>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</si>
  <si>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</si>
  <si>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</si>
  <si>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</si>
  <si>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</si>
  <si>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</si>
  <si>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</si>
  <si>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</si>
  <si>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</si>
  <si>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</si>
  <si>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</si>
  <si>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</si>
  <si>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</si>
  <si>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</si>
  <si>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</si>
  <si>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</si>
  <si>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</si>
  <si>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</si>
  <si>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</si>
  <si>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</si>
  <si>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</si>
  <si>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</si>
  <si>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</si>
  <si>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</si>
  <si>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</si>
  <si>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</si>
  <si>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</si>
  <si>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</si>
  <si>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</si>
  <si>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</si>
  <si>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</si>
  <si>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</si>
  <si>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</si>
  <si>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</si>
  <si>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</si>
  <si>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</si>
  <si>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</si>
  <si>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</si>
  <si>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</si>
  <si>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</si>
  <si>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</si>
  <si>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</si>
  <si>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</si>
  <si>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</si>
  <si>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</si>
  <si>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</si>
  <si>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</si>
  <si>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</si>
  <si>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</si>
  <si>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</si>
  <si>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</si>
  <si>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</si>
  <si>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</si>
  <si>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</si>
  <si>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</si>
  <si>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</si>
  <si>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</si>
  <si>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</si>
  <si>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</si>
  <si>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</si>
  <si>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</si>
  <si>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</si>
  <si>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</si>
  <si>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</si>
  <si>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</si>
  <si>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</si>
  <si>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</si>
  <si>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</si>
  <si>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</si>
  <si>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</si>
  <si>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</si>
  <si>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</si>
  <si>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</si>
  <si>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</si>
  <si>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</si>
  <si>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</si>
  <si>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</si>
  <si>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</si>
  <si>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</si>
  <si>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</si>
  <si>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</si>
  <si>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</si>
  <si>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</si>
  <si>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</si>
  <si>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</si>
  <si>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</si>
  <si>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</si>
  <si>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</si>
  <si>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</si>
  <si>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</si>
  <si>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</si>
  <si>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</si>
  <si>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</si>
  <si>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</si>
  <si>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</si>
  <si>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</si>
  <si>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</si>
  <si>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</si>
  <si>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</si>
  <si>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</si>
  <si>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</si>
  <si>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</si>
  <si>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</si>
  <si>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</si>
  <si>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</si>
  <si>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</si>
  <si>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</si>
  <si>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</si>
  <si>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</si>
  <si>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</si>
  <si>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</si>
  <si>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</si>
  <si>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</si>
  <si>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</si>
  <si>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</si>
  <si>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</si>
  <si>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</si>
  <si>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</si>
  <si>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</si>
  <si>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</si>
  <si>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</si>
  <si>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</si>
  <si>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</si>
  <si>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</si>
  <si>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</si>
  <si>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</si>
  <si>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</si>
  <si>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</si>
  <si>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</si>
  <si>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</si>
  <si>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</si>
  <si>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</si>
  <si>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</si>
  <si>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</si>
  <si>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</si>
  <si>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</si>
  <si>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</si>
  <si>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</si>
  <si>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</si>
  <si>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</si>
  <si>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</si>
  <si>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</si>
  <si>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</si>
  <si>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</si>
  <si>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</si>
  <si>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</si>
  <si>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</si>
  <si>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</si>
  <si>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</si>
  <si>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</si>
  <si>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</si>
  <si>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</si>
  <si>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</si>
  <si>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</si>
  <si>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</si>
  <si>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</si>
  <si>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</si>
  <si>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</si>
  <si>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</si>
  <si>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</si>
  <si>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</si>
  <si>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</si>
  <si>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</si>
  <si>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</si>
  <si>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</si>
  <si>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</si>
  <si>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</si>
  <si>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</si>
  <si>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</si>
  <si>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</si>
  <si>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</si>
  <si>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</si>
  <si>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</si>
  <si>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</si>
  <si>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</si>
  <si>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</si>
  <si>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</si>
  <si>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</si>
  <si>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</si>
  <si>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</si>
  <si>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</si>
  <si>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</si>
  <si>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</si>
  <si>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</si>
  <si>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</si>
  <si>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</si>
  <si>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</si>
  <si>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</si>
  <si>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</si>
  <si>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</si>
  <si>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</si>
  <si>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</si>
  <si>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</si>
  <si>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</si>
  <si>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</si>
  <si>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</si>
  <si>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</si>
  <si>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</si>
  <si>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</si>
  <si>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</si>
  <si>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</si>
  <si>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</si>
  <si>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</si>
  <si>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</si>
  <si>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</si>
  <si>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</si>
  <si>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</si>
  <si>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</si>
  <si>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</si>
  <si>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</si>
  <si>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</si>
  <si>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</si>
  <si>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</si>
  <si>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</si>
  <si>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</si>
  <si>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</si>
  <si>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</si>
  <si>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</si>
  <si>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</si>
  <si>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</si>
  <si>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</si>
  <si>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</si>
  <si>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</si>
  <si>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</si>
  <si>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</si>
  <si>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</si>
  <si>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</si>
  <si>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</si>
  <si>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</si>
  <si>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</si>
  <si>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</si>
  <si>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</si>
  <si>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</si>
  <si>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</si>
  <si>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</si>
  <si>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</si>
  <si>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</si>
  <si>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</si>
  <si>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</si>
  <si>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</si>
  <si>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</si>
  <si>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</si>
  <si>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</si>
  <si>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</si>
  <si>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</si>
  <si>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</si>
  <si>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</si>
  <si>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</si>
  <si>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</si>
  <si>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</si>
  <si>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</si>
  <si>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</si>
  <si>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</si>
  <si>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</si>
  <si>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</si>
  <si>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</si>
  <si>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</si>
  <si>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</si>
  <si>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</si>
  <si>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</si>
  <si>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</si>
  <si>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</si>
  <si>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</si>
  <si>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</si>
  <si>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</si>
  <si>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</si>
  <si>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</si>
  <si>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</si>
  <si>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</si>
  <si>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</si>
  <si>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</si>
  <si>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</si>
  <si>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</si>
  <si>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</si>
  <si>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</si>
  <si>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</si>
  <si>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</si>
  <si>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</si>
  <si>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</si>
  <si>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</si>
  <si>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</si>
  <si>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</si>
  <si>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</si>
  <si>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</si>
  <si>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</si>
  <si>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</si>
  <si>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</si>
  <si>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</si>
  <si>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</si>
  <si>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</si>
  <si>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</si>
  <si>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보중화담전</t>
    <phoneticPr fontId="5" type="noConversion"/>
  </si>
  <si>
    <t>향부자</t>
    <phoneticPr fontId="5" type="noConversion"/>
  </si>
  <si>
    <t>반하</t>
    <phoneticPr fontId="5" type="noConversion"/>
  </si>
  <si>
    <t>복령</t>
    <phoneticPr fontId="5" type="noConversion"/>
  </si>
  <si>
    <t>과루인</t>
    <phoneticPr fontId="5" type="noConversion"/>
  </si>
  <si>
    <t>연교</t>
    <phoneticPr fontId="5" type="noConversion"/>
  </si>
  <si>
    <t>나복자</t>
    <phoneticPr fontId="5" type="noConversion"/>
  </si>
  <si>
    <t>신곡</t>
    <phoneticPr fontId="5" type="noConversion"/>
  </si>
  <si>
    <t>지실</t>
    <phoneticPr fontId="5" type="noConversion"/>
  </si>
  <si>
    <t>길경</t>
    <phoneticPr fontId="5" type="noConversion"/>
  </si>
  <si>
    <t>황련</t>
    <phoneticPr fontId="5" type="noConversion"/>
  </si>
  <si>
    <t>주초</t>
    <phoneticPr fontId="5" type="noConversion"/>
  </si>
  <si>
    <t>황금</t>
    <phoneticPr fontId="5" type="noConversion"/>
  </si>
  <si>
    <t>목향</t>
    <phoneticPr fontId="5" type="noConversion"/>
  </si>
  <si>
    <t>감초</t>
    <phoneticPr fontId="5" type="noConversion"/>
  </si>
  <si>
    <t>생강</t>
    <phoneticPr fontId="5" type="noConversion"/>
  </si>
  <si>
    <t>창출1</t>
    <phoneticPr fontId="5" type="noConversion"/>
  </si>
  <si>
    <t>진피1</t>
    <phoneticPr fontId="5" type="noConversion"/>
  </si>
  <si>
    <t>치자</t>
    <phoneticPr fontId="5" type="noConversion"/>
  </si>
  <si>
    <t>초</t>
    <phoneticPr fontId="5" type="noConversion"/>
  </si>
  <si>
    <t>백작약</t>
    <phoneticPr fontId="5" type="noConversion"/>
  </si>
  <si>
    <t>택사1</t>
    <phoneticPr fontId="5" type="noConversion"/>
  </si>
  <si>
    <t>김순곤</t>
    <phoneticPr fontId="5" type="noConversion"/>
  </si>
  <si>
    <t>F</t>
    <phoneticPr fontId="5" type="noConversion"/>
  </si>
  <si>
    <t>백출</t>
    <phoneticPr fontId="5" type="noConversion"/>
  </si>
  <si>
    <t>후박</t>
    <phoneticPr fontId="5" type="noConversion"/>
  </si>
  <si>
    <t>맥아</t>
    <phoneticPr fontId="5" type="noConversion"/>
  </si>
  <si>
    <t>산사</t>
    <phoneticPr fontId="5" type="noConversion"/>
  </si>
  <si>
    <t>대황</t>
    <phoneticPr fontId="5" type="noConversion"/>
  </si>
  <si>
    <t>후하</t>
    <phoneticPr fontId="5" type="noConversion"/>
  </si>
  <si>
    <t>패모</t>
    <phoneticPr fontId="5" type="noConversion"/>
  </si>
  <si>
    <t>개울화담전</t>
    <phoneticPr fontId="5" type="noConversion"/>
  </si>
  <si>
    <t xml:space="preserve">1차약 + 길경대패모, 창출대백출 + 맥아, 산사, 대황 - 과루인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</si>
</sst>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B5460-CC6A-4B5E-80C5-E3F0FEFAAE9C}">
  <sheetPr>
    <pageSetUpPr fitToPage="1"/>
  </sheetPr>
  <dimension ref="B1:M31"/>
  <sheetViews>
    <sheetView tabSelected="1" workbookViewId="0">
      <selection activeCell="F13" sqref="F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413</v>
      </c>
      <c r="D2" s="4"/>
      <c r="E2" s="88">
        <v>8</v>
      </c>
      <c r="F2" s="101">
        <f>E2*$L$15</f>
        <v>80</v>
      </c>
      <c r="G2">
        <f>VLOOKUP($C2,약재관리!A:J,10,FALSE)</f>
        <v>14.7</v>
      </c>
      <c r="H2" s="5">
        <f>G2*E2</f>
        <v>117.6</v>
      </c>
      <c r="I2" s="90">
        <f>G2*F2</f>
        <v>1176</v>
      </c>
      <c r="K2" s="7" t="s">
        <v>9</v>
      </c>
      <c r="L2" s="152">
        <v>94</v>
      </c>
      <c r="M2" s="153"/>
    </row>
    <row r="3" spans="2:13">
      <c r="B3" s="3">
        <v>2</v>
      </c>
      <c r="C3" t="s">
        <v>436</v>
      </c>
      <c r="D3" s="4"/>
      <c r="E3" s="88">
        <v>6</v>
      </c>
      <c r="F3" s="101">
        <f t="shared" ref="F3:F31" si="0">E3*$L$15</f>
        <v>60</v>
      </c>
      <c r="G3">
        <f>VLOOKUP($C3,약재관리!A:J,10,FALSE)</f>
        <v>30.3</v>
      </c>
      <c r="H3" s="5">
        <f t="shared" ref="H3:H31" si="1">G3*E3</f>
        <v>181.8</v>
      </c>
      <c r="I3" s="6">
        <f t="shared" ref="I3:I31" si="2">G3*F3</f>
        <v>1818</v>
      </c>
      <c r="K3" s="8" t="s">
        <v>10</v>
      </c>
      <c r="L3" s="147" t="s">
        <v>443</v>
      </c>
      <c r="M3" s="148"/>
    </row>
    <row r="4" spans="2:13">
      <c r="B4" s="3">
        <v>3</v>
      </c>
      <c r="C4" t="s">
        <v>414</v>
      </c>
      <c r="D4" s="4"/>
      <c r="E4" s="88">
        <v>4</v>
      </c>
      <c r="F4" s="101">
        <f t="shared" si="0"/>
        <v>40</v>
      </c>
      <c r="G4">
        <f>VLOOKUP($C4,약재관리!A:J,10,FALSE)</f>
        <v>47</v>
      </c>
      <c r="H4" s="5">
        <f t="shared" si="1"/>
        <v>188</v>
      </c>
      <c r="I4" s="6">
        <f t="shared" si="2"/>
        <v>1880</v>
      </c>
      <c r="K4" s="8" t="s">
        <v>11</v>
      </c>
      <c r="L4" s="154">
        <v>45772</v>
      </c>
      <c r="M4" s="148"/>
    </row>
    <row r="5" spans="2:13">
      <c r="B5" s="3">
        <v>4</v>
      </c>
      <c r="C5" t="s">
        <v>429</v>
      </c>
      <c r="D5" s="4"/>
      <c r="E5" s="88">
        <v>4</v>
      </c>
      <c r="F5" s="101">
        <f t="shared" si="0"/>
        <v>40</v>
      </c>
      <c r="G5">
        <f>VLOOKUP($C5,약재관리!A:J,10,FALSE)</f>
        <v>17.600000000000001</v>
      </c>
      <c r="H5" s="5">
        <f t="shared" si="1"/>
        <v>70.400000000000006</v>
      </c>
      <c r="I5" s="6">
        <f t="shared" si="2"/>
        <v>704</v>
      </c>
      <c r="K5" s="8" t="s">
        <v>12</v>
      </c>
      <c r="L5" s="147" t="s">
        <v>434</v>
      </c>
      <c r="M5" s="148"/>
    </row>
    <row r="6" spans="2:13">
      <c r="B6" s="3">
        <v>5</v>
      </c>
      <c r="C6" t="s">
        <v>415</v>
      </c>
      <c r="D6" s="4"/>
      <c r="E6" s="88">
        <v>4</v>
      </c>
      <c r="F6" s="101">
        <f t="shared" si="0"/>
        <v>40</v>
      </c>
      <c r="G6">
        <f>VLOOKUP($C6,약재관리!A:J,10,FALSE)</f>
        <v>11</v>
      </c>
      <c r="H6" s="5">
        <f t="shared" si="1"/>
        <v>44</v>
      </c>
      <c r="I6" s="6">
        <f t="shared" si="2"/>
        <v>440</v>
      </c>
      <c r="K6" s="8" t="s">
        <v>13</v>
      </c>
      <c r="L6" s="147">
        <v>74</v>
      </c>
      <c r="M6" s="148"/>
    </row>
    <row r="7" spans="2:13" ht="17.25" thickBot="1">
      <c r="B7" s="3">
        <v>6</v>
      </c>
      <c r="C7" t="s">
        <v>437</v>
      </c>
      <c r="D7" s="4"/>
      <c r="E7" s="88">
        <v>4</v>
      </c>
      <c r="F7" s="101">
        <f t="shared" si="0"/>
        <v>40</v>
      </c>
      <c r="G7">
        <f>VLOOKUP($C7,약재관리!A:J,10,FALSE)</f>
        <v>9</v>
      </c>
      <c r="H7" s="5">
        <f t="shared" si="1"/>
        <v>36</v>
      </c>
      <c r="I7" s="6">
        <f t="shared" si="2"/>
        <v>360</v>
      </c>
      <c r="K7" s="8" t="s">
        <v>14</v>
      </c>
      <c r="L7" s="155" t="s">
        <v>435</v>
      </c>
      <c r="M7" s="156"/>
    </row>
    <row r="8" spans="2:13" ht="17.25" thickBot="1">
      <c r="B8" s="3">
        <v>7</v>
      </c>
      <c r="C8" t="s">
        <v>417</v>
      </c>
      <c r="D8" s="4"/>
      <c r="E8" s="88">
        <v>4</v>
      </c>
      <c r="F8" s="101">
        <f t="shared" si="0"/>
        <v>40</v>
      </c>
      <c r="G8">
        <f>VLOOKUP($C8,약재관리!A:J,10,FALSE)</f>
        <v>28</v>
      </c>
      <c r="H8" s="5">
        <f t="shared" si="1"/>
        <v>112</v>
      </c>
      <c r="I8" s="6">
        <f t="shared" si="2"/>
        <v>1120</v>
      </c>
      <c r="K8" s="149" t="s">
        <v>15</v>
      </c>
      <c r="L8" s="150"/>
      <c r="M8" s="151"/>
    </row>
    <row r="9" spans="2:13">
      <c r="B9" s="3">
        <v>8</v>
      </c>
      <c r="C9" t="s">
        <v>418</v>
      </c>
      <c r="D9" s="4"/>
      <c r="E9" s="88">
        <v>4</v>
      </c>
      <c r="F9" s="101">
        <f t="shared" si="0"/>
        <v>40</v>
      </c>
      <c r="G9">
        <f>VLOOKUP($C9,약재관리!A:J,10,FALSE)</f>
        <v>6.7</v>
      </c>
      <c r="H9" s="5">
        <f t="shared" si="1"/>
        <v>26.8</v>
      </c>
      <c r="I9" s="6">
        <f t="shared" si="2"/>
        <v>268</v>
      </c>
      <c r="K9" s="166" t="s">
        <v>444</v>
      </c>
      <c r="L9" s="158"/>
      <c r="M9" s="159"/>
    </row>
    <row r="10" spans="2:13">
      <c r="B10" s="3">
        <v>9</v>
      </c>
      <c r="C10" t="s">
        <v>419</v>
      </c>
      <c r="D10" s="4"/>
      <c r="E10" s="88">
        <v>6</v>
      </c>
      <c r="F10" s="101">
        <f t="shared" si="0"/>
        <v>60</v>
      </c>
      <c r="G10">
        <f>VLOOKUP($C10,약재관리!A:J,10,FALSE)</f>
        <v>8</v>
      </c>
      <c r="H10" s="5">
        <f t="shared" si="1"/>
        <v>48</v>
      </c>
      <c r="I10" s="6">
        <f t="shared" si="2"/>
        <v>480</v>
      </c>
      <c r="K10" s="160"/>
      <c r="L10" s="161"/>
      <c r="M10" s="162"/>
    </row>
    <row r="11" spans="2:13">
      <c r="B11" s="3">
        <v>10</v>
      </c>
      <c r="C11" t="s">
        <v>420</v>
      </c>
      <c r="D11" s="4"/>
      <c r="E11" s="88">
        <v>4</v>
      </c>
      <c r="F11" s="101">
        <f t="shared" si="0"/>
        <v>40</v>
      </c>
      <c r="G11">
        <f>VLOOKUP($C11,약재관리!A:J,10,FALSE)</f>
        <v>16.7</v>
      </c>
      <c r="H11" s="5">
        <f t="shared" si="1"/>
        <v>66.8</v>
      </c>
      <c r="I11" s="6">
        <f t="shared" si="2"/>
        <v>668</v>
      </c>
      <c r="K11" s="160"/>
      <c r="L11" s="161"/>
      <c r="M11" s="162"/>
    </row>
    <row r="12" spans="2:13">
      <c r="B12" s="3">
        <v>11</v>
      </c>
      <c r="C12" t="s">
        <v>442</v>
      </c>
      <c r="D12" s="4"/>
      <c r="E12" s="88">
        <v>4</v>
      </c>
      <c r="F12" s="101">
        <f t="shared" si="0"/>
        <v>40</v>
      </c>
      <c r="G12">
        <f>VLOOKUP($C12,약재관리!A:J,10,FALSE)</f>
        <v>32</v>
      </c>
      <c r="H12" s="5">
        <f t="shared" si="1"/>
        <v>128</v>
      </c>
      <c r="I12" s="6">
        <f t="shared" si="2"/>
        <v>1280</v>
      </c>
      <c r="K12" s="160"/>
      <c r="L12" s="161"/>
      <c r="M12" s="162"/>
    </row>
    <row r="13" spans="2:13" ht="17.25" thickBot="1">
      <c r="B13" s="3">
        <v>12</v>
      </c>
      <c r="C13" t="s">
        <v>422</v>
      </c>
      <c r="D13" s="4" t="s">
        <v>423</v>
      </c>
      <c r="E13" s="88">
        <v>2</v>
      </c>
      <c r="F13" s="101">
        <f t="shared" si="0"/>
        <v>20</v>
      </c>
      <c r="G13">
        <f>VLOOKUP($C13,약재관리!A:J,10,FALSE)</f>
        <v>136.80000000000001</v>
      </c>
      <c r="H13" s="5">
        <f t="shared" si="1"/>
        <v>273.60000000000002</v>
      </c>
      <c r="I13" s="6">
        <f t="shared" si="2"/>
        <v>2736</v>
      </c>
      <c r="K13" s="163"/>
      <c r="L13" s="164"/>
      <c r="M13" s="165"/>
    </row>
    <row r="14" spans="2:13">
      <c r="B14" s="3">
        <v>13</v>
      </c>
      <c r="C14" t="s">
        <v>424</v>
      </c>
      <c r="D14" s="4" t="s">
        <v>423</v>
      </c>
      <c r="E14" s="88">
        <v>2</v>
      </c>
      <c r="F14" s="101">
        <f t="shared" si="0"/>
        <v>20</v>
      </c>
      <c r="G14">
        <f>VLOOKUP($C14,약재관리!A:J,10,FALSE)</f>
        <v>22.5</v>
      </c>
      <c r="H14" s="5">
        <f t="shared" si="1"/>
        <v>45</v>
      </c>
      <c r="I14" s="6">
        <f t="shared" si="2"/>
        <v>450</v>
      </c>
      <c r="K14" s="92" t="s">
        <v>16</v>
      </c>
      <c r="L14" s="9">
        <v>10</v>
      </c>
      <c r="M14" s="10" t="s">
        <v>17</v>
      </c>
    </row>
    <row r="15" spans="2:13">
      <c r="B15" s="3">
        <v>14</v>
      </c>
      <c r="C15" t="s">
        <v>425</v>
      </c>
      <c r="D15" s="4"/>
      <c r="E15" s="88">
        <v>2</v>
      </c>
      <c r="F15" s="101">
        <f t="shared" si="0"/>
        <v>20</v>
      </c>
      <c r="G15">
        <f>VLOOKUP($C15,약재관리!A:J,10,FALSE)</f>
        <v>12.2</v>
      </c>
      <c r="H15" s="5">
        <f t="shared" si="1"/>
        <v>24.4</v>
      </c>
      <c r="I15" s="6">
        <f t="shared" si="2"/>
        <v>244</v>
      </c>
      <c r="K15" s="91" t="s">
        <v>18</v>
      </c>
      <c r="L15">
        <v>10</v>
      </c>
      <c r="M15" s="4" t="s">
        <v>19</v>
      </c>
    </row>
    <row r="16" spans="2:13">
      <c r="B16" s="3">
        <v>15</v>
      </c>
      <c r="C16" t="s">
        <v>426</v>
      </c>
      <c r="D16" s="4"/>
      <c r="E16" s="88">
        <v>2</v>
      </c>
      <c r="F16" s="101">
        <f t="shared" si="0"/>
        <v>20</v>
      </c>
      <c r="G16">
        <f>VLOOKUP($C16,약재관리!A:J,10,FALSE)</f>
        <v>28.3</v>
      </c>
      <c r="H16" s="5">
        <f t="shared" si="1"/>
        <v>56.6</v>
      </c>
      <c r="I16" s="6">
        <f t="shared" si="2"/>
        <v>566</v>
      </c>
      <c r="K16" s="91" t="s">
        <v>20</v>
      </c>
      <c r="L16">
        <v>20</v>
      </c>
      <c r="M16" s="4" t="s">
        <v>21</v>
      </c>
    </row>
    <row r="17" spans="2:13" ht="17.25" thickBot="1">
      <c r="B17" s="3">
        <v>16</v>
      </c>
      <c r="C17" t="s">
        <v>438</v>
      </c>
      <c r="D17" s="4"/>
      <c r="E17" s="88">
        <v>3</v>
      </c>
      <c r="F17" s="101">
        <f t="shared" si="0"/>
        <v>30</v>
      </c>
      <c r="G17">
        <f>VLOOKUP($C17,약재관리!A:J,10,FALSE)</f>
        <v>7.5</v>
      </c>
      <c r="H17" s="5">
        <f t="shared" si="1"/>
        <v>22.5</v>
      </c>
      <c r="I17" s="6">
        <f t="shared" si="2"/>
        <v>225</v>
      </c>
      <c r="K17" s="14" t="s">
        <v>22</v>
      </c>
      <c r="L17" s="11">
        <v>110</v>
      </c>
      <c r="M17" s="12" t="s">
        <v>23</v>
      </c>
    </row>
    <row r="18" spans="2:13">
      <c r="B18" s="3">
        <v>17</v>
      </c>
      <c r="C18" t="s">
        <v>427</v>
      </c>
      <c r="D18" s="4"/>
      <c r="E18" s="88">
        <v>4</v>
      </c>
      <c r="F18" s="101">
        <f t="shared" si="0"/>
        <v>40</v>
      </c>
      <c r="G18">
        <f>VLOOKUP($C18,약재관리!A:J,10,FALSE)</f>
        <v>15</v>
      </c>
      <c r="H18" s="5">
        <f t="shared" si="1"/>
        <v>60</v>
      </c>
      <c r="I18" s="6">
        <f t="shared" si="2"/>
        <v>600</v>
      </c>
      <c r="K18" s="92" t="s">
        <v>24</v>
      </c>
      <c r="L18" s="9">
        <f>SUM(E2:E31)</f>
        <v>78</v>
      </c>
      <c r="M18" s="10" t="s">
        <v>25</v>
      </c>
    </row>
    <row r="19" spans="2:13">
      <c r="B19" s="3">
        <v>18</v>
      </c>
      <c r="C19" t="s">
        <v>430</v>
      </c>
      <c r="D19" s="4" t="s">
        <v>431</v>
      </c>
      <c r="E19" s="88">
        <v>3</v>
      </c>
      <c r="F19" s="101">
        <f t="shared" si="0"/>
        <v>30</v>
      </c>
      <c r="G19">
        <f>VLOOKUP($C19,약재관리!A:J,10,FALSE)</f>
        <v>26</v>
      </c>
      <c r="H19" s="5">
        <f t="shared" si="1"/>
        <v>78</v>
      </c>
      <c r="I19" s="6">
        <f t="shared" si="2"/>
        <v>780</v>
      </c>
      <c r="K19" s="91" t="s">
        <v>26</v>
      </c>
      <c r="L19">
        <f>L15*L18</f>
        <v>780</v>
      </c>
      <c r="M19" s="4" t="s">
        <v>25</v>
      </c>
    </row>
    <row r="20" spans="2:13" ht="17.25" thickBot="1">
      <c r="B20" s="3">
        <v>19</v>
      </c>
      <c r="C20" t="s">
        <v>440</v>
      </c>
      <c r="D20" s="4" t="s">
        <v>441</v>
      </c>
      <c r="E20" s="88">
        <v>2</v>
      </c>
      <c r="F20" s="101">
        <f t="shared" si="0"/>
        <v>20</v>
      </c>
      <c r="G20">
        <f>VLOOKUP($C20,약재관리!A:J,10,FALSE)</f>
        <v>13</v>
      </c>
      <c r="H20" s="5">
        <f t="shared" si="1"/>
        <v>26</v>
      </c>
      <c r="I20" s="6">
        <f t="shared" si="2"/>
        <v>260</v>
      </c>
      <c r="K20" s="14" t="s">
        <v>27</v>
      </c>
      <c r="L20" s="11">
        <f>L16*L17+L19</f>
        <v>2980</v>
      </c>
      <c r="M20" s="12" t="s">
        <v>23</v>
      </c>
    </row>
    <row r="21" spans="2:13" ht="17.25" thickBot="1">
      <c r="B21" s="3">
        <v>20</v>
      </c>
      <c r="C21" t="s">
        <v>439</v>
      </c>
      <c r="D21" s="4"/>
      <c r="E21" s="88">
        <v>6</v>
      </c>
      <c r="F21" s="101">
        <f t="shared" si="0"/>
        <v>60</v>
      </c>
      <c r="G21">
        <f>VLOOKUP($C21,약재관리!A:J,10,FALSE)</f>
        <v>7</v>
      </c>
      <c r="H21" s="5">
        <f t="shared" si="1"/>
        <v>42</v>
      </c>
      <c r="I21" s="6">
        <f t="shared" si="2"/>
        <v>420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780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1647.5</v>
      </c>
      <c r="M30" s="4" t="s">
        <v>384</v>
      </c>
    </row>
    <row r="31" spans="2:13" ht="17.25" thickBot="1">
      <c r="B31" s="13">
        <v>30</v>
      </c>
      <c r="C31" s="14"/>
      <c r="D31" s="12"/>
      <c r="E31" s="95"/>
      <c r="F31" s="102">
        <f t="shared" si="0"/>
        <v>0</v>
      </c>
      <c r="G31" s="11"/>
      <c r="H31" s="15">
        <f t="shared" si="1"/>
        <v>0</v>
      </c>
      <c r="I31" s="16">
        <f t="shared" si="2"/>
        <v>0</v>
      </c>
      <c r="K31" s="14" t="s">
        <v>383</v>
      </c>
      <c r="L31" s="15">
        <f>SUM(I2:I31)</f>
        <v>16475</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24" sqref="F2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413</v>
      </c>
      <c r="D2" s="4"/>
      <c r="E2" s="88">
        <v>8</v>
      </c>
      <c r="F2" s="101">
        <f>E2*$L$15</f>
        <v>80</v>
      </c>
      <c r="G2">
        <f>VLOOKUP($C2,약재관리!A:J,10,FALSE)</f>
        <v>14.7</v>
      </c>
      <c r="H2" s="5">
        <f>G2*E2</f>
        <v>117.6</v>
      </c>
      <c r="I2" s="90">
        <f>G2*F2</f>
        <v>1176</v>
      </c>
      <c r="K2" s="7" t="s">
        <v>9</v>
      </c>
      <c r="L2" s="152">
        <v>94</v>
      </c>
      <c r="M2" s="153"/>
    </row>
    <row r="3" spans="2:13">
      <c r="B3" s="3">
        <v>2</v>
      </c>
      <c r="C3" t="s">
        <v>428</v>
      </c>
      <c r="D3" s="4"/>
      <c r="E3" s="88">
        <v>6</v>
      </c>
      <c r="F3" s="101">
        <f t="shared" ref="F3:F31" si="0">E3*$L$15</f>
        <v>60</v>
      </c>
      <c r="G3">
        <f>VLOOKUP($C3,약재관리!A:J,10,FALSE)</f>
        <v>22</v>
      </c>
      <c r="H3" s="5">
        <f t="shared" ref="H3:H31" si="1">G3*E3</f>
        <v>132</v>
      </c>
      <c r="I3" s="6">
        <f t="shared" ref="I3:I31" si="2">G3*F3</f>
        <v>1320</v>
      </c>
      <c r="K3" s="8" t="s">
        <v>10</v>
      </c>
      <c r="L3" s="147" t="s">
        <v>412</v>
      </c>
      <c r="M3" s="148"/>
    </row>
    <row r="4" spans="2:13">
      <c r="B4" s="3">
        <v>3</v>
      </c>
      <c r="C4" t="s">
        <v>414</v>
      </c>
      <c r="D4" s="4"/>
      <c r="E4" s="88">
        <v>6</v>
      </c>
      <c r="F4" s="101">
        <f t="shared" si="0"/>
        <v>60</v>
      </c>
      <c r="G4">
        <f>VLOOKUP($C4,약재관리!A:J,10,FALSE)</f>
        <v>47</v>
      </c>
      <c r="H4" s="5">
        <f t="shared" si="1"/>
        <v>282</v>
      </c>
      <c r="I4" s="6">
        <f t="shared" si="2"/>
        <v>2820</v>
      </c>
      <c r="K4" s="8" t="s">
        <v>11</v>
      </c>
      <c r="L4" s="154">
        <v>45747</v>
      </c>
      <c r="M4" s="148"/>
    </row>
    <row r="5" spans="2:13">
      <c r="B5" s="3">
        <v>4</v>
      </c>
      <c r="C5" t="s">
        <v>429</v>
      </c>
      <c r="D5" s="4"/>
      <c r="E5" s="88">
        <v>4</v>
      </c>
      <c r="F5" s="101">
        <f t="shared" si="0"/>
        <v>40</v>
      </c>
      <c r="G5">
        <f>VLOOKUP($C5,약재관리!A:J,10,FALSE)</f>
        <v>17.600000000000001</v>
      </c>
      <c r="H5" s="5">
        <f t="shared" si="1"/>
        <v>70.400000000000006</v>
      </c>
      <c r="I5" s="6">
        <f t="shared" si="2"/>
        <v>704</v>
      </c>
      <c r="K5" s="8" t="s">
        <v>12</v>
      </c>
      <c r="L5" s="147" t="s">
        <v>434</v>
      </c>
      <c r="M5" s="148"/>
    </row>
    <row r="6" spans="2:13">
      <c r="B6" s="3">
        <v>5</v>
      </c>
      <c r="C6" t="s">
        <v>415</v>
      </c>
      <c r="D6" s="4"/>
      <c r="E6" s="88">
        <v>4</v>
      </c>
      <c r="F6" s="101">
        <f t="shared" si="0"/>
        <v>40</v>
      </c>
      <c r="G6">
        <f>VLOOKUP($C6,약재관리!A:J,10,FALSE)</f>
        <v>11</v>
      </c>
      <c r="H6" s="5">
        <f t="shared" si="1"/>
        <v>44</v>
      </c>
      <c r="I6" s="6">
        <f t="shared" si="2"/>
        <v>440</v>
      </c>
      <c r="K6" s="8" t="s">
        <v>13</v>
      </c>
      <c r="L6" s="147">
        <v>74</v>
      </c>
      <c r="M6" s="148"/>
    </row>
    <row r="7" spans="2:13" ht="17.25" thickBot="1">
      <c r="B7" s="3">
        <v>6</v>
      </c>
      <c r="C7" t="s">
        <v>416</v>
      </c>
      <c r="D7" s="4"/>
      <c r="E7" s="88">
        <v>4</v>
      </c>
      <c r="F7" s="101">
        <f t="shared" si="0"/>
        <v>40</v>
      </c>
      <c r="G7">
        <f>VLOOKUP($C7,약재관리!A:J,10,FALSE)</f>
        <v>10.8</v>
      </c>
      <c r="H7" s="5">
        <f t="shared" si="1"/>
        <v>43.2</v>
      </c>
      <c r="I7" s="6">
        <f t="shared" si="2"/>
        <v>432</v>
      </c>
      <c r="K7" s="8" t="s">
        <v>14</v>
      </c>
      <c r="L7" s="155" t="s">
        <v>435</v>
      </c>
      <c r="M7" s="156"/>
    </row>
    <row r="8" spans="2:13" ht="17.25" thickBot="1">
      <c r="B8" s="3">
        <v>7</v>
      </c>
      <c r="C8" t="s">
        <v>417</v>
      </c>
      <c r="D8" s="4"/>
      <c r="E8" s="88">
        <v>4</v>
      </c>
      <c r="F8" s="101">
        <f t="shared" si="0"/>
        <v>40</v>
      </c>
      <c r="G8">
        <f>VLOOKUP($C8,약재관리!A:J,10,FALSE)</f>
        <v>28</v>
      </c>
      <c r="H8" s="5">
        <f t="shared" si="1"/>
        <v>112</v>
      </c>
      <c r="I8" s="6">
        <f t="shared" si="2"/>
        <v>1120</v>
      </c>
      <c r="K8" s="149" t="s">
        <v>15</v>
      </c>
      <c r="L8" s="150"/>
      <c r="M8" s="151"/>
    </row>
    <row r="9" spans="2:13">
      <c r="B9" s="3">
        <v>8</v>
      </c>
      <c r="C9" t="s">
        <v>418</v>
      </c>
      <c r="D9" s="4"/>
      <c r="E9" s="88">
        <v>4</v>
      </c>
      <c r="F9" s="101">
        <f t="shared" si="0"/>
        <v>40</v>
      </c>
      <c r="G9">
        <f>VLOOKUP($C9,약재관리!A:J,10,FALSE)</f>
        <v>6.7</v>
      </c>
      <c r="H9" s="5">
        <f t="shared" si="1"/>
        <v>26.8</v>
      </c>
      <c r="I9" s="6">
        <f t="shared" si="2"/>
        <v>268</v>
      </c>
      <c r="K9" s="157"/>
      <c r="L9" s="158"/>
      <c r="M9" s="159"/>
    </row>
    <row r="10" spans="2:13">
      <c r="B10" s="3">
        <v>9</v>
      </c>
      <c r="C10" t="s">
        <v>419</v>
      </c>
      <c r="D10" s="4"/>
      <c r="E10" s="88">
        <v>4</v>
      </c>
      <c r="F10" s="101">
        <f t="shared" si="0"/>
        <v>40</v>
      </c>
      <c r="G10">
        <f>VLOOKUP($C10,약재관리!A:J,10,FALSE)</f>
        <v>8</v>
      </c>
      <c r="H10" s="5">
        <f t="shared" si="1"/>
        <v>32</v>
      </c>
      <c r="I10" s="6">
        <f t="shared" si="2"/>
        <v>320</v>
      </c>
      <c r="K10" s="160"/>
      <c r="L10" s="161"/>
      <c r="M10" s="162"/>
    </row>
    <row r="11" spans="2:13">
      <c r="B11" s="3">
        <v>10</v>
      </c>
      <c r="C11" t="s">
        <v>420</v>
      </c>
      <c r="D11" s="4"/>
      <c r="E11" s="88">
        <v>4</v>
      </c>
      <c r="F11" s="101">
        <f t="shared" si="0"/>
        <v>40</v>
      </c>
      <c r="G11">
        <f>VLOOKUP($C11,약재관리!A:J,10,FALSE)</f>
        <v>16.7</v>
      </c>
      <c r="H11" s="5">
        <f t="shared" si="1"/>
        <v>66.8</v>
      </c>
      <c r="I11" s="6">
        <f t="shared" si="2"/>
        <v>668</v>
      </c>
      <c r="K11" s="160"/>
      <c r="L11" s="161"/>
      <c r="M11" s="162"/>
    </row>
    <row r="12" spans="2:13">
      <c r="B12" s="3">
        <v>11</v>
      </c>
      <c r="C12" t="s">
        <v>421</v>
      </c>
      <c r="D12" s="4"/>
      <c r="E12" s="88">
        <v>4</v>
      </c>
      <c r="F12" s="101">
        <f t="shared" si="0"/>
        <v>40</v>
      </c>
      <c r="G12">
        <f>VLOOKUP($C12,약재관리!A:J,10,FALSE)</f>
        <v>11.5</v>
      </c>
      <c r="H12" s="5">
        <f t="shared" si="1"/>
        <v>46</v>
      </c>
      <c r="I12" s="6">
        <f t="shared" si="2"/>
        <v>460</v>
      </c>
      <c r="K12" s="160"/>
      <c r="L12" s="161"/>
      <c r="M12" s="162"/>
    </row>
    <row r="13" spans="2:13" ht="17.25" thickBot="1">
      <c r="B13" s="3">
        <v>12</v>
      </c>
      <c r="C13" t="s">
        <v>422</v>
      </c>
      <c r="D13" s="4" t="s">
        <v>423</v>
      </c>
      <c r="E13" s="88">
        <v>2</v>
      </c>
      <c r="F13" s="101">
        <f t="shared" si="0"/>
        <v>20</v>
      </c>
      <c r="G13">
        <f>VLOOKUP($C13,약재관리!A:J,10,FALSE)</f>
        <v>136.80000000000001</v>
      </c>
      <c r="H13" s="5">
        <f t="shared" si="1"/>
        <v>273.60000000000002</v>
      </c>
      <c r="I13" s="6">
        <f t="shared" si="2"/>
        <v>2736</v>
      </c>
      <c r="K13" s="163"/>
      <c r="L13" s="164"/>
      <c r="M13" s="165"/>
    </row>
    <row r="14" spans="2:13">
      <c r="B14" s="3">
        <v>13</v>
      </c>
      <c r="C14" t="s">
        <v>424</v>
      </c>
      <c r="D14" s="4" t="s">
        <v>423</v>
      </c>
      <c r="E14" s="88">
        <v>2</v>
      </c>
      <c r="F14" s="101">
        <f t="shared" si="0"/>
        <v>20</v>
      </c>
      <c r="G14">
        <f>VLOOKUP($C14,약재관리!A:J,10,FALSE)</f>
        <v>22.5</v>
      </c>
      <c r="H14" s="5">
        <f t="shared" si="1"/>
        <v>45</v>
      </c>
      <c r="I14" s="6">
        <f t="shared" si="2"/>
        <v>450</v>
      </c>
      <c r="K14" s="92" t="s">
        <v>16</v>
      </c>
      <c r="L14" s="9">
        <v>10</v>
      </c>
      <c r="M14" s="10" t="s">
        <v>17</v>
      </c>
    </row>
    <row r="15" spans="2:13">
      <c r="B15" s="3">
        <v>14</v>
      </c>
      <c r="C15" t="s">
        <v>425</v>
      </c>
      <c r="D15" s="4"/>
      <c r="E15" s="88">
        <v>2</v>
      </c>
      <c r="F15" s="101">
        <f t="shared" si="0"/>
        <v>20</v>
      </c>
      <c r="G15">
        <f>VLOOKUP($C15,약재관리!A:J,10,FALSE)</f>
        <v>12.2</v>
      </c>
      <c r="H15" s="5">
        <f t="shared" si="1"/>
        <v>24.4</v>
      </c>
      <c r="I15" s="6">
        <f t="shared" si="2"/>
        <v>244</v>
      </c>
      <c r="K15" s="91" t="s">
        <v>18</v>
      </c>
      <c r="L15">
        <v>10</v>
      </c>
      <c r="M15" s="4" t="s">
        <v>19</v>
      </c>
    </row>
    <row r="16" spans="2:13">
      <c r="B16" s="3">
        <v>15</v>
      </c>
      <c r="C16" t="s">
        <v>426</v>
      </c>
      <c r="D16" s="4"/>
      <c r="E16" s="88">
        <v>2</v>
      </c>
      <c r="F16" s="101">
        <f t="shared" si="0"/>
        <v>20</v>
      </c>
      <c r="G16">
        <f>VLOOKUP($C16,약재관리!A:J,10,FALSE)</f>
        <v>28.3</v>
      </c>
      <c r="H16" s="5">
        <f t="shared" si="1"/>
        <v>56.6</v>
      </c>
      <c r="I16" s="6">
        <f t="shared" si="2"/>
        <v>566</v>
      </c>
      <c r="K16" s="91" t="s">
        <v>20</v>
      </c>
      <c r="L16">
        <v>20</v>
      </c>
      <c r="M16" s="4" t="s">
        <v>21</v>
      </c>
    </row>
    <row r="17" spans="2:13" ht="17.25" thickBot="1">
      <c r="B17" s="3">
        <v>16</v>
      </c>
      <c r="C17" t="s">
        <v>433</v>
      </c>
      <c r="D17" s="4"/>
      <c r="E17" s="88">
        <v>4</v>
      </c>
      <c r="F17" s="101">
        <f t="shared" si="0"/>
        <v>40</v>
      </c>
      <c r="G17">
        <f>VLOOKUP($C17,약재관리!A:J,10,FALSE)</f>
        <v>23.7</v>
      </c>
      <c r="H17" s="5">
        <f t="shared" si="1"/>
        <v>94.8</v>
      </c>
      <c r="I17" s="6">
        <f t="shared" si="2"/>
        <v>948</v>
      </c>
      <c r="K17" s="14" t="s">
        <v>22</v>
      </c>
      <c r="L17" s="11">
        <v>110</v>
      </c>
      <c r="M17" s="12" t="s">
        <v>23</v>
      </c>
    </row>
    <row r="18" spans="2:13">
      <c r="B18" s="3">
        <v>17</v>
      </c>
      <c r="C18" t="s">
        <v>427</v>
      </c>
      <c r="D18" s="4"/>
      <c r="E18" s="88">
        <v>6</v>
      </c>
      <c r="F18" s="101">
        <f t="shared" si="0"/>
        <v>60</v>
      </c>
      <c r="G18">
        <f>VLOOKUP($C18,약재관리!A:J,10,FALSE)</f>
        <v>15</v>
      </c>
      <c r="H18" s="5">
        <f t="shared" si="1"/>
        <v>90</v>
      </c>
      <c r="I18" s="6">
        <f t="shared" si="2"/>
        <v>900</v>
      </c>
      <c r="K18" s="92" t="s">
        <v>24</v>
      </c>
      <c r="L18" s="9">
        <f>SUM(E2:E31)</f>
        <v>77</v>
      </c>
      <c r="M18" s="10" t="s">
        <v>25</v>
      </c>
    </row>
    <row r="19" spans="2:13">
      <c r="B19" s="3">
        <v>18</v>
      </c>
      <c r="C19" t="s">
        <v>430</v>
      </c>
      <c r="D19" s="4" t="s">
        <v>431</v>
      </c>
      <c r="E19" s="88">
        <v>3</v>
      </c>
      <c r="F19" s="101">
        <f t="shared" si="0"/>
        <v>30</v>
      </c>
      <c r="G19">
        <f>VLOOKUP($C19,약재관리!A:J,10,FALSE)</f>
        <v>26</v>
      </c>
      <c r="H19" s="5">
        <f t="shared" si="1"/>
        <v>78</v>
      </c>
      <c r="I19" s="6">
        <f t="shared" si="2"/>
        <v>780</v>
      </c>
      <c r="K19" s="91" t="s">
        <v>26</v>
      </c>
      <c r="L19">
        <f>L15*L18</f>
        <v>770</v>
      </c>
      <c r="M19" s="4" t="s">
        <v>25</v>
      </c>
    </row>
    <row r="20" spans="2:13" ht="17.25" thickBot="1">
      <c r="B20" s="3">
        <v>19</v>
      </c>
      <c r="C20" t="s">
        <v>432</v>
      </c>
      <c r="D20" s="4"/>
      <c r="E20" s="88">
        <v>4</v>
      </c>
      <c r="F20" s="101">
        <f t="shared" si="0"/>
        <v>40</v>
      </c>
      <c r="G20">
        <f>VLOOKUP($C20,약재관리!A:J,10,FALSE)</f>
        <v>19.600000000000001</v>
      </c>
      <c r="H20" s="5">
        <f t="shared" si="1"/>
        <v>78.400000000000006</v>
      </c>
      <c r="I20" s="6">
        <f t="shared" si="2"/>
        <v>784</v>
      </c>
      <c r="K20" s="14" t="s">
        <v>27</v>
      </c>
      <c r="L20" s="11">
        <f>L16*L17+L19</f>
        <v>2970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770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1713.6000000000001</v>
      </c>
      <c r="M30" s="4" t="s">
        <v>384</v>
      </c>
    </row>
    <row r="31" spans="2:13" ht="17.25" thickBot="1">
      <c r="B31" s="13">
        <v>30</v>
      </c>
      <c r="C31" s="14"/>
      <c r="D31" s="12"/>
      <c r="E31" s="95"/>
      <c r="F31" s="102">
        <f t="shared" si="0"/>
        <v>0</v>
      </c>
      <c r="G31" s="11"/>
      <c r="H31" s="15">
        <f t="shared" si="1"/>
        <v>0</v>
      </c>
      <c r="I31" s="16">
        <f t="shared" si="2"/>
        <v>0</v>
      </c>
      <c r="K31" s="14" t="s">
        <v>383</v>
      </c>
      <c r="L31" s="15">
        <f>SUM(I2:I31)</f>
        <v>17136</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15" zoomScaleNormal="100" workbookViewId="0">
      <selection activeCell="C124" sqref="C12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20000</v>
      </c>
      <c r="E92" s="37">
        <v>16600</v>
      </c>
      <c r="F92" s="115">
        <f t="shared" si="9"/>
        <v>0</v>
      </c>
      <c r="G92" s="44">
        <f t="shared" si="9"/>
        <v>31.2</v>
      </c>
      <c r="H92" s="38">
        <f t="shared" si="8"/>
        <v>33.333333333333336</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13800</v>
      </c>
      <c r="D103" s="36"/>
      <c r="E103" s="37">
        <v>18900</v>
      </c>
      <c r="F103" s="115">
        <f t="shared" si="9"/>
        <v>44.8</v>
      </c>
      <c r="G103" s="38">
        <f t="shared" si="9"/>
        <v>27.6</v>
      </c>
      <c r="H103" s="38">
        <f t="shared" si="10"/>
        <v>0</v>
      </c>
      <c r="I103" s="39">
        <f t="shared" si="10"/>
        <v>31.5</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11500</v>
      </c>
      <c r="E131" s="37">
        <v>12800</v>
      </c>
      <c r="F131" s="115">
        <f t="shared" si="12"/>
        <v>0</v>
      </c>
      <c r="G131" s="38">
        <f>C131/600</f>
        <v>21.333333333333332</v>
      </c>
      <c r="H131" s="38">
        <f t="shared" si="14"/>
        <v>19.166666666666668</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7700</v>
      </c>
      <c r="D154" s="36"/>
      <c r="E154" s="37">
        <v>10200</v>
      </c>
      <c r="F154" s="115">
        <f t="shared" si="19"/>
        <v>0</v>
      </c>
      <c r="G154" s="44">
        <f>C154/500</f>
        <v>15.4</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2025-04-25T03:30:03Z</cp:lastPrinted>
  <dcterms:created xsi:type="dcterms:W3CDTF">2024-09-12T16:35:01Z</dcterms:created>
  <dcterms:modified xsi:type="dcterms:W3CDTF">2025-04-25T03:31:10Z</dcterms:modified>
</cp:coreProperties>
</file>