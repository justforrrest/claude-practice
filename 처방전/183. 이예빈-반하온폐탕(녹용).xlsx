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15" documentId="8_{6EB8DC0A-AB56-415F-A9F3-EA1534264548}" xr6:coauthVersionLast="47" xr6:coauthVersionMax="47" xr10:uidLastSave="{C751B3C9-96BF-434D-9610-E39EFDDC6D10}"/>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7" l="1"/>
  <c r="G12" i="7"/>
  <c r="G13" i="7"/>
  <c r="G14" i="7"/>
  <c r="G9" i="7"/>
  <c r="G10" i="7"/>
  <c r="G8" i="7"/>
  <c r="G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<sst xmlns="http://schemas.openxmlformats.org/spreadsheetml/2006/main" count="600" uniqueCount="435">
  <si>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</si>
  <si>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</si>
  <si>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</si>
  <si>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</si>
  <si>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</si>
  <si>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</si>
  <si>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</si>
  <si>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</si>
  <si>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</si>
  <si>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</si>
  <si>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</si>
  <si>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</si>
  <si>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</si>
  <si>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</si>
  <si>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</si>
  <si>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</si>
  <si>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</si>
  <si>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</si>
  <si>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</si>
  <si>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</si>
  <si>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</si>
  <si>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</si>
  <si>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</si>
  <si>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</si>
  <si>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</si>
  <si>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</si>
  <si>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</si>
  <si>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</si>
  <si>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</si>
  <si>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</si>
  <si>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</si>
  <si>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</si>
  <si>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</si>
  <si>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</si>
  <si>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</si>
  <si>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</si>
  <si>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</si>
  <si>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</si>
  <si>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</si>
  <si>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</si>
  <si>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</si>
  <si>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</si>
  <si>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</si>
  <si>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</si>
  <si>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</si>
  <si>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</si>
  <si>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</si>
  <si>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</si>
  <si>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</si>
  <si>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</si>
  <si>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</si>
  <si>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</si>
  <si>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</si>
  <si>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</si>
  <si>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</si>
  <si>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</si>
  <si>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</si>
  <si>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</si>
  <si>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</si>
  <si>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</si>
  <si>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</si>
  <si>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</si>
  <si>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</si>
  <si>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</si>
  <si>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</si>
  <si>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</si>
  <si>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</si>
  <si>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</si>
  <si>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</si>
  <si>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</si>
  <si>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</si>
  <si>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</si>
  <si>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</si>
  <si>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</si>
  <si>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</si>
  <si>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</si>
  <si>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</si>
  <si>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</si>
  <si>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</si>
  <si>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</si>
  <si>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</si>
  <si>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</si>
  <si>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</si>
  <si>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</si>
  <si>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</si>
  <si>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</si>
  <si>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</si>
  <si>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</si>
  <si>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</si>
  <si>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</si>
  <si>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</si>
  <si>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</si>
  <si>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</si>
  <si>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</si>
  <si>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</si>
  <si>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</si>
  <si>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</si>
  <si>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</si>
  <si>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</si>
  <si>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</si>
  <si>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</si>
  <si>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</si>
  <si>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</si>
  <si>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</si>
  <si>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</si>
  <si>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</si>
  <si>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</si>
  <si>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</si>
  <si>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</si>
  <si>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</si>
  <si>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</si>
  <si>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</si>
  <si>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</si>
  <si>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</si>
  <si>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</si>
  <si>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</si>
  <si>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</si>
  <si>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</si>
  <si>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</si>
  <si>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</si>
  <si>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</si>
  <si>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</si>
  <si>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</si>
  <si>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</si>
  <si>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</si>
  <si>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</si>
  <si>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</si>
  <si>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</si>
  <si>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</si>
  <si>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</si>
  <si>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</si>
  <si>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</si>
  <si>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</si>
  <si>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</si>
  <si>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</si>
  <si>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</si>
  <si>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</si>
  <si>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</si>
  <si>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</si>
  <si>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</si>
  <si>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</si>
  <si>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</si>
  <si>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</si>
  <si>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</si>
  <si>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</si>
  <si>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</si>
  <si>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</si>
  <si>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</si>
  <si>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</si>
  <si>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</si>
  <si>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</si>
  <si>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</si>
  <si>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</si>
  <si>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</si>
  <si>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</si>
  <si>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</si>
  <si>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</si>
  <si>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</si>
  <si>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</si>
  <si>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</si>
  <si>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</si>
  <si>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</si>
  <si>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</si>
  <si>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</si>
  <si>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</si>
  <si>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</si>
  <si>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</si>
  <si>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</si>
  <si>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</si>
  <si>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</si>
  <si>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</si>
  <si>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</si>
  <si>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</si>
  <si>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</si>
  <si>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</si>
  <si>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</si>
  <si>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</si>
  <si>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</si>
  <si>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</si>
  <si>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</si>
  <si>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</si>
  <si>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</si>
  <si>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</si>
  <si>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</si>
  <si>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</si>
  <si>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</si>
  <si>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</si>
  <si>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</si>
  <si>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</si>
  <si>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</si>
  <si>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</si>
  <si>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</si>
  <si>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</si>
  <si>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</si>
  <si>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</si>
  <si>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</si>
  <si>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</si>
  <si>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</si>
  <si>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</si>
  <si>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</si>
  <si>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</si>
  <si>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</si>
  <si>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</si>
  <si>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</si>
  <si>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</si>
  <si>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</si>
  <si>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</si>
  <si>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</si>
  <si>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</si>
  <si>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</si>
  <si>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</si>
  <si>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</si>
  <si>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</si>
  <si>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</si>
  <si>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</si>
  <si>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</si>
  <si>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</si>
  <si>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</si>
  <si>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</si>
  <si>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</si>
  <si>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</si>
  <si>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</si>
  <si>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</si>
  <si>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</si>
  <si>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</si>
  <si>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</si>
  <si>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</si>
  <si>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</si>
  <si>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</si>
  <si>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</si>
  <si>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</si>
  <si>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</si>
  <si>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</si>
  <si>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</si>
  <si>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</si>
  <si>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</si>
  <si>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</si>
  <si>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</si>
  <si>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</si>
  <si>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</si>
  <si>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</si>
  <si>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</si>
  <si>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</si>
  <si>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</si>
  <si>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</si>
  <si>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</si>
  <si>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</si>
  <si>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</si>
  <si>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</si>
  <si>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</si>
  <si>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</si>
  <si>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</si>
  <si>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</si>
  <si>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</si>
  <si>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</si>
  <si>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</si>
  <si>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</si>
  <si>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</si>
  <si>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</si>
  <si>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</si>
  <si>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</si>
  <si>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</si>
  <si>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</si>
  <si>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</si>
  <si>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</si>
  <si>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</si>
  <si>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</si>
  <si>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</si>
  <si>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</si>
  <si>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</si>
  <si>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</si>
  <si>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</si>
  <si>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</si>
  <si>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</si>
  <si>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</si>
  <si>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</si>
  <si>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</si>
  <si>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</si>
  <si>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</si>
  <si>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</si>
  <si>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</si>
  <si>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</si>
  <si>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</si>
  <si>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</si>
  <si>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</si>
  <si>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</si>
  <si>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</si>
  <si>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</si>
  <si>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</si>
  <si>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</si>
  <si>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</si>
  <si>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</si>
  <si>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</si>
  <si>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</si>
  <si>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</si>
  <si>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</si>
  <si>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</si>
  <si>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</si>
  <si>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</si>
  <si>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</si>
  <si>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</si>
  <si>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</si>
  <si>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</si>
  <si>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</si>
  <si>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</si>
  <si>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</si>
  <si>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</si>
  <si>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</si>
  <si>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</si>
  <si>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</si>
  <si>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</si>
  <si>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</si>
  <si>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</si>
  <si>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</si>
  <si>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</si>
  <si>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</si>
  <si>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</si>
  <si>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</si>
  <si>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</si>
  <si>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</si>
  <si>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</si>
  <si>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</si>
  <si>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</si>
  <si>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</si>
  <si>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</si>
  <si>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</si>
  <si>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</si>
  <si>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</si>
  <si>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</si>
  <si>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</si>
  <si>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</si>
  <si>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</si>
  <si>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</si>
  <si>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</si>
  <si>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</si>
  <si>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</si>
  <si>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</si>
  <si>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</si>
  <si>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</si>
  <si>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</si>
  <si>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</si>
  <si>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</si>
  <si>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</si>
  <si>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</si>
  <si>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</si>
  <si>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</si>
  <si>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</si>
  <si>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</si>
  <si>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</si>
  <si>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</si>
  <si>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</si>
  <si>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</si>
  <si>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</si>
  <si>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</si>
  <si>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</si>
  <si>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</si>
  <si>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</si>
  <si>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</si>
  <si>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</si>
  <si>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</si>
  <si>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</si>
  <si>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</si>
  <si>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</si>
  <si>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</si>
  <si>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</si>
  <si>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</si>
  <si>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</si>
  <si>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</si>
  <si>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</si>
  <si>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</si>
  <si>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</si>
  <si>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</si>
  <si>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</si>
  <si>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</si>
  <si>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</si>
  <si>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</si>
  <si>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</si>
  <si>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</si>
  <si>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</si>
  <si>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</si>
  <si>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</si>
  <si>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</si>
  <si>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</si>
  <si>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</si>
  <si>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</si>
  <si>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</si>
  <si>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</si>
  <si>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</si>
  <si>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</si>
  <si>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</si>
  <si>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</si>
  <si>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</si>
  <si>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</si>
  <si>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</si>
  <si>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</si>
  <si>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</si>
  <si>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</si>
  <si>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</si>
  <si>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</si>
  <si>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</si>
  <si>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</si>
  <si>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</si>
  <si>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</si>
  <si>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</si>
  <si>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</si>
  <si>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</si>
  <si>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</si>
  <si>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</si>
  <si>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</si>
  <si>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</si>
  <si>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</si>
  <si>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</si>
  <si>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</si>
  <si>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</si>
  <si>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</si>
  <si>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</si>
  <si>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</si>
  <si>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</si>
  <si>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</si>
  <si>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감초</t>
    <phoneticPr fontId="5" type="noConversion"/>
  </si>
  <si>
    <t>오미자</t>
    <phoneticPr fontId="5" type="noConversion"/>
  </si>
  <si>
    <t>육계</t>
    <phoneticPr fontId="5" type="noConversion"/>
  </si>
  <si>
    <t>복령</t>
    <phoneticPr fontId="5" type="noConversion"/>
  </si>
  <si>
    <t>인삼</t>
    <phoneticPr fontId="5" type="noConversion"/>
  </si>
  <si>
    <t>진피1</t>
    <phoneticPr fontId="5" type="noConversion"/>
  </si>
  <si>
    <t>녹용</t>
    <phoneticPr fontId="5" type="noConversion"/>
  </si>
  <si>
    <t>백작약</t>
    <phoneticPr fontId="5" type="noConversion"/>
  </si>
  <si>
    <t>이예빈</t>
    <phoneticPr fontId="5" type="noConversion"/>
  </si>
  <si>
    <t>반하온폐탕</t>
    <phoneticPr fontId="5" type="noConversion"/>
  </si>
  <si>
    <t>반하</t>
    <phoneticPr fontId="5" type="noConversion"/>
  </si>
  <si>
    <t>세신</t>
    <phoneticPr fontId="5" type="noConversion"/>
  </si>
  <si>
    <t>건강</t>
    <phoneticPr fontId="5" type="noConversion"/>
  </si>
  <si>
    <t>길경</t>
    <phoneticPr fontId="5" type="noConversion"/>
  </si>
  <si>
    <t>교이</t>
    <phoneticPr fontId="5" type="noConversion"/>
  </si>
  <si>
    <t>소청거마가령탕 + 인삼 길경 진피 교이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</si>
</sst>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3" workbookViewId="0">
      <selection activeCell="M20" sqref="M2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429</v>
      </c>
      <c r="D2" s="3"/>
      <c r="E2" s="87">
        <v>12</v>
      </c>
      <c r="F2" s="171">
        <f>E2*$L$15</f>
        <v>120</v>
      </c>
      <c r="G2">
        <f>VLOOKUP($C2,[1]약재관리!$A:$J,10,FALSE)</f>
        <v>41</v>
      </c>
      <c r="H2" s="4">
        <f>G2*E2</f>
        <v>492</v>
      </c>
      <c r="I2" s="5">
        <f t="shared" ref="I2:I7" si="0">G2*F2</f>
        <v>4920</v>
      </c>
      <c r="J2" s="99">
        <f>F2/$L$14</f>
        <v>6</v>
      </c>
      <c r="K2" s="6" t="s">
        <v>6</v>
      </c>
      <c r="L2" s="189">
        <v>183</v>
      </c>
      <c r="M2" s="190"/>
    </row>
    <row r="3" spans="2:13">
      <c r="B3" s="2">
        <v>2</v>
      </c>
      <c r="C3" t="s">
        <v>430</v>
      </c>
      <c r="D3" s="3"/>
      <c r="E3" s="87">
        <v>6</v>
      </c>
      <c r="F3" s="97">
        <f t="shared" ref="F3:F4" si="1">E3*$L$15</f>
        <v>60</v>
      </c>
      <c r="G3">
        <f>VLOOKUP($C3,[1]약재관리!$A:$J,10,FALSE)</f>
        <v>145.19999999999999</v>
      </c>
      <c r="H3" s="4">
        <f t="shared" ref="H3:H4" si="2">G3*E3</f>
        <v>871.19999999999993</v>
      </c>
      <c r="I3" s="5">
        <f t="shared" si="0"/>
        <v>8712</v>
      </c>
      <c r="J3" s="99">
        <f t="shared" ref="J3:J18" si="3">F3/$L$14</f>
        <v>3</v>
      </c>
      <c r="K3" s="7" t="s">
        <v>7</v>
      </c>
      <c r="L3" s="187" t="s">
        <v>428</v>
      </c>
      <c r="M3" s="188"/>
    </row>
    <row r="4" spans="2:13">
      <c r="B4" s="2">
        <v>3</v>
      </c>
      <c r="C4" t="s">
        <v>431</v>
      </c>
      <c r="D4" s="3"/>
      <c r="E4" s="87">
        <v>6</v>
      </c>
      <c r="F4" s="97">
        <f t="shared" si="1"/>
        <v>60</v>
      </c>
      <c r="G4">
        <f>VLOOKUP($C4,[1]약재관리!$A:$J,10,FALSE)</f>
        <v>9.5</v>
      </c>
      <c r="H4" s="4">
        <f t="shared" si="2"/>
        <v>57</v>
      </c>
      <c r="I4" s="5">
        <f t="shared" si="0"/>
        <v>570</v>
      </c>
      <c r="J4" s="99">
        <f t="shared" si="3"/>
        <v>3</v>
      </c>
      <c r="K4" s="7" t="s">
        <v>8</v>
      </c>
      <c r="L4" s="191">
        <v>46048</v>
      </c>
      <c r="M4" s="188"/>
    </row>
    <row r="5" spans="2:13">
      <c r="B5" s="2">
        <v>4</v>
      </c>
      <c r="C5" t="s">
        <v>420</v>
      </c>
      <c r="D5" s="3"/>
      <c r="E5" s="87">
        <v>6</v>
      </c>
      <c r="F5" s="97">
        <f t="shared" ref="F5:F31" si="4">E5*$L$15</f>
        <v>60</v>
      </c>
      <c r="G5">
        <f>VLOOKUP($C5,[1]약재관리!$A:$J,10,FALSE)</f>
        <v>23.5</v>
      </c>
      <c r="H5" s="4">
        <f t="shared" ref="H5:H31" si="5">G5*E5</f>
        <v>141</v>
      </c>
      <c r="I5" s="5">
        <f t="shared" si="0"/>
        <v>1410</v>
      </c>
      <c r="J5" s="99">
        <f t="shared" si="3"/>
        <v>3</v>
      </c>
      <c r="K5" s="7" t="s">
        <v>9</v>
      </c>
      <c r="L5" s="187" t="s">
        <v>427</v>
      </c>
      <c r="M5" s="188"/>
    </row>
    <row r="6" spans="2:13">
      <c r="B6" s="2">
        <v>5</v>
      </c>
      <c r="C6" t="s">
        <v>421</v>
      </c>
      <c r="D6" s="3"/>
      <c r="E6" s="87">
        <v>6</v>
      </c>
      <c r="F6" s="97">
        <f t="shared" si="4"/>
        <v>60</v>
      </c>
      <c r="G6">
        <f>VLOOKUP($C6,[1]약재관리!$A:$J,10,FALSE)</f>
        <v>14.8</v>
      </c>
      <c r="H6" s="4">
        <f t="shared" si="5"/>
        <v>88.800000000000011</v>
      </c>
      <c r="I6" s="5">
        <f t="shared" si="0"/>
        <v>888</v>
      </c>
      <c r="J6" s="99">
        <f t="shared" si="3"/>
        <v>3</v>
      </c>
      <c r="K6" s="7" t="s">
        <v>10</v>
      </c>
      <c r="L6" s="187">
        <v>7</v>
      </c>
      <c r="M6" s="188"/>
    </row>
    <row r="7" spans="2:13" ht="17.25" thickBot="1">
      <c r="B7" s="2">
        <v>6</v>
      </c>
      <c r="C7" t="s">
        <v>426</v>
      </c>
      <c r="D7" s="3"/>
      <c r="E7" s="87">
        <v>6</v>
      </c>
      <c r="F7" s="97">
        <f t="shared" si="4"/>
        <v>60</v>
      </c>
      <c r="G7">
        <f>VLOOKUP($C7,[1]약재관리!$A:$J,10,FALSE)</f>
        <v>19.600000000000001</v>
      </c>
      <c r="H7" s="4">
        <f t="shared" si="5"/>
        <v>117.60000000000001</v>
      </c>
      <c r="I7" s="5">
        <f t="shared" si="0"/>
        <v>1176</v>
      </c>
      <c r="J7" s="99">
        <f t="shared" si="3"/>
        <v>3</v>
      </c>
      <c r="K7" s="7" t="s">
        <v>11</v>
      </c>
      <c r="L7" s="173" t="s">
        <v>417</v>
      </c>
      <c r="M7" s="174"/>
    </row>
    <row r="8" spans="2:13" ht="17.25" thickBot="1">
      <c r="B8" s="2">
        <v>7</v>
      </c>
      <c r="C8" t="s">
        <v>419</v>
      </c>
      <c r="D8" s="3"/>
      <c r="E8" s="87">
        <v>6</v>
      </c>
      <c r="F8" s="97">
        <f t="shared" si="4"/>
        <v>60</v>
      </c>
      <c r="G8">
        <f>VLOOKUP($C8,[1]약재관리!$A:$J,10,FALSE)</f>
        <v>30</v>
      </c>
      <c r="H8" s="4">
        <f t="shared" si="5"/>
        <v>180</v>
      </c>
      <c r="I8" s="5">
        <f t="shared" ref="I8:I31" si="6">G8*F8</f>
        <v>1800</v>
      </c>
      <c r="J8" s="99">
        <f t="shared" si="3"/>
        <v>3</v>
      </c>
      <c r="K8" s="175" t="s">
        <v>12</v>
      </c>
      <c r="L8" s="176"/>
      <c r="M8" s="177"/>
    </row>
    <row r="9" spans="2:13">
      <c r="B9" s="2">
        <v>8</v>
      </c>
      <c r="C9" t="s">
        <v>422</v>
      </c>
      <c r="D9" s="3"/>
      <c r="E9" s="87">
        <v>8</v>
      </c>
      <c r="F9" s="97">
        <f t="shared" si="4"/>
        <v>80</v>
      </c>
      <c r="G9">
        <f>VLOOKUP($C9,[1]약재관리!$A:$J,10,FALSE)</f>
        <v>8.6999999999999993</v>
      </c>
      <c r="H9" s="4">
        <f t="shared" si="5"/>
        <v>69.599999999999994</v>
      </c>
      <c r="I9" s="5">
        <f t="shared" si="6"/>
        <v>696</v>
      </c>
      <c r="J9" s="99">
        <f t="shared" si="3"/>
        <v>4</v>
      </c>
      <c r="K9" s="178" t="s">
        <v>434</v>
      </c>
      <c r="L9" s="179"/>
      <c r="M9" s="180"/>
    </row>
    <row r="10" spans="2:13">
      <c r="B10" s="2">
        <v>9</v>
      </c>
      <c r="C10" t="s">
        <v>425</v>
      </c>
      <c r="D10" s="3"/>
      <c r="E10" s="87">
        <v>4</v>
      </c>
      <c r="F10" s="97">
        <f t="shared" si="4"/>
        <v>40</v>
      </c>
      <c r="G10">
        <f>VLOOKUP($C10,[1]약재관리!$A:$J,10,FALSE)</f>
        <v>550</v>
      </c>
      <c r="H10" s="4">
        <f t="shared" si="5"/>
        <v>2200</v>
      </c>
      <c r="I10" s="5">
        <f t="shared" si="6"/>
        <v>22000</v>
      </c>
      <c r="J10" s="99">
        <f t="shared" si="3"/>
        <v>2</v>
      </c>
      <c r="K10" s="181"/>
      <c r="L10" s="182"/>
      <c r="M10" s="183"/>
    </row>
    <row r="11" spans="2:13">
      <c r="B11" s="2">
        <v>10</v>
      </c>
      <c r="C11" t="s">
        <v>423</v>
      </c>
      <c r="D11" s="3"/>
      <c r="E11" s="87">
        <v>4</v>
      </c>
      <c r="F11" s="97">
        <f t="shared" si="4"/>
        <v>40</v>
      </c>
      <c r="G11">
        <f>VLOOKUP($C11,[1]약재관리!$A:$J,10,FALSE)</f>
        <v>120</v>
      </c>
      <c r="H11" s="4">
        <f t="shared" si="5"/>
        <v>480</v>
      </c>
      <c r="I11" s="5">
        <f t="shared" si="6"/>
        <v>4800</v>
      </c>
      <c r="J11" s="99">
        <f t="shared" si="3"/>
        <v>2</v>
      </c>
      <c r="K11" s="181"/>
      <c r="L11" s="182"/>
      <c r="M11" s="183"/>
    </row>
    <row r="12" spans="2:13">
      <c r="B12" s="2">
        <v>11</v>
      </c>
      <c r="C12" t="s">
        <v>432</v>
      </c>
      <c r="D12" s="3"/>
      <c r="E12" s="87">
        <v>4</v>
      </c>
      <c r="F12" s="97">
        <f t="shared" si="4"/>
        <v>40</v>
      </c>
      <c r="G12">
        <f>VLOOKUP($C12,[1]약재관리!$A:$J,10,FALSE)</f>
        <v>11.5</v>
      </c>
      <c r="H12" s="4">
        <f t="shared" si="5"/>
        <v>46</v>
      </c>
      <c r="I12" s="5">
        <f t="shared" si="6"/>
        <v>460</v>
      </c>
      <c r="J12" s="99">
        <f t="shared" si="3"/>
        <v>2</v>
      </c>
      <c r="K12" s="181"/>
      <c r="L12" s="182"/>
      <c r="M12" s="183"/>
    </row>
    <row r="13" spans="2:13" ht="17.25" thickBot="1">
      <c r="B13" s="2">
        <v>12</v>
      </c>
      <c r="C13" t="s">
        <v>424</v>
      </c>
      <c r="D13" s="3"/>
      <c r="E13" s="87">
        <v>4</v>
      </c>
      <c r="F13" s="97">
        <f t="shared" si="4"/>
        <v>40</v>
      </c>
      <c r="G13">
        <f>VLOOKUP($C13,[1]약재관리!$A:$J,10,FALSE)</f>
        <v>17.600000000000001</v>
      </c>
      <c r="H13" s="4">
        <f t="shared" si="5"/>
        <v>70.400000000000006</v>
      </c>
      <c r="I13" s="5">
        <f t="shared" si="6"/>
        <v>704</v>
      </c>
      <c r="J13" s="99">
        <f t="shared" si="3"/>
        <v>2</v>
      </c>
      <c r="K13" s="184"/>
      <c r="L13" s="185"/>
      <c r="M13" s="186"/>
    </row>
    <row r="14" spans="2:13">
      <c r="B14" s="2">
        <v>13</v>
      </c>
      <c r="C14" t="s">
        <v>433</v>
      </c>
      <c r="D14" s="3"/>
      <c r="E14" s="87">
        <v>10</v>
      </c>
      <c r="F14" s="97">
        <f t="shared" si="4"/>
        <v>100</v>
      </c>
      <c r="G14">
        <f>VLOOKUP($C14,[1]약재관리!$A:$J,10,FALSE)</f>
        <v>5.3</v>
      </c>
      <c r="H14" s="4">
        <f>G14*E14</f>
        <v>53</v>
      </c>
      <c r="I14" s="5">
        <f>G14*F14</f>
        <v>530</v>
      </c>
      <c r="J14" s="99">
        <f t="shared" si="3"/>
        <v>5</v>
      </c>
      <c r="K14" s="90" t="s">
        <v>13</v>
      </c>
      <c r="L14" s="8">
        <v>20</v>
      </c>
      <c r="M14" s="9" t="s">
        <v>14</v>
      </c>
    </row>
    <row r="15" spans="2:13">
      <c r="B15" s="2">
        <v>14</v>
      </c>
      <c r="D15" s="3"/>
      <c r="F15" s="97">
        <f t="shared" si="4"/>
        <v>0</v>
      </c>
      <c r="H15" s="4">
        <f>G15*E15</f>
        <v>0</v>
      </c>
      <c r="I15" s="5">
        <f>G15*F15</f>
        <v>0</v>
      </c>
      <c r="J15" s="99">
        <f t="shared" si="3"/>
        <v>0</v>
      </c>
      <c r="K15" s="89" t="s">
        <v>15</v>
      </c>
      <c r="L15">
        <v>10</v>
      </c>
      <c r="M15" s="3" t="s">
        <v>16</v>
      </c>
    </row>
    <row r="16" spans="2:13">
      <c r="B16" s="2">
        <v>15</v>
      </c>
      <c r="D16" s="3"/>
      <c r="F16" s="97">
        <f t="shared" si="4"/>
        <v>0</v>
      </c>
      <c r="H16" s="4">
        <f t="shared" si="5"/>
        <v>0</v>
      </c>
      <c r="I16" s="5">
        <f t="shared" si="6"/>
        <v>0</v>
      </c>
      <c r="J16" s="99">
        <f t="shared" si="3"/>
        <v>0</v>
      </c>
      <c r="K16" s="89" t="s">
        <v>17</v>
      </c>
      <c r="L16">
        <v>45</v>
      </c>
      <c r="M16" s="3" t="s">
        <v>18</v>
      </c>
    </row>
    <row r="17" spans="2:13" ht="17.25" thickBot="1">
      <c r="B17" s="2">
        <v>16</v>
      </c>
      <c r="D17" s="3"/>
      <c r="F17" s="97">
        <f t="shared" si="4"/>
        <v>0</v>
      </c>
      <c r="H17" s="4">
        <f t="shared" si="5"/>
        <v>0</v>
      </c>
      <c r="I17" s="5">
        <f t="shared" si="6"/>
        <v>0</v>
      </c>
      <c r="J17" s="99">
        <f t="shared" si="3"/>
        <v>0</v>
      </c>
      <c r="K17" s="13" t="s">
        <v>19</v>
      </c>
      <c r="L17" s="10">
        <v>70</v>
      </c>
      <c r="M17" s="11" t="s">
        <v>20</v>
      </c>
    </row>
    <row r="18" spans="2:13">
      <c r="B18" s="2">
        <v>17</v>
      </c>
      <c r="D18" s="3"/>
      <c r="F18" s="97">
        <f t="shared" si="4"/>
        <v>0</v>
      </c>
      <c r="H18" s="4">
        <f t="shared" si="5"/>
        <v>0</v>
      </c>
      <c r="I18" s="5">
        <f t="shared" si="6"/>
        <v>0</v>
      </c>
      <c r="J18" s="99">
        <f t="shared" si="3"/>
        <v>0</v>
      </c>
      <c r="K18" s="90" t="s">
        <v>21</v>
      </c>
      <c r="L18" s="8">
        <f>SUM(E2:E31)</f>
        <v>82</v>
      </c>
      <c r="M18" s="9" t="s">
        <v>22</v>
      </c>
    </row>
    <row r="19" spans="2:13">
      <c r="B19" s="2">
        <v>18</v>
      </c>
      <c r="D19" s="3"/>
      <c r="F19" s="97">
        <f t="shared" si="4"/>
        <v>0</v>
      </c>
      <c r="H19" s="4">
        <f t="shared" si="5"/>
        <v>0</v>
      </c>
      <c r="I19" s="5">
        <f t="shared" si="6"/>
        <v>0</v>
      </c>
      <c r="K19" s="89" t="s">
        <v>23</v>
      </c>
      <c r="L19">
        <f>L15*L18</f>
        <v>820</v>
      </c>
      <c r="M19" s="3" t="s">
        <v>22</v>
      </c>
    </row>
    <row r="20" spans="2:13" ht="17.25" thickBot="1">
      <c r="B20" s="2">
        <v>19</v>
      </c>
      <c r="D20" s="3"/>
      <c r="F20" s="97">
        <f t="shared" si="4"/>
        <v>0</v>
      </c>
      <c r="H20" s="4">
        <f t="shared" si="5"/>
        <v>0</v>
      </c>
      <c r="I20" s="5">
        <f t="shared" si="6"/>
        <v>0</v>
      </c>
      <c r="K20" s="13" t="s">
        <v>24</v>
      </c>
      <c r="L20" s="10">
        <f>L16*L17+L19</f>
        <v>3970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820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4866.5999999999995</v>
      </c>
      <c r="M30" s="3" t="s">
        <v>33</v>
      </c>
    </row>
    <row r="31" spans="2:13" ht="17.25" thickBot="1">
      <c r="B31" s="12">
        <v>30</v>
      </c>
      <c r="C31" s="13"/>
      <c r="D31" s="11"/>
      <c r="E31" s="93"/>
      <c r="F31" s="98">
        <f t="shared" si="4"/>
        <v>0</v>
      </c>
      <c r="G31" s="10"/>
      <c r="H31" s="14">
        <f t="shared" si="5"/>
        <v>0</v>
      </c>
      <c r="I31" s="15">
        <f t="shared" si="6"/>
        <v>0</v>
      </c>
      <c r="K31" s="13" t="s">
        <v>34</v>
      </c>
      <c r="L31" s="14">
        <f>SUM(I2:I31)</f>
        <v>48666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2026-01-26T05:17:07Z</cp:lastPrinted>
  <dcterms:created xsi:type="dcterms:W3CDTF">2024-09-12T16:35:01Z</dcterms:created>
  <dcterms:modified xsi:type="dcterms:W3CDTF">2026-04-24T09:22:59Z</dcterms:modified>
  <cp:category/>
  <cp:contentStatus/>
</cp:coreProperties>
</file>