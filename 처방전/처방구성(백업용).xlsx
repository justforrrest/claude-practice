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2ab25238472eeb1d/^N한의원구상/@처방전/"/>
    </mc:Choice>
  </mc:AlternateContent>
  <xr:revisionPtr revIDLastSave="5692" documentId="8_{8478641B-F88D-4A9B-ACFA-7A2B3DF67CC8}" xr6:coauthVersionLast="47" xr6:coauthVersionMax="47" xr10:uidLastSave="{4CD931CA-50D7-4667-B89A-16C07047C904}"/>
  <bookViews>
    <workbookView xWindow="15" yWindow="30" windowWidth="15240" windowHeight="15450" tabRatio="601" firstSheet="56" activeTab="59" xr2:uid="{E889F95D-17AD-4EFC-9972-5AA70F010108}"/>
  </bookViews>
  <sheets>
    <sheet name="치자시탕 (한진규)" sheetId="111" r:id="rId1"/>
    <sheet name="감량탕 (강영희) (2)" sheetId="162" r:id="rId2"/>
    <sheet name="육울탕 (정숙희) (2)" sheetId="161" r:id="rId3"/>
    <sheet name="귀비탕 (김정순) (2)" sheetId="160" r:id="rId4"/>
    <sheet name="난간전가감 (김준영) (2)" sheetId="159" r:id="rId5"/>
    <sheet name="독활지황탕 (유경희) (2)" sheetId="157" r:id="rId6"/>
    <sheet name="자신통이탕 (김숙자) " sheetId="156" r:id="rId7"/>
    <sheet name="청훈화담탕 (신영우)" sheetId="155" r:id="rId8"/>
    <sheet name="향소산가감 (한연희) (2)" sheetId="154" r:id="rId9"/>
    <sheet name="청훈화담탕 (정치상)" sheetId="153" r:id="rId10"/>
    <sheet name="청간소요산 (유숙경)" sheetId="152" r:id="rId11"/>
    <sheet name="오적산 (심혜림) (2)" sheetId="116" r:id="rId12"/>
    <sheet name="귀비탕 (박지완)" sheetId="150" r:id="rId13"/>
    <sheet name="귀비온담탕 (윤연원 김향란 김복전)" sheetId="149" r:id="rId14"/>
    <sheet name="육울탕 (정숙희)" sheetId="148" r:id="rId15"/>
    <sheet name="육미지황탕 (김귀태, 이대우, 박문재)" sheetId="147" r:id="rId16"/>
    <sheet name="감량탕 (강영희)" sheetId="146" r:id="rId17"/>
    <sheet name="청상보하탕 (오명옥)" sheetId="145" r:id="rId18"/>
    <sheet name="난간전가감 (김준영)" sheetId="144" r:id="rId19"/>
    <sheet name="자감초탕 (한수연) (2)" sheetId="143" r:id="rId20"/>
    <sheet name="팔미지황환 (황태)" sheetId="142" r:id="rId21"/>
    <sheet name="독활지황탕 (유경희)" sheetId="141" r:id="rId22"/>
    <sheet name="생간건비탕 (성치주)" sheetId="140" r:id="rId23"/>
    <sheet name="감비탕(서승현)" sheetId="139" r:id="rId24"/>
    <sheet name="향사육군자탕 (서동석)" sheetId="138" r:id="rId25"/>
    <sheet name="생강사심탕 (김해선) (5)" sheetId="137" r:id="rId26"/>
    <sheet name="귀비탕 (김정순)" sheetId="136" r:id="rId27"/>
    <sheet name="개울화담전 (김일순)" sheetId="135" r:id="rId28"/>
    <sheet name="이기환 (김진수)" sheetId="134" r:id="rId29"/>
    <sheet name="형방사백산가감(한유찬) (2)" sheetId="133" r:id="rId30"/>
    <sheet name="가미대보탕 (강신자) (2)" sheetId="132" r:id="rId31"/>
    <sheet name="사물안신탕 (상비약)" sheetId="131" r:id="rId32"/>
    <sheet name="총명탕 (염경문)" sheetId="130" r:id="rId33"/>
    <sheet name="복령감초탕 합 반하후박탕  (배윤경) (2)" sheetId="129" r:id="rId34"/>
    <sheet name="감비탕-평위산합방 (서승현)" sheetId="127" r:id="rId35"/>
    <sheet name="청화보심탕 (서동석)" sheetId="126" r:id="rId36"/>
    <sheet name="독활기생탕 (김삼선)" sheetId="125" r:id="rId37"/>
    <sheet name="가미십전대보탕 (서원숙) (2)" sheetId="128" r:id="rId38"/>
    <sheet name="복령감초탕 (배윤경)" sheetId="124" r:id="rId39"/>
    <sheet name="시호계지탕가감 (윤재희) (2)" sheetId="123" r:id="rId40"/>
    <sheet name="쌍화탕가감방 (최문갑) (2)" sheetId="121" r:id="rId41"/>
    <sheet name="청심온담탕 (조백경) (2)" sheetId="119" r:id="rId42"/>
    <sheet name="개울화담전 (김삼선) (2)" sheetId="118" r:id="rId43"/>
    <sheet name="향소산가감 (한연희)" sheetId="117" r:id="rId44"/>
    <sheet name="가미대보탕 (강신자) (3)" sheetId="151" r:id="rId45"/>
    <sheet name="생강사심탕 (김해선) (3)" sheetId="114" r:id="rId46"/>
    <sheet name="현부이경탕 가감 (정은선)" sheetId="113" r:id="rId47"/>
    <sheet name="당귀작약산가감 (이수민) (2)" sheetId="112" r:id="rId48"/>
    <sheet name="향사육군자가감 (강미선)" sheetId="158" r:id="rId49"/>
    <sheet name="청심온담탕 (조백경)" sheetId="110" r:id="rId50"/>
    <sheet name="산조인탕 (김선이)" sheetId="108" r:id="rId51"/>
    <sheet name="사물탕합빈소산 (최문갑)" sheetId="107" r:id="rId52"/>
    <sheet name="회수산 (상비약)" sheetId="106" r:id="rId53"/>
    <sheet name="청간소요산 (박혜준2차)" sheetId="105" r:id="rId54"/>
    <sheet name="대함흉탕 (박혜준)" sheetId="104" r:id="rId55"/>
    <sheet name="양화이사탕 (최윤숙)" sheetId="102" r:id="rId56"/>
    <sheet name="향부자팔물탕 합 빈소산 (김임선)" sheetId="103" r:id="rId57"/>
    <sheet name="개울화담전 (김삼선)" sheetId="101" r:id="rId58"/>
    <sheet name="육미지황탕가감 (김운택)" sheetId="100" r:id="rId59"/>
    <sheet name="금수육군전가감(이상각-태희쌤 아버지)" sheetId="99" r:id="rId60"/>
    <sheet name="시호계지탕가감 (윤재희)" sheetId="98" r:id="rId61"/>
    <sheet name="방기황기탕가감 (송정희) (2)" sheetId="97" r:id="rId62"/>
    <sheet name="당귀작약산가감 (이수민)" sheetId="96" r:id="rId63"/>
    <sheet name="대황목단피탕가감 (박혜준)" sheetId="95" r:id="rId64"/>
    <sheet name="천왕보신단가감 (정선희)" sheetId="94" r:id="rId65"/>
    <sheet name="사물안신탕가감 (김일순)" sheetId="93" r:id="rId66"/>
    <sheet name="청심온담탕 (문주원)" sheetId="92" r:id="rId67"/>
    <sheet name="사물합빈소산 (윤연원)" sheetId="90" r:id="rId68"/>
    <sheet name="쌍화탕가감 피로회복방 (상비약)" sheetId="89" r:id="rId69"/>
    <sheet name="생강사심탕 (김해선) (2)" sheetId="88" r:id="rId70"/>
    <sheet name="감사거삼탕 (이태희)" sheetId="87" r:id="rId71"/>
    <sheet name="자감초탕 (한수연)" sheetId="86" r:id="rId72"/>
    <sheet name="청열보혈탕 (김희전)" sheetId="85" r:id="rId73"/>
    <sheet name="계지거작약탕가녹용 (홍리아)" sheetId="84" r:id="rId74"/>
    <sheet name="청심보혈탕 (허옥선)" sheetId="83" r:id="rId75"/>
    <sheet name="사역산가복령계지 (윤진희)" sheetId="82" r:id="rId76"/>
    <sheet name="할흔방 (이귀두)" sheetId="81" r:id="rId77"/>
    <sheet name="삼묘산 (상비약)" sheetId="80" r:id="rId78"/>
    <sheet name="은교산 (상비약)" sheetId="79" r:id="rId79"/>
    <sheet name="자신통이탕가감 (박재은)" sheetId="78" r:id="rId80"/>
    <sheet name="귀비탕가감 (박문재) (2)" sheetId="77" r:id="rId81"/>
    <sheet name="청심온담탕 (심혜림)" sheetId="76" r:id="rId82"/>
    <sheet name="형개연교탕 (상비약)" sheetId="75" r:id="rId83"/>
    <sheet name="삼소음 (상비약)" sheetId="10" r:id="rId84"/>
    <sheet name="삼소음가감방 (강신자)" sheetId="74" r:id="rId85"/>
    <sheet name="계지거작약가영출탕 (홍리아)" sheetId="73" r:id="rId86"/>
    <sheet name="시호가용골모려탕 (여혁제)" sheetId="72" r:id="rId87"/>
    <sheet name="방기황기탕가감 (송정희)" sheetId="71" r:id="rId88"/>
    <sheet name="치자후박탕 (이귀두)" sheetId="70" r:id="rId89"/>
    <sheet name="당귀작약산가감 (이정희)" sheetId="69" r:id="rId90"/>
    <sheet name="금수육군전가감 (이원서)" sheetId="68" r:id="rId91"/>
    <sheet name="개울화담전가감(장영자)" sheetId="67" r:id="rId92"/>
    <sheet name="삼기음가감 (박문재)" sheetId="66" r:id="rId93"/>
    <sheet name="십전대보탕가감 성장방 (한성빈)" sheetId="65" r:id="rId94"/>
    <sheet name="청상보하탕 (김정자)" sheetId="64" r:id="rId95"/>
    <sheet name="도인승기탕 (이의린)" sheetId="63" r:id="rId96"/>
    <sheet name="십전대보탕 (배서준)" sheetId="62" r:id="rId97"/>
    <sheet name="보중익기탕 (지송화) (3)" sheetId="61" r:id="rId98"/>
    <sheet name="영계출감탕 (홍리아)" sheetId="59" r:id="rId99"/>
    <sheet name="생간건비탕 (서상호)" sheetId="58" r:id="rId100"/>
    <sheet name="순기화중탕 (한소미)" sheetId="57" r:id="rId101"/>
    <sheet name="청심온담탕 (박명희) (2)" sheetId="56" r:id="rId102"/>
    <sheet name="가미대보탕 (김해선)" sheetId="55" r:id="rId103"/>
    <sheet name="육미지황탕 가감 (강경성)" sheetId="54" r:id="rId104"/>
    <sheet name="육미지황탕 가감 (정연춘)" sheetId="53" r:id="rId105"/>
    <sheet name="오적산 (서두섭) (2)" sheetId="52" r:id="rId106"/>
    <sheet name="가미개결서경탕 (김해선)" sheetId="51" r:id="rId107"/>
    <sheet name="쌍화탕가감 (서상호)" sheetId="50" r:id="rId108"/>
    <sheet name="가미온담탕+정전가미이진탕 (권태옥)" sheetId="49" r:id="rId109"/>
    <sheet name="당귀지황탕 (정귀자)" sheetId="48" r:id="rId110"/>
    <sheet name="갈근탕 (문승현)" sheetId="47" r:id="rId111"/>
    <sheet name="귀비탕가감 (윤영애)" sheetId="46" r:id="rId112"/>
    <sheet name="귀비탕 (신태균)" sheetId="45" r:id="rId113"/>
    <sheet name="계지탕가황기 (이수연)" sheetId="44" r:id="rId114"/>
    <sheet name="청심온담탕 (김경원)" sheetId="43" r:id="rId115"/>
    <sheet name="육미지황탕 가감 (권정선) (2)" sheetId="42" r:id="rId116"/>
    <sheet name="가미대보탕 (강신자)" sheetId="41" r:id="rId117"/>
    <sheet name="감비탕 (한수연)" sheetId="40" r:id="rId118"/>
    <sheet name="청심온담탕 (박명희)" sheetId="39" r:id="rId119"/>
    <sheet name="계지가작약탕 (지송화)" sheetId="38" r:id="rId120"/>
    <sheet name="감비탕-평위산합방 (류광춘)" sheetId="37" r:id="rId121"/>
    <sheet name="감비탕 (임종녀)" sheetId="36" r:id="rId122"/>
    <sheet name="당귀지황탕 (강정옥)" sheetId="35" r:id="rId123"/>
    <sheet name="오적산 (서두섭)" sheetId="34" r:id="rId124"/>
    <sheet name="당귀작약산 (조은별)" sheetId="33" r:id="rId125"/>
    <sheet name="소함흉탕 (이미영)" sheetId="32" r:id="rId126"/>
    <sheet name="감비탕(이은훈)" sheetId="3" r:id="rId127"/>
    <sheet name="연교패독산" sheetId="1" r:id="rId128"/>
    <sheet name="개울화담전가감(윤순희" sheetId="4" r:id="rId129"/>
    <sheet name="향사평위산+사물탕가감 (김일순)" sheetId="6" r:id="rId130"/>
    <sheet name="형방사백산가감(한유찬)" sheetId="8" r:id="rId131"/>
    <sheet name="육미지황탕 가감 (권정선)" sheetId="9" r:id="rId132"/>
    <sheet name="육미지황탕 가감 (이용재)" sheetId="12" r:id="rId133"/>
    <sheet name="맥문동탕 (김희전)" sheetId="15" r:id="rId134"/>
    <sheet name="쌍화탕 (상비약)" sheetId="13" r:id="rId135"/>
    <sheet name="귀기건중 합 육미 (한승재)" sheetId="17" r:id="rId136"/>
    <sheet name="소요산 (이미영)" sheetId="19" r:id="rId137"/>
    <sheet name="소요산 (이미영2차)" sheetId="28" r:id="rId138"/>
    <sheet name="오수유탕 (한소미)" sheetId="21" r:id="rId139"/>
    <sheet name="생강사심탕 (김해선)" sheetId="23" r:id="rId140"/>
    <sheet name="향사평위산+사물탕가감 (김일순) (2차)" sheetId="24" r:id="rId141"/>
    <sheet name="소함흉탕 (김경자)" sheetId="25" r:id="rId142"/>
    <sheet name="계지복령환 (한수연)" sheetId="27" r:id="rId143"/>
    <sheet name="가미십전대보탕 (서원숙)" sheetId="29" r:id="rId144"/>
    <sheet name="생강사심탕 (김해선) (4)" sheetId="115" r:id="rId145"/>
    <sheet name="곽향정기산 (상비약)" sheetId="31" r:id="rId14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11" l="1"/>
  <c r="H12" i="111"/>
  <c r="H6" i="111"/>
  <c r="H7" i="111"/>
  <c r="H8" i="111"/>
  <c r="H9" i="111"/>
  <c r="J28" i="111" s="1"/>
  <c r="H10" i="111"/>
  <c r="H11" i="111"/>
  <c r="H4" i="111"/>
  <c r="H5" i="111"/>
  <c r="H3" i="111"/>
  <c r="H12" i="162"/>
  <c r="J25" i="162"/>
  <c r="J26" i="162" s="1"/>
  <c r="H17" i="162"/>
  <c r="H16" i="162"/>
  <c r="H15" i="162"/>
  <c r="H14" i="162"/>
  <c r="H13" i="162"/>
  <c r="H11" i="162"/>
  <c r="H10" i="162"/>
  <c r="H9" i="162"/>
  <c r="H8" i="162"/>
  <c r="H7" i="162"/>
  <c r="H6" i="162"/>
  <c r="H5" i="162"/>
  <c r="H4" i="162"/>
  <c r="H3" i="162"/>
  <c r="H20" i="160"/>
  <c r="H14" i="161"/>
  <c r="H23" i="161"/>
  <c r="J25" i="161"/>
  <c r="J26" i="161" s="1"/>
  <c r="H22" i="161"/>
  <c r="H21" i="161"/>
  <c r="H20" i="161"/>
  <c r="H19" i="161"/>
  <c r="H18" i="161"/>
  <c r="H17" i="161"/>
  <c r="H16" i="161"/>
  <c r="H15" i="161"/>
  <c r="H13" i="161"/>
  <c r="H12" i="161"/>
  <c r="H11" i="161"/>
  <c r="H10" i="161"/>
  <c r="H9" i="161"/>
  <c r="H8" i="161"/>
  <c r="H7" i="161"/>
  <c r="H6" i="161"/>
  <c r="H5" i="161"/>
  <c r="H4" i="161"/>
  <c r="H3" i="161"/>
  <c r="H17" i="159"/>
  <c r="H16" i="159"/>
  <c r="J25" i="160"/>
  <c r="J26" i="160" s="1"/>
  <c r="H19" i="160"/>
  <c r="H18" i="160"/>
  <c r="H17" i="160"/>
  <c r="H16" i="160"/>
  <c r="H15" i="160"/>
  <c r="H14" i="160"/>
  <c r="H13" i="160"/>
  <c r="H12" i="160"/>
  <c r="H11" i="160"/>
  <c r="H10" i="160"/>
  <c r="H9" i="160"/>
  <c r="H8" i="160"/>
  <c r="H7" i="160"/>
  <c r="H6" i="160"/>
  <c r="H5" i="160"/>
  <c r="H4" i="160"/>
  <c r="H3" i="160"/>
  <c r="J25" i="159"/>
  <c r="J26" i="159" s="1"/>
  <c r="H15" i="159"/>
  <c r="H14" i="159"/>
  <c r="H13" i="159"/>
  <c r="J28" i="159" s="1"/>
  <c r="H12" i="159"/>
  <c r="H11" i="159"/>
  <c r="H10" i="159"/>
  <c r="H9" i="159"/>
  <c r="H8" i="159"/>
  <c r="H7" i="159"/>
  <c r="H6" i="159"/>
  <c r="H5" i="159"/>
  <c r="H4" i="159"/>
  <c r="H3" i="159"/>
  <c r="H3" i="158"/>
  <c r="H12" i="158"/>
  <c r="H11" i="158"/>
  <c r="H22" i="158"/>
  <c r="H4" i="158"/>
  <c r="H5" i="158"/>
  <c r="H6" i="158"/>
  <c r="H7" i="158"/>
  <c r="H8" i="158"/>
  <c r="H9" i="158"/>
  <c r="H10" i="158"/>
  <c r="H13" i="158"/>
  <c r="H14" i="158"/>
  <c r="H15" i="158"/>
  <c r="H16" i="158"/>
  <c r="H17" i="158"/>
  <c r="H18" i="158"/>
  <c r="H19" i="158"/>
  <c r="H20" i="158"/>
  <c r="H21" i="158"/>
  <c r="H17" i="156"/>
  <c r="J25" i="158"/>
  <c r="J26" i="158" s="1"/>
  <c r="H11" i="157"/>
  <c r="H10" i="157"/>
  <c r="J25" i="157"/>
  <c r="J26" i="157" s="1"/>
  <c r="H9" i="157"/>
  <c r="H8" i="157"/>
  <c r="H7" i="157"/>
  <c r="H6" i="157"/>
  <c r="H5" i="157"/>
  <c r="H4" i="157"/>
  <c r="H3" i="157"/>
  <c r="H4" i="156"/>
  <c r="H5" i="156"/>
  <c r="H6" i="156"/>
  <c r="H7" i="156"/>
  <c r="H8" i="156"/>
  <c r="H9" i="156"/>
  <c r="H10" i="156"/>
  <c r="H11" i="156"/>
  <c r="H12" i="156"/>
  <c r="H13" i="156"/>
  <c r="H14" i="156"/>
  <c r="H15" i="156"/>
  <c r="H16" i="156"/>
  <c r="H3" i="156"/>
  <c r="J25" i="156"/>
  <c r="J26" i="156" s="1"/>
  <c r="H4" i="155"/>
  <c r="H5" i="155"/>
  <c r="H6" i="155"/>
  <c r="H7" i="155"/>
  <c r="H8" i="155"/>
  <c r="H9" i="155"/>
  <c r="H10" i="155"/>
  <c r="H11" i="155"/>
  <c r="H12" i="155"/>
  <c r="H13" i="155"/>
  <c r="H14" i="155"/>
  <c r="H15" i="155"/>
  <c r="H16" i="155"/>
  <c r="H17" i="155"/>
  <c r="H18" i="155"/>
  <c r="H19" i="155"/>
  <c r="H20" i="155"/>
  <c r="H21" i="155"/>
  <c r="H22" i="155"/>
  <c r="H23" i="155"/>
  <c r="H3" i="155"/>
  <c r="J25" i="155"/>
  <c r="J26" i="155" s="1"/>
  <c r="H19" i="154"/>
  <c r="H18" i="154"/>
  <c r="H10" i="154"/>
  <c r="H9" i="154"/>
  <c r="J25" i="154"/>
  <c r="J26" i="154" s="1"/>
  <c r="H17" i="154"/>
  <c r="H16" i="154"/>
  <c r="H15" i="154"/>
  <c r="H14" i="154"/>
  <c r="H13" i="154"/>
  <c r="H12" i="154"/>
  <c r="H11" i="154"/>
  <c r="H8" i="154"/>
  <c r="H7" i="154"/>
  <c r="H6" i="154"/>
  <c r="H5" i="154"/>
  <c r="H4" i="154"/>
  <c r="H3" i="154"/>
  <c r="H23" i="153"/>
  <c r="J25" i="153"/>
  <c r="J26" i="153" s="1"/>
  <c r="H22" i="153"/>
  <c r="H21" i="153"/>
  <c r="H20" i="153"/>
  <c r="H19" i="153"/>
  <c r="H18" i="153"/>
  <c r="H17" i="153"/>
  <c r="H16" i="153"/>
  <c r="H15" i="153"/>
  <c r="H14" i="153"/>
  <c r="H13" i="153"/>
  <c r="H12" i="153"/>
  <c r="H11" i="153"/>
  <c r="H10" i="153"/>
  <c r="H9" i="153"/>
  <c r="H8" i="153"/>
  <c r="H7" i="153"/>
  <c r="H6" i="153"/>
  <c r="H5" i="153"/>
  <c r="H4" i="153"/>
  <c r="H3" i="153"/>
  <c r="H4" i="152"/>
  <c r="H5" i="152"/>
  <c r="H6" i="152"/>
  <c r="H7" i="152"/>
  <c r="H8" i="152"/>
  <c r="H9" i="152"/>
  <c r="H10" i="152"/>
  <c r="H11" i="152"/>
  <c r="H12" i="152"/>
  <c r="H13" i="152"/>
  <c r="H14" i="152"/>
  <c r="H15" i="152"/>
  <c r="H16" i="152"/>
  <c r="H17" i="152"/>
  <c r="H18" i="152"/>
  <c r="H19" i="152"/>
  <c r="H20" i="152"/>
  <c r="H21" i="152"/>
  <c r="H22" i="152"/>
  <c r="H3" i="152"/>
  <c r="J25" i="152"/>
  <c r="J26" i="152" s="1"/>
  <c r="H19" i="116"/>
  <c r="J28" i="151"/>
  <c r="J25" i="151"/>
  <c r="J26" i="151" s="1"/>
  <c r="H23" i="151"/>
  <c r="H22" i="151"/>
  <c r="H21" i="151"/>
  <c r="H20" i="151"/>
  <c r="H19" i="151"/>
  <c r="H18" i="151"/>
  <c r="H17" i="151"/>
  <c r="H16" i="151"/>
  <c r="H15" i="151"/>
  <c r="H14" i="151"/>
  <c r="H13" i="151"/>
  <c r="H12" i="151"/>
  <c r="H11" i="151"/>
  <c r="H10" i="151"/>
  <c r="H9" i="151"/>
  <c r="H8" i="151"/>
  <c r="H7" i="151"/>
  <c r="H6" i="151"/>
  <c r="H5" i="151"/>
  <c r="H4" i="151"/>
  <c r="H3" i="151"/>
  <c r="H18" i="150"/>
  <c r="H17" i="150"/>
  <c r="H14" i="150"/>
  <c r="H13" i="150"/>
  <c r="J25" i="150"/>
  <c r="J26" i="150" s="1"/>
  <c r="H19" i="150"/>
  <c r="H15" i="150"/>
  <c r="H12" i="150"/>
  <c r="H11" i="150"/>
  <c r="H10" i="150"/>
  <c r="H9" i="150"/>
  <c r="H8" i="150"/>
  <c r="H7" i="150"/>
  <c r="H6" i="150"/>
  <c r="H5" i="150"/>
  <c r="H4" i="150"/>
  <c r="H3" i="150"/>
  <c r="H4" i="149"/>
  <c r="H5" i="149"/>
  <c r="H6" i="149"/>
  <c r="H7" i="149"/>
  <c r="H8" i="149"/>
  <c r="H9" i="149"/>
  <c r="H10" i="149"/>
  <c r="H11" i="149"/>
  <c r="H12" i="149"/>
  <c r="H13" i="149"/>
  <c r="H14" i="149"/>
  <c r="H15" i="149"/>
  <c r="H16" i="149"/>
  <c r="H17" i="149"/>
  <c r="H3" i="149"/>
  <c r="J25" i="149"/>
  <c r="J26" i="149" s="1"/>
  <c r="H22" i="148"/>
  <c r="H21" i="148"/>
  <c r="H9" i="148"/>
  <c r="H20" i="148"/>
  <c r="J25" i="148"/>
  <c r="J26" i="148" s="1"/>
  <c r="H19" i="148"/>
  <c r="H18" i="148"/>
  <c r="H17" i="148"/>
  <c r="H16" i="148"/>
  <c r="H15" i="148"/>
  <c r="H14" i="148"/>
  <c r="H13" i="148"/>
  <c r="H12" i="148"/>
  <c r="H11" i="148"/>
  <c r="H10" i="148"/>
  <c r="H8" i="148"/>
  <c r="H7" i="148"/>
  <c r="H6" i="148"/>
  <c r="H5" i="148"/>
  <c r="H4" i="148"/>
  <c r="H3" i="148"/>
  <c r="H4" i="147"/>
  <c r="H5" i="147"/>
  <c r="H6" i="147"/>
  <c r="H7" i="147"/>
  <c r="H8" i="147"/>
  <c r="H3" i="147"/>
  <c r="J25" i="147"/>
  <c r="J26" i="147" s="1"/>
  <c r="H4" i="146"/>
  <c r="H5" i="146"/>
  <c r="H6" i="146"/>
  <c r="H7" i="146"/>
  <c r="H8" i="146"/>
  <c r="H9" i="146"/>
  <c r="H10" i="146"/>
  <c r="H11" i="146"/>
  <c r="H12" i="146"/>
  <c r="H3" i="146"/>
  <c r="H17" i="146"/>
  <c r="H16" i="146"/>
  <c r="H15" i="146"/>
  <c r="H14" i="146"/>
  <c r="H13" i="146"/>
  <c r="J25" i="146"/>
  <c r="J26" i="146" s="1"/>
  <c r="H4" i="145"/>
  <c r="H5" i="145"/>
  <c r="H6" i="145"/>
  <c r="H7" i="145"/>
  <c r="H8" i="145"/>
  <c r="H9" i="145"/>
  <c r="H10" i="145"/>
  <c r="H11" i="145"/>
  <c r="H12" i="145"/>
  <c r="H13" i="145"/>
  <c r="H14" i="145"/>
  <c r="H15" i="145"/>
  <c r="H16" i="145"/>
  <c r="H17" i="145"/>
  <c r="H18" i="145"/>
  <c r="H19" i="145"/>
  <c r="H20" i="145"/>
  <c r="H21" i="145"/>
  <c r="H22" i="145"/>
  <c r="H23" i="145"/>
  <c r="H15" i="144"/>
  <c r="H14" i="144"/>
  <c r="H13" i="144"/>
  <c r="H12" i="144"/>
  <c r="H11" i="144"/>
  <c r="H10" i="144"/>
  <c r="H9" i="144"/>
  <c r="H8" i="144"/>
  <c r="H7" i="144"/>
  <c r="H6" i="144"/>
  <c r="H5" i="144"/>
  <c r="H4" i="144"/>
  <c r="H3" i="144"/>
  <c r="J25" i="145"/>
  <c r="J26" i="145" s="1"/>
  <c r="H3" i="145"/>
  <c r="J25" i="144"/>
  <c r="J26" i="144" s="1"/>
  <c r="J25" i="143"/>
  <c r="J26" i="143" s="1"/>
  <c r="H16" i="143"/>
  <c r="H15" i="143"/>
  <c r="H14" i="143"/>
  <c r="H13" i="143"/>
  <c r="H12" i="143"/>
  <c r="H11" i="143"/>
  <c r="H10" i="143"/>
  <c r="H9" i="143"/>
  <c r="H8" i="143"/>
  <c r="H7" i="143"/>
  <c r="H6" i="143"/>
  <c r="H5" i="143"/>
  <c r="H4" i="143"/>
  <c r="H3" i="143"/>
  <c r="J28" i="143" s="1"/>
  <c r="H4" i="86"/>
  <c r="H5" i="86"/>
  <c r="H6" i="86"/>
  <c r="H7" i="86"/>
  <c r="H8" i="86"/>
  <c r="H9" i="86"/>
  <c r="H10" i="86"/>
  <c r="H11" i="86"/>
  <c r="H12" i="86"/>
  <c r="H13" i="86"/>
  <c r="H14" i="86"/>
  <c r="H15" i="86"/>
  <c r="H16" i="86"/>
  <c r="H3" i="86"/>
  <c r="H4" i="142"/>
  <c r="H5" i="142"/>
  <c r="H6" i="142"/>
  <c r="H7" i="142"/>
  <c r="H8" i="142"/>
  <c r="H9" i="142"/>
  <c r="H10" i="142"/>
  <c r="H3" i="142"/>
  <c r="J25" i="142"/>
  <c r="J26" i="142" s="1"/>
  <c r="H9" i="141"/>
  <c r="H8" i="141"/>
  <c r="H7" i="141"/>
  <c r="H3" i="141"/>
  <c r="H4" i="141"/>
  <c r="H5" i="141"/>
  <c r="H6" i="141"/>
  <c r="J25" i="141"/>
  <c r="J26" i="141" s="1"/>
  <c r="H24" i="140"/>
  <c r="H23" i="140"/>
  <c r="H22" i="140"/>
  <c r="H21" i="140"/>
  <c r="H20" i="140"/>
  <c r="J25" i="140"/>
  <c r="J26" i="140" s="1"/>
  <c r="H19" i="140"/>
  <c r="H18" i="140"/>
  <c r="H17" i="140"/>
  <c r="H16" i="140"/>
  <c r="H15" i="140"/>
  <c r="H14" i="140"/>
  <c r="H13" i="140"/>
  <c r="H12" i="140"/>
  <c r="H11" i="140"/>
  <c r="H10" i="140"/>
  <c r="H9" i="140"/>
  <c r="H8" i="140"/>
  <c r="H7" i="140"/>
  <c r="H6" i="140"/>
  <c r="H5" i="140"/>
  <c r="H4" i="140"/>
  <c r="H3" i="140"/>
  <c r="H4" i="138"/>
  <c r="H5" i="138"/>
  <c r="H6" i="138"/>
  <c r="H7" i="138"/>
  <c r="H8" i="138"/>
  <c r="H9" i="138"/>
  <c r="H10" i="138"/>
  <c r="H11" i="138"/>
  <c r="H12" i="138"/>
  <c r="J28" i="138" s="1"/>
  <c r="H13" i="138"/>
  <c r="H14" i="138"/>
  <c r="H15" i="138"/>
  <c r="H16" i="138"/>
  <c r="H17" i="138"/>
  <c r="H18" i="138"/>
  <c r="H19" i="138"/>
  <c r="H3" i="138"/>
  <c r="H15" i="139"/>
  <c r="H14" i="139"/>
  <c r="H4" i="139"/>
  <c r="H5" i="139"/>
  <c r="H6" i="139"/>
  <c r="H7" i="139"/>
  <c r="H8" i="139"/>
  <c r="H9" i="139"/>
  <c r="H10" i="139"/>
  <c r="H11" i="139"/>
  <c r="H12" i="139"/>
  <c r="H13" i="139"/>
  <c r="H3" i="139"/>
  <c r="J24" i="139"/>
  <c r="J25" i="139" s="1"/>
  <c r="H19" i="127"/>
  <c r="H18" i="127"/>
  <c r="H17" i="127"/>
  <c r="H16" i="127"/>
  <c r="H15" i="127"/>
  <c r="H14" i="127"/>
  <c r="H13" i="127"/>
  <c r="H12" i="127"/>
  <c r="H11" i="127"/>
  <c r="H10" i="127"/>
  <c r="H9" i="127"/>
  <c r="H8" i="127"/>
  <c r="J25" i="138"/>
  <c r="J26" i="138" s="1"/>
  <c r="J25" i="137"/>
  <c r="J26" i="137" s="1"/>
  <c r="H19" i="137"/>
  <c r="H18" i="137"/>
  <c r="H17" i="137"/>
  <c r="H16" i="137"/>
  <c r="H15" i="137"/>
  <c r="H14" i="137"/>
  <c r="H13" i="137"/>
  <c r="H12" i="137"/>
  <c r="H11" i="137"/>
  <c r="H10" i="137"/>
  <c r="H9" i="137"/>
  <c r="H8" i="137"/>
  <c r="H7" i="137"/>
  <c r="H6" i="137"/>
  <c r="H5" i="137"/>
  <c r="H4" i="137"/>
  <c r="H3" i="137"/>
  <c r="J28" i="137" s="1"/>
  <c r="H19" i="136"/>
  <c r="H18" i="136"/>
  <c r="H17" i="136"/>
  <c r="H16" i="136"/>
  <c r="H15" i="136"/>
  <c r="H14" i="136"/>
  <c r="H13" i="136"/>
  <c r="H12" i="136"/>
  <c r="H11" i="136"/>
  <c r="H10" i="136"/>
  <c r="H9" i="136"/>
  <c r="H8" i="136"/>
  <c r="H7" i="136"/>
  <c r="H6" i="136"/>
  <c r="H5" i="136"/>
  <c r="H4" i="136"/>
  <c r="H3" i="136"/>
  <c r="J25" i="136"/>
  <c r="J26" i="136" s="1"/>
  <c r="H4" i="135"/>
  <c r="H5" i="135"/>
  <c r="H6" i="135"/>
  <c r="J28" i="135" s="1"/>
  <c r="H7" i="135"/>
  <c r="H8" i="135"/>
  <c r="H9" i="135"/>
  <c r="H10" i="135"/>
  <c r="H11" i="135"/>
  <c r="H12" i="135"/>
  <c r="H13" i="135"/>
  <c r="H14" i="135"/>
  <c r="H15" i="135"/>
  <c r="H16" i="135"/>
  <c r="H17" i="135"/>
  <c r="H18" i="135"/>
  <c r="H19" i="135"/>
  <c r="H20" i="135"/>
  <c r="H21" i="135"/>
  <c r="H3" i="135"/>
  <c r="J25" i="135"/>
  <c r="J26" i="135" s="1"/>
  <c r="H4" i="134"/>
  <c r="H5" i="134"/>
  <c r="H6" i="134"/>
  <c r="H7" i="134"/>
  <c r="H8" i="134"/>
  <c r="H9" i="134"/>
  <c r="H10" i="134"/>
  <c r="H11" i="134"/>
  <c r="H12" i="134"/>
  <c r="H13" i="134"/>
  <c r="H14" i="134"/>
  <c r="H3" i="134"/>
  <c r="J25" i="134"/>
  <c r="J26" i="134" s="1"/>
  <c r="J25" i="133"/>
  <c r="J26" i="133" s="1"/>
  <c r="H15" i="133"/>
  <c r="H14" i="133"/>
  <c r="H13" i="133"/>
  <c r="H12" i="133"/>
  <c r="H11" i="133"/>
  <c r="H10" i="133"/>
  <c r="H9" i="133"/>
  <c r="H8" i="133"/>
  <c r="H7" i="133"/>
  <c r="H6" i="133"/>
  <c r="H5" i="133"/>
  <c r="H4" i="133"/>
  <c r="H3" i="133"/>
  <c r="H22" i="132"/>
  <c r="H23" i="132"/>
  <c r="H21" i="132"/>
  <c r="H20" i="132"/>
  <c r="H19" i="132"/>
  <c r="H18" i="132"/>
  <c r="H17" i="132"/>
  <c r="H16" i="132"/>
  <c r="H12" i="132"/>
  <c r="H13" i="132"/>
  <c r="H14" i="132"/>
  <c r="H15" i="132"/>
  <c r="J25" i="132"/>
  <c r="J26" i="132" s="1"/>
  <c r="H11" i="132"/>
  <c r="H10" i="132"/>
  <c r="H9" i="132"/>
  <c r="H8" i="132"/>
  <c r="H7" i="132"/>
  <c r="H6" i="132"/>
  <c r="H5" i="132"/>
  <c r="H4" i="132"/>
  <c r="H3" i="132"/>
  <c r="H17" i="131"/>
  <c r="H16" i="131"/>
  <c r="H15" i="131"/>
  <c r="J25" i="131"/>
  <c r="J26" i="131" s="1"/>
  <c r="H14" i="131"/>
  <c r="H13" i="131"/>
  <c r="H12" i="131"/>
  <c r="H11" i="131"/>
  <c r="H10" i="131"/>
  <c r="H9" i="131"/>
  <c r="H8" i="131"/>
  <c r="H7" i="131"/>
  <c r="H6" i="131"/>
  <c r="H5" i="131"/>
  <c r="H4" i="131"/>
  <c r="H3" i="131"/>
  <c r="H24" i="130"/>
  <c r="H23" i="130"/>
  <c r="H4" i="130"/>
  <c r="H5" i="130"/>
  <c r="H6" i="130"/>
  <c r="H7" i="130"/>
  <c r="H8" i="130"/>
  <c r="H9" i="130"/>
  <c r="H10" i="130"/>
  <c r="H11" i="130"/>
  <c r="H12" i="130"/>
  <c r="H13" i="130"/>
  <c r="H14" i="130"/>
  <c r="H15" i="130"/>
  <c r="H16" i="130"/>
  <c r="H17" i="130"/>
  <c r="H18" i="130"/>
  <c r="H19" i="130"/>
  <c r="H20" i="130"/>
  <c r="H21" i="130"/>
  <c r="H22" i="130"/>
  <c r="J25" i="130"/>
  <c r="J26" i="130" s="1"/>
  <c r="H3" i="130"/>
  <c r="H9" i="129"/>
  <c r="H8" i="129"/>
  <c r="H7" i="129"/>
  <c r="J25" i="129"/>
  <c r="J26" i="129" s="1"/>
  <c r="H6" i="129"/>
  <c r="H5" i="129"/>
  <c r="H4" i="129"/>
  <c r="H3" i="129"/>
  <c r="J28" i="128"/>
  <c r="J25" i="128"/>
  <c r="J26" i="128" s="1"/>
  <c r="H4" i="127"/>
  <c r="H5" i="127"/>
  <c r="H6" i="127"/>
  <c r="H7" i="127"/>
  <c r="H3" i="127"/>
  <c r="J25" i="127"/>
  <c r="J26" i="127" s="1"/>
  <c r="H22" i="126"/>
  <c r="H4" i="126"/>
  <c r="H5" i="126"/>
  <c r="H6" i="126"/>
  <c r="H7" i="126"/>
  <c r="H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3" i="126"/>
  <c r="J25" i="126"/>
  <c r="J26" i="126" s="1"/>
  <c r="H4" i="125"/>
  <c r="H5" i="125"/>
  <c r="H6" i="125"/>
  <c r="H7" i="125"/>
  <c r="H8" i="125"/>
  <c r="H9" i="125"/>
  <c r="H10" i="125"/>
  <c r="H11" i="125"/>
  <c r="H12" i="125"/>
  <c r="H13" i="125"/>
  <c r="H14" i="125"/>
  <c r="H15" i="125"/>
  <c r="H16" i="125"/>
  <c r="H17" i="125"/>
  <c r="H18" i="125"/>
  <c r="H3" i="125"/>
  <c r="J25" i="125"/>
  <c r="J26" i="125" s="1"/>
  <c r="J25" i="124"/>
  <c r="J26" i="124" s="1"/>
  <c r="H6" i="124"/>
  <c r="H5" i="124"/>
  <c r="H4" i="124"/>
  <c r="H3" i="124"/>
  <c r="H4" i="123"/>
  <c r="H5" i="123"/>
  <c r="H6" i="123"/>
  <c r="H7" i="123"/>
  <c r="H8" i="123"/>
  <c r="H9" i="123"/>
  <c r="H10" i="123"/>
  <c r="H11" i="123"/>
  <c r="H12" i="123"/>
  <c r="H13" i="123"/>
  <c r="H14" i="123"/>
  <c r="H15" i="123"/>
  <c r="H16" i="123"/>
  <c r="J25" i="123"/>
  <c r="J26" i="123" s="1"/>
  <c r="H3" i="123"/>
  <c r="H17" i="121"/>
  <c r="H16" i="121"/>
  <c r="H15" i="121"/>
  <c r="H14" i="121"/>
  <c r="H13" i="121"/>
  <c r="H12" i="121"/>
  <c r="J25" i="121"/>
  <c r="J26" i="121" s="1"/>
  <c r="H11" i="121"/>
  <c r="H10" i="121"/>
  <c r="H9" i="121"/>
  <c r="H8" i="121"/>
  <c r="H7" i="121"/>
  <c r="H6" i="121"/>
  <c r="H5" i="121"/>
  <c r="H4" i="121"/>
  <c r="H3" i="121"/>
  <c r="H20" i="119"/>
  <c r="J25" i="119"/>
  <c r="J26" i="119" s="1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H4" i="119"/>
  <c r="H3" i="119"/>
  <c r="H24" i="118"/>
  <c r="H23" i="118"/>
  <c r="J25" i="118"/>
  <c r="J26" i="118" s="1"/>
  <c r="H22" i="118"/>
  <c r="H21" i="118"/>
  <c r="H19" i="118"/>
  <c r="H18" i="118"/>
  <c r="H17" i="118"/>
  <c r="H16" i="118"/>
  <c r="H15" i="118"/>
  <c r="H14" i="118"/>
  <c r="H13" i="118"/>
  <c r="H12" i="118"/>
  <c r="H11" i="118"/>
  <c r="H10" i="118"/>
  <c r="H9" i="118"/>
  <c r="H8" i="118"/>
  <c r="H7" i="118"/>
  <c r="H6" i="118"/>
  <c r="H5" i="118"/>
  <c r="H4" i="118"/>
  <c r="H3" i="118"/>
  <c r="H20" i="117"/>
  <c r="H19" i="117"/>
  <c r="J25" i="117"/>
  <c r="J26" i="117" s="1"/>
  <c r="H18" i="117"/>
  <c r="H17" i="117"/>
  <c r="H16" i="117"/>
  <c r="H15" i="117"/>
  <c r="H14" i="117"/>
  <c r="H13" i="117"/>
  <c r="H12" i="117"/>
  <c r="H11" i="117"/>
  <c r="H10" i="117"/>
  <c r="H9" i="117"/>
  <c r="H8" i="117"/>
  <c r="H7" i="117"/>
  <c r="H6" i="117"/>
  <c r="H5" i="117"/>
  <c r="H4" i="117"/>
  <c r="H3" i="117"/>
  <c r="H21" i="116"/>
  <c r="H4" i="116"/>
  <c r="H5" i="116"/>
  <c r="J28" i="116" s="1"/>
  <c r="H6" i="116"/>
  <c r="H7" i="116"/>
  <c r="H8" i="116"/>
  <c r="H9" i="116"/>
  <c r="H10" i="116"/>
  <c r="H11" i="116"/>
  <c r="H12" i="116"/>
  <c r="H13" i="116"/>
  <c r="H14" i="116"/>
  <c r="H15" i="116"/>
  <c r="H16" i="116"/>
  <c r="H17" i="116"/>
  <c r="H18" i="116"/>
  <c r="H20" i="116"/>
  <c r="H3" i="116"/>
  <c r="J25" i="116"/>
  <c r="J26" i="116" s="1"/>
  <c r="J25" i="115"/>
  <c r="J26" i="115" s="1"/>
  <c r="H10" i="115"/>
  <c r="H9" i="115"/>
  <c r="H8" i="115"/>
  <c r="H7" i="115"/>
  <c r="H6" i="115"/>
  <c r="H5" i="115"/>
  <c r="H4" i="115"/>
  <c r="H3" i="115"/>
  <c r="H21" i="114"/>
  <c r="H20" i="114"/>
  <c r="J25" i="114"/>
  <c r="J26" i="114" s="1"/>
  <c r="H19" i="114"/>
  <c r="H18" i="114"/>
  <c r="H17" i="114"/>
  <c r="H16" i="114"/>
  <c r="H13" i="114"/>
  <c r="H12" i="114"/>
  <c r="H11" i="114"/>
  <c r="H10" i="114"/>
  <c r="H9" i="114"/>
  <c r="H8" i="114"/>
  <c r="H7" i="114"/>
  <c r="H6" i="114"/>
  <c r="H5" i="114"/>
  <c r="H4" i="114"/>
  <c r="H3" i="114"/>
  <c r="H18" i="112"/>
  <c r="H4" i="113"/>
  <c r="H5" i="113"/>
  <c r="H6" i="113"/>
  <c r="J28" i="113" s="1"/>
  <c r="H7" i="113"/>
  <c r="H8" i="113"/>
  <c r="H9" i="113"/>
  <c r="H10" i="113"/>
  <c r="H11" i="113"/>
  <c r="H12" i="113"/>
  <c r="H13" i="113"/>
  <c r="H14" i="113"/>
  <c r="H15" i="113"/>
  <c r="H16" i="113"/>
  <c r="H17" i="113"/>
  <c r="H18" i="113"/>
  <c r="H19" i="113"/>
  <c r="H20" i="113"/>
  <c r="H3" i="113"/>
  <c r="J25" i="113"/>
  <c r="J26" i="113" s="1"/>
  <c r="H17" i="112"/>
  <c r="H16" i="112"/>
  <c r="J25" i="112"/>
  <c r="J26" i="112" s="1"/>
  <c r="H15" i="112"/>
  <c r="H14" i="112"/>
  <c r="H13" i="112"/>
  <c r="H12" i="112"/>
  <c r="H11" i="112"/>
  <c r="H10" i="112"/>
  <c r="H9" i="112"/>
  <c r="H8" i="112"/>
  <c r="H7" i="112"/>
  <c r="H6" i="112"/>
  <c r="H5" i="112"/>
  <c r="H4" i="112"/>
  <c r="H3" i="112"/>
  <c r="H9" i="108"/>
  <c r="H8" i="108"/>
  <c r="J25" i="111"/>
  <c r="J26" i="111" s="1"/>
  <c r="H19" i="110"/>
  <c r="H18" i="110"/>
  <c r="H17" i="110"/>
  <c r="H16" i="110"/>
  <c r="H15" i="110"/>
  <c r="H14" i="110"/>
  <c r="H3" i="110"/>
  <c r="H4" i="110"/>
  <c r="H5" i="110"/>
  <c r="H6" i="110"/>
  <c r="H7" i="110"/>
  <c r="H8" i="110"/>
  <c r="H9" i="110"/>
  <c r="H10" i="110"/>
  <c r="H11" i="110"/>
  <c r="H12" i="110"/>
  <c r="H13" i="110"/>
  <c r="J25" i="110"/>
  <c r="J26" i="110" s="1"/>
  <c r="H4" i="108"/>
  <c r="H5" i="108"/>
  <c r="H6" i="108"/>
  <c r="H7" i="108"/>
  <c r="H3" i="108"/>
  <c r="J25" i="108"/>
  <c r="J26" i="108" s="1"/>
  <c r="H3" i="107"/>
  <c r="H4" i="107"/>
  <c r="H5" i="107"/>
  <c r="H6" i="107"/>
  <c r="H7" i="107"/>
  <c r="H8" i="107"/>
  <c r="H9" i="107"/>
  <c r="H10" i="107"/>
  <c r="H11" i="107"/>
  <c r="H12" i="107"/>
  <c r="H13" i="107"/>
  <c r="H14" i="107"/>
  <c r="H15" i="107"/>
  <c r="H16" i="107"/>
  <c r="H17" i="107"/>
  <c r="H18" i="107"/>
  <c r="H19" i="107"/>
  <c r="H20" i="107"/>
  <c r="J25" i="107"/>
  <c r="J26" i="107" s="1"/>
  <c r="H4" i="106"/>
  <c r="H5" i="106"/>
  <c r="H6" i="106"/>
  <c r="H7" i="106"/>
  <c r="H8" i="106"/>
  <c r="H9" i="106"/>
  <c r="H10" i="106"/>
  <c r="H11" i="106"/>
  <c r="H12" i="106"/>
  <c r="H13" i="106"/>
  <c r="H14" i="106"/>
  <c r="H15" i="106"/>
  <c r="H16" i="106"/>
  <c r="H17" i="106"/>
  <c r="H18" i="106"/>
  <c r="H19" i="106"/>
  <c r="H3" i="106"/>
  <c r="J25" i="106"/>
  <c r="J26" i="106" s="1"/>
  <c r="H4" i="104"/>
  <c r="H5" i="104"/>
  <c r="H3" i="104"/>
  <c r="H4" i="105"/>
  <c r="H5" i="105"/>
  <c r="J28" i="105" s="1"/>
  <c r="H6" i="105"/>
  <c r="H7" i="105"/>
  <c r="H8" i="105"/>
  <c r="H9" i="105"/>
  <c r="H10" i="105"/>
  <c r="H11" i="105"/>
  <c r="H12" i="105"/>
  <c r="H13" i="105"/>
  <c r="H14" i="105"/>
  <c r="H15" i="105"/>
  <c r="H16" i="105"/>
  <c r="H17" i="105"/>
  <c r="H18" i="105"/>
  <c r="H19" i="105"/>
  <c r="H20" i="105"/>
  <c r="H3" i="105"/>
  <c r="J25" i="105"/>
  <c r="J26" i="105" s="1"/>
  <c r="J25" i="104"/>
  <c r="J26" i="104" s="1"/>
  <c r="H4" i="102"/>
  <c r="H5" i="102"/>
  <c r="H6" i="102"/>
  <c r="H7" i="102"/>
  <c r="H8" i="102"/>
  <c r="H9" i="102"/>
  <c r="H10" i="102"/>
  <c r="H11" i="102"/>
  <c r="H12" i="102"/>
  <c r="H13" i="102"/>
  <c r="H14" i="102"/>
  <c r="H15" i="102"/>
  <c r="H16" i="102"/>
  <c r="H17" i="102"/>
  <c r="H18" i="102"/>
  <c r="H19" i="102"/>
  <c r="H20" i="102"/>
  <c r="H3" i="102"/>
  <c r="J25" i="103"/>
  <c r="J26" i="103" s="1"/>
  <c r="H22" i="103"/>
  <c r="H21" i="103"/>
  <c r="H20" i="103"/>
  <c r="H19" i="103"/>
  <c r="H18" i="103"/>
  <c r="H17" i="103"/>
  <c r="H16" i="103"/>
  <c r="H15" i="103"/>
  <c r="H14" i="103"/>
  <c r="H13" i="103"/>
  <c r="H12" i="103"/>
  <c r="H11" i="103"/>
  <c r="H10" i="103"/>
  <c r="H9" i="103"/>
  <c r="H8" i="103"/>
  <c r="H7" i="103"/>
  <c r="H6" i="103"/>
  <c r="H5" i="103"/>
  <c r="H4" i="103"/>
  <c r="H3" i="103"/>
  <c r="J28" i="103" s="1"/>
  <c r="J25" i="102"/>
  <c r="J26" i="102" s="1"/>
  <c r="H4" i="101"/>
  <c r="H5" i="101"/>
  <c r="H6" i="101"/>
  <c r="H7" i="101"/>
  <c r="H8" i="101"/>
  <c r="H9" i="101"/>
  <c r="H10" i="101"/>
  <c r="H11" i="101"/>
  <c r="H12" i="101"/>
  <c r="H13" i="101"/>
  <c r="H14" i="101"/>
  <c r="H15" i="101"/>
  <c r="H16" i="101"/>
  <c r="H17" i="101"/>
  <c r="H18" i="101"/>
  <c r="H19" i="101"/>
  <c r="H20" i="101"/>
  <c r="H21" i="101"/>
  <c r="H22" i="101"/>
  <c r="H3" i="101"/>
  <c r="J25" i="101"/>
  <c r="J26" i="101" s="1"/>
  <c r="H4" i="100"/>
  <c r="H5" i="100"/>
  <c r="H6" i="100"/>
  <c r="H7" i="100"/>
  <c r="H8" i="100"/>
  <c r="H9" i="100"/>
  <c r="H10" i="100"/>
  <c r="H11" i="100"/>
  <c r="H12" i="100"/>
  <c r="H13" i="100"/>
  <c r="H14" i="100"/>
  <c r="H15" i="100"/>
  <c r="H16" i="100"/>
  <c r="H17" i="100"/>
  <c r="H18" i="100"/>
  <c r="H19" i="100"/>
  <c r="H20" i="100"/>
  <c r="H21" i="100"/>
  <c r="H3" i="100"/>
  <c r="J25" i="100"/>
  <c r="J26" i="100" s="1"/>
  <c r="H4" i="99"/>
  <c r="H5" i="99"/>
  <c r="H6" i="99"/>
  <c r="H7" i="99"/>
  <c r="H8" i="99"/>
  <c r="H9" i="99"/>
  <c r="H10" i="99"/>
  <c r="H11" i="99"/>
  <c r="H12" i="99"/>
  <c r="H13" i="99"/>
  <c r="H14" i="99"/>
  <c r="H15" i="99"/>
  <c r="H16" i="99"/>
  <c r="H17" i="99"/>
  <c r="H18" i="99"/>
  <c r="H19" i="99"/>
  <c r="H3" i="99"/>
  <c r="J25" i="99"/>
  <c r="J26" i="99" s="1"/>
  <c r="H4" i="98"/>
  <c r="H5" i="98"/>
  <c r="H6" i="98"/>
  <c r="H7" i="98"/>
  <c r="H8" i="98"/>
  <c r="H9" i="98"/>
  <c r="H10" i="98"/>
  <c r="H11" i="98"/>
  <c r="H3" i="98"/>
  <c r="J28" i="98" s="1"/>
  <c r="J25" i="98"/>
  <c r="J26" i="98" s="1"/>
  <c r="H4" i="97"/>
  <c r="H5" i="97"/>
  <c r="H6" i="97"/>
  <c r="H7" i="97"/>
  <c r="H8" i="97"/>
  <c r="H9" i="97"/>
  <c r="H11" i="97"/>
  <c r="H12" i="97"/>
  <c r="H3" i="97"/>
  <c r="J25" i="97"/>
  <c r="J26" i="97" s="1"/>
  <c r="H4" i="96"/>
  <c r="H5" i="96"/>
  <c r="H6" i="96"/>
  <c r="H7" i="96"/>
  <c r="H8" i="96"/>
  <c r="H9" i="96"/>
  <c r="H10" i="96"/>
  <c r="H11" i="96"/>
  <c r="H12" i="96"/>
  <c r="H13" i="96"/>
  <c r="H14" i="96"/>
  <c r="H15" i="96"/>
  <c r="H3" i="96"/>
  <c r="J25" i="96"/>
  <c r="J26" i="96" s="1"/>
  <c r="H4" i="95"/>
  <c r="H5" i="95"/>
  <c r="H6" i="95"/>
  <c r="H7" i="95"/>
  <c r="H8" i="95"/>
  <c r="H9" i="95"/>
  <c r="H10" i="95"/>
  <c r="H3" i="95"/>
  <c r="J28" i="95" s="1"/>
  <c r="J25" i="95"/>
  <c r="J26" i="95" s="1"/>
  <c r="H4" i="94"/>
  <c r="H5" i="94"/>
  <c r="H6" i="94"/>
  <c r="H7" i="94"/>
  <c r="H8" i="94"/>
  <c r="H9" i="94"/>
  <c r="H10" i="94"/>
  <c r="H11" i="94"/>
  <c r="H12" i="94"/>
  <c r="H13" i="94"/>
  <c r="H14" i="94"/>
  <c r="H15" i="94"/>
  <c r="H16" i="94"/>
  <c r="H17" i="94"/>
  <c r="H18" i="94"/>
  <c r="H19" i="94"/>
  <c r="H20" i="94"/>
  <c r="H21" i="94"/>
  <c r="H22" i="94"/>
  <c r="H3" i="94"/>
  <c r="J25" i="94"/>
  <c r="J26" i="94" s="1"/>
  <c r="H4" i="93"/>
  <c r="H5" i="93"/>
  <c r="H6" i="93"/>
  <c r="H7" i="93"/>
  <c r="H8" i="93"/>
  <c r="H9" i="93"/>
  <c r="H10" i="93"/>
  <c r="H11" i="93"/>
  <c r="H12" i="93"/>
  <c r="H13" i="93"/>
  <c r="H14" i="93"/>
  <c r="H15" i="93"/>
  <c r="H16" i="93"/>
  <c r="H17" i="93"/>
  <c r="H18" i="93"/>
  <c r="H19" i="93"/>
  <c r="H20" i="93"/>
  <c r="H21" i="93"/>
  <c r="H22" i="93"/>
  <c r="H3" i="93"/>
  <c r="J25" i="93"/>
  <c r="J26" i="93" s="1"/>
  <c r="H22" i="62"/>
  <c r="H21" i="62"/>
  <c r="H20" i="92"/>
  <c r="H19" i="92"/>
  <c r="H13" i="92"/>
  <c r="H18" i="92"/>
  <c r="H17" i="92"/>
  <c r="H16" i="92"/>
  <c r="H15" i="92"/>
  <c r="H14" i="92"/>
  <c r="J25" i="92"/>
  <c r="J26" i="92" s="1"/>
  <c r="H12" i="92"/>
  <c r="H11" i="92"/>
  <c r="H10" i="92"/>
  <c r="H9" i="92"/>
  <c r="H8" i="92"/>
  <c r="H7" i="92"/>
  <c r="H6" i="92"/>
  <c r="H5" i="92"/>
  <c r="H4" i="92"/>
  <c r="H3" i="92"/>
  <c r="H4" i="90"/>
  <c r="H5" i="90"/>
  <c r="H6" i="90"/>
  <c r="H7" i="90"/>
  <c r="H8" i="90"/>
  <c r="H9" i="90"/>
  <c r="H10" i="90"/>
  <c r="H11" i="90"/>
  <c r="H12" i="90"/>
  <c r="H13" i="90"/>
  <c r="H14" i="90"/>
  <c r="H15" i="90"/>
  <c r="H16" i="90"/>
  <c r="H17" i="90"/>
  <c r="H18" i="90"/>
  <c r="H19" i="90"/>
  <c r="H20" i="90"/>
  <c r="H21" i="90"/>
  <c r="H22" i="90"/>
  <c r="H23" i="90"/>
  <c r="H24" i="90"/>
  <c r="H3" i="90"/>
  <c r="J25" i="90"/>
  <c r="J26" i="90" s="1"/>
  <c r="H13" i="89"/>
  <c r="H12" i="89"/>
  <c r="H11" i="89"/>
  <c r="H10" i="89"/>
  <c r="J25" i="89"/>
  <c r="J26" i="89" s="1"/>
  <c r="H9" i="89"/>
  <c r="H8" i="89"/>
  <c r="H7" i="89"/>
  <c r="H6" i="89"/>
  <c r="H5" i="89"/>
  <c r="H4" i="89"/>
  <c r="H3" i="89"/>
  <c r="J28" i="89" s="1"/>
  <c r="H4" i="88"/>
  <c r="H5" i="88"/>
  <c r="H6" i="88"/>
  <c r="H7" i="88"/>
  <c r="H8" i="88"/>
  <c r="H9" i="88"/>
  <c r="H10" i="88"/>
  <c r="H11" i="88"/>
  <c r="H12" i="88"/>
  <c r="H13" i="88"/>
  <c r="H14" i="88"/>
  <c r="H15" i="88"/>
  <c r="H16" i="88"/>
  <c r="H17" i="88"/>
  <c r="H18" i="88"/>
  <c r="H19" i="88"/>
  <c r="H3" i="88"/>
  <c r="J25" i="88"/>
  <c r="J26" i="88" s="1"/>
  <c r="H4" i="87"/>
  <c r="H5" i="87"/>
  <c r="H6" i="87"/>
  <c r="H7" i="87"/>
  <c r="H8" i="87"/>
  <c r="H9" i="87"/>
  <c r="H10" i="87"/>
  <c r="H11" i="87"/>
  <c r="H12" i="87"/>
  <c r="H13" i="87"/>
  <c r="H3" i="87"/>
  <c r="J25" i="87"/>
  <c r="J26" i="87" s="1"/>
  <c r="J25" i="86"/>
  <c r="J26" i="86" s="1"/>
  <c r="H4" i="85"/>
  <c r="H5" i="85"/>
  <c r="H6" i="85"/>
  <c r="H7" i="85"/>
  <c r="H8" i="85"/>
  <c r="H9" i="85"/>
  <c r="H10" i="85"/>
  <c r="H11" i="85"/>
  <c r="H12" i="85"/>
  <c r="H13" i="85"/>
  <c r="H14" i="85"/>
  <c r="H15" i="85"/>
  <c r="H16" i="85"/>
  <c r="H3" i="85"/>
  <c r="J25" i="85"/>
  <c r="J26" i="85" s="1"/>
  <c r="H4" i="84"/>
  <c r="H5" i="84"/>
  <c r="H6" i="84"/>
  <c r="H7" i="84"/>
  <c r="H3" i="84"/>
  <c r="J25" i="84"/>
  <c r="J26" i="84" s="1"/>
  <c r="H4" i="83"/>
  <c r="H5" i="83"/>
  <c r="H6" i="83"/>
  <c r="H7" i="83"/>
  <c r="H8" i="83"/>
  <c r="H9" i="83"/>
  <c r="H10" i="83"/>
  <c r="H11" i="83"/>
  <c r="H12" i="83"/>
  <c r="H13" i="83"/>
  <c r="H14" i="83"/>
  <c r="H15" i="83"/>
  <c r="H3" i="83"/>
  <c r="J25" i="83"/>
  <c r="J26" i="83" s="1"/>
  <c r="H4" i="82"/>
  <c r="H5" i="82"/>
  <c r="H6" i="82"/>
  <c r="H7" i="82"/>
  <c r="H8" i="82"/>
  <c r="H3" i="82"/>
  <c r="J25" i="82"/>
  <c r="J26" i="82" s="1"/>
  <c r="H4" i="81"/>
  <c r="H5" i="81"/>
  <c r="H6" i="81"/>
  <c r="H7" i="81"/>
  <c r="H8" i="81"/>
  <c r="H9" i="81"/>
  <c r="H10" i="81"/>
  <c r="H11" i="81"/>
  <c r="H12" i="81"/>
  <c r="H13" i="81"/>
  <c r="H14" i="81"/>
  <c r="H15" i="81"/>
  <c r="H16" i="81"/>
  <c r="H17" i="81"/>
  <c r="H18" i="81"/>
  <c r="H3" i="81"/>
  <c r="J25" i="81"/>
  <c r="J26" i="81" s="1"/>
  <c r="H11" i="79"/>
  <c r="H4" i="79"/>
  <c r="H5" i="79"/>
  <c r="H6" i="79"/>
  <c r="H7" i="79"/>
  <c r="H8" i="79"/>
  <c r="H9" i="79"/>
  <c r="H10" i="79"/>
  <c r="H3" i="79"/>
  <c r="H4" i="80"/>
  <c r="H5" i="80"/>
  <c r="H6" i="80"/>
  <c r="H7" i="80"/>
  <c r="H3" i="80"/>
  <c r="J25" i="80"/>
  <c r="J26" i="80" s="1"/>
  <c r="J28" i="162" l="1"/>
  <c r="J28" i="161"/>
  <c r="J28" i="160"/>
  <c r="J28" i="158"/>
  <c r="J28" i="157"/>
  <c r="J28" i="156"/>
  <c r="J28" i="155"/>
  <c r="J28" i="154"/>
  <c r="J28" i="153"/>
  <c r="J28" i="152"/>
  <c r="J28" i="150"/>
  <c r="J28" i="149"/>
  <c r="J28" i="148"/>
  <c r="J28" i="147"/>
  <c r="J28" i="146"/>
  <c r="J28" i="145"/>
  <c r="J28" i="144"/>
  <c r="J28" i="142"/>
  <c r="J28" i="141"/>
  <c r="J28" i="140"/>
  <c r="J28" i="136"/>
  <c r="J28" i="133"/>
  <c r="J28" i="132"/>
  <c r="J28" i="131"/>
  <c r="J28" i="130"/>
  <c r="J28" i="129"/>
  <c r="J28" i="127"/>
  <c r="J28" i="126"/>
  <c r="J28" i="125"/>
  <c r="J28" i="124"/>
  <c r="J28" i="123"/>
  <c r="J28" i="121"/>
  <c r="J28" i="119"/>
  <c r="J28" i="118"/>
  <c r="J28" i="117"/>
  <c r="J28" i="115"/>
  <c r="J28" i="114"/>
  <c r="J28" i="112"/>
  <c r="J28" i="110"/>
  <c r="J28" i="108"/>
  <c r="J28" i="107"/>
  <c r="J28" i="106"/>
  <c r="J28" i="104"/>
  <c r="J28" i="102"/>
  <c r="J28" i="101"/>
  <c r="J28" i="100"/>
  <c r="J28" i="99"/>
  <c r="J28" i="97"/>
  <c r="J28" i="96"/>
  <c r="J28" i="94"/>
  <c r="J28" i="93"/>
  <c r="J28" i="92"/>
  <c r="J28" i="90"/>
  <c r="J28" i="88"/>
  <c r="J28" i="87"/>
  <c r="J28" i="85"/>
  <c r="J28" i="84"/>
  <c r="J28" i="83"/>
  <c r="J28" i="82"/>
  <c r="J28" i="81"/>
  <c r="J28" i="80"/>
  <c r="J28" i="79"/>
  <c r="J25" i="79"/>
  <c r="J26" i="79" s="1"/>
  <c r="H18" i="78"/>
  <c r="H17" i="78"/>
  <c r="H4" i="78"/>
  <c r="H5" i="78"/>
  <c r="H6" i="78"/>
  <c r="H7" i="78"/>
  <c r="H8" i="78"/>
  <c r="H9" i="78"/>
  <c r="H10" i="78"/>
  <c r="H11" i="78"/>
  <c r="H12" i="78"/>
  <c r="H13" i="78"/>
  <c r="H14" i="78"/>
  <c r="H15" i="78"/>
  <c r="H16" i="78"/>
  <c r="H3" i="78"/>
  <c r="J25" i="78"/>
  <c r="J26" i="78" s="1"/>
  <c r="H3" i="76"/>
  <c r="H4" i="76"/>
  <c r="H5" i="76"/>
  <c r="H6" i="76"/>
  <c r="H7" i="76"/>
  <c r="H8" i="76"/>
  <c r="H9" i="76"/>
  <c r="J28" i="76" s="1"/>
  <c r="H10" i="76"/>
  <c r="H11" i="76"/>
  <c r="H12" i="76"/>
  <c r="H13" i="76"/>
  <c r="H14" i="76"/>
  <c r="H15" i="76"/>
  <c r="H16" i="76"/>
  <c r="H17" i="76"/>
  <c r="H18" i="76"/>
  <c r="H19" i="76"/>
  <c r="H20" i="76"/>
  <c r="H4" i="77"/>
  <c r="H5" i="77"/>
  <c r="H6" i="77"/>
  <c r="H7" i="77"/>
  <c r="H8" i="77"/>
  <c r="H9" i="77"/>
  <c r="H10" i="77"/>
  <c r="H11" i="77"/>
  <c r="H12" i="77"/>
  <c r="H13" i="77"/>
  <c r="H14" i="77"/>
  <c r="H15" i="77"/>
  <c r="H16" i="77"/>
  <c r="H17" i="77"/>
  <c r="H18" i="77"/>
  <c r="H19" i="77"/>
  <c r="H20" i="77"/>
  <c r="H21" i="77"/>
  <c r="H22" i="77"/>
  <c r="H3" i="77"/>
  <c r="J25" i="77"/>
  <c r="J26" i="77" s="1"/>
  <c r="J25" i="76"/>
  <c r="J26" i="76" s="1"/>
  <c r="H4" i="75"/>
  <c r="H5" i="75"/>
  <c r="H6" i="75"/>
  <c r="H7" i="75"/>
  <c r="H8" i="75"/>
  <c r="H9" i="75"/>
  <c r="H10" i="75"/>
  <c r="H11" i="75"/>
  <c r="H12" i="75"/>
  <c r="H13" i="75"/>
  <c r="H14" i="75"/>
  <c r="H15" i="75"/>
  <c r="H16" i="75"/>
  <c r="H17" i="75"/>
  <c r="H18" i="75"/>
  <c r="H19" i="75"/>
  <c r="H20" i="75"/>
  <c r="H21" i="75"/>
  <c r="H22" i="75"/>
  <c r="H3" i="75"/>
  <c r="J25" i="75"/>
  <c r="J26" i="75" s="1"/>
  <c r="J28" i="78" l="1"/>
  <c r="J28" i="75"/>
  <c r="H20" i="74"/>
  <c r="H19" i="74"/>
  <c r="H18" i="74"/>
  <c r="H17" i="74"/>
  <c r="H16" i="74"/>
  <c r="H15" i="74"/>
  <c r="H14" i="74"/>
  <c r="H13" i="74"/>
  <c r="H12" i="74"/>
  <c r="H11" i="74"/>
  <c r="H10" i="74"/>
  <c r="H9" i="74"/>
  <c r="H8" i="74"/>
  <c r="H7" i="74"/>
  <c r="H6" i="74"/>
  <c r="H5" i="74"/>
  <c r="H4" i="74"/>
  <c r="H3" i="74"/>
  <c r="J25" i="74"/>
  <c r="J26" i="74" s="1"/>
  <c r="H4" i="73"/>
  <c r="H5" i="73"/>
  <c r="H6" i="73"/>
  <c r="H7" i="73"/>
  <c r="H8" i="73"/>
  <c r="H3" i="73"/>
  <c r="J25" i="73"/>
  <c r="J26" i="73" s="1"/>
  <c r="H4" i="72"/>
  <c r="H5" i="72"/>
  <c r="H6" i="72"/>
  <c r="H7" i="72"/>
  <c r="H8" i="72"/>
  <c r="H9" i="72"/>
  <c r="H10" i="72"/>
  <c r="H11" i="72"/>
  <c r="H12" i="72"/>
  <c r="H3" i="72"/>
  <c r="H13" i="72"/>
  <c r="J25" i="72"/>
  <c r="J26" i="72" s="1"/>
  <c r="H12" i="71"/>
  <c r="H4" i="71"/>
  <c r="H5" i="71"/>
  <c r="H6" i="71"/>
  <c r="H7" i="71"/>
  <c r="H8" i="71"/>
  <c r="H9" i="71"/>
  <c r="H10" i="71"/>
  <c r="H11" i="71"/>
  <c r="H3" i="71"/>
  <c r="J25" i="71"/>
  <c r="J26" i="71" s="1"/>
  <c r="H4" i="70"/>
  <c r="H5" i="70"/>
  <c r="H3" i="70"/>
  <c r="J25" i="70"/>
  <c r="J26" i="70" s="1"/>
  <c r="H4" i="68"/>
  <c r="H5" i="68"/>
  <c r="H6" i="68"/>
  <c r="H7" i="68"/>
  <c r="H8" i="68"/>
  <c r="H9" i="68"/>
  <c r="H10" i="68"/>
  <c r="H11" i="68"/>
  <c r="H12" i="68"/>
  <c r="H13" i="68"/>
  <c r="H14" i="68"/>
  <c r="H15" i="68"/>
  <c r="H16" i="68"/>
  <c r="H17" i="68"/>
  <c r="H18" i="68"/>
  <c r="H19" i="68"/>
  <c r="H3" i="68"/>
  <c r="H4" i="69"/>
  <c r="H5" i="69"/>
  <c r="H6" i="69"/>
  <c r="H7" i="69"/>
  <c r="H8" i="69"/>
  <c r="H9" i="69"/>
  <c r="H10" i="69"/>
  <c r="H11" i="69"/>
  <c r="H12" i="69"/>
  <c r="H13" i="69"/>
  <c r="H14" i="69"/>
  <c r="H15" i="69"/>
  <c r="H3" i="69"/>
  <c r="J25" i="69"/>
  <c r="J26" i="69" s="1"/>
  <c r="H4" i="63"/>
  <c r="H5" i="63"/>
  <c r="H6" i="63"/>
  <c r="H7" i="63"/>
  <c r="H3" i="63"/>
  <c r="J28" i="74" l="1"/>
  <c r="J28" i="73"/>
  <c r="J28" i="72"/>
  <c r="J28" i="71"/>
  <c r="J28" i="70"/>
  <c r="J28" i="69"/>
  <c r="J25" i="68"/>
  <c r="J26" i="68" s="1"/>
  <c r="J28" i="68" l="1"/>
  <c r="H4" i="67"/>
  <c r="H5" i="67"/>
  <c r="H6" i="67"/>
  <c r="H7" i="67"/>
  <c r="H8" i="67"/>
  <c r="H9" i="67"/>
  <c r="H10" i="67"/>
  <c r="H11" i="67"/>
  <c r="H12" i="67"/>
  <c r="H13" i="67"/>
  <c r="H14" i="67"/>
  <c r="H15" i="67"/>
  <c r="H16" i="67"/>
  <c r="H17" i="67"/>
  <c r="H18" i="67"/>
  <c r="H19" i="67"/>
  <c r="H20" i="67"/>
  <c r="H21" i="67"/>
  <c r="H22" i="67"/>
  <c r="H3" i="67"/>
  <c r="J24" i="67"/>
  <c r="J25" i="67" s="1"/>
  <c r="H4" i="66"/>
  <c r="H5" i="66"/>
  <c r="H6" i="66"/>
  <c r="H7" i="66"/>
  <c r="H8" i="66"/>
  <c r="H9" i="66"/>
  <c r="H10" i="66"/>
  <c r="H11" i="66"/>
  <c r="H12" i="66"/>
  <c r="H13" i="66"/>
  <c r="H14" i="66"/>
  <c r="H15" i="66"/>
  <c r="H16" i="66"/>
  <c r="H17" i="66"/>
  <c r="H18" i="66"/>
  <c r="H19" i="66"/>
  <c r="H20" i="66"/>
  <c r="H21" i="66"/>
  <c r="H3" i="66"/>
  <c r="H25" i="64"/>
  <c r="H4" i="64"/>
  <c r="H5" i="64"/>
  <c r="H6" i="64"/>
  <c r="H7" i="64"/>
  <c r="H8" i="64"/>
  <c r="H9" i="64"/>
  <c r="H10" i="64"/>
  <c r="H11" i="64"/>
  <c r="H12" i="64"/>
  <c r="H13" i="64"/>
  <c r="H14" i="64"/>
  <c r="H15" i="64"/>
  <c r="H16" i="64"/>
  <c r="H17" i="64"/>
  <c r="H18" i="64"/>
  <c r="H19" i="64"/>
  <c r="H20" i="64"/>
  <c r="H21" i="64"/>
  <c r="H22" i="64"/>
  <c r="H23" i="64"/>
  <c r="H24" i="64"/>
  <c r="H3" i="64"/>
  <c r="J25" i="66"/>
  <c r="J26" i="66" s="1"/>
  <c r="H4" i="65"/>
  <c r="H5" i="65"/>
  <c r="H6" i="65"/>
  <c r="H7" i="65"/>
  <c r="H8" i="65"/>
  <c r="H9" i="65"/>
  <c r="H10" i="65"/>
  <c r="H11" i="65"/>
  <c r="H12" i="65"/>
  <c r="H13" i="65"/>
  <c r="H14" i="65"/>
  <c r="H15" i="65"/>
  <c r="H16" i="65"/>
  <c r="H17" i="65"/>
  <c r="H18" i="65"/>
  <c r="H19" i="65"/>
  <c r="H20" i="65"/>
  <c r="H21" i="65"/>
  <c r="H22" i="65"/>
  <c r="H23" i="65"/>
  <c r="H3" i="65"/>
  <c r="J25" i="65"/>
  <c r="J26" i="65" s="1"/>
  <c r="J25" i="64"/>
  <c r="J26" i="64" s="1"/>
  <c r="H9" i="25"/>
  <c r="J25" i="63"/>
  <c r="J26" i="63" s="1"/>
  <c r="H4" i="62"/>
  <c r="H5" i="62"/>
  <c r="H6" i="62"/>
  <c r="H7" i="62"/>
  <c r="H8" i="62"/>
  <c r="H9" i="62"/>
  <c r="H10" i="62"/>
  <c r="H11" i="62"/>
  <c r="H12" i="62"/>
  <c r="H13" i="62"/>
  <c r="H14" i="62"/>
  <c r="H15" i="62"/>
  <c r="H16" i="62"/>
  <c r="H17" i="62"/>
  <c r="H18" i="62"/>
  <c r="H19" i="62"/>
  <c r="H20" i="62"/>
  <c r="H3" i="62"/>
  <c r="J25" i="62"/>
  <c r="J26" i="62" s="1"/>
  <c r="H4" i="61"/>
  <c r="H5" i="61"/>
  <c r="H6" i="61"/>
  <c r="H7" i="61"/>
  <c r="J28" i="61" s="1"/>
  <c r="H8" i="61"/>
  <c r="H9" i="61"/>
  <c r="H10" i="61"/>
  <c r="H11" i="61"/>
  <c r="H12" i="61"/>
  <c r="H13" i="61"/>
  <c r="H14" i="61"/>
  <c r="H3" i="61"/>
  <c r="J25" i="61"/>
  <c r="J26" i="61" s="1"/>
  <c r="J28" i="66" l="1"/>
  <c r="J28" i="64"/>
  <c r="J28" i="65"/>
  <c r="J28" i="63"/>
  <c r="J28" i="62"/>
  <c r="H4" i="59"/>
  <c r="H5" i="59"/>
  <c r="H6" i="59"/>
  <c r="H3" i="59"/>
  <c r="J25" i="59"/>
  <c r="J26" i="59" s="1"/>
  <c r="H4" i="58"/>
  <c r="H5" i="58"/>
  <c r="H6" i="58"/>
  <c r="H7" i="58"/>
  <c r="H8" i="58"/>
  <c r="H9" i="58"/>
  <c r="H10" i="58"/>
  <c r="H11" i="58"/>
  <c r="H12" i="58"/>
  <c r="H13" i="58"/>
  <c r="H14" i="58"/>
  <c r="H15" i="58"/>
  <c r="H16" i="58"/>
  <c r="H17" i="58"/>
  <c r="H18" i="58"/>
  <c r="H19" i="58"/>
  <c r="H20" i="58"/>
  <c r="H21" i="58"/>
  <c r="H22" i="58"/>
  <c r="H23" i="58"/>
  <c r="H3" i="58"/>
  <c r="J25" i="58"/>
  <c r="J26" i="58" s="1"/>
  <c r="H16" i="57"/>
  <c r="H15" i="57"/>
  <c r="H14" i="57"/>
  <c r="H4" i="57"/>
  <c r="H5" i="57"/>
  <c r="H6" i="57"/>
  <c r="H7" i="57"/>
  <c r="H8" i="57"/>
  <c r="H9" i="57"/>
  <c r="H10" i="57"/>
  <c r="H11" i="57"/>
  <c r="H12" i="57"/>
  <c r="H13" i="57"/>
  <c r="H3" i="57"/>
  <c r="J25" i="57"/>
  <c r="J26" i="57" s="1"/>
  <c r="H21" i="56"/>
  <c r="H10" i="56"/>
  <c r="J25" i="56"/>
  <c r="J26" i="56" s="1"/>
  <c r="H20" i="56"/>
  <c r="H19" i="56"/>
  <c r="H18" i="56"/>
  <c r="H17" i="56"/>
  <c r="H16" i="56"/>
  <c r="H15" i="56"/>
  <c r="H14" i="56"/>
  <c r="J28" i="56" s="1"/>
  <c r="H13" i="56"/>
  <c r="H12" i="56"/>
  <c r="H11" i="56"/>
  <c r="H9" i="56"/>
  <c r="H8" i="56"/>
  <c r="H7" i="56"/>
  <c r="H6" i="56"/>
  <c r="H5" i="56"/>
  <c r="H4" i="56"/>
  <c r="H3" i="56"/>
  <c r="J25" i="55"/>
  <c r="J26" i="55" s="1"/>
  <c r="H22" i="55"/>
  <c r="H21" i="55"/>
  <c r="H20" i="55"/>
  <c r="H19" i="55"/>
  <c r="H18" i="55"/>
  <c r="H17" i="55"/>
  <c r="H16" i="55"/>
  <c r="H15" i="55"/>
  <c r="H14" i="55"/>
  <c r="H13" i="55"/>
  <c r="H12" i="55"/>
  <c r="H11" i="55"/>
  <c r="H10" i="55"/>
  <c r="H9" i="55"/>
  <c r="H8" i="55"/>
  <c r="H7" i="55"/>
  <c r="H6" i="55"/>
  <c r="H5" i="55"/>
  <c r="H4" i="55"/>
  <c r="H3" i="55"/>
  <c r="J28" i="55" s="1"/>
  <c r="H17" i="54"/>
  <c r="H16" i="54"/>
  <c r="H15" i="54"/>
  <c r="H14" i="54"/>
  <c r="H13" i="54"/>
  <c r="H12" i="54"/>
  <c r="H11" i="54"/>
  <c r="H10" i="54"/>
  <c r="J25" i="54"/>
  <c r="J26" i="54" s="1"/>
  <c r="H9" i="54"/>
  <c r="H8" i="54"/>
  <c r="H7" i="54"/>
  <c r="H6" i="54"/>
  <c r="H5" i="54"/>
  <c r="H4" i="54"/>
  <c r="H3" i="54"/>
  <c r="H4" i="53"/>
  <c r="H5" i="53"/>
  <c r="H6" i="53"/>
  <c r="H7" i="53"/>
  <c r="H8" i="53"/>
  <c r="H9" i="53"/>
  <c r="H10" i="53"/>
  <c r="H11" i="53"/>
  <c r="H12" i="53"/>
  <c r="H13" i="53"/>
  <c r="H14" i="53"/>
  <c r="H15" i="53"/>
  <c r="H16" i="53"/>
  <c r="H17" i="53"/>
  <c r="H18" i="53"/>
  <c r="H19" i="53"/>
  <c r="H3" i="53"/>
  <c r="J25" i="53"/>
  <c r="J26" i="53" s="1"/>
  <c r="H4" i="52"/>
  <c r="H5" i="52"/>
  <c r="H6" i="52"/>
  <c r="H7" i="52"/>
  <c r="H8" i="52"/>
  <c r="H9" i="52"/>
  <c r="H10" i="52"/>
  <c r="H11" i="52"/>
  <c r="H12" i="52"/>
  <c r="H13" i="52"/>
  <c r="H14" i="52"/>
  <c r="H15" i="52"/>
  <c r="H16" i="52"/>
  <c r="H17" i="52"/>
  <c r="H18" i="52"/>
  <c r="H19" i="52"/>
  <c r="H20" i="52"/>
  <c r="H21" i="52"/>
  <c r="H3" i="52"/>
  <c r="J25" i="52"/>
  <c r="J26" i="52" s="1"/>
  <c r="H4" i="51"/>
  <c r="H5" i="51"/>
  <c r="H6" i="51"/>
  <c r="H7" i="51"/>
  <c r="H8" i="51"/>
  <c r="H9" i="51"/>
  <c r="H10" i="51"/>
  <c r="H11" i="51"/>
  <c r="H12" i="51"/>
  <c r="H13" i="51"/>
  <c r="H14" i="51"/>
  <c r="H15" i="51"/>
  <c r="H16" i="51"/>
  <c r="H17" i="51"/>
  <c r="H18" i="51"/>
  <c r="H19" i="51"/>
  <c r="H20" i="51"/>
  <c r="H21" i="51"/>
  <c r="H22" i="51"/>
  <c r="H23" i="51"/>
  <c r="H24" i="51"/>
  <c r="H3" i="51"/>
  <c r="J25" i="51"/>
  <c r="J26" i="51" s="1"/>
  <c r="H20" i="39"/>
  <c r="H18" i="39"/>
  <c r="H17" i="39"/>
  <c r="J28" i="59" l="1"/>
  <c r="J28" i="58"/>
  <c r="J28" i="57"/>
  <c r="J28" i="54"/>
  <c r="J28" i="53"/>
  <c r="J28" i="52"/>
  <c r="J28" i="51"/>
  <c r="H22" i="50"/>
  <c r="H23" i="50"/>
  <c r="H24" i="50"/>
  <c r="H21" i="50"/>
  <c r="H20" i="50"/>
  <c r="H19" i="50"/>
  <c r="H18" i="50"/>
  <c r="H17" i="50"/>
  <c r="H16" i="50"/>
  <c r="H15" i="50"/>
  <c r="H14" i="50"/>
  <c r="H13" i="50"/>
  <c r="H12" i="50"/>
  <c r="J25" i="50"/>
  <c r="J26" i="50" s="1"/>
  <c r="H11" i="50"/>
  <c r="H10" i="50"/>
  <c r="H9" i="50"/>
  <c r="H8" i="50"/>
  <c r="H7" i="50"/>
  <c r="H6" i="50"/>
  <c r="H5" i="50"/>
  <c r="H4" i="50"/>
  <c r="H3" i="50"/>
  <c r="H24" i="49"/>
  <c r="H4" i="49"/>
  <c r="H5" i="49"/>
  <c r="H6" i="49"/>
  <c r="H7" i="49"/>
  <c r="H8" i="49"/>
  <c r="H9" i="49"/>
  <c r="H10" i="49"/>
  <c r="H11" i="49"/>
  <c r="H12" i="49"/>
  <c r="H13" i="49"/>
  <c r="H14" i="49"/>
  <c r="H15" i="49"/>
  <c r="H16" i="49"/>
  <c r="H17" i="49"/>
  <c r="H18" i="49"/>
  <c r="H19" i="49"/>
  <c r="H20" i="49"/>
  <c r="H21" i="49"/>
  <c r="H22" i="49"/>
  <c r="H23" i="49"/>
  <c r="H3" i="49"/>
  <c r="J25" i="49"/>
  <c r="J26" i="49" s="1"/>
  <c r="H18" i="48"/>
  <c r="H17" i="48"/>
  <c r="J25" i="48"/>
  <c r="J26" i="48" s="1"/>
  <c r="H16" i="48"/>
  <c r="H15" i="48"/>
  <c r="H14" i="48"/>
  <c r="H13" i="48"/>
  <c r="H12" i="48"/>
  <c r="H11" i="48"/>
  <c r="H10" i="48"/>
  <c r="H9" i="48"/>
  <c r="H8" i="48"/>
  <c r="H7" i="48"/>
  <c r="H6" i="48"/>
  <c r="H5" i="48"/>
  <c r="H4" i="48"/>
  <c r="H3" i="48"/>
  <c r="H4" i="47"/>
  <c r="H5" i="47"/>
  <c r="H6" i="47"/>
  <c r="H7" i="47"/>
  <c r="H8" i="47"/>
  <c r="H9" i="47"/>
  <c r="H3" i="47"/>
  <c r="J25" i="47"/>
  <c r="J26" i="47" s="1"/>
  <c r="H4" i="13"/>
  <c r="H5" i="13"/>
  <c r="H6" i="13"/>
  <c r="H7" i="13"/>
  <c r="H8" i="13"/>
  <c r="H9" i="13"/>
  <c r="H10" i="13"/>
  <c r="H11" i="13"/>
  <c r="H3" i="13"/>
  <c r="J25" i="46"/>
  <c r="J26" i="46" s="1"/>
  <c r="J28" i="46"/>
  <c r="H4" i="45"/>
  <c r="H5" i="45"/>
  <c r="H6" i="45"/>
  <c r="H7" i="45"/>
  <c r="H8" i="45"/>
  <c r="H9" i="45"/>
  <c r="H10" i="45"/>
  <c r="H11" i="45"/>
  <c r="H12" i="45"/>
  <c r="H13" i="45"/>
  <c r="H14" i="45"/>
  <c r="H15" i="45"/>
  <c r="H16" i="45"/>
  <c r="H17" i="45"/>
  <c r="H18" i="45"/>
  <c r="H19" i="45"/>
  <c r="H20" i="45"/>
  <c r="H21" i="45"/>
  <c r="H22" i="45"/>
  <c r="H3" i="45"/>
  <c r="J25" i="45"/>
  <c r="J26" i="45" s="1"/>
  <c r="H4" i="44"/>
  <c r="H5" i="44"/>
  <c r="H6" i="44"/>
  <c r="H7" i="44"/>
  <c r="H8" i="44"/>
  <c r="H9" i="44"/>
  <c r="H3" i="44"/>
  <c r="J25" i="44"/>
  <c r="J26" i="44" s="1"/>
  <c r="H22" i="43"/>
  <c r="H21" i="43"/>
  <c r="H20" i="43"/>
  <c r="H19" i="43"/>
  <c r="H10" i="43"/>
  <c r="H18" i="43"/>
  <c r="H17" i="43"/>
  <c r="H16" i="43"/>
  <c r="J25" i="43"/>
  <c r="J26" i="43" s="1"/>
  <c r="H15" i="43"/>
  <c r="H14" i="43"/>
  <c r="H13" i="43"/>
  <c r="H12" i="43"/>
  <c r="H11" i="43"/>
  <c r="H9" i="43"/>
  <c r="H8" i="43"/>
  <c r="H7" i="43"/>
  <c r="H6" i="43"/>
  <c r="H5" i="43"/>
  <c r="H4" i="43"/>
  <c r="H3" i="43"/>
  <c r="H20" i="42"/>
  <c r="H19" i="42"/>
  <c r="H16" i="42"/>
  <c r="J25" i="42"/>
  <c r="J26" i="42" s="1"/>
  <c r="H18" i="42"/>
  <c r="H17" i="42"/>
  <c r="H6" i="42"/>
  <c r="H15" i="42"/>
  <c r="H14" i="42"/>
  <c r="H13" i="42"/>
  <c r="H12" i="42"/>
  <c r="H11" i="42"/>
  <c r="H10" i="42"/>
  <c r="H9" i="42"/>
  <c r="H8" i="42"/>
  <c r="H7" i="42"/>
  <c r="H5" i="42"/>
  <c r="H4" i="42"/>
  <c r="H3" i="42"/>
  <c r="H4" i="41"/>
  <c r="H5" i="41"/>
  <c r="H6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3" i="41"/>
  <c r="J25" i="41"/>
  <c r="J26" i="41" s="1"/>
  <c r="H4" i="40"/>
  <c r="H5" i="40"/>
  <c r="H6" i="40"/>
  <c r="H7" i="40"/>
  <c r="H8" i="40"/>
  <c r="H9" i="40"/>
  <c r="H10" i="40"/>
  <c r="H11" i="40"/>
  <c r="H12" i="40"/>
  <c r="H13" i="40"/>
  <c r="H14" i="40"/>
  <c r="H15" i="40"/>
  <c r="H16" i="40"/>
  <c r="H17" i="40"/>
  <c r="H18" i="40"/>
  <c r="H19" i="40"/>
  <c r="H20" i="40"/>
  <c r="H21" i="40"/>
  <c r="H22" i="40"/>
  <c r="H3" i="40"/>
  <c r="J25" i="40"/>
  <c r="J26" i="40" s="1"/>
  <c r="H4" i="39"/>
  <c r="H5" i="39"/>
  <c r="H6" i="39"/>
  <c r="H7" i="39"/>
  <c r="H8" i="39"/>
  <c r="H9" i="39"/>
  <c r="H10" i="39"/>
  <c r="H11" i="39"/>
  <c r="H12" i="39"/>
  <c r="H13" i="39"/>
  <c r="H14" i="39"/>
  <c r="H15" i="39"/>
  <c r="H16" i="39"/>
  <c r="H19" i="39"/>
  <c r="H3" i="39"/>
  <c r="J25" i="39"/>
  <c r="J26" i="39" s="1"/>
  <c r="H4" i="38"/>
  <c r="H5" i="38"/>
  <c r="H6" i="38"/>
  <c r="H7" i="38"/>
  <c r="H8" i="38"/>
  <c r="H3" i="38"/>
  <c r="J25" i="38"/>
  <c r="J26" i="38" s="1"/>
  <c r="H8" i="37"/>
  <c r="H4" i="37"/>
  <c r="H5" i="37"/>
  <c r="H6" i="37"/>
  <c r="H7" i="37"/>
  <c r="H9" i="37"/>
  <c r="H10" i="37"/>
  <c r="H11" i="37"/>
  <c r="H12" i="37"/>
  <c r="H13" i="37"/>
  <c r="H14" i="37"/>
  <c r="H15" i="37"/>
  <c r="H16" i="37"/>
  <c r="H17" i="37"/>
  <c r="H3" i="37"/>
  <c r="J25" i="37"/>
  <c r="J26" i="37" s="1"/>
  <c r="H18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9" i="36"/>
  <c r="H20" i="36"/>
  <c r="H3" i="36"/>
  <c r="J25" i="36"/>
  <c r="J26" i="36" s="1"/>
  <c r="H17" i="35"/>
  <c r="H4" i="35"/>
  <c r="H5" i="35"/>
  <c r="H6" i="35"/>
  <c r="H7" i="35"/>
  <c r="H8" i="35"/>
  <c r="H9" i="35"/>
  <c r="H10" i="35"/>
  <c r="H11" i="35"/>
  <c r="H12" i="35"/>
  <c r="H13" i="35"/>
  <c r="H14" i="35"/>
  <c r="H15" i="35"/>
  <c r="H16" i="35"/>
  <c r="H3" i="35"/>
  <c r="J25" i="35"/>
  <c r="J26" i="35" s="1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3" i="34"/>
  <c r="J25" i="34"/>
  <c r="J26" i="34" s="1"/>
  <c r="H4" i="33"/>
  <c r="H5" i="33"/>
  <c r="H6" i="33"/>
  <c r="H7" i="33"/>
  <c r="H8" i="33"/>
  <c r="H3" i="33"/>
  <c r="J28" i="33" s="1"/>
  <c r="J25" i="33"/>
  <c r="J26" i="33" s="1"/>
  <c r="H6" i="32"/>
  <c r="H4" i="32"/>
  <c r="H5" i="32"/>
  <c r="H3" i="32"/>
  <c r="J25" i="32"/>
  <c r="J26" i="32" s="1"/>
  <c r="H13" i="12"/>
  <c r="H11" i="12"/>
  <c r="H9" i="12"/>
  <c r="J25" i="31"/>
  <c r="J26" i="31" s="1"/>
  <c r="J28" i="31"/>
  <c r="J28" i="50" l="1"/>
  <c r="J28" i="49"/>
  <c r="J28" i="48"/>
  <c r="J28" i="47"/>
  <c r="J28" i="45"/>
  <c r="J28" i="44"/>
  <c r="J28" i="43"/>
  <c r="J28" i="42"/>
  <c r="J28" i="41"/>
  <c r="J28" i="40"/>
  <c r="J28" i="39"/>
  <c r="J28" i="38"/>
  <c r="J28" i="37"/>
  <c r="J28" i="36"/>
  <c r="J28" i="35"/>
  <c r="J28" i="34"/>
  <c r="J28" i="32"/>
  <c r="J25" i="29"/>
  <c r="J26" i="29" s="1"/>
  <c r="J28" i="29"/>
  <c r="H18" i="28"/>
  <c r="J25" i="28"/>
  <c r="J26" i="28" s="1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3" i="28"/>
  <c r="H4" i="27"/>
  <c r="H5" i="27"/>
  <c r="H6" i="27"/>
  <c r="H7" i="27"/>
  <c r="H3" i="27"/>
  <c r="J25" i="27"/>
  <c r="J26" i="27" s="1"/>
  <c r="H4" i="25"/>
  <c r="H5" i="25"/>
  <c r="H6" i="25"/>
  <c r="H7" i="25"/>
  <c r="H8" i="25"/>
  <c r="H3" i="25"/>
  <c r="J25" i="25"/>
  <c r="J26" i="25" s="1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3" i="24"/>
  <c r="H21" i="24"/>
  <c r="H20" i="24"/>
  <c r="J25" i="24"/>
  <c r="J26" i="24" s="1"/>
  <c r="H4" i="23"/>
  <c r="H6" i="23"/>
  <c r="H7" i="23"/>
  <c r="H8" i="23"/>
  <c r="H9" i="23"/>
  <c r="H10" i="23"/>
  <c r="H11" i="23"/>
  <c r="H12" i="23"/>
  <c r="H13" i="23"/>
  <c r="H3" i="23"/>
  <c r="J25" i="23"/>
  <c r="J26" i="23" s="1"/>
  <c r="H17" i="19"/>
  <c r="H16" i="19"/>
  <c r="H4" i="21"/>
  <c r="H5" i="21"/>
  <c r="H6" i="21"/>
  <c r="H3" i="21"/>
  <c r="H4" i="19"/>
  <c r="H5" i="19"/>
  <c r="H6" i="19"/>
  <c r="H7" i="19"/>
  <c r="H8" i="19"/>
  <c r="H9" i="19"/>
  <c r="H10" i="19"/>
  <c r="H11" i="19"/>
  <c r="H12" i="19"/>
  <c r="H13" i="19"/>
  <c r="H14" i="19"/>
  <c r="H15" i="19"/>
  <c r="H3" i="19"/>
  <c r="J25" i="21"/>
  <c r="J26" i="21" s="1"/>
  <c r="J25" i="19"/>
  <c r="J26" i="19" s="1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3" i="17"/>
  <c r="J25" i="17"/>
  <c r="J26" i="17" s="1"/>
  <c r="H4" i="15"/>
  <c r="H5" i="15"/>
  <c r="H6" i="15"/>
  <c r="H7" i="15"/>
  <c r="J28" i="15" s="1"/>
  <c r="H8" i="15"/>
  <c r="H9" i="15"/>
  <c r="H10" i="15"/>
  <c r="H11" i="15"/>
  <c r="H12" i="15"/>
  <c r="H13" i="15"/>
  <c r="H14" i="15"/>
  <c r="H15" i="15"/>
  <c r="H3" i="15"/>
  <c r="J25" i="15"/>
  <c r="J26" i="15" s="1"/>
  <c r="J25" i="13"/>
  <c r="J26" i="13" s="1"/>
  <c r="H4" i="12"/>
  <c r="H5" i="12"/>
  <c r="H6" i="12"/>
  <c r="H7" i="12"/>
  <c r="H8" i="12"/>
  <c r="H10" i="12"/>
  <c r="H12" i="12"/>
  <c r="H14" i="12"/>
  <c r="H15" i="12"/>
  <c r="H16" i="12"/>
  <c r="H17" i="12"/>
  <c r="H18" i="12"/>
  <c r="H3" i="12"/>
  <c r="J25" i="12"/>
  <c r="J26" i="12" s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3" i="10"/>
  <c r="J25" i="10"/>
  <c r="J26" i="10" s="1"/>
  <c r="H18" i="9"/>
  <c r="H4" i="9"/>
  <c r="H5" i="9"/>
  <c r="H6" i="9"/>
  <c r="H7" i="9"/>
  <c r="H8" i="9"/>
  <c r="H9" i="9"/>
  <c r="H10" i="9"/>
  <c r="H11" i="9"/>
  <c r="H12" i="9"/>
  <c r="H13" i="9"/>
  <c r="H14" i="9"/>
  <c r="H16" i="9"/>
  <c r="H17" i="9"/>
  <c r="H3" i="9"/>
  <c r="J25" i="9"/>
  <c r="J26" i="9" s="1"/>
  <c r="H6" i="8"/>
  <c r="H4" i="8"/>
  <c r="H5" i="8"/>
  <c r="H7" i="8"/>
  <c r="H8" i="8"/>
  <c r="H9" i="8"/>
  <c r="H10" i="8"/>
  <c r="H11" i="8"/>
  <c r="H12" i="8"/>
  <c r="H13" i="8"/>
  <c r="H14" i="8"/>
  <c r="H15" i="8"/>
  <c r="H3" i="8"/>
  <c r="J25" i="8"/>
  <c r="J26" i="8" s="1"/>
  <c r="J26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3" i="6"/>
  <c r="J25" i="6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3" i="4"/>
  <c r="J24" i="4"/>
  <c r="J25" i="4" s="1"/>
  <c r="H4" i="3"/>
  <c r="H5" i="3"/>
  <c r="H6" i="3"/>
  <c r="H7" i="3"/>
  <c r="H8" i="3"/>
  <c r="H9" i="3"/>
  <c r="H10" i="3"/>
  <c r="H11" i="3"/>
  <c r="H12" i="3"/>
  <c r="H13" i="3"/>
  <c r="H3" i="3"/>
  <c r="J24" i="3"/>
  <c r="J25" i="3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G3" i="1"/>
  <c r="G17" i="1"/>
  <c r="G16" i="1"/>
  <c r="G15" i="1"/>
  <c r="G14" i="1"/>
  <c r="G13" i="1"/>
  <c r="G12" i="1"/>
  <c r="G11" i="1"/>
  <c r="G10" i="1"/>
  <c r="G9" i="1"/>
  <c r="G7" i="1"/>
  <c r="G8" i="1"/>
  <c r="G6" i="1"/>
  <c r="G5" i="1"/>
  <c r="G4" i="1"/>
  <c r="J28" i="28" l="1"/>
  <c r="J28" i="27"/>
  <c r="J28" i="25"/>
  <c r="J28" i="24"/>
  <c r="J28" i="13"/>
  <c r="J28" i="23"/>
  <c r="J28" i="21"/>
  <c r="J28" i="17"/>
  <c r="J28" i="12"/>
  <c r="J28" i="10"/>
  <c r="J28" i="9"/>
  <c r="J28" i="8"/>
  <c r="J28" i="6"/>
  <c r="J24" i="1"/>
  <c r="J25" i="1" s="1"/>
  <c r="J28" i="19"/>
  <c r="J28" i="77"/>
  <c r="J28" i="134"/>
  <c r="J28" i="86"/>
</calcChain>
</file>

<file path=xl/sharedStrings.xml><?xml version="1.0" encoding="utf-8"?>
<sst xmlns="http://schemas.openxmlformats.org/spreadsheetml/2006/main" count="6398" uniqueCount="542">
  <si>
    <t xml:space="preserve">처방명 : 감비탕 </t>
    <phoneticPr fontId="1" type="noConversion"/>
  </si>
  <si>
    <t>처방</t>
    <phoneticPr fontId="1" type="noConversion"/>
  </si>
  <si>
    <t>No.</t>
    <phoneticPr fontId="1" type="noConversion"/>
  </si>
  <si>
    <t>약재명</t>
    <phoneticPr fontId="1" type="noConversion"/>
  </si>
  <si>
    <t>수치</t>
    <phoneticPr fontId="1" type="noConversion"/>
  </si>
  <si>
    <t>돈</t>
    <phoneticPr fontId="1" type="noConversion"/>
  </si>
  <si>
    <t>그램</t>
    <phoneticPr fontId="1" type="noConversion"/>
  </si>
  <si>
    <t>총용량</t>
    <phoneticPr fontId="1" type="noConversion"/>
  </si>
  <si>
    <t>복용법</t>
    <phoneticPr fontId="1" type="noConversion"/>
  </si>
  <si>
    <t>마황</t>
    <phoneticPr fontId="1" type="noConversion"/>
  </si>
  <si>
    <t>식전 30분
아침, 점심, 저녁 3팩</t>
    <phoneticPr fontId="1" type="noConversion"/>
  </si>
  <si>
    <t>석고</t>
    <phoneticPr fontId="1" type="noConversion"/>
  </si>
  <si>
    <t>숙지황</t>
    <phoneticPr fontId="1" type="noConversion"/>
  </si>
  <si>
    <t>당귀</t>
    <phoneticPr fontId="1" type="noConversion"/>
  </si>
  <si>
    <t>천궁</t>
    <phoneticPr fontId="1" type="noConversion"/>
  </si>
  <si>
    <t>홍화</t>
    <phoneticPr fontId="1" type="noConversion"/>
  </si>
  <si>
    <t>마황12 석고 숙지황 당귀 천궁6 홍화 소목 목통 택사 4 등심 행인8 (*30첩,90팩)</t>
  </si>
  <si>
    <t>소목</t>
    <phoneticPr fontId="1" type="noConversion"/>
  </si>
  <si>
    <t>목통</t>
    <phoneticPr fontId="1" type="noConversion"/>
  </si>
  <si>
    <t>택사</t>
    <phoneticPr fontId="1" type="noConversion"/>
  </si>
  <si>
    <t>메모</t>
    <phoneticPr fontId="1" type="noConversion"/>
  </si>
  <si>
    <t>등심</t>
    <phoneticPr fontId="1" type="noConversion"/>
  </si>
  <si>
    <t>행인</t>
    <phoneticPr fontId="1" type="noConversion"/>
  </si>
  <si>
    <t>총 일수</t>
    <phoneticPr fontId="1" type="noConversion"/>
  </si>
  <si>
    <t>일분</t>
    <phoneticPr fontId="1" type="noConversion"/>
  </si>
  <si>
    <t>첩수</t>
    <phoneticPr fontId="1" type="noConversion"/>
  </si>
  <si>
    <t>첩</t>
    <phoneticPr fontId="1" type="noConversion"/>
  </si>
  <si>
    <t>총 팩수</t>
    <phoneticPr fontId="1" type="noConversion"/>
  </si>
  <si>
    <t>팩</t>
    <phoneticPr fontId="1" type="noConversion"/>
  </si>
  <si>
    <t>1첩당약재</t>
    <phoneticPr fontId="1" type="noConversion"/>
  </si>
  <si>
    <t>g</t>
    <phoneticPr fontId="1" type="noConversion"/>
  </si>
  <si>
    <t>약재총량</t>
    <phoneticPr fontId="1" type="noConversion"/>
  </si>
  <si>
    <t>총 물량</t>
    <phoneticPr fontId="1" type="noConversion"/>
  </si>
  <si>
    <t>cc</t>
    <phoneticPr fontId="1" type="noConversion"/>
  </si>
  <si>
    <t>1돈 환산 =</t>
    <phoneticPr fontId="1" type="noConversion"/>
  </si>
  <si>
    <t>처방명 : 연교패독산</t>
    <phoneticPr fontId="1" type="noConversion"/>
  </si>
  <si>
    <t>금은화</t>
    <phoneticPr fontId="1" type="noConversion"/>
  </si>
  <si>
    <t xml:space="preserve">연교 </t>
    <phoneticPr fontId="1" type="noConversion"/>
  </si>
  <si>
    <t>방풍</t>
    <phoneticPr fontId="1" type="noConversion"/>
  </si>
  <si>
    <t>형개</t>
    <phoneticPr fontId="1" type="noConversion"/>
  </si>
  <si>
    <t>시호</t>
    <phoneticPr fontId="1" type="noConversion"/>
  </si>
  <si>
    <t>전호</t>
    <phoneticPr fontId="1" type="noConversion"/>
  </si>
  <si>
    <t>강활</t>
    <phoneticPr fontId="1" type="noConversion"/>
  </si>
  <si>
    <t>독활</t>
    <phoneticPr fontId="1" type="noConversion"/>
  </si>
  <si>
    <t>지각</t>
    <phoneticPr fontId="1" type="noConversion"/>
  </si>
  <si>
    <t>길경</t>
    <phoneticPr fontId="1" type="noConversion"/>
  </si>
  <si>
    <t>적복령</t>
    <phoneticPr fontId="1" type="noConversion"/>
  </si>
  <si>
    <t>감초</t>
    <phoneticPr fontId="1" type="noConversion"/>
  </si>
  <si>
    <t>생강</t>
    <phoneticPr fontId="1" type="noConversion"/>
  </si>
  <si>
    <t>박하</t>
    <phoneticPr fontId="1" type="noConversion"/>
  </si>
  <si>
    <t>처방명 : 개울화담전 가감 녹용보약</t>
    <phoneticPr fontId="1" type="noConversion"/>
  </si>
  <si>
    <t>향부자</t>
    <phoneticPr fontId="1" type="noConversion"/>
  </si>
  <si>
    <t>식후 30분
아침, 점심 2팩</t>
    <phoneticPr fontId="1" type="noConversion"/>
  </si>
  <si>
    <t>진피</t>
    <phoneticPr fontId="1" type="noConversion"/>
  </si>
  <si>
    <t>창출</t>
    <phoneticPr fontId="1" type="noConversion"/>
  </si>
  <si>
    <t>후박</t>
    <phoneticPr fontId="1" type="noConversion"/>
  </si>
  <si>
    <t>향부자 10 진피 창출 생강 6 후박 적복령 반하 연교 나복자 지각 신곡초 길경 목향 4  황련주초 택사 4 천궁 4 치자초2 녹용4 (20첩 45팩)</t>
  </si>
  <si>
    <t>향부자 2.5 창출(백출), 진피, 후박, 반하, 적복령, 연교, 라복자, 지실, 신국초 1.0 목향 0.7 황금주초, 황련주초 0.5 강 3</t>
  </si>
  <si>
    <t>반하</t>
    <phoneticPr fontId="1" type="noConversion"/>
  </si>
  <si>
    <t>연교</t>
    <phoneticPr fontId="1" type="noConversion"/>
  </si>
  <si>
    <t>나복자</t>
    <phoneticPr fontId="1" type="noConversion"/>
  </si>
  <si>
    <t>개울화담전
+ 녹용, 길경, 택사, 천궁, 치자초
- 황금주초
지실 代 지각</t>
    <phoneticPr fontId="1" type="noConversion"/>
  </si>
  <si>
    <t>신곡</t>
    <phoneticPr fontId="1" type="noConversion"/>
  </si>
  <si>
    <t>초</t>
    <phoneticPr fontId="1" type="noConversion"/>
  </si>
  <si>
    <t>목향</t>
    <phoneticPr fontId="1" type="noConversion"/>
  </si>
  <si>
    <t>황련주초</t>
    <phoneticPr fontId="1" type="noConversion"/>
  </si>
  <si>
    <t>주초</t>
    <phoneticPr fontId="1" type="noConversion"/>
  </si>
  <si>
    <t>치자</t>
    <phoneticPr fontId="1" type="noConversion"/>
  </si>
  <si>
    <t>녹용</t>
    <phoneticPr fontId="1" type="noConversion"/>
  </si>
  <si>
    <t>처방명 : 향사평위산+사물탕 가감</t>
    <phoneticPr fontId="1" type="noConversion"/>
  </si>
  <si>
    <t>식후 30분
아침, 점심, 저녁 3팩</t>
    <phoneticPr fontId="1" type="noConversion"/>
  </si>
  <si>
    <t>지실</t>
    <phoneticPr fontId="1" type="noConversion"/>
  </si>
  <si>
    <t>곽향</t>
    <phoneticPr fontId="1" type="noConversion"/>
  </si>
  <si>
    <t>사인</t>
    <phoneticPr fontId="1" type="noConversion"/>
  </si>
  <si>
    <t>향사평위산 - 목향
+ 당귀, 천궁, 백작약
+ 원육, 백복신
+ 죽여, 황련주초 
+ 계지, 오약</t>
    <phoneticPr fontId="1" type="noConversion"/>
  </si>
  <si>
    <t>백작약</t>
    <phoneticPr fontId="1" type="noConversion"/>
  </si>
  <si>
    <t>원육</t>
    <phoneticPr fontId="1" type="noConversion"/>
  </si>
  <si>
    <t>백복신</t>
    <phoneticPr fontId="1" type="noConversion"/>
  </si>
  <si>
    <t>죽여</t>
    <phoneticPr fontId="1" type="noConversion"/>
  </si>
  <si>
    <t>황련</t>
    <phoneticPr fontId="1" type="noConversion"/>
  </si>
  <si>
    <t>계지</t>
    <phoneticPr fontId="1" type="noConversion"/>
  </si>
  <si>
    <t>오약</t>
    <phoneticPr fontId="1" type="noConversion"/>
  </si>
  <si>
    <t>팩당 물량</t>
    <phoneticPr fontId="1" type="noConversion"/>
  </si>
  <si>
    <t>100-110</t>
    <phoneticPr fontId="1" type="noConversion"/>
  </si>
  <si>
    <t>처방명 : 형방사백산 가감</t>
    <phoneticPr fontId="1" type="noConversion"/>
  </si>
  <si>
    <t>생지황</t>
    <phoneticPr fontId="1" type="noConversion"/>
  </si>
  <si>
    <t>식전 식후 무관
양약과 1시간 띄워서 
아침, 저녁 하루 2팩</t>
    <phoneticPr fontId="1" type="noConversion"/>
  </si>
  <si>
    <t>백복령</t>
    <phoneticPr fontId="1" type="noConversion"/>
  </si>
  <si>
    <t>지모</t>
    <phoneticPr fontId="1" type="noConversion"/>
  </si>
  <si>
    <t>황백</t>
    <phoneticPr fontId="1" type="noConversion"/>
  </si>
  <si>
    <t>형방사백산 - 독활
+ 창출, 진피, 반하, 생강</t>
    <phoneticPr fontId="1" type="noConversion"/>
  </si>
  <si>
    <t>처방명 : 육미지황탕 가감</t>
    <phoneticPr fontId="1" type="noConversion"/>
  </si>
  <si>
    <t>식후 1시간
양약과 1시간 띄워서 
아침, 저녁 하루 3팩</t>
    <phoneticPr fontId="1" type="noConversion"/>
  </si>
  <si>
    <t>산수유</t>
    <phoneticPr fontId="1" type="noConversion"/>
  </si>
  <si>
    <t>구기자</t>
    <phoneticPr fontId="1" type="noConversion"/>
  </si>
  <si>
    <t>복령</t>
    <phoneticPr fontId="1" type="noConversion"/>
  </si>
  <si>
    <t>목단피</t>
    <phoneticPr fontId="1" type="noConversion"/>
  </si>
  <si>
    <t>차전자</t>
    <phoneticPr fontId="1" type="noConversion"/>
  </si>
  <si>
    <t>파고지</t>
    <phoneticPr fontId="1" type="noConversion"/>
  </si>
  <si>
    <t>우슬</t>
    <phoneticPr fontId="1" type="noConversion"/>
  </si>
  <si>
    <t>육계</t>
    <phoneticPr fontId="1" type="noConversion"/>
  </si>
  <si>
    <t>육미지황탕 - 산약
+ 구기자, 차전자, 토사자, 여정자, 우슬, 파고지, 육계
+ 연자육
+ 반하</t>
    <phoneticPr fontId="1" type="noConversion"/>
  </si>
  <si>
    <t>토사자</t>
    <phoneticPr fontId="1" type="noConversion"/>
  </si>
  <si>
    <t>여정자</t>
    <phoneticPr fontId="1" type="noConversion"/>
  </si>
  <si>
    <t>(백자인)</t>
    <phoneticPr fontId="1" type="noConversion"/>
  </si>
  <si>
    <t>연자육</t>
    <phoneticPr fontId="1" type="noConversion"/>
  </si>
  <si>
    <t>적하수오</t>
    <phoneticPr fontId="1" type="noConversion"/>
  </si>
  <si>
    <t>처방명 : 삼소음</t>
    <phoneticPr fontId="1" type="noConversion"/>
  </si>
  <si>
    <t>인삼</t>
    <phoneticPr fontId="1" type="noConversion"/>
  </si>
  <si>
    <t>사삼</t>
    <phoneticPr fontId="1" type="noConversion"/>
  </si>
  <si>
    <t>배농탕</t>
    <phoneticPr fontId="1" type="noConversion"/>
  </si>
  <si>
    <t>맥문동 12</t>
  </si>
  <si>
    <t>자소엽</t>
    <phoneticPr fontId="1" type="noConversion"/>
  </si>
  <si>
    <t>대조7</t>
    <phoneticPr fontId="1" type="noConversion"/>
  </si>
  <si>
    <t>반하 8</t>
    <phoneticPr fontId="1" type="noConversion"/>
  </si>
  <si>
    <t>길경6</t>
    <phoneticPr fontId="1" type="noConversion"/>
  </si>
  <si>
    <t>인삼 4</t>
  </si>
  <si>
    <t>감초4</t>
    <phoneticPr fontId="1" type="noConversion"/>
  </si>
  <si>
    <t>감초 2</t>
  </si>
  <si>
    <t>갈근</t>
    <phoneticPr fontId="1" type="noConversion"/>
  </si>
  <si>
    <t>생강2</t>
    <phoneticPr fontId="1" type="noConversion"/>
  </si>
  <si>
    <t>길경 6</t>
  </si>
  <si>
    <t>대조 7</t>
  </si>
  <si>
    <t>갱미 15</t>
  </si>
  <si>
    <t>오미자 4</t>
  </si>
  <si>
    <t>전호 4</t>
  </si>
  <si>
    <t>패모 4</t>
  </si>
  <si>
    <t>상백피 4</t>
  </si>
  <si>
    <t>대조</t>
    <phoneticPr fontId="1" type="noConversion"/>
  </si>
  <si>
    <t>자완 4</t>
  </si>
  <si>
    <t>상백피</t>
    <phoneticPr fontId="1" type="noConversion"/>
  </si>
  <si>
    <t>맥문동</t>
    <phoneticPr fontId="1" type="noConversion"/>
  </si>
  <si>
    <t>백개자</t>
    <phoneticPr fontId="1" type="noConversion"/>
  </si>
  <si>
    <t>자소자</t>
    <phoneticPr fontId="1" type="noConversion"/>
  </si>
  <si>
    <t>식후 1시간
양약과 1시간 띄워서 
아침, 저녁 하루 2팩</t>
    <phoneticPr fontId="1" type="noConversion"/>
  </si>
  <si>
    <t>산약</t>
    <phoneticPr fontId="1" type="noConversion"/>
  </si>
  <si>
    <t>석창포</t>
    <phoneticPr fontId="1" type="noConversion"/>
  </si>
  <si>
    <t>오미자</t>
    <phoneticPr fontId="1" type="noConversion"/>
  </si>
  <si>
    <t>원지</t>
    <phoneticPr fontId="1" type="noConversion"/>
  </si>
  <si>
    <t>육종용</t>
    <phoneticPr fontId="1" type="noConversion"/>
  </si>
  <si>
    <t>파극천</t>
    <phoneticPr fontId="1" type="noConversion"/>
  </si>
  <si>
    <t>처방명 : 맥문동탕</t>
    <phoneticPr fontId="1" type="noConversion"/>
  </si>
  <si>
    <t>갱미</t>
    <phoneticPr fontId="1" type="noConversion"/>
  </si>
  <si>
    <t>패모</t>
    <phoneticPr fontId="1" type="noConversion"/>
  </si>
  <si>
    <t>자완</t>
    <phoneticPr fontId="1" type="noConversion"/>
  </si>
  <si>
    <t>처방명 : 쌍화탕</t>
    <phoneticPr fontId="1" type="noConversion"/>
  </si>
  <si>
    <t>황기</t>
    <phoneticPr fontId="1" type="noConversion"/>
  </si>
  <si>
    <t>대추</t>
    <phoneticPr fontId="1" type="noConversion"/>
  </si>
  <si>
    <t>처방명 : 귀기건중 합 육미 + 시호</t>
    <phoneticPr fontId="1" type="noConversion"/>
  </si>
  <si>
    <t>교이</t>
    <phoneticPr fontId="1" type="noConversion"/>
  </si>
  <si>
    <t>자감초</t>
    <phoneticPr fontId="1" type="noConversion"/>
  </si>
  <si>
    <t>처방명 : 소요산</t>
    <phoneticPr fontId="1" type="noConversion"/>
  </si>
  <si>
    <t>백출</t>
    <phoneticPr fontId="1" type="noConversion"/>
  </si>
  <si>
    <t>지골피</t>
    <phoneticPr fontId="1" type="noConversion"/>
  </si>
  <si>
    <t>소요산
+ 지골피, 황련, 목단피, 치자
+ 향부자 용안육</t>
    <phoneticPr fontId="1" type="noConversion"/>
  </si>
  <si>
    <t>용안육</t>
    <phoneticPr fontId="1" type="noConversion"/>
  </si>
  <si>
    <t>소요산
+ 지골피, 황련, 목단피, 치자
+ 향부자 용안육 대조</t>
    <phoneticPr fontId="1" type="noConversion"/>
  </si>
  <si>
    <t>처방명 : 오수유탕</t>
    <phoneticPr fontId="1" type="noConversion"/>
  </si>
  <si>
    <t>오수유</t>
    <phoneticPr fontId="1" type="noConversion"/>
  </si>
  <si>
    <t>처방명 : 생강사심탕</t>
    <phoneticPr fontId="1" type="noConversion"/>
  </si>
  <si>
    <t>황금</t>
    <phoneticPr fontId="1" type="noConversion"/>
  </si>
  <si>
    <t>건강</t>
    <phoneticPr fontId="1" type="noConversion"/>
  </si>
  <si>
    <t>건지황</t>
    <phoneticPr fontId="1" type="noConversion"/>
  </si>
  <si>
    <t>처방명 : 보화탕 + 사물탕</t>
    <phoneticPr fontId="1" type="noConversion"/>
  </si>
  <si>
    <t>산사</t>
    <phoneticPr fontId="1" type="noConversion"/>
  </si>
  <si>
    <t>맥아</t>
    <phoneticPr fontId="1" type="noConversion"/>
  </si>
  <si>
    <t>보화탕
+ 창출
+ 당귀 천궁 작약
+ 원육 백복신 죽여 황련</t>
    <phoneticPr fontId="1" type="noConversion"/>
  </si>
  <si>
    <t>작약</t>
    <phoneticPr fontId="1" type="noConversion"/>
  </si>
  <si>
    <t>처방명 : 소함흉탕</t>
    <phoneticPr fontId="1" type="noConversion"/>
  </si>
  <si>
    <t>과루인</t>
    <phoneticPr fontId="1" type="noConversion"/>
  </si>
  <si>
    <t>처방명 : 계지복령환</t>
    <phoneticPr fontId="1" type="noConversion"/>
  </si>
  <si>
    <t>도인</t>
    <phoneticPr fontId="1" type="noConversion"/>
  </si>
  <si>
    <t>처방명 : 가미십전대보탕</t>
    <phoneticPr fontId="1" type="noConversion"/>
  </si>
  <si>
    <t xml:space="preserve">식사와 상관없이
아침, 저녁 2팩
3/6 내원 </t>
    <phoneticPr fontId="1" type="noConversion"/>
  </si>
  <si>
    <t>백두구</t>
    <phoneticPr fontId="1" type="noConversion"/>
  </si>
  <si>
    <t>익지인</t>
    <phoneticPr fontId="1" type="noConversion"/>
  </si>
  <si>
    <t>연육</t>
    <phoneticPr fontId="1" type="noConversion"/>
  </si>
  <si>
    <t>육미지황탕 
+ 석창포, 원지, 원육
육종용, 파극천, 토사자
진피 산사 연육
녹용
----&gt; 육미베이스 자율신경계 안정 및 치매예방</t>
    <phoneticPr fontId="1" type="noConversion"/>
  </si>
  <si>
    <t>과루실</t>
    <phoneticPr fontId="1" type="noConversion"/>
  </si>
  <si>
    <t>처방명 : 소함흉탕 + 대조</t>
    <phoneticPr fontId="1" type="noConversion"/>
  </si>
  <si>
    <t>처방명 : 당귀작약산</t>
    <phoneticPr fontId="1" type="noConversion"/>
  </si>
  <si>
    <t>백지</t>
    <phoneticPr fontId="1" type="noConversion"/>
  </si>
  <si>
    <t>처방명 : 오적산 +  치자벽피탕</t>
    <phoneticPr fontId="1" type="noConversion"/>
  </si>
  <si>
    <t>처방명 : 당귀지황탕</t>
    <phoneticPr fontId="1" type="noConversion"/>
  </si>
  <si>
    <t>밀자</t>
    <phoneticPr fontId="1" type="noConversion"/>
  </si>
  <si>
    <t>주자</t>
    <phoneticPr fontId="1" type="noConversion"/>
  </si>
  <si>
    <t>부소맥</t>
    <phoneticPr fontId="1" type="noConversion"/>
  </si>
  <si>
    <t>처방명 : 감비탕</t>
    <phoneticPr fontId="1" type="noConversion"/>
  </si>
  <si>
    <t>의이인</t>
    <phoneticPr fontId="1" type="noConversion"/>
  </si>
  <si>
    <t>당귀신</t>
    <phoneticPr fontId="1" type="noConversion"/>
  </si>
  <si>
    <t>천화분</t>
    <phoneticPr fontId="1" type="noConversion"/>
  </si>
  <si>
    <t>백하수오</t>
    <phoneticPr fontId="1" type="noConversion"/>
  </si>
  <si>
    <t>음양곽</t>
    <phoneticPr fontId="1" type="noConversion"/>
  </si>
  <si>
    <t>복분자</t>
    <phoneticPr fontId="1" type="noConversion"/>
  </si>
  <si>
    <t>마자인</t>
    <phoneticPr fontId="1" type="noConversion"/>
  </si>
  <si>
    <t>처방명 : 계지가작약 가 목단피</t>
    <phoneticPr fontId="1" type="noConversion"/>
  </si>
  <si>
    <t>신곡초</t>
    <phoneticPr fontId="1" type="noConversion"/>
  </si>
  <si>
    <t>처방명 : 청심온담탕 가감</t>
    <phoneticPr fontId="1" type="noConversion"/>
  </si>
  <si>
    <t>백자인</t>
    <phoneticPr fontId="1" type="noConversion"/>
  </si>
  <si>
    <t>24.03.22</t>
    <phoneticPr fontId="1" type="noConversion"/>
  </si>
  <si>
    <t>천마</t>
    <phoneticPr fontId="1" type="noConversion"/>
  </si>
  <si>
    <t>처방명 : 가미대보탕</t>
    <phoneticPr fontId="1" type="noConversion"/>
  </si>
  <si>
    <t>3월 26일</t>
    <phoneticPr fontId="1" type="noConversion"/>
  </si>
  <si>
    <t>육미지황탕 
+ 구기자, 차전자, 토사자, 여정자, 우슬, 파고지, 육계, 적하수오
+ 반하
+ 시호 방풍 형개</t>
    <phoneticPr fontId="1" type="noConversion"/>
  </si>
  <si>
    <t>맥문동탕</t>
    <phoneticPr fontId="1" type="noConversion"/>
  </si>
  <si>
    <t>빈랑</t>
    <phoneticPr fontId="1" type="noConversion"/>
  </si>
  <si>
    <t>청심온담탕 
- 황금
+ 당귀 원육 원지 석창포 황기
+ 시호 치자 
+ 빈랑 목향</t>
    <phoneticPr fontId="1" type="noConversion"/>
  </si>
  <si>
    <t>3월 27일 김경원</t>
    <phoneticPr fontId="1" type="noConversion"/>
  </si>
  <si>
    <t>처방명 : 계지탕 가 황기 녹용</t>
    <phoneticPr fontId="1" type="noConversion"/>
  </si>
  <si>
    <t>3월 27일 이수연</t>
    <phoneticPr fontId="1" type="noConversion"/>
  </si>
  <si>
    <t>계지탕 가 황기 녹용</t>
    <phoneticPr fontId="1" type="noConversion"/>
  </si>
  <si>
    <t>처방명 : 귀비탕가감</t>
    <phoneticPr fontId="1" type="noConversion"/>
  </si>
  <si>
    <t>3월 29일 신태균</t>
    <phoneticPr fontId="1" type="noConversion"/>
  </si>
  <si>
    <t>귀비탕
+산사 신곡 맥아 산약 초두구
+육계 구기자 녹용</t>
    <phoneticPr fontId="1" type="noConversion"/>
  </si>
  <si>
    <t>초두구</t>
    <phoneticPr fontId="1" type="noConversion"/>
  </si>
  <si>
    <t>귀비탕
- 인삼 원지 생강 대조
+ 진피 후박
+ 산수유 구기자 오미자 작약 맥문동
+ 연육 익지인 사인 육계 녹용</t>
    <phoneticPr fontId="1" type="noConversion"/>
  </si>
  <si>
    <t>3월 29일 윤영애</t>
    <phoneticPr fontId="1" type="noConversion"/>
  </si>
  <si>
    <t>1첩당</t>
    <phoneticPr fontId="1" type="noConversion"/>
  </si>
  <si>
    <t>80-120g</t>
    <phoneticPr fontId="1" type="noConversion"/>
  </si>
  <si>
    <t>20첩당</t>
    <phoneticPr fontId="1" type="noConversion"/>
  </si>
  <si>
    <t>1600g</t>
    <phoneticPr fontId="1" type="noConversion"/>
  </si>
  <si>
    <t>처방명 : 갈근탕</t>
    <phoneticPr fontId="1" type="noConversion"/>
  </si>
  <si>
    <t>4월 1일 갈근탕</t>
    <phoneticPr fontId="1" type="noConversion"/>
  </si>
  <si>
    <t>24.04.02 정귀자</t>
    <phoneticPr fontId="1" type="noConversion"/>
  </si>
  <si>
    <t>맥아초</t>
    <phoneticPr fontId="1" type="noConversion"/>
  </si>
  <si>
    <t>처방명 : 가미온담탕 + 정전가미이진탕</t>
    <phoneticPr fontId="1" type="noConversion"/>
  </si>
  <si>
    <t>가미온담탕 (시호 대 치자)
+ 정전가미이진탕 (사인 대 목향)
+ 곽향 후박 황련</t>
    <phoneticPr fontId="1" type="noConversion"/>
  </si>
  <si>
    <t>두충</t>
    <phoneticPr fontId="1" type="noConversion"/>
  </si>
  <si>
    <t>속단</t>
    <phoneticPr fontId="1" type="noConversion"/>
  </si>
  <si>
    <t>처방명 : 쌍화탕가감방</t>
    <phoneticPr fontId="1" type="noConversion"/>
  </si>
  <si>
    <t>쌍화탕
+ 창출 진피 산사 신곡 맥아
+ 우슬 두충 속단 독활 강활 방풍 
+ 녹용</t>
    <phoneticPr fontId="1" type="noConversion"/>
  </si>
  <si>
    <t>24.04.03 서상호</t>
    <phoneticPr fontId="1" type="noConversion"/>
  </si>
  <si>
    <t>청심온담탕 
- 황금 + 황련
+당귀 원육 지골피 백자인
+인삼 신곡초 목향</t>
    <phoneticPr fontId="1" type="noConversion"/>
  </si>
  <si>
    <t>처방명 : 가미개결서경탕</t>
    <phoneticPr fontId="1" type="noConversion"/>
  </si>
  <si>
    <t>24.04.08 김해선</t>
    <phoneticPr fontId="1" type="noConversion"/>
  </si>
  <si>
    <t>계지+육계</t>
    <phoneticPr fontId="1" type="noConversion"/>
  </si>
  <si>
    <t>소엽</t>
    <phoneticPr fontId="1" type="noConversion"/>
  </si>
  <si>
    <t>강황</t>
    <phoneticPr fontId="1" type="noConversion"/>
  </si>
  <si>
    <t>해동피</t>
    <phoneticPr fontId="1" type="noConversion"/>
  </si>
  <si>
    <t>현호색</t>
    <phoneticPr fontId="1" type="noConversion"/>
  </si>
  <si>
    <t>적작약</t>
    <phoneticPr fontId="1" type="noConversion"/>
  </si>
  <si>
    <t>위령선</t>
    <phoneticPr fontId="1" type="noConversion"/>
  </si>
  <si>
    <t>남성</t>
    <phoneticPr fontId="1" type="noConversion"/>
  </si>
  <si>
    <t>건율</t>
    <phoneticPr fontId="1" type="noConversion"/>
  </si>
  <si>
    <t>천문동</t>
    <phoneticPr fontId="1" type="noConversion"/>
  </si>
  <si>
    <t>처방명 : 태음조위탕+평위산+치자벽피탕</t>
    <phoneticPr fontId="1" type="noConversion"/>
  </si>
  <si>
    <t>24.04.09 서두섭</t>
    <phoneticPr fontId="1" type="noConversion"/>
  </si>
  <si>
    <t>24.04.12 정연춘</t>
    <phoneticPr fontId="1" type="noConversion"/>
  </si>
  <si>
    <t>육미지황탕 합 평진탕 
+ 방풍 형개 
+ 육계</t>
    <phoneticPr fontId="1" type="noConversion"/>
  </si>
  <si>
    <t xml:space="preserve">  </t>
    <phoneticPr fontId="1" type="noConversion"/>
  </si>
  <si>
    <t>24.04.15 김해선</t>
    <phoneticPr fontId="1" type="noConversion"/>
  </si>
  <si>
    <t>청심온담탕 
+당귀 원육 지골피 백자인
+인삼 신곡초 목향
+시호</t>
    <phoneticPr fontId="1" type="noConversion"/>
  </si>
  <si>
    <t>처방명 : 순기화중탕</t>
    <phoneticPr fontId="1" type="noConversion"/>
  </si>
  <si>
    <t>24.04.22 한소미</t>
    <phoneticPr fontId="1" type="noConversion"/>
  </si>
  <si>
    <t>승마</t>
    <phoneticPr fontId="1" type="noConversion"/>
  </si>
  <si>
    <t>만형자</t>
    <phoneticPr fontId="1" type="noConversion"/>
  </si>
  <si>
    <t>세신</t>
    <phoneticPr fontId="1" type="noConversion"/>
  </si>
  <si>
    <t xml:space="preserve">3/8 2차 15첩 45팩
4/22 3차 15첩 45팩 </t>
    <phoneticPr fontId="1" type="noConversion"/>
  </si>
  <si>
    <t>순기화중탕 + 향부자</t>
    <phoneticPr fontId="1" type="noConversion"/>
  </si>
  <si>
    <t>24.04.03 권태옥
24.04.23 권태옥</t>
    <phoneticPr fontId="1" type="noConversion"/>
  </si>
  <si>
    <t>인진</t>
    <phoneticPr fontId="1" type="noConversion"/>
  </si>
  <si>
    <t>저령</t>
    <phoneticPr fontId="1" type="noConversion"/>
  </si>
  <si>
    <t>청피</t>
    <phoneticPr fontId="1" type="noConversion"/>
  </si>
  <si>
    <t>초용담</t>
    <phoneticPr fontId="1" type="noConversion"/>
  </si>
  <si>
    <t>대복피</t>
    <phoneticPr fontId="1" type="noConversion"/>
  </si>
  <si>
    <t>삼릉</t>
    <phoneticPr fontId="1" type="noConversion"/>
  </si>
  <si>
    <t>봉출</t>
    <phoneticPr fontId="1" type="noConversion"/>
  </si>
  <si>
    <t>처방명 : 생간건비탕</t>
    <phoneticPr fontId="1" type="noConversion"/>
  </si>
  <si>
    <t>24.04.23 서상호</t>
    <phoneticPr fontId="1" type="noConversion"/>
  </si>
  <si>
    <t>생간건비탕</t>
    <phoneticPr fontId="1" type="noConversion"/>
  </si>
  <si>
    <t>24.04.24 홍리아</t>
    <phoneticPr fontId="1" type="noConversion"/>
  </si>
  <si>
    <t>영계출감탕</t>
    <phoneticPr fontId="1" type="noConversion"/>
  </si>
  <si>
    <t>처방명 : 영계출감탕</t>
    <phoneticPr fontId="1" type="noConversion"/>
  </si>
  <si>
    <t>처방명 : 곽향정기산</t>
    <phoneticPr fontId="1" type="noConversion"/>
  </si>
  <si>
    <t>처방명 : 보중익기탕</t>
    <phoneticPr fontId="1" type="noConversion"/>
  </si>
  <si>
    <t>보중익기탕 
+ 목향 빈랑
+ 마황 육계</t>
    <phoneticPr fontId="1" type="noConversion"/>
  </si>
  <si>
    <t>처방명 : 십전대보탕 가감</t>
    <phoneticPr fontId="1" type="noConversion"/>
  </si>
  <si>
    <t>24.04.26 배서준</t>
    <phoneticPr fontId="1" type="noConversion"/>
  </si>
  <si>
    <t>십전대보탕
- 숙지황
+ 원육 구기자 맥문동
+ 산약 진피 사인 목향 
+ 녹용</t>
    <phoneticPr fontId="1" type="noConversion"/>
  </si>
  <si>
    <t>처방명 : 도인승기탕</t>
    <phoneticPr fontId="1" type="noConversion"/>
  </si>
  <si>
    <t>대황</t>
    <phoneticPr fontId="1" type="noConversion"/>
  </si>
  <si>
    <t>망초</t>
    <phoneticPr fontId="1" type="noConversion"/>
  </si>
  <si>
    <t>도인승기탕</t>
    <phoneticPr fontId="1" type="noConversion"/>
  </si>
  <si>
    <t>24.04.29 이의린</t>
    <phoneticPr fontId="1" type="noConversion"/>
  </si>
  <si>
    <t>백부근</t>
    <phoneticPr fontId="1" type="noConversion"/>
  </si>
  <si>
    <t>소자</t>
    <phoneticPr fontId="1" type="noConversion"/>
  </si>
  <si>
    <t>청상보하탕 
+ 백부근 자완 진피 소자</t>
    <phoneticPr fontId="1" type="noConversion"/>
  </si>
  <si>
    <t>처방명 : 청상보하탕</t>
    <phoneticPr fontId="1" type="noConversion"/>
  </si>
  <si>
    <t>24.05.03 김정자</t>
    <phoneticPr fontId="1" type="noConversion"/>
  </si>
  <si>
    <t>처방명 : 십전대보탕 가감 성장방</t>
    <phoneticPr fontId="1" type="noConversion"/>
  </si>
  <si>
    <t>24.05.03 한성빈</t>
    <phoneticPr fontId="1" type="noConversion"/>
  </si>
  <si>
    <t xml:space="preserve">십전대보탕
- 숙지황 + 원육
+ 구기자 산수유 녹용
+ 반하 진피 후박 산사 맥아 사인 
</t>
    <phoneticPr fontId="1" type="noConversion"/>
  </si>
  <si>
    <t>24.05.03 박문재</t>
    <phoneticPr fontId="1" type="noConversion"/>
  </si>
  <si>
    <t>처방명 : 삼기음</t>
    <phoneticPr fontId="1" type="noConversion"/>
  </si>
  <si>
    <t>삼기음
+ 인삼 백출 
+ 사인, 진피 산사</t>
    <phoneticPr fontId="1" type="noConversion"/>
  </si>
  <si>
    <t>개울화담전
+ 길경 지각 천궁 치자초 산사 맥아 과루인</t>
    <phoneticPr fontId="1" type="noConversion"/>
  </si>
  <si>
    <t>2024.05.07 장영자</t>
    <phoneticPr fontId="1" type="noConversion"/>
  </si>
  <si>
    <t>처방명 : 개울화담전</t>
    <phoneticPr fontId="1" type="noConversion"/>
  </si>
  <si>
    <t>24.04.26 지송화
24.05.08 지송화</t>
    <phoneticPr fontId="1" type="noConversion"/>
  </si>
  <si>
    <t>24.04.22
24.05.08</t>
    <phoneticPr fontId="1" type="noConversion"/>
  </si>
  <si>
    <t>24.05.10 이정희</t>
    <phoneticPr fontId="1" type="noConversion"/>
  </si>
  <si>
    <t>처방명 : 당귀작약산 가감</t>
    <phoneticPr fontId="1" type="noConversion"/>
  </si>
  <si>
    <t>24.05.09 이원서</t>
    <phoneticPr fontId="1" type="noConversion"/>
  </si>
  <si>
    <t>금수육군전
+ 패모 전호 
+ 산사 신곡 사인
+ 구기자 두충 우슬 녹용</t>
    <phoneticPr fontId="1" type="noConversion"/>
  </si>
  <si>
    <t>처방명 : 치자후박탕</t>
    <phoneticPr fontId="1" type="noConversion"/>
  </si>
  <si>
    <t>24.05.11 이귀두</t>
    <phoneticPr fontId="1" type="noConversion"/>
  </si>
  <si>
    <t>처방명 : 금수육군전가감</t>
    <phoneticPr fontId="1" type="noConversion"/>
  </si>
  <si>
    <t>24.05.13 송정희</t>
    <phoneticPr fontId="1" type="noConversion"/>
  </si>
  <si>
    <t>처방명 : 방기황기탕가감</t>
    <phoneticPr fontId="1" type="noConversion"/>
  </si>
  <si>
    <t>방기</t>
    <phoneticPr fontId="1" type="noConversion"/>
  </si>
  <si>
    <t>계지 180 (육계100, 계지80)</t>
    <phoneticPr fontId="1" type="noConversion"/>
  </si>
  <si>
    <t>처방명 : 시용모가녹용</t>
    <phoneticPr fontId="1" type="noConversion"/>
  </si>
  <si>
    <t>24.05.14 여혁제</t>
    <phoneticPr fontId="1" type="noConversion"/>
  </si>
  <si>
    <t>용골</t>
    <phoneticPr fontId="1" type="noConversion"/>
  </si>
  <si>
    <t>모려</t>
    <phoneticPr fontId="1" type="noConversion"/>
  </si>
  <si>
    <t>처방명 : 계지거작약가영출탕</t>
    <phoneticPr fontId="1" type="noConversion"/>
  </si>
  <si>
    <t>24.05.13 홍리아</t>
    <phoneticPr fontId="1" type="noConversion"/>
  </si>
  <si>
    <t>처방명 : 삼소음 가감방</t>
    <phoneticPr fontId="1" type="noConversion"/>
  </si>
  <si>
    <t>24.05.17 강신자</t>
    <phoneticPr fontId="1" type="noConversion"/>
  </si>
  <si>
    <t>삼소음 
+ 나복자, 소자, 백개자
+ 오미자 행인
+ 육계 세신</t>
    <phoneticPr fontId="1" type="noConversion"/>
  </si>
  <si>
    <t>처방명 : 형개연교탕</t>
    <phoneticPr fontId="1" type="noConversion"/>
  </si>
  <si>
    <t>형개연교탕 
+ 금은화 승마 갈근 창출 강활 생강</t>
    <phoneticPr fontId="1" type="noConversion"/>
  </si>
  <si>
    <t>처방명 : 청심온담탕</t>
    <phoneticPr fontId="1" type="noConversion"/>
  </si>
  <si>
    <t xml:space="preserve">청심온담탕
- 지실 + 지각
+ 시호 치자
+ 당귀
+ 택사 등심
+ 목향 사인
</t>
    <phoneticPr fontId="1" type="noConversion"/>
  </si>
  <si>
    <t>치자초</t>
    <phoneticPr fontId="1" type="noConversion"/>
  </si>
  <si>
    <t>귀비탕 
- 산조인
+ 생지황 백작약
+ 시호 황련 향부자
+ 구기자
+ 진피 사인</t>
    <phoneticPr fontId="1" type="noConversion"/>
  </si>
  <si>
    <t>처방명 : 자신통이탕가감</t>
    <phoneticPr fontId="1" type="noConversion"/>
  </si>
  <si>
    <t>자신통이탕
+창출 사인 산사 신곡 맥아</t>
    <phoneticPr fontId="1" type="noConversion"/>
  </si>
  <si>
    <t>생건지황</t>
    <phoneticPr fontId="1" type="noConversion"/>
  </si>
  <si>
    <t>처방명 : 은교산</t>
    <phoneticPr fontId="1" type="noConversion"/>
  </si>
  <si>
    <t>우방자</t>
    <phoneticPr fontId="1" type="noConversion"/>
  </si>
  <si>
    <t>죽엽</t>
    <phoneticPr fontId="1" type="noConversion"/>
  </si>
  <si>
    <t xml:space="preserve">형개 </t>
    <phoneticPr fontId="1" type="noConversion"/>
  </si>
  <si>
    <t>처방명 : 삼묘산</t>
    <phoneticPr fontId="1" type="noConversion"/>
  </si>
  <si>
    <t>24.05.24</t>
    <phoneticPr fontId="1" type="noConversion"/>
  </si>
  <si>
    <t>담두시</t>
    <phoneticPr fontId="1" type="noConversion"/>
  </si>
  <si>
    <t>24.05.27</t>
    <phoneticPr fontId="1" type="noConversion"/>
  </si>
  <si>
    <t>활석</t>
    <phoneticPr fontId="1" type="noConversion"/>
  </si>
  <si>
    <t>24.05.29 이귀두</t>
    <phoneticPr fontId="1" type="noConversion"/>
  </si>
  <si>
    <t>처방명 : 할흔방</t>
    <phoneticPr fontId="1" type="noConversion"/>
  </si>
  <si>
    <t>처방명 : 사역산가복령계지</t>
    <phoneticPr fontId="1" type="noConversion"/>
  </si>
  <si>
    <t>24.06.05 윤진희</t>
    <phoneticPr fontId="1" type="noConversion"/>
  </si>
  <si>
    <t>처방명 : 청심보혈탕</t>
    <phoneticPr fontId="1" type="noConversion"/>
  </si>
  <si>
    <t>청심보혈탕 - 산조인, 치자
+ 원지 석창포 산수유 원육</t>
    <phoneticPr fontId="1" type="noConversion"/>
  </si>
  <si>
    <t>24.06.07 허옥선</t>
    <phoneticPr fontId="1" type="noConversion"/>
  </si>
  <si>
    <t>처방명 : 계지거작약탕가녹용</t>
    <phoneticPr fontId="1" type="noConversion"/>
  </si>
  <si>
    <t>24.06.07 홍리아</t>
    <phoneticPr fontId="1" type="noConversion"/>
  </si>
  <si>
    <t>처방명 : 청열보혈탕</t>
    <phoneticPr fontId="1" type="noConversion"/>
  </si>
  <si>
    <t>24.06.10 김희전선생님</t>
    <phoneticPr fontId="1" type="noConversion"/>
  </si>
  <si>
    <t>현삼</t>
    <phoneticPr fontId="1" type="noConversion"/>
  </si>
  <si>
    <t>청열보혈탕 + 복령, 육계, 녹용</t>
    <phoneticPr fontId="1" type="noConversion"/>
  </si>
  <si>
    <t>처방명 : 자감초탕</t>
    <phoneticPr fontId="1" type="noConversion"/>
  </si>
  <si>
    <t>24.06.08 한수연</t>
    <phoneticPr fontId="1" type="noConversion"/>
  </si>
  <si>
    <t>단삼</t>
    <phoneticPr fontId="1" type="noConversion"/>
  </si>
  <si>
    <t>아교</t>
    <phoneticPr fontId="1" type="noConversion"/>
  </si>
  <si>
    <t>자감초탕 + 당귀 복령 목단피 단삼 녹용</t>
    <phoneticPr fontId="1" type="noConversion"/>
  </si>
  <si>
    <t>처방명 : 생강사심탕 가감방</t>
    <phoneticPr fontId="1" type="noConversion"/>
  </si>
  <si>
    <t>24.06.10 이태희</t>
    <phoneticPr fontId="1" type="noConversion"/>
  </si>
  <si>
    <t>생강사심탕 + 지황 육계 녹용</t>
    <phoneticPr fontId="1" type="noConversion"/>
  </si>
  <si>
    <t>24.06.10 김해선</t>
    <phoneticPr fontId="1" type="noConversion"/>
  </si>
  <si>
    <t>생강사심탕 + 생지황 당귀 맥문동 현삼 승마 오미자 육계 목단피</t>
    <phoneticPr fontId="1" type="noConversion"/>
  </si>
  <si>
    <t>처방명 : 사물탕 합 빈소산</t>
    <phoneticPr fontId="1" type="noConversion"/>
  </si>
  <si>
    <t>24.06.12 윤연원</t>
    <phoneticPr fontId="1" type="noConversion"/>
  </si>
  <si>
    <t>오가피</t>
    <phoneticPr fontId="1" type="noConversion"/>
  </si>
  <si>
    <t>모과</t>
    <phoneticPr fontId="1" type="noConversion"/>
  </si>
  <si>
    <t>청심온담탕
- 대조 + 원육
+ 당귀 천궁
+ 길경 석창포 원지
+ 목향 사인</t>
    <phoneticPr fontId="1" type="noConversion"/>
  </si>
  <si>
    <t>생강법제</t>
    <phoneticPr fontId="1" type="noConversion"/>
  </si>
  <si>
    <t>24.06.12</t>
    <phoneticPr fontId="1" type="noConversion"/>
  </si>
  <si>
    <t>생강</t>
    <phoneticPr fontId="1" type="noConversion"/>
  </si>
  <si>
    <t>세신</t>
    <phoneticPr fontId="1" type="noConversion"/>
  </si>
  <si>
    <t>처방명 : 사물안신탕가감</t>
    <phoneticPr fontId="1" type="noConversion"/>
  </si>
  <si>
    <t xml:space="preserve">사물안신탕 + 향부자
- 숙지황 + 원육
+ 현삼, 목단피
+ 산사 신곡 맥아 사인 
+ 녹용 </t>
    <phoneticPr fontId="1" type="noConversion"/>
  </si>
  <si>
    <t>처방명 : 천왕보심단가감</t>
    <phoneticPr fontId="1" type="noConversion"/>
  </si>
  <si>
    <t>당삼</t>
    <phoneticPr fontId="1" type="noConversion"/>
  </si>
  <si>
    <t>천왕보심단 - 원지
+ 치자 지모 황백 지골피
+ 창출 택사</t>
    <phoneticPr fontId="1" type="noConversion"/>
  </si>
  <si>
    <t>처방명 : 대황목단피탕 가감방</t>
    <phoneticPr fontId="1" type="noConversion"/>
  </si>
  <si>
    <t>동과자</t>
    <phoneticPr fontId="1" type="noConversion"/>
  </si>
  <si>
    <t>대황목단피탕 + 생지황 당귀 천궁</t>
    <phoneticPr fontId="1" type="noConversion"/>
  </si>
  <si>
    <t>후하</t>
    <phoneticPr fontId="1" type="noConversion"/>
  </si>
  <si>
    <t>처방명 : 당귀작약산 합 평진탕</t>
    <phoneticPr fontId="1" type="noConversion"/>
  </si>
  <si>
    <t>당귀작약산 
+ 생지황 목단피
+ 창출 후박 진피 반하 생강 연교</t>
    <phoneticPr fontId="1" type="noConversion"/>
  </si>
  <si>
    <t>방기황기 + 후박 진피 세신</t>
    <phoneticPr fontId="1" type="noConversion"/>
  </si>
  <si>
    <t>24.06.25 송삼순</t>
    <phoneticPr fontId="1" type="noConversion"/>
  </si>
  <si>
    <t>24.06.27 윤재희</t>
    <phoneticPr fontId="1" type="noConversion"/>
  </si>
  <si>
    <t>처방명 : 시호계지탕가감</t>
    <phoneticPr fontId="1" type="noConversion"/>
  </si>
  <si>
    <t>처방명 : 금수육군전 가감</t>
    <phoneticPr fontId="1" type="noConversion"/>
  </si>
  <si>
    <t xml:space="preserve">진피 </t>
    <phoneticPr fontId="1" type="noConversion"/>
  </si>
  <si>
    <t>24.07.01 이상각(태희쌤 아버지)</t>
    <phoneticPr fontId="1" type="noConversion"/>
  </si>
  <si>
    <t>24.07.01 김운택</t>
    <phoneticPr fontId="1" type="noConversion"/>
  </si>
  <si>
    <t>처방명 : 개울화담전 가감</t>
    <phoneticPr fontId="1" type="noConversion"/>
  </si>
  <si>
    <t>24.07.02 김삼선</t>
    <phoneticPr fontId="1" type="noConversion"/>
  </si>
  <si>
    <t>개울화담전 - 후박 + 길경
+ 과루인 
+ 백작약, 천궁, 치자</t>
    <phoneticPr fontId="1" type="noConversion"/>
  </si>
  <si>
    <t>24.07.02 김임선</t>
    <phoneticPr fontId="1" type="noConversion"/>
  </si>
  <si>
    <t>처방명 : 향부자팔물탕 합 빈소산</t>
    <phoneticPr fontId="1" type="noConversion"/>
  </si>
  <si>
    <t>향부자팔물탕 합 빈소산
- 하수오, 모과</t>
    <phoneticPr fontId="1" type="noConversion"/>
  </si>
  <si>
    <t>24.07.03 최윤숙</t>
    <phoneticPr fontId="1" type="noConversion"/>
  </si>
  <si>
    <t>처방명 : 양화이사탕</t>
    <phoneticPr fontId="1" type="noConversion"/>
  </si>
  <si>
    <t>양화이사탕
+ 인삼 황기 백출 오약</t>
    <phoneticPr fontId="1" type="noConversion"/>
  </si>
  <si>
    <t>처방명 : 대함흉탕</t>
    <phoneticPr fontId="1" type="noConversion"/>
  </si>
  <si>
    <t>감수</t>
    <phoneticPr fontId="1" type="noConversion"/>
  </si>
  <si>
    <t>처방명 : 청간소요산</t>
    <phoneticPr fontId="1" type="noConversion"/>
  </si>
  <si>
    <t>24.07.04</t>
    <phoneticPr fontId="1" type="noConversion"/>
  </si>
  <si>
    <t>처방명 : 회수산 가감</t>
    <phoneticPr fontId="1" type="noConversion"/>
  </si>
  <si>
    <t>백강잠</t>
    <phoneticPr fontId="1" type="noConversion"/>
  </si>
  <si>
    <t>24.07.04 회수산</t>
    <phoneticPr fontId="1" type="noConversion"/>
  </si>
  <si>
    <t>마황 대 소엽
+ 계지 반하 복령</t>
    <phoneticPr fontId="1" type="noConversion"/>
  </si>
  <si>
    <t>처방명 : 사물합빈소산</t>
    <phoneticPr fontId="1" type="noConversion"/>
  </si>
  <si>
    <t>24.07.05 최문갑</t>
    <phoneticPr fontId="1" type="noConversion"/>
  </si>
  <si>
    <t>24.07.05 김선이</t>
    <phoneticPr fontId="1" type="noConversion"/>
  </si>
  <si>
    <t>처방명 : 산조인탕가감</t>
    <phoneticPr fontId="1" type="noConversion"/>
  </si>
  <si>
    <t>산조인</t>
    <phoneticPr fontId="1" type="noConversion"/>
  </si>
  <si>
    <t xml:space="preserve">청심온담탕 
+ 원육, 당귀, 맥문동, 치자초, 연교, 목향 
</t>
    <phoneticPr fontId="1" type="noConversion"/>
  </si>
  <si>
    <t>향시</t>
    <phoneticPr fontId="1" type="noConversion"/>
  </si>
  <si>
    <t>산조인탕
+ 황련 과루인</t>
    <phoneticPr fontId="1" type="noConversion"/>
  </si>
  <si>
    <t>처방명 : 치자시탕</t>
    <phoneticPr fontId="1" type="noConversion"/>
  </si>
  <si>
    <t>식후 30분
아침, 저녁 2팩
24.07.12</t>
    <phoneticPr fontId="1" type="noConversion"/>
  </si>
  <si>
    <t>처방명 : 현부이경탕 가감</t>
    <phoneticPr fontId="1" type="noConversion"/>
  </si>
  <si>
    <t xml:space="preserve">도인 대 목단피
+ 복령 택사 반하 </t>
    <phoneticPr fontId="1" type="noConversion"/>
  </si>
  <si>
    <t xml:space="preserve">당귀작약산 
+ 생지황 목단피 홍화
+ 창출 후박 진피 반하 생강 연교
+ 향부자 오약 </t>
    <phoneticPr fontId="1" type="noConversion"/>
  </si>
  <si>
    <t>24.07.15 김해선</t>
    <phoneticPr fontId="1" type="noConversion"/>
  </si>
  <si>
    <t>생강사심탕 + 생지황 당귀 승마 오미자 육계 목단피 단삼 녹용</t>
    <phoneticPr fontId="1" type="noConversion"/>
  </si>
  <si>
    <t>24.07.16 염경문</t>
    <phoneticPr fontId="1" type="noConversion"/>
  </si>
  <si>
    <t>처방명 : 소건중탕합사신환</t>
    <phoneticPr fontId="1" type="noConversion"/>
  </si>
  <si>
    <t>육두구</t>
    <phoneticPr fontId="1" type="noConversion"/>
  </si>
  <si>
    <t>처방명 : 오적산 가감방</t>
    <phoneticPr fontId="1" type="noConversion"/>
  </si>
  <si>
    <t>부자</t>
    <phoneticPr fontId="1" type="noConversion"/>
  </si>
  <si>
    <t>처방명 : 향소산 합 오적산</t>
    <phoneticPr fontId="1" type="noConversion"/>
  </si>
  <si>
    <t xml:space="preserve">개울화담전
+ 과루인, 길경
+ 천궁, 치자
+ 육계
</t>
    <phoneticPr fontId="1" type="noConversion"/>
  </si>
  <si>
    <t>24.07.24 조백경</t>
    <phoneticPr fontId="1" type="noConversion"/>
  </si>
  <si>
    <t>24.07.24 최문갑</t>
    <phoneticPr fontId="1" type="noConversion"/>
  </si>
  <si>
    <t>24.07.24 윤재희</t>
    <phoneticPr fontId="1" type="noConversion"/>
  </si>
  <si>
    <t>시호계지탕 
+ 황련 원육 복령
+ 당귀 천궁</t>
    <phoneticPr fontId="1" type="noConversion"/>
  </si>
  <si>
    <t>24.07.25 배윤경</t>
    <phoneticPr fontId="1" type="noConversion"/>
  </si>
  <si>
    <t>처방명 : 복령감초탕</t>
    <phoneticPr fontId="1" type="noConversion"/>
  </si>
  <si>
    <t>24.07.25 김삼선</t>
    <phoneticPr fontId="1" type="noConversion"/>
  </si>
  <si>
    <t>처방명 : 독활기생탕</t>
    <phoneticPr fontId="1" type="noConversion"/>
  </si>
  <si>
    <t>독활기생탕
- 상기생, 진교
+ 강활</t>
    <phoneticPr fontId="1" type="noConversion"/>
  </si>
  <si>
    <t>처방명 : 청화보심탕</t>
    <phoneticPr fontId="1" type="noConversion"/>
  </si>
  <si>
    <t>24.07.30 서동석</t>
    <phoneticPr fontId="1" type="noConversion"/>
  </si>
  <si>
    <t>24.07.30 서승현</t>
    <phoneticPr fontId="1" type="noConversion"/>
  </si>
  <si>
    <t>처방명 : 복령감초탕 합 반하후박탕</t>
    <phoneticPr fontId="1" type="noConversion"/>
  </si>
  <si>
    <t>24.08.09 배윤경</t>
    <phoneticPr fontId="1" type="noConversion"/>
  </si>
  <si>
    <t>24.08.13 염경문</t>
    <phoneticPr fontId="1" type="noConversion"/>
  </si>
  <si>
    <t>처방명 : 총명탕</t>
    <phoneticPr fontId="1" type="noConversion"/>
  </si>
  <si>
    <t>반하백출천마탕 + 원지 석창포 대추 원육 + 당귀 육계</t>
    <phoneticPr fontId="1" type="noConversion"/>
  </si>
  <si>
    <t>24.08.14 사물안신탕</t>
    <phoneticPr fontId="1" type="noConversion"/>
  </si>
  <si>
    <t>처방명 : 사물안신탕</t>
    <phoneticPr fontId="1" type="noConversion"/>
  </si>
  <si>
    <t>사물안신탕
- 산조인 + 대추
+ 향부자, 진피, 사인</t>
    <phoneticPr fontId="1" type="noConversion"/>
  </si>
  <si>
    <t>처방명 : 이기환</t>
    <phoneticPr fontId="1" type="noConversion"/>
  </si>
  <si>
    <t>량강</t>
    <phoneticPr fontId="1" type="noConversion"/>
  </si>
  <si>
    <t>이기환 - 흑축 + 당귀 우슬</t>
    <phoneticPr fontId="1" type="noConversion"/>
  </si>
  <si>
    <t>24.08.19 김일순</t>
    <phoneticPr fontId="1" type="noConversion"/>
  </si>
  <si>
    <t xml:space="preserve">개울화담전 - 후박 + 길경
</t>
    <phoneticPr fontId="1" type="noConversion"/>
  </si>
  <si>
    <t>처방명 : 귀비탕</t>
    <phoneticPr fontId="1" type="noConversion"/>
  </si>
  <si>
    <t>24.08.19 김정순</t>
    <phoneticPr fontId="1" type="noConversion"/>
  </si>
  <si>
    <t xml:space="preserve">
</t>
    <phoneticPr fontId="1" type="noConversion"/>
  </si>
  <si>
    <t>청화보심탕 
지실 대 지각
+ 원육 사인 당귀 인삼</t>
    <phoneticPr fontId="1" type="noConversion"/>
  </si>
  <si>
    <t>처방명 : 향사육군자탕</t>
    <phoneticPr fontId="1" type="noConversion"/>
  </si>
  <si>
    <t>24.08.20 서동석</t>
    <phoneticPr fontId="1" type="noConversion"/>
  </si>
  <si>
    <t>대주</t>
    <phoneticPr fontId="1" type="noConversion"/>
  </si>
  <si>
    <t>향사육군자 + 치자 길경 지각</t>
    <phoneticPr fontId="1" type="noConversion"/>
  </si>
  <si>
    <t>생강사심탕 + 생지황 당귀 맥문동 현삼 승마 오미자 육계 단삼</t>
    <phoneticPr fontId="1" type="noConversion"/>
  </si>
  <si>
    <t>24.08.19 김해선</t>
    <phoneticPr fontId="1" type="noConversion"/>
  </si>
  <si>
    <t>24.08.20 서승현</t>
    <phoneticPr fontId="1" type="noConversion"/>
  </si>
  <si>
    <t>24.08.21 성치주</t>
    <phoneticPr fontId="1" type="noConversion"/>
  </si>
  <si>
    <t>처방명 : 생간건비탕 가감방</t>
    <phoneticPr fontId="1" type="noConversion"/>
  </si>
  <si>
    <t>인진호</t>
    <phoneticPr fontId="1" type="noConversion"/>
  </si>
  <si>
    <t>처방명 : 독활지황탕</t>
    <phoneticPr fontId="1" type="noConversion"/>
  </si>
  <si>
    <t>24.08.21 유경희</t>
    <phoneticPr fontId="1" type="noConversion"/>
  </si>
  <si>
    <t>처방명 : 팔미지황환</t>
    <phoneticPr fontId="1" type="noConversion"/>
  </si>
  <si>
    <t>부자포</t>
    <phoneticPr fontId="1" type="noConversion"/>
  </si>
  <si>
    <t>24.08.22 황태</t>
    <phoneticPr fontId="1" type="noConversion"/>
  </si>
  <si>
    <t>24.08.23 한수연</t>
    <phoneticPr fontId="1" type="noConversion"/>
  </si>
  <si>
    <t>24.08.26 김준영</t>
    <phoneticPr fontId="1" type="noConversion"/>
  </si>
  <si>
    <t>처방명 : 난간전</t>
    <phoneticPr fontId="1" type="noConversion"/>
  </si>
  <si>
    <t>소회향</t>
    <phoneticPr fontId="1" type="noConversion"/>
  </si>
  <si>
    <t>난간전 + 창출 향부자 길경 지각</t>
    <phoneticPr fontId="1" type="noConversion"/>
  </si>
  <si>
    <t>24.08.26 오명옥</t>
    <phoneticPr fontId="1" type="noConversion"/>
  </si>
  <si>
    <t>24.08.26 강영희</t>
    <phoneticPr fontId="1" type="noConversion"/>
  </si>
  <si>
    <t>처방명 : 감량탕</t>
    <phoneticPr fontId="1" type="noConversion"/>
  </si>
  <si>
    <t>처방명 : 육미지황탕</t>
    <phoneticPr fontId="1" type="noConversion"/>
  </si>
  <si>
    <t>24.08.27 이대우, 김귀태, 박문재</t>
    <phoneticPr fontId="1" type="noConversion"/>
  </si>
  <si>
    <t>처방명 : 궁치화담전</t>
    <phoneticPr fontId="1" type="noConversion"/>
  </si>
  <si>
    <t>24.08.27 정숙희</t>
    <phoneticPr fontId="1" type="noConversion"/>
  </si>
  <si>
    <t>궁치화담전 + 맥문동 죽여 길경산사 맥아 빈랑 소엽</t>
    <phoneticPr fontId="1" type="noConversion"/>
  </si>
  <si>
    <t>산조인(초)</t>
    <phoneticPr fontId="1" type="noConversion"/>
  </si>
  <si>
    <t>귀비탕 + 반하 진피 지각</t>
    <phoneticPr fontId="1" type="noConversion"/>
  </si>
  <si>
    <t>24.08.28 윤연원 김향란 김복전</t>
    <phoneticPr fontId="1" type="noConversion"/>
  </si>
  <si>
    <t>24.08.19 박지완</t>
    <phoneticPr fontId="1" type="noConversion"/>
  </si>
  <si>
    <t>오적산
+ 치자 구기자</t>
    <phoneticPr fontId="1" type="noConversion"/>
  </si>
  <si>
    <t>24.09.03 심혜림</t>
    <phoneticPr fontId="1" type="noConversion"/>
  </si>
  <si>
    <t>24.09.03 유숙경</t>
    <phoneticPr fontId="1" type="noConversion"/>
  </si>
  <si>
    <t>청간소요산 + 천궁 천마 지골피 생지황 녹용 신곡 맥아 용안육</t>
    <phoneticPr fontId="1" type="noConversion"/>
  </si>
  <si>
    <t>처방명 : 청훈화담탕</t>
    <phoneticPr fontId="1" type="noConversion"/>
  </si>
  <si>
    <t>24.09.04 정치상</t>
    <phoneticPr fontId="1" type="noConversion"/>
  </si>
  <si>
    <t>청훈화담탕 + 산사신곡맥아 천마 치자</t>
    <phoneticPr fontId="1" type="noConversion"/>
  </si>
  <si>
    <t>처방명 : 향소산 합 소함흉탕</t>
    <phoneticPr fontId="1" type="noConversion"/>
  </si>
  <si>
    <t>궁지향소산 + 소함흉탕 
+ 당귀 백작약 원육 복령 죽여 육계</t>
    <phoneticPr fontId="1" type="noConversion"/>
  </si>
  <si>
    <t>24.09.05 한연희</t>
    <phoneticPr fontId="1" type="noConversion"/>
  </si>
  <si>
    <t>24.09.05 신영우</t>
    <phoneticPr fontId="1" type="noConversion"/>
  </si>
  <si>
    <t>진피</t>
    <phoneticPr fontId="1" type="noConversion"/>
  </si>
  <si>
    <t>복령</t>
    <phoneticPr fontId="1" type="noConversion"/>
  </si>
  <si>
    <t>반하</t>
    <phoneticPr fontId="1" type="noConversion"/>
  </si>
  <si>
    <t>생강</t>
    <phoneticPr fontId="1" type="noConversion"/>
  </si>
  <si>
    <t>지실</t>
    <phoneticPr fontId="1" type="noConversion"/>
  </si>
  <si>
    <t>강활</t>
    <phoneticPr fontId="1" type="noConversion"/>
  </si>
  <si>
    <t>남성</t>
    <phoneticPr fontId="1" type="noConversion"/>
  </si>
  <si>
    <t>방풍</t>
    <phoneticPr fontId="1" type="noConversion"/>
  </si>
  <si>
    <t>천궁</t>
    <phoneticPr fontId="1" type="noConversion"/>
  </si>
  <si>
    <t>백지</t>
    <phoneticPr fontId="1" type="noConversion"/>
  </si>
  <si>
    <t>황금</t>
    <phoneticPr fontId="1" type="noConversion"/>
  </si>
  <si>
    <t>황련</t>
    <phoneticPr fontId="1" type="noConversion"/>
  </si>
  <si>
    <t>감초</t>
    <phoneticPr fontId="1" type="noConversion"/>
  </si>
  <si>
    <t>세신</t>
    <phoneticPr fontId="1" type="noConversion"/>
  </si>
  <si>
    <t>창출</t>
    <phoneticPr fontId="1" type="noConversion"/>
  </si>
  <si>
    <t>천마</t>
    <phoneticPr fontId="1" type="noConversion"/>
  </si>
  <si>
    <t>사삼</t>
    <phoneticPr fontId="1" type="noConversion"/>
  </si>
  <si>
    <t>대황</t>
    <phoneticPr fontId="1" type="noConversion"/>
  </si>
  <si>
    <t>산사</t>
    <phoneticPr fontId="1" type="noConversion"/>
  </si>
  <si>
    <t>맥아</t>
    <phoneticPr fontId="1" type="noConversion"/>
  </si>
  <si>
    <t>형개</t>
    <phoneticPr fontId="1" type="noConversion"/>
  </si>
  <si>
    <t>청훈화담탕 + 천마, 형개, 대황, 산사, 맥아</t>
    <phoneticPr fontId="1" type="noConversion"/>
  </si>
  <si>
    <t>처방명 : 자신통이탕</t>
    <phoneticPr fontId="1" type="noConversion"/>
  </si>
  <si>
    <t>24.09.06 김숙자</t>
    <phoneticPr fontId="1" type="noConversion"/>
  </si>
  <si>
    <t>자신통이탕 + 육미</t>
    <phoneticPr fontId="1" type="noConversion"/>
  </si>
  <si>
    <t>24.09.06 유경희</t>
    <phoneticPr fontId="1" type="noConversion"/>
  </si>
  <si>
    <t>독활지황탕 + 구기자 황련</t>
    <phoneticPr fontId="1" type="noConversion"/>
  </si>
  <si>
    <t>24.09.06 강미선</t>
    <phoneticPr fontId="1" type="noConversion"/>
  </si>
  <si>
    <t>녹용</t>
    <phoneticPr fontId="1" type="noConversion"/>
  </si>
  <si>
    <t>향사육군자 + 당귀 구기자 원육 작약 천궁 + 산사 빈랑 대황 지실 육계 녹용</t>
    <phoneticPr fontId="1" type="noConversion"/>
  </si>
  <si>
    <t>처방명 : 향사육군자 가감</t>
    <phoneticPr fontId="1" type="noConversion"/>
  </si>
  <si>
    <t>24.08.19 김정순
24.09.09 김정순</t>
    <phoneticPr fontId="1" type="noConversion"/>
  </si>
  <si>
    <t>난간전 + 창출 향부자 길경 지각
-&gt; 백작약 택사 추가, 향부자 증량</t>
    <phoneticPr fontId="1" type="noConversion"/>
  </si>
  <si>
    <t>24.08.26 김준영
24.09.10 김준영</t>
    <phoneticPr fontId="1" type="noConversion"/>
  </si>
  <si>
    <t>궁치화담전 + 맥문동 죽여 길경산사 맥아 빈랑 
-&gt; 지각 대 지실, 백작약 나복자 추가 빈랑 증량</t>
    <phoneticPr fontId="1" type="noConversion"/>
  </si>
  <si>
    <t>24.08.27 정숙희
24.09.10 정숙희</t>
    <phoneticPr fontId="1" type="noConversion"/>
  </si>
  <si>
    <t>귀비탕 + 당귀 증량 + 시호</t>
    <phoneticPr fontId="1" type="noConversion"/>
  </si>
  <si>
    <t xml:space="preserve">홍화 4-&gt;3
소목 4-&gt;3
복령 6-&gt;8
</t>
    <phoneticPr fontId="1" type="noConversion"/>
  </si>
  <si>
    <t>24.08.26 강영희
24.09.11 강영희</t>
    <phoneticPr fontId="1" type="noConversion"/>
  </si>
  <si>
    <t>치자 200
향시 1000
생강 500</t>
    <phoneticPr fontId="1" type="noConversion"/>
  </si>
  <si>
    <t>24.07.05 한진규 치자시탕
24.08.02 한진규 치자생강시탕
24.09.12 한진규 지실치자시탕+불환금정기산</t>
    <phoneticPr fontId="1" type="noConversion"/>
  </si>
  <si>
    <t>기본 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</si>
</sst>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함초롬바탕"/>
      <family val="1"/>
      <charset val="129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3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justify" vertical="center"/>
    </xf>
    <xf numFmtId="0" fontId="0" fillId="0" borderId="0" xfId="1" applyNumberFormat="1" applyFont="1">
      <alignment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76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calcChain" Target="calcChain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4DD3-51C1-429B-8E77-B7E590CDB9B1}">
  <sheetPr>
    <pageSetUpPr fitToPage="1"/>
  </sheetPr>
  <dimension ref="B1:Q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414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541</v>
      </c>
      <c r="J2" s="25"/>
      <c r="K2" s="26"/>
    </row>
    <row r="3" spans="2:17" x14ac:dyDescent="0.3">
      <c r="B3" s="22"/>
      <c r="C3" s="15">
        <v>1</v>
      </c>
      <c r="D3" t="s">
        <v>67</v>
      </c>
      <c r="F3" s="10"/>
      <c r="G3">
        <v>6</v>
      </c>
      <c r="H3" s="4">
        <f>PRODUCT(G3,30)</f>
        <v>180</v>
      </c>
      <c r="I3" s="27" t="s">
        <v>540</v>
      </c>
      <c r="J3" s="28"/>
      <c r="K3" s="29"/>
    </row>
    <row r="4" spans="2:17" x14ac:dyDescent="0.3">
      <c r="B4" s="22"/>
      <c r="C4" s="15">
        <v>2</v>
      </c>
      <c r="D4" t="s">
        <v>412</v>
      </c>
      <c r="F4" s="10"/>
      <c r="G4">
        <v>30</v>
      </c>
      <c r="H4" s="4">
        <f t="shared" ref="H4:H13" si="0">PRODUCT(G4,30)</f>
        <v>900</v>
      </c>
      <c r="I4" s="30"/>
      <c r="J4" s="31"/>
      <c r="K4" s="32"/>
    </row>
    <row r="5" spans="2:17" x14ac:dyDescent="0.3">
      <c r="B5" s="22"/>
      <c r="C5" s="15">
        <v>3</v>
      </c>
      <c r="D5" t="s">
        <v>48</v>
      </c>
      <c r="F5" s="10"/>
      <c r="G5">
        <v>3</v>
      </c>
      <c r="H5" s="4">
        <f t="shared" si="0"/>
        <v>90</v>
      </c>
      <c r="I5" s="30"/>
      <c r="J5" s="31"/>
      <c r="K5" s="32"/>
    </row>
    <row r="6" spans="2:17" x14ac:dyDescent="0.3">
      <c r="B6" s="22"/>
      <c r="C6" s="15">
        <v>4</v>
      </c>
      <c r="D6" t="s">
        <v>54</v>
      </c>
      <c r="F6" s="10"/>
      <c r="G6">
        <v>8</v>
      </c>
      <c r="H6" s="4">
        <f t="shared" si="0"/>
        <v>240</v>
      </c>
      <c r="I6" s="30"/>
      <c r="J6" s="31"/>
      <c r="K6" s="32"/>
    </row>
    <row r="7" spans="2:17" x14ac:dyDescent="0.3">
      <c r="B7" s="22"/>
      <c r="C7" s="15">
        <v>5</v>
      </c>
      <c r="D7" t="s">
        <v>55</v>
      </c>
      <c r="F7" s="10"/>
      <c r="G7">
        <v>4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53</v>
      </c>
      <c r="F8" s="10"/>
      <c r="G8">
        <v>6</v>
      </c>
      <c r="H8" s="4">
        <f t="shared" si="0"/>
        <v>180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F9" s="10"/>
      <c r="G9">
        <v>2.4</v>
      </c>
      <c r="H9" s="4">
        <f t="shared" si="0"/>
        <v>72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72</v>
      </c>
      <c r="F10" s="10"/>
      <c r="G10">
        <v>4</v>
      </c>
      <c r="H10" s="4">
        <f t="shared" si="0"/>
        <v>120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58</v>
      </c>
      <c r="F11" s="10"/>
      <c r="G11">
        <v>4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147</v>
      </c>
      <c r="F12" s="10"/>
      <c r="G12">
        <v>2</v>
      </c>
      <c r="H12" s="4">
        <f t="shared" si="0"/>
        <v>60</v>
      </c>
      <c r="I12" s="27" t="s">
        <v>539</v>
      </c>
      <c r="J12" s="28"/>
      <c r="K12" s="29"/>
    </row>
    <row r="13" spans="2:17" x14ac:dyDescent="0.3">
      <c r="B13" s="22"/>
      <c r="C13" s="15">
        <v>11</v>
      </c>
      <c r="D13" t="s">
        <v>71</v>
      </c>
      <c r="F13" s="10"/>
      <c r="G13">
        <v>4</v>
      </c>
      <c r="H13" s="4">
        <f t="shared" si="0"/>
        <v>120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30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90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73.400000000000006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2202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2202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43F9-7025-489D-B00D-A5A36D3E0EB8}">
  <sheetPr>
    <pageSetUpPr fitToPage="1"/>
  </sheetPr>
  <dimension ref="B1:K32"/>
  <sheetViews>
    <sheetView workbookViewId="0">
      <selection activeCell="A33" sqref="A3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479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9</v>
      </c>
      <c r="F3" s="10"/>
      <c r="G3">
        <v>12</v>
      </c>
      <c r="H3" s="4">
        <f>PRODUCT(G3,20)</f>
        <v>240</v>
      </c>
      <c r="I3" s="27" t="s">
        <v>538</v>
      </c>
      <c r="J3" s="28"/>
      <c r="K3" s="29"/>
    </row>
    <row r="4" spans="2:11" x14ac:dyDescent="0.3">
      <c r="B4" s="22"/>
      <c r="C4" s="15">
        <v>2</v>
      </c>
      <c r="D4" t="s">
        <v>11</v>
      </c>
      <c r="F4" s="10"/>
      <c r="G4">
        <v>18</v>
      </c>
      <c r="H4" s="4">
        <f t="shared" ref="H4:H11" si="0">PRODUCT(G4,20)</f>
        <v>360</v>
      </c>
      <c r="I4" s="30"/>
      <c r="J4" s="31"/>
      <c r="K4" s="32"/>
    </row>
    <row r="5" spans="2:11" x14ac:dyDescent="0.3">
      <c r="B5" s="22"/>
      <c r="C5" s="15">
        <v>3</v>
      </c>
      <c r="D5" t="s">
        <v>80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47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22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48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147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12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13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95</v>
      </c>
      <c r="F12" s="10"/>
      <c r="G12">
        <v>8</v>
      </c>
      <c r="H12" s="4">
        <f t="shared" ref="H12:H17" si="1">PRODUCT(G12,20)</f>
        <v>160</v>
      </c>
      <c r="I12" s="27" t="s">
        <v>537</v>
      </c>
      <c r="J12" s="28"/>
      <c r="K12" s="29"/>
    </row>
    <row r="13" spans="2:11" x14ac:dyDescent="0.3">
      <c r="B13" s="22"/>
      <c r="C13" s="15">
        <v>11</v>
      </c>
      <c r="D13" t="s">
        <v>14</v>
      </c>
      <c r="F13" s="10"/>
      <c r="G13">
        <v>2</v>
      </c>
      <c r="H13" s="4">
        <f t="shared" si="1"/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15</v>
      </c>
      <c r="F14" s="10"/>
      <c r="G14">
        <v>3</v>
      </c>
      <c r="H14" s="4">
        <f t="shared" si="1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17</v>
      </c>
      <c r="F15" s="10"/>
      <c r="G15">
        <v>3</v>
      </c>
      <c r="H15" s="4">
        <f t="shared" si="1"/>
        <v>60</v>
      </c>
      <c r="I15" s="30"/>
      <c r="J15" s="31"/>
      <c r="K15" s="32"/>
    </row>
    <row r="16" spans="2:11" x14ac:dyDescent="0.3">
      <c r="B16" s="22"/>
      <c r="C16" s="15">
        <v>14</v>
      </c>
      <c r="D16" t="s">
        <v>18</v>
      </c>
      <c r="F16" s="10"/>
      <c r="G16">
        <v>3</v>
      </c>
      <c r="H16" s="4">
        <f t="shared" si="1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19</v>
      </c>
      <c r="F17" s="10"/>
      <c r="G17">
        <v>3</v>
      </c>
      <c r="H17" s="4">
        <f t="shared" si="1"/>
        <v>60</v>
      </c>
      <c r="I17" s="30"/>
      <c r="J17" s="31"/>
      <c r="K17" s="32"/>
    </row>
    <row r="18" spans="2:11" x14ac:dyDescent="0.3">
      <c r="B18" s="22"/>
      <c r="C18" s="15">
        <v>16</v>
      </c>
      <c r="I18" s="30"/>
      <c r="J18" s="31"/>
      <c r="K18" s="32"/>
    </row>
    <row r="19" spans="2:11" ht="17.25" thickBot="1" x14ac:dyDescent="0.35">
      <c r="B19" s="22"/>
      <c r="C19" s="15">
        <v>17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1760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248D-6661-49C7-8B6F-BE5E09222FB2}">
  <sheetPr>
    <pageSetUpPr fitToPage="1"/>
  </sheetPr>
  <dimension ref="B1:Q32"/>
  <sheetViews>
    <sheetView topLeftCell="B1" workbookViewId="0">
      <selection activeCell="I11" sqref="I11:K1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482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10</v>
      </c>
      <c r="H3" s="4">
        <f>PRODUCT(G3,20)</f>
        <v>200</v>
      </c>
      <c r="I3" s="27" t="s">
        <v>535</v>
      </c>
      <c r="J3" s="28"/>
      <c r="K3" s="29"/>
    </row>
    <row r="4" spans="2:17" x14ac:dyDescent="0.3">
      <c r="B4" s="22"/>
      <c r="C4" s="15">
        <v>2</v>
      </c>
      <c r="D4" t="s">
        <v>54</v>
      </c>
      <c r="E4" s="4"/>
      <c r="G4">
        <v>6</v>
      </c>
      <c r="H4" s="4">
        <f t="shared" ref="H4:H23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131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59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53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14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62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164</v>
      </c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165</v>
      </c>
      <c r="E11" s="4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73</v>
      </c>
      <c r="E12" s="4"/>
      <c r="G12">
        <v>2</v>
      </c>
      <c r="H12" s="4">
        <f t="shared" si="0"/>
        <v>40</v>
      </c>
      <c r="I12" s="27" t="s">
        <v>534</v>
      </c>
      <c r="J12" s="28"/>
      <c r="K12" s="29"/>
    </row>
    <row r="13" spans="2:17" x14ac:dyDescent="0.3">
      <c r="B13" s="22"/>
      <c r="C13" s="15">
        <v>11</v>
      </c>
      <c r="D13" t="s">
        <v>205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60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67</v>
      </c>
      <c r="E15" s="4" t="s">
        <v>63</v>
      </c>
      <c r="G15">
        <v>3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71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64</v>
      </c>
      <c r="E17" s="4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47</v>
      </c>
      <c r="E18" s="4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95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58</v>
      </c>
      <c r="E20" s="4"/>
      <c r="G20">
        <v>4</v>
      </c>
      <c r="H20" s="4">
        <f t="shared" si="0"/>
        <v>80</v>
      </c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D21" t="s">
        <v>78</v>
      </c>
      <c r="E21" s="4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45</v>
      </c>
      <c r="G22">
        <v>4</v>
      </c>
      <c r="H22" s="4">
        <f t="shared" si="0"/>
        <v>80</v>
      </c>
      <c r="I22" s="10" t="s">
        <v>27</v>
      </c>
      <c r="J22">
        <v>40</v>
      </c>
      <c r="K22" s="4" t="s">
        <v>28</v>
      </c>
    </row>
    <row r="23" spans="2:11" ht="17.25" thickBot="1" x14ac:dyDescent="0.35">
      <c r="B23" s="22"/>
      <c r="C23" s="15">
        <v>21</v>
      </c>
      <c r="D23" t="s">
        <v>75</v>
      </c>
      <c r="E23" s="4"/>
      <c r="G23">
        <v>4</v>
      </c>
      <c r="H23" s="4">
        <f t="shared" si="0"/>
        <v>80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87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2CD8-A339-4FB5-B4D2-DD6450D8DED5}">
  <sheetPr>
    <pageSetUpPr fitToPage="1"/>
  </sheetPr>
  <dimension ref="B1:Q32"/>
  <sheetViews>
    <sheetView workbookViewId="0">
      <selection activeCell="P17" sqref="P1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453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</v>
      </c>
      <c r="E3" s="3"/>
      <c r="G3">
        <v>6</v>
      </c>
      <c r="H3" s="4">
        <f>PRODUCT(G3,20)</f>
        <v>120</v>
      </c>
      <c r="I3" s="27" t="s">
        <v>531</v>
      </c>
      <c r="J3" s="28"/>
      <c r="K3" s="29"/>
    </row>
    <row r="4" spans="2:17" x14ac:dyDescent="0.3">
      <c r="B4" s="22"/>
      <c r="C4" s="15">
        <v>2</v>
      </c>
      <c r="D4" t="s">
        <v>155</v>
      </c>
      <c r="E4" s="4"/>
      <c r="G4">
        <v>6</v>
      </c>
      <c r="H4" s="4">
        <f t="shared" ref="H4:H20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108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146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87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64</v>
      </c>
      <c r="E8" s="4"/>
      <c r="G8">
        <v>2</v>
      </c>
      <c r="H8" s="4">
        <f t="shared" si="0"/>
        <v>40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G9">
        <v>2</v>
      </c>
      <c r="H9" s="4">
        <f t="shared" si="0"/>
        <v>40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48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147</v>
      </c>
      <c r="E11" s="4"/>
      <c r="G11">
        <v>8</v>
      </c>
      <c r="H11" s="4">
        <f t="shared" si="0"/>
        <v>160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51</v>
      </c>
      <c r="E12" s="4"/>
      <c r="G12">
        <v>8</v>
      </c>
      <c r="H12" s="4">
        <f t="shared" si="0"/>
        <v>160</v>
      </c>
      <c r="I12" s="27" t="s">
        <v>536</v>
      </c>
      <c r="J12" s="28"/>
      <c r="K12" s="29"/>
    </row>
    <row r="13" spans="2:17" x14ac:dyDescent="0.3">
      <c r="B13" s="22"/>
      <c r="C13" s="15">
        <v>11</v>
      </c>
      <c r="D13" t="s">
        <v>85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75</v>
      </c>
      <c r="E14" s="4" t="s">
        <v>63</v>
      </c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62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58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53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79</v>
      </c>
      <c r="E18" s="4" t="s">
        <v>66</v>
      </c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54</v>
      </c>
      <c r="E19" s="4"/>
      <c r="G19">
        <v>6</v>
      </c>
      <c r="H19" s="4">
        <f t="shared" si="0"/>
        <v>120</v>
      </c>
      <c r="I19" s="30"/>
      <c r="J19" s="31"/>
      <c r="K19" s="32"/>
    </row>
    <row r="20" spans="2:11" x14ac:dyDescent="0.3">
      <c r="B20" s="22"/>
      <c r="C20" s="15">
        <v>18</v>
      </c>
      <c r="D20" t="s">
        <v>40</v>
      </c>
      <c r="E20" s="4"/>
      <c r="G20">
        <v>2</v>
      </c>
      <c r="H20" s="4">
        <f t="shared" si="0"/>
        <v>40</v>
      </c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I22" s="10" t="s">
        <v>27</v>
      </c>
      <c r="J22">
        <v>40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97E6-3EBD-4C35-817B-AF131C3689B5}">
  <sheetPr>
    <pageSetUpPr fitToPage="1"/>
  </sheetPr>
  <dimension ref="B1:K32"/>
  <sheetViews>
    <sheetView workbookViewId="0">
      <selection activeCell="P3" sqref="P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474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94</v>
      </c>
      <c r="F3" s="10"/>
      <c r="G3">
        <v>12</v>
      </c>
      <c r="H3" s="4">
        <f>PRODUCT(G3,$J$21)</f>
        <v>240</v>
      </c>
      <c r="I3" s="27" t="s">
        <v>533</v>
      </c>
      <c r="J3" s="28"/>
      <c r="K3" s="29"/>
    </row>
    <row r="4" spans="2:11" x14ac:dyDescent="0.3">
      <c r="B4" s="22"/>
      <c r="C4" s="15">
        <v>2</v>
      </c>
      <c r="D4" t="s">
        <v>13</v>
      </c>
      <c r="F4" s="10"/>
      <c r="G4">
        <v>8</v>
      </c>
      <c r="H4" s="4">
        <f t="shared" ref="H4:H17" si="0">PRODUCT(G4,$J$21)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81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475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100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262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64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47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54</v>
      </c>
      <c r="F12" s="10"/>
      <c r="G12">
        <v>4</v>
      </c>
      <c r="H12" s="4">
        <f t="shared" si="0"/>
        <v>80</v>
      </c>
      <c r="I12" s="27" t="s">
        <v>532</v>
      </c>
      <c r="J12" s="28"/>
      <c r="K12" s="29"/>
    </row>
    <row r="13" spans="2:11" x14ac:dyDescent="0.3">
      <c r="B13" s="22"/>
      <c r="C13" s="15">
        <v>11</v>
      </c>
      <c r="D13" t="s">
        <v>51</v>
      </c>
      <c r="F13" s="10"/>
      <c r="G13">
        <v>8</v>
      </c>
      <c r="H13" s="4">
        <f t="shared" si="0"/>
        <v>160</v>
      </c>
      <c r="I13" s="30"/>
      <c r="J13" s="31"/>
      <c r="K13" s="32"/>
    </row>
    <row r="14" spans="2:11" x14ac:dyDescent="0.3">
      <c r="B14" s="22"/>
      <c r="C14" s="15">
        <v>12</v>
      </c>
      <c r="D14" t="s">
        <v>45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44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167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19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1680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9795-4E57-46C8-B29F-6DFDBBEE6F2D}">
  <sheetPr>
    <pageSetUpPr fitToPage="1"/>
  </sheetPr>
  <dimension ref="B1:K32"/>
  <sheetViews>
    <sheetView workbookViewId="0">
      <selection activeCell="H7" sqref="H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467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16</v>
      </c>
      <c r="H3" s="4">
        <f>PRODUCT(G3,$J$21)</f>
        <v>160</v>
      </c>
      <c r="I3" s="27" t="s">
        <v>525</v>
      </c>
      <c r="J3" s="28"/>
      <c r="K3" s="29"/>
    </row>
    <row r="4" spans="2:11" x14ac:dyDescent="0.3">
      <c r="B4" s="22"/>
      <c r="C4" s="15">
        <v>2</v>
      </c>
      <c r="D4" t="s">
        <v>93</v>
      </c>
      <c r="F4" s="10"/>
      <c r="G4">
        <v>8</v>
      </c>
      <c r="H4" s="4">
        <f t="shared" ref="H4:H11" si="0">PRODUCT(G4,$J$21)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19</v>
      </c>
      <c r="F5" s="10"/>
      <c r="G5">
        <v>6</v>
      </c>
      <c r="H5" s="4">
        <f t="shared" si="0"/>
        <v>60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6</v>
      </c>
      <c r="H6" s="4">
        <f t="shared" si="0"/>
        <v>60</v>
      </c>
      <c r="I6" s="30"/>
      <c r="J6" s="31"/>
      <c r="K6" s="32"/>
    </row>
    <row r="7" spans="2:11" x14ac:dyDescent="0.3">
      <c r="B7" s="22"/>
      <c r="C7" s="15">
        <v>5</v>
      </c>
      <c r="D7" t="s">
        <v>96</v>
      </c>
      <c r="F7" s="10"/>
      <c r="G7">
        <v>4</v>
      </c>
      <c r="H7" s="4">
        <f t="shared" si="0"/>
        <v>40</v>
      </c>
      <c r="I7" s="30"/>
      <c r="J7" s="31"/>
      <c r="K7" s="32"/>
    </row>
    <row r="8" spans="2:11" x14ac:dyDescent="0.3">
      <c r="B8" s="22"/>
      <c r="C8" s="15">
        <v>6</v>
      </c>
      <c r="D8" t="s">
        <v>43</v>
      </c>
      <c r="F8" s="10"/>
      <c r="G8">
        <v>4</v>
      </c>
      <c r="H8" s="4">
        <f t="shared" si="0"/>
        <v>40</v>
      </c>
      <c r="I8" s="30"/>
      <c r="J8" s="31"/>
      <c r="K8" s="32"/>
    </row>
    <row r="9" spans="2:11" x14ac:dyDescent="0.3">
      <c r="B9" s="22"/>
      <c r="C9" s="15">
        <v>7</v>
      </c>
      <c r="D9" t="s">
        <v>38</v>
      </c>
      <c r="F9" s="10"/>
      <c r="G9">
        <v>4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94</v>
      </c>
      <c r="F10" s="10"/>
      <c r="G10">
        <v>4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79</v>
      </c>
      <c r="F11" s="10"/>
      <c r="G11">
        <v>2</v>
      </c>
      <c r="H11" s="4">
        <f t="shared" si="0"/>
        <v>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 t="s">
        <v>526</v>
      </c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10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20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54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540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540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E277-DA40-4835-BE55-D2E4684247E4}">
  <sheetPr>
    <pageSetUpPr fitToPage="1"/>
  </sheetPr>
  <dimension ref="B1:N32"/>
  <sheetViews>
    <sheetView workbookViewId="0">
      <selection activeCell="G18" sqref="G18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522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12</v>
      </c>
      <c r="F3" s="10"/>
      <c r="G3">
        <v>8</v>
      </c>
      <c r="H3" s="4">
        <f>PRODUCT(G3,20)</f>
        <v>160</v>
      </c>
      <c r="I3" s="27" t="s">
        <v>523</v>
      </c>
      <c r="J3" s="28"/>
      <c r="K3" s="29"/>
    </row>
    <row r="4" spans="2:14" x14ac:dyDescent="0.3">
      <c r="B4" s="22"/>
      <c r="C4" s="15">
        <v>2</v>
      </c>
      <c r="D4" t="s">
        <v>135</v>
      </c>
      <c r="F4" s="10"/>
      <c r="G4">
        <v>6</v>
      </c>
      <c r="H4" s="4">
        <f t="shared" ref="H4:H17" si="0">PRODUCT(G4,20)</f>
        <v>120</v>
      </c>
      <c r="I4" s="30"/>
      <c r="J4" s="31"/>
      <c r="K4" s="32"/>
    </row>
    <row r="5" spans="2:14" x14ac:dyDescent="0.3">
      <c r="B5" s="22"/>
      <c r="C5" s="15">
        <v>3</v>
      </c>
      <c r="D5" t="s">
        <v>93</v>
      </c>
      <c r="F5" s="10"/>
      <c r="G5">
        <v>15</v>
      </c>
      <c r="H5" s="4">
        <f t="shared" si="0"/>
        <v>300</v>
      </c>
      <c r="I5" s="30"/>
      <c r="J5" s="31"/>
      <c r="K5" s="32"/>
    </row>
    <row r="6" spans="2:14" x14ac:dyDescent="0.3">
      <c r="B6" s="22"/>
      <c r="C6" s="15">
        <v>4</v>
      </c>
      <c r="D6" t="s">
        <v>95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4" x14ac:dyDescent="0.3">
      <c r="B7" s="22"/>
      <c r="C7" s="15">
        <v>5</v>
      </c>
      <c r="D7" t="s">
        <v>19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4" x14ac:dyDescent="0.3">
      <c r="B8" s="22"/>
      <c r="C8" s="15">
        <v>6</v>
      </c>
      <c r="D8" t="s">
        <v>96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4" x14ac:dyDescent="0.3">
      <c r="B9" s="22"/>
      <c r="C9" s="15">
        <v>7</v>
      </c>
      <c r="D9" t="s">
        <v>13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14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75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88</v>
      </c>
      <c r="F12" s="10"/>
      <c r="G12">
        <v>2</v>
      </c>
      <c r="H12" s="4">
        <f t="shared" si="0"/>
        <v>40</v>
      </c>
      <c r="I12" s="27" t="s">
        <v>524</v>
      </c>
      <c r="J12" s="28"/>
      <c r="K12" s="29"/>
    </row>
    <row r="13" spans="2:14" x14ac:dyDescent="0.3">
      <c r="B13" s="22"/>
      <c r="C13" s="15">
        <v>11</v>
      </c>
      <c r="D13" t="s">
        <v>89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4" x14ac:dyDescent="0.3">
      <c r="B14" s="22"/>
      <c r="C14" s="15">
        <v>12</v>
      </c>
      <c r="D14" t="s">
        <v>40</v>
      </c>
      <c r="F14" s="10"/>
      <c r="G14">
        <v>4</v>
      </c>
      <c r="H14" s="4">
        <f t="shared" si="0"/>
        <v>80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181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4" x14ac:dyDescent="0.3">
      <c r="B16" s="22"/>
      <c r="C16" s="15">
        <v>14</v>
      </c>
      <c r="D16" t="s">
        <v>51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528</v>
      </c>
      <c r="F17" s="10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1500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2313-D207-40F1-B8ED-7BBB1D06681F}">
  <sheetPr>
    <pageSetUpPr fitToPage="1"/>
  </sheetPr>
  <dimension ref="B1:N32"/>
  <sheetViews>
    <sheetView workbookViewId="0">
      <selection activeCell="E24" sqref="E2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493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500</v>
      </c>
      <c r="F3" s="10"/>
      <c r="G3">
        <v>4</v>
      </c>
      <c r="H3" s="4">
        <f>PRODUCT(G3,20)</f>
        <v>80</v>
      </c>
      <c r="I3" s="27" t="s">
        <v>499</v>
      </c>
      <c r="J3" s="28"/>
      <c r="K3" s="29"/>
    </row>
    <row r="4" spans="2:14" x14ac:dyDescent="0.3">
      <c r="B4" s="22"/>
      <c r="C4" s="15">
        <v>2</v>
      </c>
      <c r="D4" t="s">
        <v>501</v>
      </c>
      <c r="F4" s="10"/>
      <c r="G4">
        <v>4</v>
      </c>
      <c r="H4" s="4">
        <f t="shared" ref="H4:H23" si="0">PRODUCT(G4,20)</f>
        <v>80</v>
      </c>
      <c r="I4" s="30"/>
      <c r="J4" s="31"/>
      <c r="K4" s="32"/>
    </row>
    <row r="5" spans="2:14" x14ac:dyDescent="0.3">
      <c r="B5" s="22"/>
      <c r="C5" s="15">
        <v>3</v>
      </c>
      <c r="D5" t="s">
        <v>502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4" x14ac:dyDescent="0.3">
      <c r="B6" s="22"/>
      <c r="C6" s="15">
        <v>4</v>
      </c>
      <c r="D6" t="s">
        <v>503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4" x14ac:dyDescent="0.3">
      <c r="B7" s="22"/>
      <c r="C7" s="15">
        <v>5</v>
      </c>
      <c r="D7" t="s">
        <v>504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4" x14ac:dyDescent="0.3">
      <c r="B8" s="22"/>
      <c r="C8" s="15">
        <v>6</v>
      </c>
      <c r="D8" t="s">
        <v>514</v>
      </c>
      <c r="F8" s="10"/>
      <c r="G8">
        <v>3</v>
      </c>
      <c r="H8" s="4">
        <f t="shared" si="0"/>
        <v>60</v>
      </c>
      <c r="I8" s="30"/>
      <c r="J8" s="31"/>
      <c r="K8" s="32"/>
    </row>
    <row r="9" spans="2:14" x14ac:dyDescent="0.3">
      <c r="B9" s="22"/>
      <c r="C9" s="15">
        <v>7</v>
      </c>
      <c r="D9" t="s">
        <v>505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506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507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508</v>
      </c>
      <c r="F12" s="10"/>
      <c r="G12">
        <v>2</v>
      </c>
      <c r="H12" s="4">
        <f t="shared" si="0"/>
        <v>40</v>
      </c>
      <c r="I12" s="27" t="s">
        <v>521</v>
      </c>
      <c r="J12" s="28"/>
      <c r="K12" s="29"/>
    </row>
    <row r="13" spans="2:14" x14ac:dyDescent="0.3">
      <c r="B13" s="22"/>
      <c r="C13" s="15">
        <v>11</v>
      </c>
      <c r="D13" t="s">
        <v>516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4" x14ac:dyDescent="0.3">
      <c r="B14" s="22"/>
      <c r="C14" s="15">
        <v>12</v>
      </c>
      <c r="D14" t="s">
        <v>509</v>
      </c>
      <c r="F14" s="10"/>
      <c r="G14">
        <v>2</v>
      </c>
      <c r="H14" s="4">
        <f t="shared" si="0"/>
        <v>40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510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4" x14ac:dyDescent="0.3">
      <c r="B16" s="22"/>
      <c r="C16" s="15">
        <v>14</v>
      </c>
      <c r="D16" t="s">
        <v>511</v>
      </c>
      <c r="F16" s="10"/>
      <c r="G16">
        <v>1.2</v>
      </c>
      <c r="H16" s="4">
        <f t="shared" si="0"/>
        <v>24</v>
      </c>
      <c r="I16" s="30"/>
      <c r="J16" s="31"/>
      <c r="K16" s="32"/>
    </row>
    <row r="17" spans="2:11" x14ac:dyDescent="0.3">
      <c r="B17" s="22"/>
      <c r="C17" s="15">
        <v>15</v>
      </c>
      <c r="D17" t="s">
        <v>512</v>
      </c>
      <c r="F17" s="10"/>
      <c r="G17">
        <v>1.5</v>
      </c>
      <c r="H17" s="4">
        <f t="shared" si="0"/>
        <v>30</v>
      </c>
      <c r="I17" s="30"/>
      <c r="J17" s="31"/>
      <c r="K17" s="32"/>
    </row>
    <row r="18" spans="2:11" x14ac:dyDescent="0.3">
      <c r="B18" s="22"/>
      <c r="C18" s="15">
        <v>16</v>
      </c>
      <c r="D18" t="s">
        <v>513</v>
      </c>
      <c r="G18">
        <v>1.5</v>
      </c>
      <c r="H18" s="4">
        <f t="shared" si="0"/>
        <v>30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515</v>
      </c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517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518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519</v>
      </c>
      <c r="F22" s="10"/>
      <c r="G22">
        <v>4</v>
      </c>
      <c r="H22" s="4">
        <f t="shared" si="0"/>
        <v>80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520</v>
      </c>
      <c r="F23" s="10"/>
      <c r="G23">
        <v>4</v>
      </c>
      <c r="H23" s="4">
        <f t="shared" si="0"/>
        <v>80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65.2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1304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1304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52A1-4FEC-4A0B-A514-C5D75D8C72DE}">
  <sheetPr>
    <pageSetUpPr fitToPage="1"/>
  </sheetPr>
  <dimension ref="B1:N32"/>
  <sheetViews>
    <sheetView topLeftCell="A9" workbookViewId="0">
      <selection activeCell="K29" sqref="K2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496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 t="s">
        <v>498</v>
      </c>
      <c r="J3" s="28"/>
      <c r="K3" s="29"/>
    </row>
    <row r="4" spans="2:14" x14ac:dyDescent="0.3">
      <c r="B4" s="22"/>
      <c r="C4" s="15">
        <v>2</v>
      </c>
      <c r="D4" t="s">
        <v>112</v>
      </c>
      <c r="F4" s="10"/>
      <c r="G4">
        <v>8</v>
      </c>
      <c r="H4" s="4">
        <f t="shared" ref="H4:H11" si="0">PRODUCT(G4,20)</f>
        <v>160</v>
      </c>
      <c r="I4" s="30"/>
      <c r="J4" s="31"/>
      <c r="K4" s="32"/>
    </row>
    <row r="5" spans="2:14" x14ac:dyDescent="0.3">
      <c r="B5" s="22"/>
      <c r="C5" s="15">
        <v>3</v>
      </c>
      <c r="D5" t="s">
        <v>54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53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4" x14ac:dyDescent="0.3">
      <c r="B7" s="22"/>
      <c r="C7" s="15">
        <v>5</v>
      </c>
      <c r="D7" t="s">
        <v>47</v>
      </c>
      <c r="F7" s="10"/>
      <c r="G7">
        <v>2</v>
      </c>
      <c r="H7" s="4">
        <f t="shared" si="0"/>
        <v>40</v>
      </c>
      <c r="I7" s="30"/>
      <c r="J7" s="31"/>
      <c r="K7" s="32"/>
    </row>
    <row r="8" spans="2:14" x14ac:dyDescent="0.3">
      <c r="B8" s="22"/>
      <c r="C8" s="15">
        <v>6</v>
      </c>
      <c r="D8" t="s">
        <v>48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4" x14ac:dyDescent="0.3">
      <c r="B9" s="22"/>
      <c r="C9" s="15">
        <v>7</v>
      </c>
      <c r="D9" t="s">
        <v>58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178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100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13</v>
      </c>
      <c r="F12" s="10"/>
      <c r="G12">
        <v>4</v>
      </c>
      <c r="H12" s="4">
        <f t="shared" ref="H12:H19" si="1">PRODUCT(G12,20)</f>
        <v>80</v>
      </c>
      <c r="I12" s="27" t="s">
        <v>497</v>
      </c>
      <c r="J12" s="28"/>
      <c r="K12" s="29"/>
    </row>
    <row r="13" spans="2:14" x14ac:dyDescent="0.3">
      <c r="B13" s="22"/>
      <c r="C13" s="15">
        <v>11</v>
      </c>
      <c r="D13" t="s">
        <v>75</v>
      </c>
      <c r="F13" s="10"/>
      <c r="G13">
        <v>4</v>
      </c>
      <c r="H13" s="4">
        <f t="shared" si="1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79</v>
      </c>
      <c r="E14" t="s">
        <v>66</v>
      </c>
      <c r="F14" s="10"/>
      <c r="G14">
        <v>4</v>
      </c>
      <c r="H14" s="4">
        <f t="shared" si="1"/>
        <v>80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78</v>
      </c>
      <c r="F15" s="10"/>
      <c r="G15">
        <v>4</v>
      </c>
      <c r="H15" s="4">
        <f t="shared" si="1"/>
        <v>80</v>
      </c>
      <c r="I15" s="30"/>
      <c r="J15" s="31"/>
      <c r="K15" s="32"/>
    </row>
    <row r="16" spans="2:14" x14ac:dyDescent="0.3">
      <c r="B16" s="22"/>
      <c r="C16" s="15">
        <v>14</v>
      </c>
      <c r="D16" t="s">
        <v>76</v>
      </c>
      <c r="F16" s="10"/>
      <c r="G16">
        <v>8</v>
      </c>
      <c r="H16" s="4">
        <f t="shared" si="1"/>
        <v>160</v>
      </c>
      <c r="I16" s="30"/>
      <c r="J16" s="31"/>
      <c r="K16" s="32"/>
    </row>
    <row r="17" spans="2:11" x14ac:dyDescent="0.3">
      <c r="B17" s="22"/>
      <c r="C17" s="15">
        <v>15</v>
      </c>
      <c r="D17" t="s">
        <v>95</v>
      </c>
      <c r="F17" s="10"/>
      <c r="G17">
        <v>4</v>
      </c>
      <c r="H17" s="4">
        <f t="shared" si="1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14</v>
      </c>
      <c r="G18">
        <v>4</v>
      </c>
      <c r="H18" s="4">
        <f t="shared" si="1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181</v>
      </c>
      <c r="G19">
        <v>4</v>
      </c>
      <c r="H19" s="4">
        <f t="shared" si="1"/>
        <v>80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1700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7534-8FB2-4400-9919-892A6A4D03FB}">
  <sheetPr>
    <pageSetUpPr fitToPage="1"/>
  </sheetPr>
  <dimension ref="B1:N32"/>
  <sheetViews>
    <sheetView workbookViewId="0">
      <selection activeCell="E27" sqref="E2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493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53</v>
      </c>
      <c r="F3" s="10"/>
      <c r="G3">
        <v>6</v>
      </c>
      <c r="H3" s="4">
        <f>PRODUCT(G3,20)</f>
        <v>120</v>
      </c>
      <c r="I3" s="27" t="s">
        <v>494</v>
      </c>
      <c r="J3" s="28"/>
      <c r="K3" s="29"/>
    </row>
    <row r="4" spans="2:14" x14ac:dyDescent="0.3">
      <c r="B4" s="22"/>
      <c r="C4" s="15">
        <v>2</v>
      </c>
      <c r="D4" t="s">
        <v>58</v>
      </c>
      <c r="F4" s="10"/>
      <c r="G4">
        <v>6</v>
      </c>
      <c r="H4" s="4">
        <f t="shared" ref="H4:H23" si="0">PRODUCT(G4,20)</f>
        <v>120</v>
      </c>
      <c r="I4" s="30"/>
      <c r="J4" s="31"/>
      <c r="K4" s="32"/>
    </row>
    <row r="5" spans="2:14" x14ac:dyDescent="0.3">
      <c r="B5" s="22"/>
      <c r="C5" s="15">
        <v>3</v>
      </c>
      <c r="D5" t="s">
        <v>95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71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4" x14ac:dyDescent="0.3">
      <c r="B7" s="22"/>
      <c r="C7" s="15">
        <v>5</v>
      </c>
      <c r="D7" t="s">
        <v>54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4" x14ac:dyDescent="0.3">
      <c r="B8" s="22"/>
      <c r="C8" s="15">
        <v>6</v>
      </c>
      <c r="D8" t="s">
        <v>14</v>
      </c>
      <c r="F8" s="10"/>
      <c r="G8">
        <v>2</v>
      </c>
      <c r="H8" s="4">
        <f t="shared" si="0"/>
        <v>40</v>
      </c>
      <c r="I8" s="30"/>
      <c r="J8" s="31"/>
      <c r="K8" s="32"/>
    </row>
    <row r="9" spans="2:14" x14ac:dyDescent="0.3">
      <c r="B9" s="22"/>
      <c r="C9" s="15">
        <v>7</v>
      </c>
      <c r="D9" t="s">
        <v>160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181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42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109</v>
      </c>
      <c r="F12" s="10"/>
      <c r="G12">
        <v>2</v>
      </c>
      <c r="H12" s="4">
        <f t="shared" si="0"/>
        <v>40</v>
      </c>
      <c r="I12" s="27" t="s">
        <v>495</v>
      </c>
      <c r="J12" s="28"/>
      <c r="K12" s="29"/>
    </row>
    <row r="13" spans="2:14" x14ac:dyDescent="0.3">
      <c r="B13" s="22"/>
      <c r="C13" s="15">
        <v>11</v>
      </c>
      <c r="D13" t="s">
        <v>242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4" x14ac:dyDescent="0.3">
      <c r="B14" s="22"/>
      <c r="C14" s="15">
        <v>12</v>
      </c>
      <c r="D14" t="s">
        <v>38</v>
      </c>
      <c r="F14" s="10"/>
      <c r="G14">
        <v>2</v>
      </c>
      <c r="H14" s="4">
        <f t="shared" si="0"/>
        <v>40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256</v>
      </c>
      <c r="F15" s="10"/>
      <c r="G15">
        <v>1.5</v>
      </c>
      <c r="H15" s="4">
        <f t="shared" si="0"/>
        <v>30</v>
      </c>
      <c r="I15" s="30"/>
      <c r="J15" s="31"/>
      <c r="K15" s="32"/>
    </row>
    <row r="16" spans="2:14" x14ac:dyDescent="0.3">
      <c r="B16" s="22"/>
      <c r="C16" s="15">
        <v>14</v>
      </c>
      <c r="D16" t="s">
        <v>79</v>
      </c>
      <c r="F16" s="10"/>
      <c r="G16">
        <v>1.5</v>
      </c>
      <c r="H16" s="4">
        <f t="shared" si="0"/>
        <v>30</v>
      </c>
      <c r="I16" s="30"/>
      <c r="J16" s="31"/>
      <c r="K16" s="32"/>
    </row>
    <row r="17" spans="2:11" x14ac:dyDescent="0.3">
      <c r="B17" s="22"/>
      <c r="C17" s="15">
        <v>15</v>
      </c>
      <c r="D17" t="s">
        <v>47</v>
      </c>
      <c r="F17" s="10"/>
      <c r="G17">
        <v>1.5</v>
      </c>
      <c r="H17" s="4">
        <f t="shared" si="0"/>
        <v>30</v>
      </c>
      <c r="I17" s="30"/>
      <c r="J17" s="31"/>
      <c r="K17" s="32"/>
    </row>
    <row r="18" spans="2:11" x14ac:dyDescent="0.3">
      <c r="B18" s="22"/>
      <c r="C18" s="15">
        <v>16</v>
      </c>
      <c r="D18" t="s">
        <v>48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164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62</v>
      </c>
      <c r="F20" s="10"/>
      <c r="G20">
        <v>3</v>
      </c>
      <c r="H20" s="4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165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200</v>
      </c>
      <c r="F22" s="10"/>
      <c r="G22">
        <v>3</v>
      </c>
      <c r="H22" s="4">
        <f t="shared" si="0"/>
        <v>60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67</v>
      </c>
      <c r="F23" s="10"/>
      <c r="G23">
        <v>4</v>
      </c>
      <c r="H23" s="4">
        <f t="shared" si="0"/>
        <v>80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65.5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1310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1310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991A-92D6-46BF-BA8E-4DF1CE91D7E3}">
  <sheetPr>
    <pageSetUpPr fitToPage="1"/>
  </sheetPr>
  <dimension ref="B1:N32"/>
  <sheetViews>
    <sheetView workbookViewId="0">
      <selection activeCell="E24" sqref="E2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400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 t="s">
        <v>491</v>
      </c>
      <c r="J3" s="28"/>
      <c r="K3" s="29"/>
    </row>
    <row r="4" spans="2:14" x14ac:dyDescent="0.3">
      <c r="B4" s="22"/>
      <c r="C4" s="15">
        <v>2</v>
      </c>
      <c r="D4" t="s">
        <v>75</v>
      </c>
      <c r="F4" s="10"/>
      <c r="G4">
        <v>6</v>
      </c>
      <c r="H4" s="4">
        <f t="shared" ref="H4:H22" si="0">PRODUCT(G4,20)</f>
        <v>120</v>
      </c>
      <c r="I4" s="30"/>
      <c r="J4" s="31"/>
      <c r="K4" s="32"/>
    </row>
    <row r="5" spans="2:14" x14ac:dyDescent="0.3">
      <c r="B5" s="22"/>
      <c r="C5" s="15">
        <v>3</v>
      </c>
      <c r="D5" t="s">
        <v>54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262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4" x14ac:dyDescent="0.3">
      <c r="B7" s="22"/>
      <c r="C7" s="15">
        <v>5</v>
      </c>
      <c r="D7" t="s">
        <v>40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4" x14ac:dyDescent="0.3">
      <c r="B8" s="22"/>
      <c r="C8" s="15">
        <v>6</v>
      </c>
      <c r="D8" t="s">
        <v>131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4" x14ac:dyDescent="0.3">
      <c r="B9" s="22"/>
      <c r="C9" s="15">
        <v>7</v>
      </c>
      <c r="D9" t="s">
        <v>13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95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67</v>
      </c>
      <c r="E11" t="s">
        <v>63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49</v>
      </c>
      <c r="F12" s="10"/>
      <c r="G12">
        <v>2</v>
      </c>
      <c r="H12" s="4">
        <f t="shared" si="0"/>
        <v>40</v>
      </c>
      <c r="I12" s="27" t="s">
        <v>492</v>
      </c>
      <c r="J12" s="28"/>
      <c r="K12" s="29"/>
    </row>
    <row r="13" spans="2:14" x14ac:dyDescent="0.3">
      <c r="B13" s="22"/>
      <c r="C13" s="15">
        <v>11</v>
      </c>
      <c r="D13" t="s">
        <v>47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4" x14ac:dyDescent="0.3">
      <c r="B14" s="22"/>
      <c r="C14" s="15">
        <v>12</v>
      </c>
      <c r="D14" t="s">
        <v>48</v>
      </c>
      <c r="F14" s="10"/>
      <c r="G14">
        <v>4</v>
      </c>
      <c r="H14" s="4">
        <f t="shared" si="0"/>
        <v>80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155</v>
      </c>
      <c r="F15" s="10"/>
      <c r="G15">
        <v>6</v>
      </c>
      <c r="H15" s="4">
        <f t="shared" si="0"/>
        <v>120</v>
      </c>
      <c r="I15" s="30"/>
      <c r="J15" s="31"/>
      <c r="K15" s="32"/>
    </row>
    <row r="16" spans="2:14" x14ac:dyDescent="0.3">
      <c r="B16" s="22"/>
      <c r="C16" s="15">
        <v>14</v>
      </c>
      <c r="D16" t="s">
        <v>14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200</v>
      </c>
      <c r="F17" s="10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153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85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68</v>
      </c>
      <c r="F20" s="10"/>
      <c r="G20">
        <v>2</v>
      </c>
      <c r="H20" s="4">
        <f t="shared" si="0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62</v>
      </c>
      <c r="F21" s="10"/>
      <c r="G21">
        <v>3</v>
      </c>
      <c r="H21" s="4">
        <f t="shared" si="0"/>
        <v>60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165</v>
      </c>
      <c r="F22" s="10"/>
      <c r="G22">
        <v>3</v>
      </c>
      <c r="H22" s="4">
        <f t="shared" si="0"/>
        <v>60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D337-C405-4559-96AD-7029B54C622D}">
  <sheetPr>
    <pageSetUpPr fitToPage="1"/>
  </sheetPr>
  <dimension ref="B1:N32"/>
  <sheetViews>
    <sheetView workbookViewId="0">
      <selection activeCell="V29" sqref="V2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424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54</v>
      </c>
      <c r="F3" s="10"/>
      <c r="G3">
        <v>8</v>
      </c>
      <c r="H3" s="4">
        <f>PRODUCT(G3,20)</f>
        <v>160</v>
      </c>
      <c r="I3" s="27" t="s">
        <v>490</v>
      </c>
      <c r="J3" s="28"/>
      <c r="K3" s="29"/>
    </row>
    <row r="4" spans="2:14" x14ac:dyDescent="0.3">
      <c r="B4" s="22"/>
      <c r="C4" s="15">
        <v>2</v>
      </c>
      <c r="D4" t="s">
        <v>55</v>
      </c>
      <c r="F4" s="10"/>
      <c r="G4">
        <v>4</v>
      </c>
      <c r="H4" s="4">
        <f t="shared" ref="H4:H21" si="0">PRODUCT(G4,20)</f>
        <v>80</v>
      </c>
      <c r="I4" s="30"/>
      <c r="J4" s="31"/>
      <c r="K4" s="32"/>
    </row>
    <row r="5" spans="2:14" x14ac:dyDescent="0.3">
      <c r="B5" s="22"/>
      <c r="C5" s="15">
        <v>3</v>
      </c>
      <c r="D5" t="s">
        <v>53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4" x14ac:dyDescent="0.3">
      <c r="B6" s="22"/>
      <c r="C6" s="15">
        <v>4</v>
      </c>
      <c r="D6" t="s">
        <v>47</v>
      </c>
      <c r="F6" s="10"/>
      <c r="G6">
        <v>2.4</v>
      </c>
      <c r="H6" s="4">
        <f t="shared" si="0"/>
        <v>48</v>
      </c>
      <c r="I6" s="30"/>
      <c r="J6" s="31"/>
      <c r="K6" s="32"/>
    </row>
    <row r="7" spans="2:14" x14ac:dyDescent="0.3">
      <c r="B7" s="22"/>
      <c r="C7" s="15">
        <v>5</v>
      </c>
      <c r="D7" t="s">
        <v>58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4" x14ac:dyDescent="0.3">
      <c r="B8" s="22"/>
      <c r="C8" s="15">
        <v>6</v>
      </c>
      <c r="D8" t="s">
        <v>95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4" x14ac:dyDescent="0.3">
      <c r="B9" s="22"/>
      <c r="C9" s="15">
        <v>7</v>
      </c>
      <c r="D9" t="s">
        <v>48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75</v>
      </c>
      <c r="F10" s="10"/>
      <c r="G10">
        <v>3.2</v>
      </c>
      <c r="H10" s="4">
        <f t="shared" si="0"/>
        <v>64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14</v>
      </c>
      <c r="F11" s="10"/>
      <c r="G11">
        <v>2.8</v>
      </c>
      <c r="H11" s="4">
        <f t="shared" si="0"/>
        <v>56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13</v>
      </c>
      <c r="F12" s="10"/>
      <c r="G12">
        <v>6</v>
      </c>
      <c r="H12" s="4">
        <f t="shared" si="0"/>
        <v>120</v>
      </c>
      <c r="I12" s="27" t="s">
        <v>489</v>
      </c>
      <c r="J12" s="28"/>
      <c r="K12" s="29"/>
    </row>
    <row r="13" spans="2:14" x14ac:dyDescent="0.3">
      <c r="B13" s="22"/>
      <c r="C13" s="15">
        <v>11</v>
      </c>
      <c r="D13" t="s">
        <v>9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44</v>
      </c>
      <c r="F14" s="10"/>
      <c r="G14">
        <v>3.2</v>
      </c>
      <c r="H14" s="4">
        <f t="shared" si="0"/>
        <v>64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45</v>
      </c>
      <c r="F15" s="10"/>
      <c r="G15">
        <v>3.2</v>
      </c>
      <c r="H15" s="4">
        <f t="shared" si="0"/>
        <v>64</v>
      </c>
      <c r="I15" s="30"/>
      <c r="J15" s="31"/>
      <c r="K15" s="32"/>
    </row>
    <row r="16" spans="2:14" x14ac:dyDescent="0.3">
      <c r="B16" s="22"/>
      <c r="C16" s="15">
        <v>14</v>
      </c>
      <c r="D16" t="s">
        <v>181</v>
      </c>
      <c r="F16" s="10"/>
      <c r="G16">
        <v>2.8</v>
      </c>
      <c r="H16" s="4">
        <f t="shared" si="0"/>
        <v>56</v>
      </c>
      <c r="I16" s="30"/>
      <c r="J16" s="31"/>
      <c r="K16" s="32"/>
    </row>
    <row r="17" spans="2:11" x14ac:dyDescent="0.3">
      <c r="B17" s="22"/>
      <c r="C17" s="15">
        <v>15</v>
      </c>
      <c r="D17" t="s">
        <v>100</v>
      </c>
      <c r="F17" s="10"/>
      <c r="G17">
        <v>2.8</v>
      </c>
      <c r="H17" s="4">
        <f t="shared" si="0"/>
        <v>56</v>
      </c>
      <c r="I17" s="30"/>
      <c r="J17" s="31"/>
      <c r="K17" s="32"/>
    </row>
    <row r="18" spans="2:11" x14ac:dyDescent="0.3">
      <c r="B18" s="22"/>
      <c r="C18" s="15">
        <v>16</v>
      </c>
      <c r="D18" t="s">
        <v>147</v>
      </c>
      <c r="F18" s="10"/>
      <c r="G18">
        <v>2.8</v>
      </c>
      <c r="H18" s="4">
        <f t="shared" si="0"/>
        <v>56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94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161</v>
      </c>
      <c r="F20" s="10"/>
      <c r="G20">
        <v>3.2</v>
      </c>
      <c r="H20" s="4">
        <f t="shared" si="0"/>
        <v>64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67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71.399999999999991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1427.9999999999998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1428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BCC9-6904-40A4-B55B-59F254FB9CC4}">
  <sheetPr>
    <pageSetUpPr fitToPage="1"/>
  </sheetPr>
  <dimension ref="B1:Q32"/>
  <sheetViews>
    <sheetView workbookViewId="0">
      <selection activeCell="D16" sqref="D16:H16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453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</v>
      </c>
      <c r="E3" s="3"/>
      <c r="G3">
        <v>4</v>
      </c>
      <c r="H3" s="4">
        <f>PRODUCT(G3,20)</f>
        <v>80</v>
      </c>
      <c r="I3" s="27" t="s">
        <v>488</v>
      </c>
      <c r="J3" s="28"/>
      <c r="K3" s="29"/>
    </row>
    <row r="4" spans="2:17" x14ac:dyDescent="0.3">
      <c r="B4" s="22"/>
      <c r="C4" s="15">
        <v>2</v>
      </c>
      <c r="D4" t="s">
        <v>155</v>
      </c>
      <c r="E4" s="4"/>
      <c r="G4">
        <v>8</v>
      </c>
      <c r="H4" s="4">
        <f t="shared" ref="H4:H19" si="0">PRODUCT(G4,20)</f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108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146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87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64</v>
      </c>
      <c r="E8" s="4"/>
      <c r="G8">
        <v>2</v>
      </c>
      <c r="H8" s="4">
        <f t="shared" si="0"/>
        <v>40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G9">
        <v>2</v>
      </c>
      <c r="H9" s="4">
        <f t="shared" si="0"/>
        <v>40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48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147</v>
      </c>
      <c r="E11" s="4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51</v>
      </c>
      <c r="E12" s="4"/>
      <c r="G12">
        <v>6</v>
      </c>
      <c r="H12" s="4">
        <f t="shared" si="0"/>
        <v>120</v>
      </c>
      <c r="I12" s="27" t="s">
        <v>455</v>
      </c>
      <c r="J12" s="28"/>
      <c r="K12" s="29"/>
    </row>
    <row r="13" spans="2:17" x14ac:dyDescent="0.3">
      <c r="B13" s="22"/>
      <c r="C13" s="15">
        <v>11</v>
      </c>
      <c r="D13" t="s">
        <v>40</v>
      </c>
      <c r="E13" s="4"/>
      <c r="G13">
        <v>3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100</v>
      </c>
      <c r="E14" s="4"/>
      <c r="G14">
        <v>3</v>
      </c>
      <c r="H14" s="4">
        <f t="shared" si="0"/>
        <v>60</v>
      </c>
      <c r="I14" s="30"/>
      <c r="J14" s="31"/>
      <c r="K14" s="32"/>
    </row>
    <row r="15" spans="2:17" x14ac:dyDescent="0.3">
      <c r="B15" s="22"/>
      <c r="C15" s="15">
        <v>13</v>
      </c>
      <c r="D15" t="s">
        <v>62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D17" t="s">
        <v>73</v>
      </c>
      <c r="E17" s="4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68</v>
      </c>
      <c r="E18" s="4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54</v>
      </c>
      <c r="E19" s="4"/>
      <c r="G19">
        <v>6</v>
      </c>
      <c r="H19" s="4">
        <f t="shared" si="0"/>
        <v>120</v>
      </c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I22" s="10" t="s">
        <v>27</v>
      </c>
      <c r="J22">
        <v>40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66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A1F8-752E-44DE-AE77-46AC47DFEAD7}">
  <sheetPr>
    <pageSetUpPr fitToPage="1"/>
  </sheetPr>
  <dimension ref="B1:Q32"/>
  <sheetViews>
    <sheetView topLeftCell="B1" workbookViewId="0">
      <selection activeCell="I29" sqref="I29:J3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453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</v>
      </c>
      <c r="E3" s="3"/>
      <c r="G3">
        <v>6</v>
      </c>
      <c r="H3" s="4">
        <f>PRODUCT(G3,40)</f>
        <v>240</v>
      </c>
      <c r="I3" s="27" t="s">
        <v>487</v>
      </c>
      <c r="J3" s="28"/>
      <c r="K3" s="29"/>
    </row>
    <row r="4" spans="2:17" x14ac:dyDescent="0.3">
      <c r="B4" s="22"/>
      <c r="C4" s="15">
        <v>2</v>
      </c>
      <c r="D4" t="s">
        <v>76</v>
      </c>
      <c r="E4" s="4"/>
      <c r="G4">
        <v>4</v>
      </c>
      <c r="H4" s="4">
        <f t="shared" ref="H4:H17" si="0">PRODUCT(G4,40)</f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485</v>
      </c>
      <c r="E5" s="4"/>
      <c r="G5">
        <v>4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138</v>
      </c>
      <c r="E6" s="4"/>
      <c r="G6">
        <v>4</v>
      </c>
      <c r="H6" s="4">
        <f t="shared" si="0"/>
        <v>160</v>
      </c>
      <c r="I6" s="30"/>
      <c r="J6" s="31"/>
      <c r="K6" s="32"/>
    </row>
    <row r="7" spans="2:17" x14ac:dyDescent="0.3">
      <c r="B7" s="22"/>
      <c r="C7" s="15">
        <v>5</v>
      </c>
      <c r="D7" t="s">
        <v>108</v>
      </c>
      <c r="E7" s="4"/>
      <c r="G7">
        <v>4</v>
      </c>
      <c r="H7" s="4">
        <f t="shared" si="0"/>
        <v>160</v>
      </c>
      <c r="I7" s="30"/>
      <c r="J7" s="31"/>
      <c r="K7" s="32"/>
    </row>
    <row r="8" spans="2:17" x14ac:dyDescent="0.3">
      <c r="B8" s="22"/>
      <c r="C8" s="15">
        <v>6</v>
      </c>
      <c r="D8" t="s">
        <v>146</v>
      </c>
      <c r="E8" s="4"/>
      <c r="G8">
        <v>4</v>
      </c>
      <c r="H8" s="4">
        <f t="shared" si="0"/>
        <v>160</v>
      </c>
      <c r="I8" s="30"/>
      <c r="J8" s="31"/>
      <c r="K8" s="32"/>
    </row>
    <row r="9" spans="2:17" x14ac:dyDescent="0.3">
      <c r="B9" s="22"/>
      <c r="C9" s="15">
        <v>7</v>
      </c>
      <c r="D9" t="s">
        <v>152</v>
      </c>
      <c r="E9" s="4"/>
      <c r="G9">
        <v>4</v>
      </c>
      <c r="H9" s="4">
        <f t="shared" si="0"/>
        <v>160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87</v>
      </c>
      <c r="G10">
        <v>6</v>
      </c>
      <c r="H10" s="4">
        <f t="shared" si="0"/>
        <v>240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64</v>
      </c>
      <c r="E11" s="4"/>
      <c r="G11">
        <v>2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47</v>
      </c>
      <c r="E12" s="4"/>
      <c r="G12">
        <v>2</v>
      </c>
      <c r="H12" s="4">
        <f t="shared" si="0"/>
        <v>80</v>
      </c>
      <c r="I12" s="27" t="s">
        <v>486</v>
      </c>
      <c r="J12" s="28"/>
      <c r="K12" s="29"/>
    </row>
    <row r="13" spans="2:17" x14ac:dyDescent="0.3">
      <c r="B13" s="22"/>
      <c r="C13" s="15">
        <v>11</v>
      </c>
      <c r="D13" t="s">
        <v>48</v>
      </c>
      <c r="E13" s="4"/>
      <c r="G13">
        <v>6</v>
      </c>
      <c r="H13" s="4">
        <f t="shared" si="0"/>
        <v>240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147</v>
      </c>
      <c r="E14" s="4"/>
      <c r="G14">
        <v>4</v>
      </c>
      <c r="H14" s="4">
        <f t="shared" si="0"/>
        <v>160</v>
      </c>
      <c r="I14" s="30"/>
      <c r="J14" s="31"/>
      <c r="K14" s="32"/>
    </row>
    <row r="15" spans="2:17" x14ac:dyDescent="0.3">
      <c r="B15" s="22"/>
      <c r="C15" s="15">
        <v>13</v>
      </c>
      <c r="D15" t="s">
        <v>58</v>
      </c>
      <c r="E15" s="4"/>
      <c r="G15">
        <v>4</v>
      </c>
      <c r="H15" s="4">
        <f t="shared" si="0"/>
        <v>160</v>
      </c>
      <c r="I15" s="30"/>
      <c r="J15" s="31"/>
      <c r="K15" s="32"/>
    </row>
    <row r="16" spans="2:17" x14ac:dyDescent="0.3">
      <c r="B16" s="22"/>
      <c r="C16" s="15">
        <v>14</v>
      </c>
      <c r="D16" t="s">
        <v>53</v>
      </c>
      <c r="E16" s="4"/>
      <c r="G16">
        <v>4</v>
      </c>
      <c r="H16" s="4">
        <f t="shared" si="0"/>
        <v>160</v>
      </c>
      <c r="I16" s="30"/>
      <c r="J16" s="31"/>
      <c r="K16" s="32"/>
    </row>
    <row r="17" spans="2:11" x14ac:dyDescent="0.3">
      <c r="B17" s="22"/>
      <c r="C17" s="15">
        <v>15</v>
      </c>
      <c r="D17" t="s">
        <v>44</v>
      </c>
      <c r="E17" s="4"/>
      <c r="G17">
        <v>4</v>
      </c>
      <c r="H17" s="4">
        <f t="shared" si="0"/>
        <v>160</v>
      </c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45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40</v>
      </c>
      <c r="K21" s="4" t="s">
        <v>26</v>
      </c>
    </row>
    <row r="22" spans="2:11" x14ac:dyDescent="0.3">
      <c r="B22" s="22"/>
      <c r="C22" s="15">
        <v>20</v>
      </c>
      <c r="H22" s="4"/>
      <c r="I22" s="10" t="s">
        <v>27</v>
      </c>
      <c r="J22">
        <v>90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62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2480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2480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CE883-AC8F-45A7-AEF8-81AB59F15EE4}">
  <sheetPr>
    <pageSetUpPr fitToPage="1"/>
  </sheetPr>
  <dimension ref="B1:Q32"/>
  <sheetViews>
    <sheetView topLeftCell="B1"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482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10</v>
      </c>
      <c r="H3" s="4">
        <f>PRODUCT(G3,20)</f>
        <v>200</v>
      </c>
      <c r="I3" s="27" t="s">
        <v>483</v>
      </c>
      <c r="J3" s="28"/>
      <c r="K3" s="29"/>
    </row>
    <row r="4" spans="2:17" x14ac:dyDescent="0.3">
      <c r="B4" s="22"/>
      <c r="C4" s="15">
        <v>2</v>
      </c>
      <c r="D4" t="s">
        <v>54</v>
      </c>
      <c r="E4" s="4"/>
      <c r="G4">
        <v>6</v>
      </c>
      <c r="H4" s="4">
        <f t="shared" ref="H4:H22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131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59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53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14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62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164</v>
      </c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165</v>
      </c>
      <c r="E11" s="4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73</v>
      </c>
      <c r="E12" s="4"/>
      <c r="G12">
        <v>3</v>
      </c>
      <c r="H12" s="4">
        <f t="shared" si="0"/>
        <v>60</v>
      </c>
      <c r="I12" s="27" t="s">
        <v>484</v>
      </c>
      <c r="J12" s="28"/>
      <c r="K12" s="29"/>
    </row>
    <row r="13" spans="2:17" x14ac:dyDescent="0.3">
      <c r="B13" s="22"/>
      <c r="C13" s="15">
        <v>11</v>
      </c>
      <c r="D13" t="s">
        <v>205</v>
      </c>
      <c r="E13" s="4"/>
      <c r="G13">
        <v>3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236</v>
      </c>
      <c r="E14" s="4"/>
      <c r="G14">
        <v>3</v>
      </c>
      <c r="H14" s="4">
        <f t="shared" si="0"/>
        <v>60</v>
      </c>
      <c r="I14" s="30"/>
      <c r="J14" s="31"/>
      <c r="K14" s="32"/>
    </row>
    <row r="15" spans="2:17" x14ac:dyDescent="0.3">
      <c r="B15" s="22"/>
      <c r="C15" s="15">
        <v>13</v>
      </c>
      <c r="D15" t="s">
        <v>67</v>
      </c>
      <c r="E15" s="4" t="s">
        <v>63</v>
      </c>
      <c r="G15">
        <v>3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44</v>
      </c>
      <c r="E16" s="4"/>
      <c r="G16">
        <v>3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64</v>
      </c>
      <c r="E17" s="4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47</v>
      </c>
      <c r="E18" s="4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95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58</v>
      </c>
      <c r="E20" s="4"/>
      <c r="G20">
        <v>4</v>
      </c>
      <c r="H20" s="4">
        <f t="shared" si="0"/>
        <v>80</v>
      </c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D21" t="s">
        <v>78</v>
      </c>
      <c r="E21" s="4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45</v>
      </c>
      <c r="G22">
        <v>4</v>
      </c>
      <c r="H22" s="4">
        <f t="shared" si="0"/>
        <v>80</v>
      </c>
      <c r="I22" s="10" t="s">
        <v>27</v>
      </c>
      <c r="J22">
        <v>40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81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20EE-EA34-4A50-A48C-1DEA10FFEAB8}">
  <sheetPr>
    <pageSetUpPr fitToPage="1"/>
  </sheetPr>
  <dimension ref="B1:K32"/>
  <sheetViews>
    <sheetView workbookViewId="0">
      <selection activeCell="I29" sqref="I29:J3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480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8</v>
      </c>
      <c r="H3" s="4">
        <f>PRODUCT(G3,90)</f>
        <v>720</v>
      </c>
      <c r="I3" s="27" t="s">
        <v>481</v>
      </c>
      <c r="J3" s="28"/>
      <c r="K3" s="29"/>
    </row>
    <row r="4" spans="2:11" x14ac:dyDescent="0.3">
      <c r="B4" s="22"/>
      <c r="C4" s="15">
        <v>2</v>
      </c>
      <c r="D4" t="s">
        <v>135</v>
      </c>
      <c r="F4" s="10"/>
      <c r="G4">
        <v>4</v>
      </c>
      <c r="H4" s="4">
        <f t="shared" ref="H4:H8" si="0">PRODUCT(G4,90)</f>
        <v>360</v>
      </c>
      <c r="I4" s="30"/>
      <c r="J4" s="31"/>
      <c r="K4" s="32"/>
    </row>
    <row r="5" spans="2:11" x14ac:dyDescent="0.3">
      <c r="B5" s="22"/>
      <c r="C5" s="15">
        <v>3</v>
      </c>
      <c r="D5" t="s">
        <v>93</v>
      </c>
      <c r="F5" s="10"/>
      <c r="G5">
        <v>4</v>
      </c>
      <c r="H5" s="4">
        <f t="shared" si="0"/>
        <v>360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3</v>
      </c>
      <c r="H6" s="4">
        <f t="shared" si="0"/>
        <v>270</v>
      </c>
      <c r="I6" s="30"/>
      <c r="J6" s="31"/>
      <c r="K6" s="32"/>
    </row>
    <row r="7" spans="2:11" x14ac:dyDescent="0.3">
      <c r="B7" s="22"/>
      <c r="C7" s="15">
        <v>5</v>
      </c>
      <c r="D7" t="s">
        <v>96</v>
      </c>
      <c r="F7" s="10"/>
      <c r="G7">
        <v>3</v>
      </c>
      <c r="H7" s="4">
        <f t="shared" si="0"/>
        <v>270</v>
      </c>
      <c r="I7" s="30"/>
      <c r="J7" s="31"/>
      <c r="K7" s="32"/>
    </row>
    <row r="8" spans="2:11" x14ac:dyDescent="0.3">
      <c r="B8" s="22"/>
      <c r="C8" s="15">
        <v>6</v>
      </c>
      <c r="D8" t="s">
        <v>19</v>
      </c>
      <c r="F8" s="10"/>
      <c r="G8">
        <v>3</v>
      </c>
      <c r="H8" s="4">
        <f t="shared" si="0"/>
        <v>270</v>
      </c>
      <c r="I8" s="30"/>
      <c r="J8" s="31"/>
      <c r="K8" s="32"/>
    </row>
    <row r="9" spans="2:11" x14ac:dyDescent="0.3">
      <c r="B9" s="22"/>
      <c r="C9" s="15">
        <v>7</v>
      </c>
      <c r="F9" s="10"/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I18" s="30"/>
      <c r="J18" s="31"/>
      <c r="K18" s="32"/>
    </row>
    <row r="19" spans="2:11" ht="17.25" thickBot="1" x14ac:dyDescent="0.35">
      <c r="B19" s="22"/>
      <c r="C19" s="15">
        <v>17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45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90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90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25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2250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2250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1258-3D0D-448E-9409-1A2191F4FE8F}">
  <sheetPr>
    <pageSetUpPr fitToPage="1"/>
  </sheetPr>
  <dimension ref="B1:K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479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9</v>
      </c>
      <c r="F3" s="10"/>
      <c r="G3">
        <v>12</v>
      </c>
      <c r="H3" s="4">
        <f>PRODUCT(G3,20)</f>
        <v>240</v>
      </c>
      <c r="I3" s="27" t="s">
        <v>478</v>
      </c>
      <c r="J3" s="28"/>
      <c r="K3" s="29"/>
    </row>
    <row r="4" spans="2:11" x14ac:dyDescent="0.3">
      <c r="B4" s="22"/>
      <c r="C4" s="15">
        <v>2</v>
      </c>
      <c r="D4" t="s">
        <v>11</v>
      </c>
      <c r="F4" s="10"/>
      <c r="G4">
        <v>18</v>
      </c>
      <c r="H4" s="4">
        <f t="shared" ref="H4:H12" si="0">PRODUCT(G4,20)</f>
        <v>360</v>
      </c>
      <c r="I4" s="30"/>
      <c r="J4" s="31"/>
      <c r="K4" s="32"/>
    </row>
    <row r="5" spans="2:11" x14ac:dyDescent="0.3">
      <c r="B5" s="22"/>
      <c r="C5" s="15">
        <v>3</v>
      </c>
      <c r="D5" t="s">
        <v>80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47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22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48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147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12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13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95</v>
      </c>
      <c r="F12" s="10"/>
      <c r="G12">
        <v>6</v>
      </c>
      <c r="H12" s="4">
        <f t="shared" si="0"/>
        <v>120</v>
      </c>
      <c r="I12" s="27"/>
      <c r="J12" s="28"/>
      <c r="K12" s="29"/>
    </row>
    <row r="13" spans="2:11" x14ac:dyDescent="0.3">
      <c r="B13" s="22"/>
      <c r="C13" s="15">
        <v>11</v>
      </c>
      <c r="D13" t="s">
        <v>14</v>
      </c>
      <c r="F13" s="10"/>
      <c r="G13">
        <v>2</v>
      </c>
      <c r="H13" s="4">
        <f>PRODUCT(G13,20)</f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15</v>
      </c>
      <c r="F14" s="10"/>
      <c r="G14">
        <v>4</v>
      </c>
      <c r="H14" s="4">
        <f>PRODUCT(G14,20)</f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17</v>
      </c>
      <c r="F15" s="10"/>
      <c r="G15">
        <v>4</v>
      </c>
      <c r="H15" s="4">
        <f>PRODUCT(G15,20)</f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18</v>
      </c>
      <c r="F16" s="10"/>
      <c r="G16">
        <v>3</v>
      </c>
      <c r="H16" s="4">
        <f>PRODUCT(G16,20)</f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19</v>
      </c>
      <c r="F17" s="10"/>
      <c r="G17">
        <v>3</v>
      </c>
      <c r="H17" s="4">
        <f>PRODUCT(G17,20)</f>
        <v>60</v>
      </c>
      <c r="I17" s="30"/>
      <c r="J17" s="31"/>
      <c r="K17" s="32"/>
    </row>
    <row r="18" spans="2:11" x14ac:dyDescent="0.3">
      <c r="B18" s="22"/>
      <c r="C18" s="15">
        <v>16</v>
      </c>
      <c r="I18" s="30"/>
      <c r="J18" s="31"/>
      <c r="K18" s="32"/>
    </row>
    <row r="19" spans="2:11" ht="17.25" thickBot="1" x14ac:dyDescent="0.35">
      <c r="B19" s="22"/>
      <c r="C19" s="15">
        <v>17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1760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9D75-5F44-4503-880D-96A7B59F8780}">
  <sheetPr>
    <pageSetUpPr fitToPage="1"/>
  </sheetPr>
  <dimension ref="B1:K32"/>
  <sheetViews>
    <sheetView workbookViewId="0">
      <selection activeCell="H23" sqref="H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287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8</v>
      </c>
      <c r="H3" s="4">
        <f>PRODUCT(G3,$J$21)</f>
        <v>160</v>
      </c>
      <c r="I3" s="27" t="s">
        <v>477</v>
      </c>
      <c r="J3" s="28"/>
      <c r="K3" s="29"/>
    </row>
    <row r="4" spans="2:11" x14ac:dyDescent="0.3">
      <c r="B4" s="22"/>
      <c r="C4" s="15">
        <v>2</v>
      </c>
      <c r="D4" t="s">
        <v>144</v>
      </c>
      <c r="F4" s="10"/>
      <c r="G4">
        <v>4</v>
      </c>
      <c r="H4" s="4">
        <f t="shared" ref="H4:H23" si="0">PRODUCT(G4,$J$21)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284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53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135</v>
      </c>
      <c r="F7" s="10"/>
      <c r="G7">
        <v>8</v>
      </c>
      <c r="H7" s="4">
        <f t="shared" si="0"/>
        <v>160</v>
      </c>
      <c r="I7" s="30"/>
      <c r="J7" s="31"/>
      <c r="K7" s="32"/>
    </row>
    <row r="8" spans="2:11" x14ac:dyDescent="0.3">
      <c r="B8" s="22"/>
      <c r="C8" s="15">
        <v>6</v>
      </c>
      <c r="D8" t="s">
        <v>93</v>
      </c>
      <c r="F8" s="10"/>
      <c r="G8">
        <v>8</v>
      </c>
      <c r="H8" s="4">
        <f t="shared" si="0"/>
        <v>160</v>
      </c>
      <c r="I8" s="30"/>
      <c r="J8" s="31"/>
      <c r="K8" s="32"/>
    </row>
    <row r="9" spans="2:11" x14ac:dyDescent="0.3">
      <c r="B9" s="22"/>
      <c r="C9" s="15">
        <v>7</v>
      </c>
      <c r="D9" t="s">
        <v>169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160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58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22</v>
      </c>
      <c r="F12" s="10"/>
      <c r="G12">
        <v>3</v>
      </c>
      <c r="H12" s="4">
        <f t="shared" si="0"/>
        <v>60</v>
      </c>
      <c r="I12" s="27"/>
      <c r="J12" s="28"/>
      <c r="K12" s="29"/>
    </row>
    <row r="13" spans="2:11" x14ac:dyDescent="0.3">
      <c r="B13" s="22"/>
      <c r="C13" s="15">
        <v>11</v>
      </c>
      <c r="D13" t="s">
        <v>95</v>
      </c>
      <c r="F13" s="10"/>
      <c r="G13">
        <v>6</v>
      </c>
      <c r="H13" s="4">
        <f t="shared" si="0"/>
        <v>120</v>
      </c>
      <c r="I13" s="30"/>
      <c r="J13" s="31"/>
      <c r="K13" s="32"/>
    </row>
    <row r="14" spans="2:11" x14ac:dyDescent="0.3">
      <c r="B14" s="22"/>
      <c r="C14" s="15">
        <v>12</v>
      </c>
      <c r="D14" t="s">
        <v>96</v>
      </c>
      <c r="F14" s="10"/>
      <c r="G14">
        <v>6</v>
      </c>
      <c r="H14" s="4">
        <f t="shared" si="0"/>
        <v>120</v>
      </c>
      <c r="I14" s="30"/>
      <c r="J14" s="31"/>
      <c r="K14" s="32"/>
    </row>
    <row r="15" spans="2:11" x14ac:dyDescent="0.3">
      <c r="B15" s="22"/>
      <c r="C15" s="15">
        <v>13</v>
      </c>
      <c r="D15" t="s">
        <v>19</v>
      </c>
      <c r="F15" s="10"/>
      <c r="G15">
        <v>6</v>
      </c>
      <c r="H15" s="4">
        <f t="shared" si="0"/>
        <v>120</v>
      </c>
      <c r="I15" s="30"/>
      <c r="J15" s="31"/>
      <c r="K15" s="32"/>
    </row>
    <row r="16" spans="2:11" x14ac:dyDescent="0.3">
      <c r="B16" s="22"/>
      <c r="C16" s="15">
        <v>14</v>
      </c>
      <c r="D16" t="s">
        <v>71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131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137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79</v>
      </c>
      <c r="F19" s="10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D20" t="s">
        <v>143</v>
      </c>
      <c r="F20" s="10"/>
      <c r="G20">
        <v>3</v>
      </c>
      <c r="H20" s="4">
        <f t="shared" si="0"/>
        <v>60</v>
      </c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D21" t="s">
        <v>45</v>
      </c>
      <c r="F21" s="10"/>
      <c r="G21">
        <v>3</v>
      </c>
      <c r="H21" s="4">
        <f t="shared" si="0"/>
        <v>60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244</v>
      </c>
      <c r="F22" s="10"/>
      <c r="G22">
        <v>4</v>
      </c>
      <c r="H22" s="4">
        <f t="shared" si="0"/>
        <v>80</v>
      </c>
      <c r="I22" s="10" t="s">
        <v>27</v>
      </c>
      <c r="J22" s="19">
        <v>40</v>
      </c>
      <c r="K22" s="4" t="s">
        <v>28</v>
      </c>
    </row>
    <row r="23" spans="2:11" ht="17.25" thickBot="1" x14ac:dyDescent="0.35">
      <c r="B23" s="22"/>
      <c r="C23" s="15">
        <v>21</v>
      </c>
      <c r="D23" t="s">
        <v>47</v>
      </c>
      <c r="F23" s="10"/>
      <c r="G23">
        <v>2</v>
      </c>
      <c r="H23" s="4">
        <f t="shared" si="0"/>
        <v>40</v>
      </c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1840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1840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A13C-7D6E-48DE-87E5-29EE737C8E24}">
  <sheetPr>
    <pageSetUpPr fitToPage="1"/>
  </sheetPr>
  <dimension ref="B1:K32"/>
  <sheetViews>
    <sheetView workbookViewId="0">
      <selection activeCell="F21" sqref="F2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474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94</v>
      </c>
      <c r="F3" s="10"/>
      <c r="G3">
        <v>12</v>
      </c>
      <c r="H3" s="4">
        <f>PRODUCT(G3,$J$21)</f>
        <v>240</v>
      </c>
      <c r="I3" s="27" t="s">
        <v>473</v>
      </c>
      <c r="J3" s="28"/>
      <c r="K3" s="29"/>
    </row>
    <row r="4" spans="2:11" x14ac:dyDescent="0.3">
      <c r="B4" s="22"/>
      <c r="C4" s="15">
        <v>2</v>
      </c>
      <c r="D4" t="s">
        <v>13</v>
      </c>
      <c r="F4" s="10"/>
      <c r="G4">
        <v>8</v>
      </c>
      <c r="H4" s="4">
        <f t="shared" ref="H4:H15" si="0">PRODUCT(G4,$J$21)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81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475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100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262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64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47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54</v>
      </c>
      <c r="F12" s="10"/>
      <c r="G12">
        <v>4</v>
      </c>
      <c r="H12" s="4">
        <f t="shared" si="0"/>
        <v>80</v>
      </c>
      <c r="I12" s="27" t="s">
        <v>476</v>
      </c>
      <c r="J12" s="28"/>
      <c r="K12" s="29"/>
    </row>
    <row r="13" spans="2:11" x14ac:dyDescent="0.3">
      <c r="B13" s="22"/>
      <c r="C13" s="15">
        <v>11</v>
      </c>
      <c r="D13" t="s">
        <v>51</v>
      </c>
      <c r="F13" s="10"/>
      <c r="G13">
        <v>6</v>
      </c>
      <c r="H13" s="4">
        <f t="shared" si="0"/>
        <v>120</v>
      </c>
      <c r="I13" s="30"/>
      <c r="J13" s="31"/>
      <c r="K13" s="32"/>
    </row>
    <row r="14" spans="2:11" x14ac:dyDescent="0.3">
      <c r="B14" s="22"/>
      <c r="C14" s="15">
        <v>12</v>
      </c>
      <c r="D14" t="s">
        <v>45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44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1480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31A9-EDFC-4384-A066-0E0DBF328BDE}">
  <sheetPr>
    <pageSetUpPr fitToPage="1"/>
  </sheetPr>
  <dimension ref="B1:K32"/>
  <sheetViews>
    <sheetView workbookViewId="0">
      <selection activeCell="G23" sqref="G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351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85</v>
      </c>
      <c r="F3" s="10"/>
      <c r="G3">
        <v>32</v>
      </c>
      <c r="H3" s="4">
        <f>PRODUCT(G3,20)</f>
        <v>640</v>
      </c>
      <c r="I3" s="27" t="s">
        <v>472</v>
      </c>
      <c r="J3" s="28"/>
      <c r="K3" s="29"/>
    </row>
    <row r="4" spans="2:11" x14ac:dyDescent="0.3">
      <c r="B4" s="22"/>
      <c r="C4" s="15">
        <v>2</v>
      </c>
      <c r="D4" t="s">
        <v>13</v>
      </c>
      <c r="F4" s="10"/>
      <c r="G4">
        <v>32</v>
      </c>
      <c r="H4" s="4">
        <f t="shared" ref="H4:H16" si="0">PRODUCT(G4,20)</f>
        <v>640</v>
      </c>
      <c r="I4" s="30"/>
      <c r="J4" s="31"/>
      <c r="K4" s="32"/>
    </row>
    <row r="5" spans="2:11" x14ac:dyDescent="0.3">
      <c r="B5" s="22"/>
      <c r="C5" s="15">
        <v>3</v>
      </c>
      <c r="D5" t="s">
        <v>131</v>
      </c>
      <c r="F5" s="10"/>
      <c r="G5">
        <v>10</v>
      </c>
      <c r="H5" s="4">
        <f t="shared" si="0"/>
        <v>200</v>
      </c>
      <c r="I5" s="30"/>
      <c r="J5" s="31"/>
      <c r="K5" s="32"/>
    </row>
    <row r="6" spans="2:11" x14ac:dyDescent="0.3">
      <c r="B6" s="22"/>
      <c r="C6" s="15">
        <v>4</v>
      </c>
      <c r="D6" t="s">
        <v>128</v>
      </c>
      <c r="F6" s="10"/>
      <c r="G6">
        <v>10</v>
      </c>
      <c r="H6" s="4">
        <f t="shared" si="0"/>
        <v>200</v>
      </c>
      <c r="I6" s="30"/>
      <c r="J6" s="31"/>
      <c r="K6" s="32"/>
    </row>
    <row r="7" spans="2:11" x14ac:dyDescent="0.3">
      <c r="B7" s="22"/>
      <c r="C7" s="15">
        <v>5</v>
      </c>
      <c r="D7" t="s">
        <v>150</v>
      </c>
      <c r="F7" s="10"/>
      <c r="G7">
        <v>8</v>
      </c>
      <c r="H7" s="4">
        <f t="shared" si="0"/>
        <v>160</v>
      </c>
      <c r="I7" s="30"/>
      <c r="J7" s="31"/>
      <c r="K7" s="32"/>
    </row>
    <row r="8" spans="2:11" x14ac:dyDescent="0.3">
      <c r="B8" s="22"/>
      <c r="C8" s="15">
        <v>6</v>
      </c>
      <c r="D8" t="s">
        <v>194</v>
      </c>
      <c r="F8" s="10"/>
      <c r="G8">
        <v>8</v>
      </c>
      <c r="H8" s="4">
        <f t="shared" si="0"/>
        <v>160</v>
      </c>
      <c r="I8" s="30"/>
      <c r="J8" s="31"/>
      <c r="K8" s="32"/>
    </row>
    <row r="9" spans="2:11" x14ac:dyDescent="0.3">
      <c r="B9" s="22"/>
      <c r="C9" s="15">
        <v>7</v>
      </c>
      <c r="D9" t="s">
        <v>95</v>
      </c>
      <c r="F9" s="10"/>
      <c r="G9">
        <v>8</v>
      </c>
      <c r="H9" s="4">
        <f t="shared" si="0"/>
        <v>160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48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100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353</v>
      </c>
      <c r="F12" s="10"/>
      <c r="G12">
        <v>6</v>
      </c>
      <c r="H12" s="4">
        <f t="shared" si="0"/>
        <v>120</v>
      </c>
      <c r="I12" s="27" t="s">
        <v>355</v>
      </c>
      <c r="J12" s="28"/>
      <c r="K12" s="29"/>
    </row>
    <row r="13" spans="2:11" x14ac:dyDescent="0.3">
      <c r="B13" s="22"/>
      <c r="C13" s="15">
        <v>11</v>
      </c>
      <c r="D13" t="s">
        <v>108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354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96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68</v>
      </c>
      <c r="F16" s="10"/>
      <c r="G16">
        <v>6</v>
      </c>
      <c r="H16" s="4">
        <f t="shared" si="0"/>
        <v>120</v>
      </c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60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144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2880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2880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7990-D487-4879-9990-02A114B6E706}">
  <sheetPr>
    <pageSetUpPr fitToPage="1"/>
  </sheetPr>
  <dimension ref="B1:K32"/>
  <sheetViews>
    <sheetView workbookViewId="0">
      <selection activeCell="H4" sqref="H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469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16</v>
      </c>
      <c r="H3" s="4">
        <f>PRODUCT(G3,$J$21)</f>
        <v>320</v>
      </c>
      <c r="I3" s="27" t="s">
        <v>471</v>
      </c>
      <c r="J3" s="28"/>
      <c r="K3" s="29"/>
    </row>
    <row r="4" spans="2:11" x14ac:dyDescent="0.3">
      <c r="B4" s="22"/>
      <c r="C4" s="15">
        <v>2</v>
      </c>
      <c r="D4" t="s">
        <v>135</v>
      </c>
      <c r="F4" s="10"/>
      <c r="G4">
        <v>8</v>
      </c>
      <c r="H4" s="4">
        <f t="shared" ref="H4:H10" si="0">PRODUCT(G4,$J$21)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93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96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19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100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470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54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1080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1080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6062-76E7-41D2-B837-7E2AFA1D7A25}">
  <sheetPr>
    <pageSetUpPr fitToPage="1"/>
  </sheetPr>
  <dimension ref="B1:K32"/>
  <sheetViews>
    <sheetView workbookViewId="0">
      <selection activeCell="N21" sqref="N2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467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16</v>
      </c>
      <c r="H3" s="4">
        <f>PRODUCT(G3,$J$21)</f>
        <v>160</v>
      </c>
      <c r="I3" s="27" t="s">
        <v>468</v>
      </c>
      <c r="J3" s="28"/>
      <c r="K3" s="29"/>
    </row>
    <row r="4" spans="2:11" x14ac:dyDescent="0.3">
      <c r="B4" s="22"/>
      <c r="C4" s="15">
        <v>2</v>
      </c>
      <c r="D4" t="s">
        <v>93</v>
      </c>
      <c r="F4" s="10"/>
      <c r="G4">
        <v>8</v>
      </c>
      <c r="H4" s="4">
        <f t="shared" ref="H4:H9" si="0">PRODUCT(G4,$J$21)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19</v>
      </c>
      <c r="F5" s="10"/>
      <c r="G5">
        <v>6</v>
      </c>
      <c r="H5" s="4">
        <f t="shared" si="0"/>
        <v>60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6</v>
      </c>
      <c r="H6" s="4">
        <f t="shared" si="0"/>
        <v>60</v>
      </c>
      <c r="I6" s="30"/>
      <c r="J6" s="31"/>
      <c r="K6" s="32"/>
    </row>
    <row r="7" spans="2:11" x14ac:dyDescent="0.3">
      <c r="B7" s="22"/>
      <c r="C7" s="15">
        <v>5</v>
      </c>
      <c r="D7" t="s">
        <v>96</v>
      </c>
      <c r="F7" s="10"/>
      <c r="G7">
        <v>4</v>
      </c>
      <c r="H7" s="4">
        <f t="shared" si="0"/>
        <v>40</v>
      </c>
      <c r="I7" s="30"/>
      <c r="J7" s="31"/>
      <c r="K7" s="32"/>
    </row>
    <row r="8" spans="2:11" x14ac:dyDescent="0.3">
      <c r="B8" s="22"/>
      <c r="C8" s="15">
        <v>6</v>
      </c>
      <c r="D8" t="s">
        <v>43</v>
      </c>
      <c r="F8" s="10"/>
      <c r="G8">
        <v>4</v>
      </c>
      <c r="H8" s="4">
        <f t="shared" si="0"/>
        <v>40</v>
      </c>
      <c r="I8" s="30"/>
      <c r="J8" s="31"/>
      <c r="K8" s="32"/>
    </row>
    <row r="9" spans="2:11" x14ac:dyDescent="0.3">
      <c r="B9" s="22"/>
      <c r="C9" s="15">
        <v>7</v>
      </c>
      <c r="D9" t="s">
        <v>38</v>
      </c>
      <c r="F9" s="10"/>
      <c r="G9">
        <v>4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10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20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48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480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480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509A-4C36-44AC-A77D-0DE0497CCF92}">
  <sheetPr>
    <pageSetUpPr fitToPage="1"/>
  </sheetPr>
  <dimension ref="B1:K32"/>
  <sheetViews>
    <sheetView workbookViewId="0">
      <selection activeCell="G24" sqref="G2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465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466</v>
      </c>
      <c r="F3" s="10"/>
      <c r="G3">
        <v>15</v>
      </c>
      <c r="H3" s="4">
        <f>PRODUCT(G3,$J$21)</f>
        <v>600</v>
      </c>
      <c r="I3" s="27" t="s">
        <v>464</v>
      </c>
      <c r="J3" s="28"/>
      <c r="K3" s="29"/>
    </row>
    <row r="4" spans="2:11" x14ac:dyDescent="0.3">
      <c r="B4" s="22"/>
      <c r="C4" s="15">
        <v>2</v>
      </c>
      <c r="D4" t="s">
        <v>19</v>
      </c>
      <c r="F4" s="10"/>
      <c r="G4">
        <v>6</v>
      </c>
      <c r="H4" s="4">
        <f t="shared" ref="H4:H24" si="0">PRODUCT(G4,$J$21)</f>
        <v>240</v>
      </c>
      <c r="I4" s="30"/>
      <c r="J4" s="31"/>
      <c r="K4" s="32"/>
    </row>
    <row r="5" spans="2:11" x14ac:dyDescent="0.3">
      <c r="B5" s="22"/>
      <c r="C5" s="15">
        <v>3</v>
      </c>
      <c r="D5" t="s">
        <v>55</v>
      </c>
      <c r="F5" s="10"/>
      <c r="G5">
        <v>4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4</v>
      </c>
      <c r="H6" s="4">
        <f t="shared" si="0"/>
        <v>160</v>
      </c>
      <c r="I6" s="30"/>
      <c r="J6" s="31"/>
      <c r="K6" s="32"/>
    </row>
    <row r="7" spans="2:11" x14ac:dyDescent="0.3">
      <c r="B7" s="22"/>
      <c r="C7" s="15">
        <v>5</v>
      </c>
      <c r="D7" t="s">
        <v>53</v>
      </c>
      <c r="F7" s="10"/>
      <c r="G7">
        <v>4</v>
      </c>
      <c r="H7" s="4">
        <f t="shared" si="0"/>
        <v>160</v>
      </c>
      <c r="I7" s="30"/>
      <c r="J7" s="31"/>
      <c r="K7" s="32"/>
    </row>
    <row r="8" spans="2:11" x14ac:dyDescent="0.3">
      <c r="B8" s="22"/>
      <c r="C8" s="15">
        <v>6</v>
      </c>
      <c r="D8" t="s">
        <v>167</v>
      </c>
      <c r="F8" s="10"/>
      <c r="G8">
        <v>4</v>
      </c>
      <c r="H8" s="4">
        <f t="shared" si="0"/>
        <v>160</v>
      </c>
      <c r="I8" s="30"/>
      <c r="J8" s="31"/>
      <c r="K8" s="32"/>
    </row>
    <row r="9" spans="2:11" x14ac:dyDescent="0.3">
      <c r="B9" s="22"/>
      <c r="C9" s="15">
        <v>7</v>
      </c>
      <c r="D9" t="s">
        <v>48</v>
      </c>
      <c r="F9" s="10"/>
      <c r="G9">
        <v>4</v>
      </c>
      <c r="H9" s="4">
        <f t="shared" si="0"/>
        <v>160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261</v>
      </c>
      <c r="F10" s="10"/>
      <c r="G10">
        <v>4</v>
      </c>
      <c r="H10" s="4">
        <f t="shared" si="0"/>
        <v>160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60</v>
      </c>
      <c r="F11" s="10"/>
      <c r="G11">
        <v>4</v>
      </c>
      <c r="H11" s="4">
        <f t="shared" si="0"/>
        <v>160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262</v>
      </c>
      <c r="F12" s="10"/>
      <c r="G12">
        <v>3.2</v>
      </c>
      <c r="H12" s="4">
        <f t="shared" si="0"/>
        <v>128</v>
      </c>
      <c r="I12" s="27"/>
      <c r="J12" s="28"/>
      <c r="K12" s="29"/>
    </row>
    <row r="13" spans="2:11" x14ac:dyDescent="0.3">
      <c r="B13" s="22"/>
      <c r="C13" s="15">
        <v>11</v>
      </c>
      <c r="D13" t="s">
        <v>73</v>
      </c>
      <c r="F13" s="10"/>
      <c r="G13">
        <v>3.2</v>
      </c>
      <c r="H13" s="4">
        <f t="shared" si="0"/>
        <v>128</v>
      </c>
      <c r="I13" s="30"/>
      <c r="J13" s="31"/>
      <c r="K13" s="32"/>
    </row>
    <row r="14" spans="2:11" x14ac:dyDescent="0.3">
      <c r="B14" s="22"/>
      <c r="C14" s="15">
        <v>12</v>
      </c>
      <c r="D14" t="s">
        <v>54</v>
      </c>
      <c r="F14" s="10"/>
      <c r="G14">
        <v>3.2</v>
      </c>
      <c r="H14" s="4">
        <f t="shared" si="0"/>
        <v>128</v>
      </c>
      <c r="I14" s="30"/>
      <c r="J14" s="31"/>
      <c r="K14" s="32"/>
    </row>
    <row r="15" spans="2:11" x14ac:dyDescent="0.3">
      <c r="B15" s="22"/>
      <c r="C15" s="15">
        <v>13</v>
      </c>
      <c r="D15" t="s">
        <v>164</v>
      </c>
      <c r="F15" s="10"/>
      <c r="G15">
        <v>3.2</v>
      </c>
      <c r="H15" s="4">
        <f t="shared" si="0"/>
        <v>128</v>
      </c>
      <c r="I15" s="30"/>
      <c r="J15" s="31"/>
      <c r="K15" s="32"/>
    </row>
    <row r="16" spans="2:11" x14ac:dyDescent="0.3">
      <c r="B16" s="22"/>
      <c r="C16" s="15">
        <v>14</v>
      </c>
      <c r="D16" t="s">
        <v>165</v>
      </c>
      <c r="F16" s="10"/>
      <c r="G16">
        <v>3.2</v>
      </c>
      <c r="H16" s="4">
        <f t="shared" si="0"/>
        <v>128</v>
      </c>
      <c r="I16" s="30"/>
      <c r="J16" s="31"/>
      <c r="K16" s="32"/>
    </row>
    <row r="17" spans="2:11" x14ac:dyDescent="0.3">
      <c r="B17" s="22"/>
      <c r="C17" s="15">
        <v>15</v>
      </c>
      <c r="D17" t="s">
        <v>47</v>
      </c>
      <c r="F17" s="10"/>
      <c r="G17">
        <v>2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64</v>
      </c>
      <c r="F18" s="10"/>
      <c r="G18">
        <v>2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72</v>
      </c>
      <c r="F19" s="10"/>
      <c r="G19">
        <v>2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58</v>
      </c>
      <c r="F20" s="10"/>
      <c r="G20">
        <v>4</v>
      </c>
      <c r="H20" s="4">
        <f t="shared" si="0"/>
        <v>160</v>
      </c>
      <c r="I20" s="17" t="s">
        <v>23</v>
      </c>
      <c r="J20" s="2">
        <v>30</v>
      </c>
      <c r="K20" s="3" t="s">
        <v>24</v>
      </c>
    </row>
    <row r="21" spans="2:11" x14ac:dyDescent="0.3">
      <c r="B21" s="22"/>
      <c r="C21" s="15">
        <v>19</v>
      </c>
      <c r="D21" t="s">
        <v>264</v>
      </c>
      <c r="F21" s="10"/>
      <c r="G21">
        <v>2</v>
      </c>
      <c r="H21" s="4">
        <f t="shared" si="0"/>
        <v>80</v>
      </c>
      <c r="I21" s="10" t="s">
        <v>25</v>
      </c>
      <c r="J21" s="19">
        <v>40</v>
      </c>
      <c r="K21" s="4" t="s">
        <v>26</v>
      </c>
    </row>
    <row r="22" spans="2:11" x14ac:dyDescent="0.3">
      <c r="B22" s="22"/>
      <c r="C22" s="15">
        <v>20</v>
      </c>
      <c r="D22" t="s">
        <v>265</v>
      </c>
      <c r="F22" s="10"/>
      <c r="G22">
        <v>2</v>
      </c>
      <c r="H22" s="4">
        <f t="shared" si="0"/>
        <v>80</v>
      </c>
      <c r="I22" s="10" t="s">
        <v>27</v>
      </c>
      <c r="J22" s="19">
        <v>90</v>
      </c>
      <c r="K22" s="4" t="s">
        <v>28</v>
      </c>
    </row>
    <row r="23" spans="2:11" ht="17.25" thickBot="1" x14ac:dyDescent="0.35">
      <c r="B23" s="22"/>
      <c r="C23" s="15">
        <v>21</v>
      </c>
      <c r="D23" t="s">
        <v>40</v>
      </c>
      <c r="F23" s="10"/>
      <c r="G23">
        <v>4</v>
      </c>
      <c r="H23" s="4">
        <f t="shared" si="0"/>
        <v>160</v>
      </c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D24" t="s">
        <v>160</v>
      </c>
      <c r="F24" s="10"/>
      <c r="G24">
        <v>2</v>
      </c>
      <c r="H24" s="4">
        <f t="shared" si="0"/>
        <v>80</v>
      </c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85.000000000000014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3400.0000000000005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3400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209E-1490-4F81-A2FC-3D2493D9DF37}">
  <sheetPr>
    <pageSetUpPr fitToPage="1"/>
  </sheetPr>
  <dimension ref="B1:M32"/>
  <sheetViews>
    <sheetView workbookViewId="0">
      <selection activeCell="D5" sqref="D5:H1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3" ht="17.25" thickBot="1" x14ac:dyDescent="0.35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9"/>
    </row>
    <row r="2" spans="2:13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3" x14ac:dyDescent="0.3">
      <c r="B3" s="22"/>
      <c r="C3" s="15">
        <v>1</v>
      </c>
      <c r="D3" t="s">
        <v>9</v>
      </c>
      <c r="F3" s="10"/>
      <c r="G3">
        <v>10</v>
      </c>
      <c r="H3" s="4">
        <f>PRODUCT(G3,20)</f>
        <v>200</v>
      </c>
      <c r="I3" s="27" t="s">
        <v>463</v>
      </c>
      <c r="J3" s="28"/>
      <c r="K3" s="29"/>
    </row>
    <row r="4" spans="2:13" x14ac:dyDescent="0.3">
      <c r="B4" s="22"/>
      <c r="C4" s="15">
        <v>2</v>
      </c>
      <c r="D4" t="s">
        <v>11</v>
      </c>
      <c r="F4" s="10"/>
      <c r="G4">
        <v>6</v>
      </c>
      <c r="H4" s="4">
        <f t="shared" ref="H4:H15" si="0">PRODUCT(G4,20)</f>
        <v>120</v>
      </c>
      <c r="I4" s="30"/>
      <c r="J4" s="31"/>
      <c r="K4" s="32"/>
    </row>
    <row r="5" spans="2:13" x14ac:dyDescent="0.3">
      <c r="B5" s="22"/>
      <c r="C5" s="15">
        <v>3</v>
      </c>
      <c r="D5" t="s">
        <v>12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3" x14ac:dyDescent="0.3">
      <c r="B6" s="22"/>
      <c r="C6" s="15">
        <v>4</v>
      </c>
      <c r="D6" t="s">
        <v>13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3" x14ac:dyDescent="0.3">
      <c r="B7" s="22"/>
      <c r="C7" s="15">
        <v>5</v>
      </c>
      <c r="D7" t="s">
        <v>14</v>
      </c>
      <c r="F7" s="10"/>
      <c r="G7">
        <v>2</v>
      </c>
      <c r="H7" s="4">
        <f t="shared" si="0"/>
        <v>40</v>
      </c>
      <c r="I7" s="30"/>
      <c r="J7" s="31"/>
      <c r="K7" s="32"/>
    </row>
    <row r="8" spans="2:13" x14ac:dyDescent="0.3">
      <c r="B8" s="22"/>
      <c r="C8" s="15">
        <v>6</v>
      </c>
      <c r="D8" t="s">
        <v>15</v>
      </c>
      <c r="F8" s="10"/>
      <c r="G8">
        <v>4</v>
      </c>
      <c r="H8" s="4">
        <f t="shared" si="0"/>
        <v>80</v>
      </c>
      <c r="I8" s="30"/>
      <c r="J8" s="31"/>
      <c r="K8" s="32"/>
      <c r="M8" t="s">
        <v>16</v>
      </c>
    </row>
    <row r="9" spans="2:13" x14ac:dyDescent="0.3">
      <c r="B9" s="22"/>
      <c r="C9" s="15">
        <v>7</v>
      </c>
      <c r="D9" t="s">
        <v>17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3" ht="17.25" thickBot="1" x14ac:dyDescent="0.35">
      <c r="B10" s="22"/>
      <c r="C10" s="15">
        <v>8</v>
      </c>
      <c r="D10" t="s">
        <v>18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3" ht="17.25" thickBot="1" x14ac:dyDescent="0.35">
      <c r="B11" s="22"/>
      <c r="C11" s="15">
        <v>9</v>
      </c>
      <c r="D11" t="s">
        <v>19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3" x14ac:dyDescent="0.3">
      <c r="B12" s="22"/>
      <c r="C12" s="15">
        <v>10</v>
      </c>
      <c r="D12" t="s">
        <v>21</v>
      </c>
      <c r="F12" s="10"/>
      <c r="G12">
        <v>2</v>
      </c>
      <c r="H12" s="4">
        <f t="shared" si="0"/>
        <v>40</v>
      </c>
      <c r="I12" s="36"/>
      <c r="J12" s="28"/>
      <c r="K12" s="29"/>
    </row>
    <row r="13" spans="2:13" x14ac:dyDescent="0.3">
      <c r="B13" s="22"/>
      <c r="C13" s="15">
        <v>11</v>
      </c>
      <c r="D13" t="s">
        <v>280</v>
      </c>
      <c r="E13" t="s">
        <v>378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3" x14ac:dyDescent="0.3">
      <c r="B14" s="22"/>
      <c r="C14" s="15">
        <v>12</v>
      </c>
      <c r="D14" t="s">
        <v>60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3" x14ac:dyDescent="0.3">
      <c r="B15" s="22"/>
      <c r="C15" s="15">
        <v>13</v>
      </c>
      <c r="D15" t="s">
        <v>188</v>
      </c>
      <c r="F15" s="10"/>
      <c r="G15">
        <v>20</v>
      </c>
      <c r="H15" s="4">
        <f t="shared" si="0"/>
        <v>400</v>
      </c>
      <c r="I15" s="30"/>
      <c r="J15" s="31"/>
      <c r="K15" s="32"/>
    </row>
    <row r="16" spans="2:13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3"/>
      <c r="J19" s="34"/>
      <c r="K19" s="35"/>
    </row>
    <row r="20" spans="2:11" x14ac:dyDescent="0.3">
      <c r="B20" s="22"/>
      <c r="C20" s="15">
        <v>18</v>
      </c>
      <c r="F20" s="10"/>
      <c r="H20" s="4"/>
      <c r="I20" s="2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t="s">
        <v>25</v>
      </c>
      <c r="J21">
        <v>20</v>
      </c>
      <c r="K21" s="4" t="s">
        <v>26</v>
      </c>
    </row>
    <row r="22" spans="2:11" ht="17.25" thickBot="1" x14ac:dyDescent="0.35">
      <c r="B22" s="22"/>
      <c r="C22" s="15">
        <v>20</v>
      </c>
      <c r="F22" s="10"/>
      <c r="H22" s="4"/>
      <c r="I22" s="7" t="s">
        <v>27</v>
      </c>
      <c r="J22" s="7">
        <v>45</v>
      </c>
      <c r="K22" s="8" t="s">
        <v>28</v>
      </c>
    </row>
    <row r="23" spans="2:11" ht="17.25" thickBot="1" x14ac:dyDescent="0.35">
      <c r="B23" s="22"/>
      <c r="C23" s="15">
        <v>21</v>
      </c>
      <c r="F23" s="10"/>
      <c r="H23" s="4"/>
      <c r="K23" s="4"/>
    </row>
    <row r="24" spans="2:11" x14ac:dyDescent="0.3">
      <c r="B24" s="22"/>
      <c r="C24" s="15">
        <v>22</v>
      </c>
      <c r="F24" s="10"/>
      <c r="H24" s="4"/>
      <c r="I24" s="2" t="s">
        <v>29</v>
      </c>
      <c r="J24" s="2">
        <f>SUM(G3:G32)</f>
        <v>76</v>
      </c>
      <c r="K24" s="3" t="s">
        <v>30</v>
      </c>
    </row>
    <row r="25" spans="2:11" x14ac:dyDescent="0.3">
      <c r="B25" s="22"/>
      <c r="C25" s="15">
        <v>23</v>
      </c>
      <c r="F25" s="10"/>
      <c r="H25" s="4"/>
      <c r="I25" t="s">
        <v>31</v>
      </c>
      <c r="J25">
        <f>PRODUCT(J24,J21)</f>
        <v>1520</v>
      </c>
      <c r="K25" s="4" t="s">
        <v>30</v>
      </c>
    </row>
    <row r="26" spans="2:11" ht="17.25" thickBot="1" x14ac:dyDescent="0.35">
      <c r="B26" s="22"/>
      <c r="C26" s="15">
        <v>24</v>
      </c>
      <c r="F26" s="10"/>
      <c r="H26" s="4"/>
      <c r="I26" s="7" t="s">
        <v>32</v>
      </c>
      <c r="J26" s="7"/>
      <c r="K26" s="8" t="s">
        <v>33</v>
      </c>
    </row>
    <row r="27" spans="2:11" x14ac:dyDescent="0.3">
      <c r="B27" s="22"/>
      <c r="C27" s="15">
        <v>25</v>
      </c>
      <c r="F27" s="10"/>
      <c r="H27" s="4"/>
      <c r="K27" s="4"/>
    </row>
    <row r="28" spans="2:11" x14ac:dyDescent="0.3">
      <c r="B28" s="22"/>
      <c r="C28" s="15">
        <v>26</v>
      </c>
      <c r="F28" s="10"/>
      <c r="H28" s="4"/>
      <c r="K28" s="4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46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72E8-3FD1-4250-80C5-DCF078BFC137}">
  <sheetPr>
    <pageSetUpPr fitToPage="1"/>
  </sheetPr>
  <dimension ref="B1:Q32"/>
  <sheetViews>
    <sheetView workbookViewId="0">
      <selection activeCell="H3" sqref="H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457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8</v>
      </c>
      <c r="H3" s="4">
        <f>PRODUCT(G3,20)</f>
        <v>160</v>
      </c>
      <c r="I3" s="27" t="s">
        <v>458</v>
      </c>
      <c r="J3" s="28"/>
      <c r="K3" s="29"/>
    </row>
    <row r="4" spans="2:17" x14ac:dyDescent="0.3">
      <c r="B4" s="22"/>
      <c r="C4" s="15">
        <v>2</v>
      </c>
      <c r="D4" t="s">
        <v>152</v>
      </c>
      <c r="E4" s="4"/>
      <c r="G4">
        <v>4</v>
      </c>
      <c r="H4" s="4">
        <f t="shared" ref="H4:H19" si="0">PRODUCT(G4,20)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95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58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53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174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55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73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108</v>
      </c>
      <c r="E11" s="4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64</v>
      </c>
      <c r="E12" s="4"/>
      <c r="G12">
        <v>2</v>
      </c>
      <c r="H12" s="4">
        <f t="shared" si="0"/>
        <v>40</v>
      </c>
      <c r="I12" s="27" t="s">
        <v>460</v>
      </c>
      <c r="J12" s="28"/>
      <c r="K12" s="29"/>
    </row>
    <row r="13" spans="2:17" x14ac:dyDescent="0.3">
      <c r="B13" s="22"/>
      <c r="C13" s="15">
        <v>11</v>
      </c>
      <c r="D13" t="s">
        <v>175</v>
      </c>
      <c r="E13" s="4"/>
      <c r="G13">
        <v>2</v>
      </c>
      <c r="H13" s="4">
        <f t="shared" si="0"/>
        <v>40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47</v>
      </c>
      <c r="E14" s="4"/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48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459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67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45</v>
      </c>
      <c r="E18" s="4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44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64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1280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1280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70C6-32FC-4044-9723-D899F63A8C1D}">
  <sheetPr>
    <pageSetUpPr fitToPage="1"/>
  </sheetPr>
  <dimension ref="B1:K32"/>
  <sheetViews>
    <sheetView workbookViewId="0">
      <selection activeCell="H4" sqref="H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356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58</v>
      </c>
      <c r="F3" s="10"/>
      <c r="G3">
        <v>9</v>
      </c>
      <c r="H3" s="4">
        <f>PRODUCT(G3,$J$21)</f>
        <v>180</v>
      </c>
      <c r="I3" s="27" t="s">
        <v>462</v>
      </c>
      <c r="J3" s="28"/>
      <c r="K3" s="29"/>
    </row>
    <row r="4" spans="2:11" x14ac:dyDescent="0.3">
      <c r="B4" s="22"/>
      <c r="C4" s="15">
        <v>2</v>
      </c>
      <c r="D4" t="s">
        <v>48</v>
      </c>
      <c r="F4" s="10"/>
      <c r="G4">
        <v>8</v>
      </c>
      <c r="H4" s="4">
        <f t="shared" ref="H4:H19" si="0">PRODUCT(G4,$J$21)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128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160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108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47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161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79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95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85</v>
      </c>
      <c r="F12" s="10"/>
      <c r="G12">
        <v>4</v>
      </c>
      <c r="H12" s="4">
        <f t="shared" si="0"/>
        <v>80</v>
      </c>
      <c r="I12" s="27" t="s">
        <v>461</v>
      </c>
      <c r="J12" s="28"/>
      <c r="K12" s="29"/>
    </row>
    <row r="13" spans="2:11" x14ac:dyDescent="0.3">
      <c r="B13" s="22"/>
      <c r="C13" s="15">
        <v>11</v>
      </c>
      <c r="D13" t="s">
        <v>13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131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349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1" x14ac:dyDescent="0.3">
      <c r="B16" s="22"/>
      <c r="C16" s="15">
        <v>14</v>
      </c>
      <c r="D16" t="s">
        <v>254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137</v>
      </c>
      <c r="F17" s="10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100</v>
      </c>
      <c r="F18" s="10"/>
      <c r="G18">
        <v>6</v>
      </c>
      <c r="H18" s="4">
        <f t="shared" si="0"/>
        <v>120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353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83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3110-0E10-4977-ABF4-D13CC9662F50}">
  <sheetPr>
    <pageSetUpPr fitToPage="1"/>
  </sheetPr>
  <dimension ref="B1:Q32"/>
  <sheetViews>
    <sheetView workbookViewId="0">
      <selection activeCell="D20" sqref="D2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453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</v>
      </c>
      <c r="E3" s="3"/>
      <c r="G3">
        <v>4</v>
      </c>
      <c r="H3" s="4">
        <f>PRODUCT(G3,20)</f>
        <v>80</v>
      </c>
      <c r="I3" s="27" t="s">
        <v>454</v>
      </c>
      <c r="J3" s="28"/>
      <c r="K3" s="29"/>
    </row>
    <row r="4" spans="2:17" x14ac:dyDescent="0.3">
      <c r="B4" s="22"/>
      <c r="C4" s="15">
        <v>2</v>
      </c>
      <c r="D4" t="s">
        <v>155</v>
      </c>
      <c r="E4" s="4"/>
      <c r="G4">
        <v>6</v>
      </c>
      <c r="H4" s="4">
        <f t="shared" ref="H4:H19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108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146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87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64</v>
      </c>
      <c r="E8" s="4"/>
      <c r="G8">
        <v>2</v>
      </c>
      <c r="H8" s="4">
        <f t="shared" si="0"/>
        <v>40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G9">
        <v>2</v>
      </c>
      <c r="H9" s="4">
        <f t="shared" si="0"/>
        <v>40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48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147</v>
      </c>
      <c r="E11" s="4"/>
      <c r="G11">
        <v>8</v>
      </c>
      <c r="H11" s="4">
        <f t="shared" si="0"/>
        <v>160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51</v>
      </c>
      <c r="E12" s="4"/>
      <c r="G12">
        <v>8</v>
      </c>
      <c r="H12" s="4">
        <f t="shared" si="0"/>
        <v>160</v>
      </c>
      <c r="I12" s="27" t="s">
        <v>455</v>
      </c>
      <c r="J12" s="28"/>
      <c r="K12" s="29"/>
    </row>
    <row r="13" spans="2:17" x14ac:dyDescent="0.3">
      <c r="B13" s="22"/>
      <c r="C13" s="15">
        <v>11</v>
      </c>
      <c r="D13" t="s">
        <v>85</v>
      </c>
      <c r="E13" s="4"/>
      <c r="G13">
        <v>6</v>
      </c>
      <c r="H13" s="4">
        <f t="shared" si="0"/>
        <v>120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75</v>
      </c>
      <c r="E14" s="4" t="s">
        <v>63</v>
      </c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62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58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53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79</v>
      </c>
      <c r="E18" s="4" t="s">
        <v>66</v>
      </c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54</v>
      </c>
      <c r="E19" s="4"/>
      <c r="G19">
        <v>6</v>
      </c>
      <c r="H19" s="4">
        <f t="shared" si="0"/>
        <v>120</v>
      </c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I22" s="10" t="s">
        <v>27</v>
      </c>
      <c r="J22">
        <v>40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78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3A7B-0B3B-45BB-8F14-9DD28628A4A8}">
  <sheetPr>
    <pageSetUpPr fitToPage="1"/>
  </sheetPr>
  <dimension ref="B1:Q32"/>
  <sheetViews>
    <sheetView topLeftCell="B1" workbookViewId="0">
      <selection activeCell="N30" activeCellId="1" sqref="I12:K19 N3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389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10</v>
      </c>
      <c r="H3" s="4">
        <f>PRODUCT(G3,20)</f>
        <v>200</v>
      </c>
      <c r="I3" s="27" t="s">
        <v>451</v>
      </c>
      <c r="J3" s="28"/>
      <c r="K3" s="29"/>
    </row>
    <row r="4" spans="2:17" x14ac:dyDescent="0.3">
      <c r="B4" s="22"/>
      <c r="C4" s="15">
        <v>2</v>
      </c>
      <c r="D4" t="s">
        <v>152</v>
      </c>
      <c r="E4" s="4"/>
      <c r="G4">
        <v>6</v>
      </c>
      <c r="H4" s="4">
        <f t="shared" ref="H4:H21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E5" s="4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53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87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59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60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62</v>
      </c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71</v>
      </c>
      <c r="E11" s="4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45</v>
      </c>
      <c r="E12" s="4"/>
      <c r="G12">
        <v>4</v>
      </c>
      <c r="H12" s="4">
        <f t="shared" si="0"/>
        <v>80</v>
      </c>
      <c r="I12" s="27" t="s">
        <v>452</v>
      </c>
      <c r="J12" s="28"/>
      <c r="K12" s="29"/>
    </row>
    <row r="13" spans="2:17" x14ac:dyDescent="0.3">
      <c r="B13" s="22"/>
      <c r="C13" s="15">
        <v>11</v>
      </c>
      <c r="D13" t="s">
        <v>79</v>
      </c>
      <c r="E13" s="4" t="s">
        <v>66</v>
      </c>
      <c r="G13">
        <v>2</v>
      </c>
      <c r="H13" s="4">
        <f t="shared" si="0"/>
        <v>40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160</v>
      </c>
      <c r="E14" s="4" t="s">
        <v>66</v>
      </c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64</v>
      </c>
      <c r="E15" s="4"/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47</v>
      </c>
      <c r="E16" s="4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49</v>
      </c>
      <c r="E17" s="4"/>
      <c r="G17">
        <v>1.2</v>
      </c>
      <c r="H17" s="4">
        <f t="shared" si="0"/>
        <v>24</v>
      </c>
      <c r="I17" s="30"/>
      <c r="J17" s="31"/>
      <c r="K17" s="32"/>
    </row>
    <row r="18" spans="2:11" x14ac:dyDescent="0.3">
      <c r="B18" s="22"/>
      <c r="C18" s="15">
        <v>16</v>
      </c>
      <c r="D18" t="s">
        <v>48</v>
      </c>
      <c r="E18" s="4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75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67</v>
      </c>
      <c r="E20" s="4" t="s">
        <v>63</v>
      </c>
      <c r="G20">
        <v>2.8</v>
      </c>
      <c r="H20" s="4">
        <f t="shared" si="0"/>
        <v>56</v>
      </c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D21" t="s">
        <v>14</v>
      </c>
      <c r="E21" s="4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I22" s="10" t="s">
        <v>27</v>
      </c>
      <c r="J22">
        <v>40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74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8306-4203-4E79-A3D7-DCBA2A8F57AB}">
  <sheetPr>
    <pageSetUpPr fitToPage="1"/>
  </sheetPr>
  <dimension ref="B1:K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448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280</v>
      </c>
      <c r="F3" s="10"/>
      <c r="G3">
        <v>10</v>
      </c>
      <c r="H3" s="4">
        <f>PRODUCT(G3,$J$21)</f>
        <v>200</v>
      </c>
      <c r="I3" s="27"/>
      <c r="J3" s="28"/>
      <c r="K3" s="29"/>
    </row>
    <row r="4" spans="2:11" x14ac:dyDescent="0.3">
      <c r="B4" s="22"/>
      <c r="C4" s="15">
        <v>2</v>
      </c>
      <c r="D4" t="s">
        <v>89</v>
      </c>
      <c r="F4" s="10"/>
      <c r="G4">
        <v>6</v>
      </c>
      <c r="H4" s="4">
        <f t="shared" ref="H4:H14" si="0">PRODUCT(G4,$J$21)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449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64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55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205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53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71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266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423</v>
      </c>
      <c r="F12" s="10"/>
      <c r="G12">
        <v>4</v>
      </c>
      <c r="H12" s="4">
        <f t="shared" si="0"/>
        <v>80</v>
      </c>
      <c r="I12" s="27" t="s">
        <v>450</v>
      </c>
      <c r="J12" s="28"/>
      <c r="K12" s="29"/>
    </row>
    <row r="13" spans="2:11" x14ac:dyDescent="0.3">
      <c r="B13" s="22"/>
      <c r="C13" s="15">
        <v>11</v>
      </c>
      <c r="D13" t="s">
        <v>13</v>
      </c>
      <c r="F13" s="10"/>
      <c r="G13">
        <v>20</v>
      </c>
      <c r="H13" s="4">
        <f t="shared" si="0"/>
        <v>400</v>
      </c>
      <c r="I13" s="30"/>
      <c r="J13" s="31"/>
      <c r="K13" s="32"/>
    </row>
    <row r="14" spans="2:11" x14ac:dyDescent="0.3">
      <c r="B14" s="22"/>
      <c r="C14" s="15">
        <v>12</v>
      </c>
      <c r="D14" t="s">
        <v>99</v>
      </c>
      <c r="F14" s="10"/>
      <c r="G14">
        <v>8</v>
      </c>
      <c r="H14" s="4">
        <f t="shared" si="0"/>
        <v>160</v>
      </c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I20" s="17" t="s">
        <v>23</v>
      </c>
      <c r="J20" s="2">
        <v>45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100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5400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94A8-4BC9-4ABB-869A-EB83179C6070}">
  <sheetPr>
    <pageSetUpPr fitToPage="1"/>
  </sheetPr>
  <dimension ref="B1:K32"/>
  <sheetViews>
    <sheetView workbookViewId="0">
      <selection activeCell="G16" sqref="G16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84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85</v>
      </c>
      <c r="F3" s="10"/>
      <c r="G3">
        <v>12</v>
      </c>
      <c r="H3" s="4">
        <f>PRODUCT(G3,30)</f>
        <v>360</v>
      </c>
      <c r="I3" s="27" t="s">
        <v>86</v>
      </c>
      <c r="J3" s="28"/>
      <c r="K3" s="29"/>
    </row>
    <row r="4" spans="2:11" x14ac:dyDescent="0.3">
      <c r="B4" s="22"/>
      <c r="C4" s="15">
        <v>2</v>
      </c>
      <c r="D4" t="s">
        <v>87</v>
      </c>
      <c r="F4" s="10"/>
      <c r="G4">
        <v>8</v>
      </c>
      <c r="H4" s="4">
        <f t="shared" ref="H4:H15" si="0">PRODUCT(G4,30)</f>
        <v>240</v>
      </c>
      <c r="I4" s="30"/>
      <c r="J4" s="31"/>
      <c r="K4" s="32"/>
    </row>
    <row r="5" spans="2:11" x14ac:dyDescent="0.3">
      <c r="B5" s="22"/>
      <c r="C5" s="15">
        <v>3</v>
      </c>
      <c r="D5" t="s">
        <v>19</v>
      </c>
      <c r="F5" s="10"/>
      <c r="G5">
        <v>8</v>
      </c>
      <c r="H5" s="4">
        <f t="shared" si="0"/>
        <v>240</v>
      </c>
      <c r="I5" s="30"/>
      <c r="J5" s="31"/>
      <c r="K5" s="32"/>
    </row>
    <row r="6" spans="2:11" x14ac:dyDescent="0.3">
      <c r="B6" s="22"/>
      <c r="C6" s="15">
        <v>4</v>
      </c>
      <c r="D6" t="s">
        <v>11</v>
      </c>
      <c r="F6" s="10"/>
      <c r="G6">
        <v>4</v>
      </c>
      <c r="H6" s="4">
        <f>PRODUCT(G6,30)</f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88</v>
      </c>
      <c r="F7" s="10"/>
      <c r="G7">
        <v>4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42</v>
      </c>
      <c r="F8" s="10"/>
      <c r="G8">
        <v>4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39</v>
      </c>
      <c r="F9" s="10"/>
      <c r="G9">
        <v>4</v>
      </c>
      <c r="H9" s="4">
        <f t="shared" si="0"/>
        <v>120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38</v>
      </c>
      <c r="F10" s="10"/>
      <c r="G10">
        <v>4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89</v>
      </c>
      <c r="F11" s="10"/>
      <c r="G11">
        <v>2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54</v>
      </c>
      <c r="F12" s="10"/>
      <c r="G12">
        <v>4</v>
      </c>
      <c r="H12" s="4">
        <f t="shared" si="0"/>
        <v>120</v>
      </c>
      <c r="I12" s="27" t="s">
        <v>90</v>
      </c>
      <c r="J12" s="28"/>
      <c r="K12" s="29"/>
    </row>
    <row r="13" spans="2:11" x14ac:dyDescent="0.3">
      <c r="B13" s="22"/>
      <c r="C13" s="15">
        <v>11</v>
      </c>
      <c r="D13" t="s">
        <v>53</v>
      </c>
      <c r="F13" s="10"/>
      <c r="G13">
        <v>4</v>
      </c>
      <c r="H13" s="4">
        <f t="shared" si="0"/>
        <v>120</v>
      </c>
      <c r="I13" s="30"/>
      <c r="J13" s="31"/>
      <c r="K13" s="32"/>
    </row>
    <row r="14" spans="2:11" x14ac:dyDescent="0.3">
      <c r="B14" s="22"/>
      <c r="C14" s="15">
        <v>12</v>
      </c>
      <c r="D14" t="s">
        <v>58</v>
      </c>
      <c r="F14" s="10"/>
      <c r="G14">
        <v>4</v>
      </c>
      <c r="H14" s="4">
        <f t="shared" si="0"/>
        <v>120</v>
      </c>
      <c r="I14" s="30"/>
      <c r="J14" s="31"/>
      <c r="K14" s="32"/>
    </row>
    <row r="15" spans="2:11" x14ac:dyDescent="0.3">
      <c r="B15" s="22"/>
      <c r="C15" s="15">
        <v>13</v>
      </c>
      <c r="D15" t="s">
        <v>48</v>
      </c>
      <c r="F15" s="10"/>
      <c r="G15">
        <v>4</v>
      </c>
      <c r="H15" s="4">
        <f t="shared" si="0"/>
        <v>120</v>
      </c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I20" s="17" t="s">
        <v>23</v>
      </c>
      <c r="J20" s="2">
        <v>30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60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90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1980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5400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1980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8C6C-EE21-4CAC-A6CA-B7994014353D}">
  <sheetPr>
    <pageSetUpPr fitToPage="1"/>
  </sheetPr>
  <dimension ref="B1:Q32"/>
  <sheetViews>
    <sheetView workbookViewId="0">
      <selection activeCell="R14" sqref="R1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201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146</v>
      </c>
      <c r="F3" s="10"/>
      <c r="G3">
        <v>6</v>
      </c>
      <c r="H3" s="4">
        <f>PRODUCT(G3,20)</f>
        <v>120</v>
      </c>
      <c r="I3" s="37" t="s">
        <v>202</v>
      </c>
      <c r="J3" s="28"/>
      <c r="K3" s="29"/>
    </row>
    <row r="4" spans="2:17" x14ac:dyDescent="0.3">
      <c r="B4" s="22"/>
      <c r="C4" s="15">
        <v>2</v>
      </c>
      <c r="D4" t="s">
        <v>152</v>
      </c>
      <c r="F4" s="10"/>
      <c r="G4">
        <v>6</v>
      </c>
      <c r="H4" s="4">
        <f t="shared" ref="H4:H12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87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13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75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85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53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58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100</v>
      </c>
      <c r="F12" s="10"/>
      <c r="G12">
        <v>4</v>
      </c>
      <c r="H12" s="4">
        <f t="shared" si="0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94</v>
      </c>
      <c r="F13" s="10"/>
      <c r="G13">
        <v>4</v>
      </c>
      <c r="H13" s="4">
        <f t="shared" ref="H13:H15" si="1">PRODUCT(G13,20)</f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73</v>
      </c>
      <c r="F14" s="10"/>
      <c r="G14">
        <v>2</v>
      </c>
      <c r="H14" s="4">
        <f t="shared" si="1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47</v>
      </c>
      <c r="F15" s="10"/>
      <c r="G15">
        <v>2</v>
      </c>
      <c r="H15" s="4">
        <f t="shared" si="1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68</v>
      </c>
      <c r="F16" s="10"/>
      <c r="G16">
        <v>2</v>
      </c>
      <c r="H16" s="4">
        <f t="shared" ref="H16:H23" si="2">PRODUCT(G16,20)</f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48</v>
      </c>
      <c r="G17">
        <v>4</v>
      </c>
      <c r="H17" s="4">
        <f t="shared" si="2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147</v>
      </c>
      <c r="F18" s="10"/>
      <c r="G18">
        <v>4</v>
      </c>
      <c r="H18" s="4">
        <f t="shared" si="2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131</v>
      </c>
      <c r="G19">
        <v>4</v>
      </c>
      <c r="H19" s="4">
        <f t="shared" si="2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155</v>
      </c>
      <c r="F20" s="10"/>
      <c r="G20">
        <v>4</v>
      </c>
      <c r="H20" s="4">
        <f t="shared" si="2"/>
        <v>80</v>
      </c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59</v>
      </c>
      <c r="G21">
        <v>4</v>
      </c>
      <c r="H21" s="4">
        <f t="shared" si="2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109</v>
      </c>
      <c r="G22">
        <v>4</v>
      </c>
      <c r="H22" s="4">
        <f t="shared" si="2"/>
        <v>80</v>
      </c>
      <c r="I22" s="10" t="s">
        <v>27</v>
      </c>
      <c r="J22">
        <v>50</v>
      </c>
      <c r="K22" s="4" t="s">
        <v>28</v>
      </c>
    </row>
    <row r="23" spans="2:11" ht="17.25" thickBot="1" x14ac:dyDescent="0.35">
      <c r="B23" s="22"/>
      <c r="C23" s="15">
        <v>21</v>
      </c>
      <c r="D23" t="s">
        <v>79</v>
      </c>
      <c r="E23" t="s">
        <v>66</v>
      </c>
      <c r="G23">
        <v>2</v>
      </c>
      <c r="H23" s="4">
        <f t="shared" si="2"/>
        <v>40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1800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1800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06CA-F2B0-41C4-85F2-C570ADC4CBB0}">
  <sheetPr>
    <pageSetUpPr fitToPage="1"/>
  </sheetPr>
  <dimension ref="B1:Q32"/>
  <sheetViews>
    <sheetView workbookViewId="0">
      <selection activeCell="H25" sqref="H2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446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</v>
      </c>
      <c r="E3" s="3"/>
      <c r="G3">
        <v>4</v>
      </c>
      <c r="H3" s="4">
        <f>PRODUCT(G3,$J$21)</f>
        <v>80</v>
      </c>
      <c r="I3" s="27" t="s">
        <v>445</v>
      </c>
      <c r="J3" s="28"/>
      <c r="K3" s="29"/>
    </row>
    <row r="4" spans="2:17" x14ac:dyDescent="0.3">
      <c r="B4" s="22"/>
      <c r="C4" s="15">
        <v>2</v>
      </c>
      <c r="D4" t="s">
        <v>75</v>
      </c>
      <c r="E4" s="4"/>
      <c r="G4">
        <v>4</v>
      </c>
      <c r="H4" s="4">
        <f t="shared" ref="H4:H17" si="0">PRODUCT(G4,$J$21)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85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12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108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152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77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79</v>
      </c>
      <c r="E10" s="4" t="s">
        <v>63</v>
      </c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67</v>
      </c>
      <c r="E11" s="4" t="s">
        <v>63</v>
      </c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131</v>
      </c>
      <c r="E12" s="4"/>
      <c r="G12">
        <v>4</v>
      </c>
      <c r="H12" s="4">
        <f t="shared" si="0"/>
        <v>80</v>
      </c>
      <c r="I12" s="27" t="s">
        <v>447</v>
      </c>
      <c r="J12" s="28"/>
      <c r="K12" s="29"/>
    </row>
    <row r="13" spans="2:17" x14ac:dyDescent="0.3">
      <c r="B13" s="22"/>
      <c r="C13" s="15">
        <v>11</v>
      </c>
      <c r="D13" t="s">
        <v>78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147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53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51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73</v>
      </c>
      <c r="E17" s="4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58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1160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1160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C6CF-E06B-468D-A234-060112090B18}">
  <sheetPr>
    <pageSetUpPr fitToPage="1"/>
  </sheetPr>
  <dimension ref="B1:Q32"/>
  <sheetViews>
    <sheetView workbookViewId="0">
      <selection activeCell="G25" sqref="G2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443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108</v>
      </c>
      <c r="E3" s="3"/>
      <c r="G3">
        <v>4</v>
      </c>
      <c r="H3" s="4">
        <f>PRODUCT(G3,$J$21)</f>
        <v>80</v>
      </c>
      <c r="I3" s="27" t="s">
        <v>442</v>
      </c>
      <c r="J3" s="28"/>
      <c r="K3" s="29"/>
    </row>
    <row r="4" spans="2:17" x14ac:dyDescent="0.3">
      <c r="B4" s="22"/>
      <c r="C4" s="15">
        <v>2</v>
      </c>
      <c r="D4" t="s">
        <v>152</v>
      </c>
      <c r="E4" s="4"/>
      <c r="G4">
        <v>4</v>
      </c>
      <c r="H4" s="4">
        <f t="shared" ref="H4:H24" si="0">PRODUCT(G4,$J$21)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95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47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58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53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48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54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19</v>
      </c>
      <c r="E11" s="4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161</v>
      </c>
      <c r="E12" s="4"/>
      <c r="G12">
        <v>1.2</v>
      </c>
      <c r="H12" s="4">
        <f t="shared" si="0"/>
        <v>24</v>
      </c>
      <c r="I12" s="27" t="s">
        <v>444</v>
      </c>
      <c r="J12" s="28"/>
      <c r="K12" s="29"/>
    </row>
    <row r="13" spans="2:17" x14ac:dyDescent="0.3">
      <c r="B13" s="22"/>
      <c r="C13" s="15">
        <v>11</v>
      </c>
      <c r="D13" t="s">
        <v>89</v>
      </c>
      <c r="E13" s="4"/>
      <c r="G13">
        <v>0.8</v>
      </c>
      <c r="H13" s="4">
        <f t="shared" si="0"/>
        <v>16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200</v>
      </c>
      <c r="E14" s="4"/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62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165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146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76</v>
      </c>
      <c r="E18" s="4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138</v>
      </c>
      <c r="E19" s="4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D20" t="s">
        <v>136</v>
      </c>
      <c r="E20" s="4"/>
      <c r="G20">
        <v>4</v>
      </c>
      <c r="H20" s="4">
        <f t="shared" si="0"/>
        <v>80</v>
      </c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147</v>
      </c>
      <c r="E21" s="4"/>
      <c r="G21">
        <v>12</v>
      </c>
      <c r="H21" s="4">
        <f t="shared" si="0"/>
        <v>240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68</v>
      </c>
      <c r="E22" s="4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13</v>
      </c>
      <c r="E23" s="4"/>
      <c r="G23">
        <v>4</v>
      </c>
      <c r="H23" s="4">
        <f t="shared" si="0"/>
        <v>80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D24" t="s">
        <v>100</v>
      </c>
      <c r="E24" s="4"/>
      <c r="G24">
        <v>4</v>
      </c>
      <c r="H24" s="4">
        <f t="shared" si="0"/>
        <v>80</v>
      </c>
      <c r="I24" s="17"/>
      <c r="J24" s="2"/>
      <c r="K24" s="3"/>
    </row>
    <row r="25" spans="2:11" x14ac:dyDescent="0.3">
      <c r="B25" s="22"/>
      <c r="C25" s="15">
        <v>23</v>
      </c>
      <c r="E25" s="4"/>
      <c r="H25" s="4"/>
      <c r="I25" s="17" t="s">
        <v>29</v>
      </c>
      <c r="J25" s="2">
        <f>SUM(G3:G32)</f>
        <v>82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3620-CB3C-4FF2-8ACA-E0720B8EE72D}">
  <sheetPr>
    <pageSetUpPr fitToPage="1"/>
  </sheetPr>
  <dimension ref="B1:Q32"/>
  <sheetViews>
    <sheetView workbookViewId="0">
      <selection activeCell="H6" sqref="H6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440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95</v>
      </c>
      <c r="E3" s="3"/>
      <c r="G3">
        <v>6</v>
      </c>
      <c r="H3" s="4">
        <f>PRODUCT(G3,$J$21)</f>
        <v>180</v>
      </c>
      <c r="I3" s="27" t="s">
        <v>441</v>
      </c>
      <c r="J3" s="28"/>
      <c r="K3" s="29"/>
    </row>
    <row r="4" spans="2:17" x14ac:dyDescent="0.3">
      <c r="B4" s="22"/>
      <c r="C4" s="15">
        <v>2</v>
      </c>
      <c r="D4" t="s">
        <v>48</v>
      </c>
      <c r="E4" s="4"/>
      <c r="G4">
        <v>8</v>
      </c>
      <c r="H4" s="4">
        <f t="shared" ref="H4:H9" si="0">PRODUCT(G4,$J$21)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80</v>
      </c>
      <c r="E5" s="4"/>
      <c r="G5">
        <v>4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47</v>
      </c>
      <c r="E6" s="4"/>
      <c r="G6">
        <v>2</v>
      </c>
      <c r="H6" s="4">
        <f t="shared" si="0"/>
        <v>60</v>
      </c>
      <c r="I6" s="30"/>
      <c r="J6" s="31"/>
      <c r="K6" s="32"/>
    </row>
    <row r="7" spans="2:17" x14ac:dyDescent="0.3">
      <c r="B7" s="22"/>
      <c r="C7" s="15">
        <v>5</v>
      </c>
      <c r="D7" t="s">
        <v>58</v>
      </c>
      <c r="E7" s="4"/>
      <c r="G7">
        <v>6</v>
      </c>
      <c r="H7" s="4">
        <f t="shared" si="0"/>
        <v>180</v>
      </c>
      <c r="I7" s="30"/>
      <c r="J7" s="31"/>
      <c r="K7" s="32"/>
    </row>
    <row r="8" spans="2:17" x14ac:dyDescent="0.3">
      <c r="B8" s="22"/>
      <c r="C8" s="15">
        <v>6</v>
      </c>
      <c r="D8" t="s">
        <v>55</v>
      </c>
      <c r="E8" s="4"/>
      <c r="G8">
        <v>4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236</v>
      </c>
      <c r="E9" s="4"/>
      <c r="G9">
        <v>3</v>
      </c>
      <c r="H9" s="4">
        <f t="shared" si="0"/>
        <v>90</v>
      </c>
      <c r="I9" s="30"/>
      <c r="J9" s="31"/>
      <c r="K9" s="32"/>
    </row>
    <row r="10" spans="2:17" ht="17.25" thickBot="1" x14ac:dyDescent="0.35">
      <c r="B10" s="22"/>
      <c r="C10" s="15">
        <v>8</v>
      </c>
      <c r="E10" s="4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E11" s="4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E12" s="4"/>
      <c r="H12" s="4"/>
      <c r="I12" s="27"/>
      <c r="J12" s="28"/>
      <c r="K12" s="29"/>
    </row>
    <row r="13" spans="2:17" x14ac:dyDescent="0.3">
      <c r="B13" s="22"/>
      <c r="C13" s="15">
        <v>11</v>
      </c>
      <c r="E13" s="4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E14" s="4"/>
      <c r="H14" s="4"/>
      <c r="I14" s="30"/>
      <c r="J14" s="31"/>
      <c r="K14" s="32"/>
    </row>
    <row r="15" spans="2:17" x14ac:dyDescent="0.3">
      <c r="B15" s="22"/>
      <c r="C15" s="15">
        <v>13</v>
      </c>
      <c r="E15" s="4"/>
      <c r="H15" s="4"/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33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990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990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82C3-3429-44FD-912F-A7C291ADA05D}">
  <sheetPr>
    <pageSetUpPr fitToPage="1"/>
  </sheetPr>
  <dimension ref="B1:Q32"/>
  <sheetViews>
    <sheetView workbookViewId="0">
      <selection activeCell="D3" sqref="D3:H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188</v>
      </c>
      <c r="F3" s="10"/>
      <c r="G3">
        <v>20</v>
      </c>
      <c r="H3" s="4">
        <f>PRODUCT(G3,$J$21)</f>
        <v>400</v>
      </c>
      <c r="I3" s="27" t="s">
        <v>439</v>
      </c>
      <c r="J3" s="28"/>
      <c r="K3" s="29"/>
    </row>
    <row r="4" spans="2:17" x14ac:dyDescent="0.3">
      <c r="B4" s="22"/>
      <c r="C4" s="15">
        <v>2</v>
      </c>
      <c r="D4" t="s">
        <v>12</v>
      </c>
      <c r="F4" s="10"/>
      <c r="G4">
        <v>4</v>
      </c>
      <c r="H4" s="4">
        <f t="shared" ref="H4:H7" si="0">PRODUCT(G4,$J$21)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146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76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189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191</v>
      </c>
      <c r="F8" s="10"/>
      <c r="G8">
        <v>4</v>
      </c>
      <c r="H8" s="4">
        <f t="shared" ref="H8:H19" si="1">PRODUCT(G8,$J$21)</f>
        <v>80</v>
      </c>
      <c r="I8" s="30"/>
      <c r="J8" s="31"/>
      <c r="K8" s="32"/>
    </row>
    <row r="9" spans="2:17" x14ac:dyDescent="0.3">
      <c r="B9" s="22"/>
      <c r="C9" s="15">
        <v>7</v>
      </c>
      <c r="D9" t="s">
        <v>280</v>
      </c>
      <c r="E9" t="s">
        <v>378</v>
      </c>
      <c r="F9" s="10"/>
      <c r="G9">
        <v>4</v>
      </c>
      <c r="H9" s="4">
        <f t="shared" si="1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190</v>
      </c>
      <c r="F10" s="10"/>
      <c r="G10">
        <v>4</v>
      </c>
      <c r="H10" s="4">
        <f t="shared" si="1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135</v>
      </c>
      <c r="F11" s="10"/>
      <c r="G11">
        <v>4</v>
      </c>
      <c r="H11" s="4">
        <f t="shared" si="1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53</v>
      </c>
      <c r="F12" s="10"/>
      <c r="G12">
        <v>4</v>
      </c>
      <c r="H12" s="4">
        <f t="shared" si="1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9</v>
      </c>
      <c r="F13" s="10"/>
      <c r="G13">
        <v>10</v>
      </c>
      <c r="H13" s="4">
        <f t="shared" si="1"/>
        <v>200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14</v>
      </c>
      <c r="F14" s="10"/>
      <c r="G14">
        <v>3</v>
      </c>
      <c r="H14" s="4">
        <f t="shared" si="1"/>
        <v>60</v>
      </c>
      <c r="I14" s="30"/>
      <c r="J14" s="31"/>
      <c r="K14" s="32"/>
    </row>
    <row r="15" spans="2:17" x14ac:dyDescent="0.3">
      <c r="B15" s="22"/>
      <c r="C15" s="15">
        <v>13</v>
      </c>
      <c r="D15" t="s">
        <v>15</v>
      </c>
      <c r="F15" s="10"/>
      <c r="G15">
        <v>3</v>
      </c>
      <c r="H15" s="4">
        <f t="shared" si="1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17</v>
      </c>
      <c r="F16" s="10"/>
      <c r="G16">
        <v>3</v>
      </c>
      <c r="H16" s="4">
        <f t="shared" si="1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21</v>
      </c>
      <c r="F17" s="10"/>
      <c r="G17">
        <v>2</v>
      </c>
      <c r="H17" s="4">
        <f t="shared" si="1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192</v>
      </c>
      <c r="F18" s="10"/>
      <c r="G18">
        <v>2</v>
      </c>
      <c r="H18" s="4">
        <f t="shared" si="1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60</v>
      </c>
      <c r="F19" s="10"/>
      <c r="G19">
        <v>4</v>
      </c>
      <c r="H19" s="4">
        <f t="shared" si="1"/>
        <v>80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83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1660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612F-0E4C-45A3-8952-A7F9DDC2D698}">
  <sheetPr>
    <pageSetUpPr fitToPage="1"/>
  </sheetPr>
  <dimension ref="B1:Q32"/>
  <sheetViews>
    <sheetView workbookViewId="0">
      <selection activeCell="J105" sqref="J10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437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8</v>
      </c>
      <c r="H3" s="4">
        <f>PRODUCT(G3,$J$21)</f>
        <v>160</v>
      </c>
      <c r="I3" s="27" t="s">
        <v>438</v>
      </c>
      <c r="J3" s="28"/>
      <c r="K3" s="29"/>
    </row>
    <row r="4" spans="2:17" x14ac:dyDescent="0.3">
      <c r="B4" s="22"/>
      <c r="C4" s="15">
        <v>2</v>
      </c>
      <c r="D4" t="s">
        <v>14</v>
      </c>
      <c r="E4" s="4"/>
      <c r="G4">
        <v>4</v>
      </c>
      <c r="H4" s="4">
        <f t="shared" ref="H4:H22" si="0">PRODUCT(G4,$J$21)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54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79</v>
      </c>
      <c r="E6" s="4"/>
      <c r="G6">
        <v>3.2</v>
      </c>
      <c r="H6" s="4">
        <f t="shared" si="0"/>
        <v>64</v>
      </c>
      <c r="I6" s="30"/>
      <c r="J6" s="31"/>
      <c r="K6" s="32"/>
    </row>
    <row r="7" spans="2:17" x14ac:dyDescent="0.3">
      <c r="B7" s="22"/>
      <c r="C7" s="15">
        <v>5</v>
      </c>
      <c r="D7" t="s">
        <v>58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53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59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105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44</v>
      </c>
      <c r="E11" s="4"/>
      <c r="G11">
        <v>3.2</v>
      </c>
      <c r="H11" s="4">
        <f t="shared" si="0"/>
        <v>64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78</v>
      </c>
      <c r="E12" s="4"/>
      <c r="G12">
        <v>3.2</v>
      </c>
      <c r="H12" s="4">
        <f t="shared" si="0"/>
        <v>64</v>
      </c>
      <c r="I12" s="27" t="s">
        <v>456</v>
      </c>
      <c r="J12" s="28"/>
      <c r="K12" s="29"/>
    </row>
    <row r="13" spans="2:17" x14ac:dyDescent="0.3">
      <c r="B13" s="22"/>
      <c r="C13" s="15">
        <v>11</v>
      </c>
      <c r="D13" t="s">
        <v>67</v>
      </c>
      <c r="E13" s="4" t="s">
        <v>63</v>
      </c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131</v>
      </c>
      <c r="E14" s="4"/>
      <c r="G14">
        <v>2.4</v>
      </c>
      <c r="H14" s="4">
        <f t="shared" si="0"/>
        <v>48</v>
      </c>
      <c r="I14" s="30"/>
      <c r="J14" s="31"/>
      <c r="K14" s="32"/>
    </row>
    <row r="15" spans="2:17" x14ac:dyDescent="0.3">
      <c r="B15" s="22"/>
      <c r="C15" s="15">
        <v>13</v>
      </c>
      <c r="D15" t="s">
        <v>136</v>
      </c>
      <c r="E15" s="4"/>
      <c r="G15">
        <v>2.4</v>
      </c>
      <c r="H15" s="4">
        <f t="shared" si="0"/>
        <v>48</v>
      </c>
      <c r="I15" s="30"/>
      <c r="J15" s="31"/>
      <c r="K15" s="32"/>
    </row>
    <row r="16" spans="2:17" x14ac:dyDescent="0.3">
      <c r="B16" s="22"/>
      <c r="C16" s="15">
        <v>14</v>
      </c>
      <c r="D16" t="s">
        <v>138</v>
      </c>
      <c r="E16" s="4"/>
      <c r="G16">
        <v>2.4</v>
      </c>
      <c r="H16" s="4">
        <f t="shared" si="0"/>
        <v>48</v>
      </c>
      <c r="I16" s="30"/>
      <c r="J16" s="31"/>
      <c r="K16" s="32"/>
    </row>
    <row r="17" spans="2:11" x14ac:dyDescent="0.3">
      <c r="B17" s="22"/>
      <c r="C17" s="15">
        <v>15</v>
      </c>
      <c r="D17" t="s">
        <v>47</v>
      </c>
      <c r="E17" s="4"/>
      <c r="G17">
        <v>2.4</v>
      </c>
      <c r="H17" s="4">
        <f t="shared" si="0"/>
        <v>48</v>
      </c>
      <c r="I17" s="30"/>
      <c r="J17" s="31"/>
      <c r="K17" s="32"/>
    </row>
    <row r="18" spans="2:11" x14ac:dyDescent="0.3">
      <c r="B18" s="22"/>
      <c r="C18" s="15">
        <v>16</v>
      </c>
      <c r="D18" t="s">
        <v>48</v>
      </c>
      <c r="E18" s="4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76</v>
      </c>
      <c r="E19" s="4"/>
      <c r="G19">
        <v>8</v>
      </c>
      <c r="H19" s="4">
        <f t="shared" si="0"/>
        <v>160</v>
      </c>
      <c r="I19" s="30"/>
      <c r="J19" s="31"/>
      <c r="K19" s="32"/>
    </row>
    <row r="20" spans="2:11" x14ac:dyDescent="0.3">
      <c r="B20" s="22"/>
      <c r="C20" s="15">
        <v>18</v>
      </c>
      <c r="D20" t="s">
        <v>73</v>
      </c>
      <c r="E20" s="4"/>
      <c r="G20">
        <v>2</v>
      </c>
      <c r="H20" s="4">
        <f t="shared" si="0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13</v>
      </c>
      <c r="E21" s="4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108</v>
      </c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74.2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1484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1484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CD0B-6104-4492-9908-A733CADAA333}">
  <sheetPr>
    <pageSetUpPr fitToPage="1"/>
  </sheetPr>
  <dimension ref="B1:Q32"/>
  <sheetViews>
    <sheetView workbookViewId="0">
      <selection activeCell="H3" sqref="H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435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43</v>
      </c>
      <c r="E3" s="3"/>
      <c r="G3">
        <v>3</v>
      </c>
      <c r="H3" s="4">
        <f>PRODUCT(G3,$J$21)</f>
        <v>90</v>
      </c>
      <c r="I3" s="27" t="s">
        <v>434</v>
      </c>
      <c r="J3" s="28"/>
      <c r="K3" s="29"/>
    </row>
    <row r="4" spans="2:17" x14ac:dyDescent="0.3">
      <c r="B4" s="22"/>
      <c r="C4" s="15">
        <v>2</v>
      </c>
      <c r="D4" t="s">
        <v>13</v>
      </c>
      <c r="E4" s="4"/>
      <c r="G4">
        <v>3</v>
      </c>
      <c r="H4" s="4">
        <f t="shared" ref="H4:H18" si="0">PRODUCT(G4,$J$21)</f>
        <v>90</v>
      </c>
      <c r="I4" s="30"/>
      <c r="J4" s="31"/>
      <c r="K4" s="32"/>
    </row>
    <row r="5" spans="2:17" x14ac:dyDescent="0.3">
      <c r="B5" s="22"/>
      <c r="C5" s="15">
        <v>3</v>
      </c>
      <c r="D5" t="s">
        <v>75</v>
      </c>
      <c r="E5" s="4"/>
      <c r="G5">
        <v>3</v>
      </c>
      <c r="H5" s="4">
        <f t="shared" si="0"/>
        <v>90</v>
      </c>
      <c r="I5" s="30"/>
      <c r="J5" s="31"/>
      <c r="K5" s="32"/>
    </row>
    <row r="6" spans="2:17" x14ac:dyDescent="0.3">
      <c r="B6" s="22"/>
      <c r="C6" s="15">
        <v>4</v>
      </c>
      <c r="D6" t="s">
        <v>228</v>
      </c>
      <c r="E6" s="4"/>
      <c r="G6">
        <v>3</v>
      </c>
      <c r="H6" s="4">
        <f t="shared" si="0"/>
        <v>90</v>
      </c>
      <c r="I6" s="30"/>
      <c r="J6" s="31"/>
      <c r="K6" s="32"/>
    </row>
    <row r="7" spans="2:17" x14ac:dyDescent="0.3">
      <c r="B7" s="22"/>
      <c r="C7" s="15">
        <v>5</v>
      </c>
      <c r="D7" t="s">
        <v>12</v>
      </c>
      <c r="E7" s="4"/>
      <c r="G7">
        <v>2</v>
      </c>
      <c r="H7" s="4">
        <f t="shared" si="0"/>
        <v>60</v>
      </c>
      <c r="I7" s="30"/>
      <c r="J7" s="31"/>
      <c r="K7" s="32"/>
    </row>
    <row r="8" spans="2:17" x14ac:dyDescent="0.3">
      <c r="B8" s="22"/>
      <c r="C8" s="15">
        <v>6</v>
      </c>
      <c r="D8" t="s">
        <v>14</v>
      </c>
      <c r="E8" s="4"/>
      <c r="G8">
        <v>2</v>
      </c>
      <c r="H8" s="4">
        <f t="shared" si="0"/>
        <v>60</v>
      </c>
      <c r="I8" s="30"/>
      <c r="J8" s="31"/>
      <c r="K8" s="32"/>
    </row>
    <row r="9" spans="2:17" x14ac:dyDescent="0.3">
      <c r="B9" s="22"/>
      <c r="C9" s="15">
        <v>7</v>
      </c>
      <c r="D9" t="s">
        <v>108</v>
      </c>
      <c r="E9" s="4"/>
      <c r="G9">
        <v>2</v>
      </c>
      <c r="H9" s="4">
        <f t="shared" si="0"/>
        <v>60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95</v>
      </c>
      <c r="E10" s="4"/>
      <c r="G10">
        <v>2</v>
      </c>
      <c r="H10" s="4">
        <f t="shared" si="0"/>
        <v>60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99</v>
      </c>
      <c r="E11" s="4"/>
      <c r="G11">
        <v>2</v>
      </c>
      <c r="H11" s="4">
        <f t="shared" si="0"/>
        <v>60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227</v>
      </c>
      <c r="E12" s="4"/>
      <c r="G12">
        <v>2</v>
      </c>
      <c r="H12" s="4">
        <f t="shared" si="0"/>
        <v>60</v>
      </c>
      <c r="I12" s="27" t="s">
        <v>436</v>
      </c>
      <c r="J12" s="28"/>
      <c r="K12" s="29"/>
    </row>
    <row r="13" spans="2:17" x14ac:dyDescent="0.3">
      <c r="B13" s="22"/>
      <c r="C13" s="15">
        <v>11</v>
      </c>
      <c r="D13" t="s">
        <v>42</v>
      </c>
      <c r="E13" s="4"/>
      <c r="G13">
        <v>2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256</v>
      </c>
      <c r="E14" s="4"/>
      <c r="G14">
        <v>2</v>
      </c>
      <c r="H14" s="4">
        <f t="shared" si="0"/>
        <v>60</v>
      </c>
      <c r="I14" s="30"/>
      <c r="J14" s="31"/>
      <c r="K14" s="32"/>
    </row>
    <row r="15" spans="2:17" x14ac:dyDescent="0.3">
      <c r="B15" s="22"/>
      <c r="C15" s="15">
        <v>13</v>
      </c>
      <c r="D15" t="s">
        <v>38</v>
      </c>
      <c r="E15" s="4"/>
      <c r="G15">
        <v>2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100</v>
      </c>
      <c r="E16" s="4"/>
      <c r="G16">
        <v>2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47</v>
      </c>
      <c r="E17" s="4"/>
      <c r="G17">
        <v>2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48</v>
      </c>
      <c r="E18" s="4"/>
      <c r="G18">
        <v>3</v>
      </c>
      <c r="H18" s="4">
        <f t="shared" si="0"/>
        <v>90</v>
      </c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37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1110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1110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A375-D3E6-475D-A84E-253744A24617}">
  <sheetPr>
    <pageSetUpPr fitToPage="1"/>
  </sheetPr>
  <dimension ref="B1:K32"/>
  <sheetViews>
    <sheetView workbookViewId="0">
      <selection activeCell="M23" sqref="M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172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146</v>
      </c>
      <c r="F3" s="10"/>
      <c r="G3">
        <v>8</v>
      </c>
      <c r="H3" s="4"/>
      <c r="I3" s="27" t="s">
        <v>173</v>
      </c>
      <c r="J3" s="28"/>
      <c r="K3" s="29"/>
    </row>
    <row r="4" spans="2:11" x14ac:dyDescent="0.3">
      <c r="B4" s="22"/>
      <c r="C4" s="15">
        <v>2</v>
      </c>
      <c r="D4" t="s">
        <v>76</v>
      </c>
      <c r="F4" s="10"/>
      <c r="G4">
        <v>6</v>
      </c>
      <c r="H4" s="4"/>
      <c r="I4" s="30"/>
      <c r="J4" s="31"/>
      <c r="K4" s="32"/>
    </row>
    <row r="5" spans="2:11" x14ac:dyDescent="0.3">
      <c r="B5" s="22"/>
      <c r="C5" s="15">
        <v>3</v>
      </c>
      <c r="D5" t="s">
        <v>13</v>
      </c>
      <c r="F5" s="10"/>
      <c r="G5">
        <v>6</v>
      </c>
      <c r="H5" s="4"/>
      <c r="I5" s="30"/>
      <c r="J5" s="31"/>
      <c r="K5" s="32"/>
    </row>
    <row r="6" spans="2:11" x14ac:dyDescent="0.3">
      <c r="B6" s="22"/>
      <c r="C6" s="15">
        <v>4</v>
      </c>
      <c r="D6" t="s">
        <v>14</v>
      </c>
      <c r="F6" s="10"/>
      <c r="G6">
        <v>6</v>
      </c>
      <c r="H6" s="4"/>
      <c r="I6" s="30"/>
      <c r="J6" s="31"/>
      <c r="K6" s="32"/>
    </row>
    <row r="7" spans="2:11" x14ac:dyDescent="0.3">
      <c r="B7" s="22"/>
      <c r="C7" s="15">
        <v>5</v>
      </c>
      <c r="D7" t="s">
        <v>75</v>
      </c>
      <c r="F7" s="10"/>
      <c r="G7">
        <v>6</v>
      </c>
      <c r="H7" s="4"/>
      <c r="I7" s="30"/>
      <c r="J7" s="31"/>
      <c r="K7" s="32"/>
    </row>
    <row r="8" spans="2:11" x14ac:dyDescent="0.3">
      <c r="B8" s="22"/>
      <c r="C8" s="15">
        <v>6</v>
      </c>
      <c r="D8" t="s">
        <v>53</v>
      </c>
      <c r="F8" s="10"/>
      <c r="G8">
        <v>6</v>
      </c>
      <c r="H8" s="4"/>
      <c r="I8" s="30"/>
      <c r="J8" s="31"/>
      <c r="K8" s="32"/>
    </row>
    <row r="9" spans="2:11" x14ac:dyDescent="0.3">
      <c r="B9" s="22"/>
      <c r="C9" s="15">
        <v>7</v>
      </c>
      <c r="D9" t="s">
        <v>135</v>
      </c>
      <c r="F9" s="10"/>
      <c r="G9">
        <v>6</v>
      </c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137</v>
      </c>
      <c r="F10" s="10"/>
      <c r="G10">
        <v>4</v>
      </c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152</v>
      </c>
      <c r="F11" s="10"/>
      <c r="G11">
        <v>6</v>
      </c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87</v>
      </c>
      <c r="F12" s="10"/>
      <c r="G12">
        <v>6</v>
      </c>
      <c r="H12" s="4"/>
      <c r="I12" s="27"/>
      <c r="J12" s="28"/>
      <c r="K12" s="29"/>
    </row>
    <row r="13" spans="2:11" x14ac:dyDescent="0.3">
      <c r="B13" s="22"/>
      <c r="C13" s="15">
        <v>11</v>
      </c>
      <c r="D13" t="s">
        <v>174</v>
      </c>
      <c r="F13" s="10"/>
      <c r="G13">
        <v>4</v>
      </c>
      <c r="H13" s="4"/>
      <c r="I13" s="30"/>
      <c r="J13" s="31"/>
      <c r="K13" s="32"/>
    </row>
    <row r="14" spans="2:11" x14ac:dyDescent="0.3">
      <c r="B14" s="22"/>
      <c r="C14" s="15">
        <v>12</v>
      </c>
      <c r="D14" t="s">
        <v>73</v>
      </c>
      <c r="F14" s="10"/>
      <c r="G14">
        <v>2</v>
      </c>
      <c r="H14" s="4"/>
      <c r="I14" s="30"/>
      <c r="J14" s="31"/>
      <c r="K14" s="32"/>
    </row>
    <row r="15" spans="2:11" x14ac:dyDescent="0.3">
      <c r="B15" s="22"/>
      <c r="C15" s="15">
        <v>13</v>
      </c>
      <c r="D15" t="s">
        <v>47</v>
      </c>
      <c r="F15" s="10"/>
      <c r="G15">
        <v>2</v>
      </c>
      <c r="H15" s="4"/>
      <c r="I15" s="30"/>
      <c r="J15" s="31"/>
      <c r="K15" s="32"/>
    </row>
    <row r="16" spans="2:11" x14ac:dyDescent="0.3">
      <c r="B16" s="22"/>
      <c r="C16" s="15">
        <v>14</v>
      </c>
      <c r="D16" t="s">
        <v>162</v>
      </c>
      <c r="F16" s="10"/>
      <c r="G16">
        <v>4</v>
      </c>
      <c r="H16" s="4"/>
      <c r="I16" s="30"/>
      <c r="J16" s="31"/>
      <c r="K16" s="32"/>
    </row>
    <row r="17" spans="2:11" x14ac:dyDescent="0.3">
      <c r="B17" s="22"/>
      <c r="C17" s="15">
        <v>15</v>
      </c>
      <c r="D17" t="s">
        <v>131</v>
      </c>
      <c r="F17" s="10"/>
      <c r="G17">
        <v>4</v>
      </c>
      <c r="H17" s="4"/>
      <c r="I17" s="30"/>
      <c r="J17" s="31"/>
      <c r="K17" s="32"/>
    </row>
    <row r="18" spans="2:11" x14ac:dyDescent="0.3">
      <c r="B18" s="22"/>
      <c r="C18" s="15">
        <v>16</v>
      </c>
      <c r="D18" t="s">
        <v>51</v>
      </c>
      <c r="F18" s="10"/>
      <c r="G18">
        <v>4</v>
      </c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F19" s="10"/>
      <c r="G19">
        <v>4</v>
      </c>
      <c r="H19" s="4"/>
      <c r="I19" s="30"/>
      <c r="J19" s="31"/>
      <c r="K19" s="32"/>
    </row>
    <row r="20" spans="2:11" x14ac:dyDescent="0.3">
      <c r="B20" s="22"/>
      <c r="C20" s="15">
        <v>18</v>
      </c>
      <c r="D20" t="s">
        <v>48</v>
      </c>
      <c r="F20" s="10"/>
      <c r="G20">
        <v>4</v>
      </c>
      <c r="H20" s="4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147</v>
      </c>
      <c r="F21" s="10"/>
      <c r="G21">
        <v>4</v>
      </c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175</v>
      </c>
      <c r="F22" s="10"/>
      <c r="G22">
        <v>4</v>
      </c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1920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D376-B200-40E4-9134-5F6169B4330C}">
  <sheetPr>
    <pageSetUpPr fitToPage="1"/>
  </sheetPr>
  <dimension ref="B1:Q32"/>
  <sheetViews>
    <sheetView workbookViewId="0">
      <selection activeCell="O19" sqref="O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433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95</v>
      </c>
      <c r="E3" s="3"/>
      <c r="G3">
        <v>6</v>
      </c>
      <c r="H3" s="4">
        <f>PRODUCT(G3,$J$21)</f>
        <v>180</v>
      </c>
      <c r="I3" s="27" t="s">
        <v>432</v>
      </c>
      <c r="J3" s="28"/>
      <c r="K3" s="29"/>
    </row>
    <row r="4" spans="2:17" x14ac:dyDescent="0.3">
      <c r="B4" s="22"/>
      <c r="C4" s="15">
        <v>2</v>
      </c>
      <c r="D4" t="s">
        <v>48</v>
      </c>
      <c r="E4" s="4"/>
      <c r="G4">
        <v>6</v>
      </c>
      <c r="H4" s="4">
        <f t="shared" ref="H4:H6" si="0">PRODUCT(G4,$J$21)</f>
        <v>180</v>
      </c>
      <c r="I4" s="30"/>
      <c r="J4" s="31"/>
      <c r="K4" s="32"/>
    </row>
    <row r="5" spans="2:17" x14ac:dyDescent="0.3">
      <c r="B5" s="22"/>
      <c r="C5" s="15">
        <v>3</v>
      </c>
      <c r="D5" t="s">
        <v>80</v>
      </c>
      <c r="E5" s="4"/>
      <c r="G5">
        <v>4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47</v>
      </c>
      <c r="E6" s="4"/>
      <c r="G6">
        <v>2</v>
      </c>
      <c r="H6" s="4">
        <f t="shared" si="0"/>
        <v>60</v>
      </c>
      <c r="I6" s="30"/>
      <c r="J6" s="31"/>
      <c r="K6" s="32"/>
    </row>
    <row r="7" spans="2:17" x14ac:dyDescent="0.3">
      <c r="B7" s="22"/>
      <c r="C7" s="15">
        <v>5</v>
      </c>
      <c r="E7" s="4"/>
      <c r="H7" s="4"/>
      <c r="I7" s="30"/>
      <c r="J7" s="31"/>
      <c r="K7" s="32"/>
    </row>
    <row r="8" spans="2:17" x14ac:dyDescent="0.3">
      <c r="B8" s="22"/>
      <c r="C8" s="15">
        <v>6</v>
      </c>
      <c r="E8" s="4"/>
      <c r="H8" s="4"/>
      <c r="I8" s="30"/>
      <c r="J8" s="31"/>
      <c r="K8" s="32"/>
    </row>
    <row r="9" spans="2:17" x14ac:dyDescent="0.3">
      <c r="B9" s="22"/>
      <c r="C9" s="15">
        <v>7</v>
      </c>
      <c r="E9" s="4"/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E10" s="4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E11" s="4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E12" s="4"/>
      <c r="H12" s="4"/>
      <c r="I12" s="27"/>
      <c r="J12" s="28"/>
      <c r="K12" s="29"/>
    </row>
    <row r="13" spans="2:17" x14ac:dyDescent="0.3">
      <c r="B13" s="22"/>
      <c r="C13" s="15">
        <v>11</v>
      </c>
      <c r="E13" s="4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E14" s="4"/>
      <c r="H14" s="4"/>
      <c r="I14" s="30"/>
      <c r="J14" s="31"/>
      <c r="K14" s="32"/>
    </row>
    <row r="15" spans="2:17" x14ac:dyDescent="0.3">
      <c r="B15" s="22"/>
      <c r="C15" s="15">
        <v>13</v>
      </c>
      <c r="E15" s="4"/>
      <c r="H15" s="4"/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18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540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540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89EE-FF83-4AF1-870C-55C06B2D03C7}">
  <sheetPr>
    <pageSetUpPr fitToPage="1"/>
  </sheetPr>
  <dimension ref="B1:Q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384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40</v>
      </c>
      <c r="E3" s="3"/>
      <c r="G3">
        <v>12</v>
      </c>
      <c r="H3" s="4">
        <f>PRODUCT(G3,$J$21)</f>
        <v>240</v>
      </c>
      <c r="I3" s="27" t="s">
        <v>430</v>
      </c>
      <c r="J3" s="28"/>
      <c r="K3" s="29"/>
    </row>
    <row r="4" spans="2:17" x14ac:dyDescent="0.3">
      <c r="B4" s="22"/>
      <c r="C4" s="15">
        <v>2</v>
      </c>
      <c r="D4" t="s">
        <v>58</v>
      </c>
      <c r="E4" s="4"/>
      <c r="G4">
        <v>10</v>
      </c>
      <c r="H4" s="4">
        <f t="shared" ref="H4:H16" si="0">PRODUCT(G4,$J$21)</f>
        <v>200</v>
      </c>
      <c r="I4" s="30"/>
      <c r="J4" s="31"/>
      <c r="K4" s="32"/>
    </row>
    <row r="5" spans="2:17" x14ac:dyDescent="0.3">
      <c r="B5" s="22"/>
      <c r="C5" s="15">
        <v>3</v>
      </c>
      <c r="D5" t="s">
        <v>128</v>
      </c>
      <c r="E5" s="4"/>
      <c r="G5">
        <v>8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167</v>
      </c>
      <c r="E6" s="4"/>
      <c r="G6">
        <v>8</v>
      </c>
      <c r="H6" s="4">
        <f t="shared" si="0"/>
        <v>160</v>
      </c>
      <c r="I6" s="30"/>
      <c r="J6" s="31"/>
      <c r="K6" s="32"/>
    </row>
    <row r="7" spans="2:17" x14ac:dyDescent="0.3">
      <c r="B7" s="22"/>
      <c r="C7" s="15">
        <v>5</v>
      </c>
      <c r="D7" t="s">
        <v>80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160</v>
      </c>
      <c r="E8" s="4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108</v>
      </c>
      <c r="E9" s="4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48</v>
      </c>
      <c r="E10" s="4"/>
      <c r="G10">
        <v>6</v>
      </c>
      <c r="H10" s="4">
        <f t="shared" si="0"/>
        <v>120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47</v>
      </c>
      <c r="E11" s="4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79</v>
      </c>
      <c r="E12" s="4" t="s">
        <v>66</v>
      </c>
      <c r="G12">
        <v>2</v>
      </c>
      <c r="H12" s="4">
        <f t="shared" si="0"/>
        <v>40</v>
      </c>
      <c r="I12" s="27" t="s">
        <v>431</v>
      </c>
      <c r="J12" s="28"/>
      <c r="K12" s="29"/>
    </row>
    <row r="13" spans="2:17" x14ac:dyDescent="0.3">
      <c r="B13" s="22"/>
      <c r="C13" s="15">
        <v>11</v>
      </c>
      <c r="D13" t="s">
        <v>76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95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13</v>
      </c>
      <c r="E15" s="4"/>
      <c r="G15">
        <v>6</v>
      </c>
      <c r="H15" s="4">
        <f t="shared" si="0"/>
        <v>120</v>
      </c>
      <c r="I15" s="30"/>
      <c r="J15" s="31"/>
      <c r="K15" s="32"/>
    </row>
    <row r="16" spans="2:17" x14ac:dyDescent="0.3">
      <c r="B16" s="22"/>
      <c r="C16" s="15">
        <v>14</v>
      </c>
      <c r="D16" t="s">
        <v>14</v>
      </c>
      <c r="E16" s="4"/>
      <c r="G16">
        <v>3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2C28-A110-4503-9588-9A3017A4586C}">
  <sheetPr>
    <pageSetUpPr fitToPage="1"/>
  </sheetPr>
  <dimension ref="B1:K32"/>
  <sheetViews>
    <sheetView topLeftCell="A21" workbookViewId="0">
      <selection activeCell="G22" sqref="G2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229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75</v>
      </c>
      <c r="F3" s="10"/>
      <c r="G3">
        <v>10</v>
      </c>
      <c r="H3" s="4">
        <f>PRODUCT(G3,20)</f>
        <v>200</v>
      </c>
      <c r="I3" s="27" t="s">
        <v>429</v>
      </c>
      <c r="J3" s="28"/>
      <c r="K3" s="29"/>
    </row>
    <row r="4" spans="2:11" x14ac:dyDescent="0.3">
      <c r="B4" s="22"/>
      <c r="C4" s="15">
        <v>2</v>
      </c>
      <c r="D4" t="s">
        <v>12</v>
      </c>
      <c r="F4" s="10"/>
      <c r="G4">
        <v>5</v>
      </c>
      <c r="H4" s="4">
        <f t="shared" ref="H4:H17" si="0">PRODUCT(G4,20)</f>
        <v>100</v>
      </c>
      <c r="I4" s="30"/>
      <c r="J4" s="31"/>
      <c r="K4" s="32"/>
    </row>
    <row r="5" spans="2:11" x14ac:dyDescent="0.3">
      <c r="B5" s="22"/>
      <c r="C5" s="15">
        <v>3</v>
      </c>
      <c r="D5" t="s">
        <v>146</v>
      </c>
      <c r="F5" s="10"/>
      <c r="G5">
        <v>5</v>
      </c>
      <c r="H5" s="4">
        <f t="shared" si="0"/>
        <v>100</v>
      </c>
      <c r="I5" s="30"/>
      <c r="J5" s="31"/>
      <c r="K5" s="32"/>
    </row>
    <row r="6" spans="2:11" x14ac:dyDescent="0.3">
      <c r="B6" s="22"/>
      <c r="C6" s="15">
        <v>4</v>
      </c>
      <c r="D6" t="s">
        <v>13</v>
      </c>
      <c r="F6" s="10"/>
      <c r="G6">
        <v>5</v>
      </c>
      <c r="H6" s="4">
        <f t="shared" si="0"/>
        <v>100</v>
      </c>
      <c r="I6" s="30"/>
      <c r="J6" s="31"/>
      <c r="K6" s="32"/>
    </row>
    <row r="7" spans="2:11" x14ac:dyDescent="0.3">
      <c r="B7" s="22"/>
      <c r="C7" s="15">
        <v>5</v>
      </c>
      <c r="D7" t="s">
        <v>14</v>
      </c>
      <c r="F7" s="10"/>
      <c r="G7">
        <v>5</v>
      </c>
      <c r="H7" s="4">
        <f t="shared" si="0"/>
        <v>100</v>
      </c>
      <c r="I7" s="30"/>
      <c r="J7" s="31"/>
      <c r="K7" s="32"/>
    </row>
    <row r="8" spans="2:11" x14ac:dyDescent="0.3">
      <c r="B8" s="22"/>
      <c r="C8" s="15">
        <v>6</v>
      </c>
      <c r="D8" t="s">
        <v>100</v>
      </c>
      <c r="F8" s="10"/>
      <c r="G8">
        <v>3</v>
      </c>
      <c r="H8" s="4">
        <f t="shared" si="0"/>
        <v>60</v>
      </c>
      <c r="I8" s="30"/>
      <c r="J8" s="31"/>
      <c r="K8" s="32"/>
    </row>
    <row r="9" spans="2:11" x14ac:dyDescent="0.3">
      <c r="B9" s="22"/>
      <c r="C9" s="15">
        <v>7</v>
      </c>
      <c r="D9" t="s">
        <v>47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48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147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227</v>
      </c>
      <c r="F12" s="10"/>
      <c r="G12">
        <v>4</v>
      </c>
      <c r="H12" s="4">
        <f t="shared" si="0"/>
        <v>80</v>
      </c>
      <c r="I12" s="27"/>
      <c r="J12" s="28"/>
      <c r="K12" s="29"/>
    </row>
    <row r="13" spans="2:11" x14ac:dyDescent="0.3">
      <c r="B13" s="22"/>
      <c r="C13" s="15">
        <v>11</v>
      </c>
      <c r="D13" t="s">
        <v>99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43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19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73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94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AA24-64E3-414A-A91A-20EE517E7E51}">
  <sheetPr>
    <pageSetUpPr fitToPage="1"/>
  </sheetPr>
  <dimension ref="B1:N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322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51</v>
      </c>
      <c r="F3" s="10"/>
      <c r="G3">
        <v>10</v>
      </c>
      <c r="H3" s="4">
        <f>PRODUCT(G3,$J$21)</f>
        <v>200</v>
      </c>
      <c r="I3" s="27" t="s">
        <v>428</v>
      </c>
      <c r="J3" s="28"/>
      <c r="K3" s="29"/>
    </row>
    <row r="4" spans="2:14" x14ac:dyDescent="0.3">
      <c r="B4" s="22"/>
      <c r="C4" s="15">
        <v>2</v>
      </c>
      <c r="D4" t="s">
        <v>53</v>
      </c>
      <c r="F4" s="10"/>
      <c r="G4">
        <v>6</v>
      </c>
      <c r="H4" s="4">
        <f t="shared" ref="H4:H20" si="0">PRODUCT(G4,$J$21)</f>
        <v>120</v>
      </c>
      <c r="I4" s="30"/>
      <c r="J4" s="31"/>
      <c r="K4" s="32"/>
    </row>
    <row r="5" spans="2:14" x14ac:dyDescent="0.3">
      <c r="B5" s="22"/>
      <c r="C5" s="15">
        <v>3</v>
      </c>
      <c r="D5" t="s">
        <v>58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87</v>
      </c>
      <c r="F6" s="10"/>
      <c r="G6">
        <v>8</v>
      </c>
      <c r="H6" s="4">
        <f t="shared" si="0"/>
        <v>160</v>
      </c>
      <c r="I6" s="30"/>
      <c r="J6" s="31"/>
      <c r="K6" s="32"/>
    </row>
    <row r="7" spans="2:14" x14ac:dyDescent="0.3">
      <c r="B7" s="22"/>
      <c r="C7" s="15">
        <v>5</v>
      </c>
      <c r="D7" t="s">
        <v>54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4" x14ac:dyDescent="0.3">
      <c r="B8" s="22"/>
      <c r="C8" s="15">
        <v>6</v>
      </c>
      <c r="D8" t="s">
        <v>71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4" x14ac:dyDescent="0.3">
      <c r="B9" s="22"/>
      <c r="C9" s="15">
        <v>7</v>
      </c>
      <c r="D9" t="s">
        <v>78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160</v>
      </c>
      <c r="E10" t="s">
        <v>66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48</v>
      </c>
      <c r="F12" s="10"/>
      <c r="G12">
        <v>4</v>
      </c>
      <c r="H12" s="4">
        <f t="shared" si="0"/>
        <v>80</v>
      </c>
      <c r="I12" s="27" t="s">
        <v>411</v>
      </c>
      <c r="J12" s="28"/>
      <c r="K12" s="29"/>
    </row>
    <row r="13" spans="2:14" x14ac:dyDescent="0.3">
      <c r="B13" s="22"/>
      <c r="C13" s="15">
        <v>11</v>
      </c>
      <c r="D13" t="s">
        <v>76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13</v>
      </c>
      <c r="F14" s="10"/>
      <c r="G14">
        <v>6</v>
      </c>
      <c r="H14" s="4">
        <f t="shared" si="0"/>
        <v>120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131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4" x14ac:dyDescent="0.3">
      <c r="B16" s="22"/>
      <c r="C16" s="15">
        <v>14</v>
      </c>
      <c r="D16" t="s">
        <v>67</v>
      </c>
      <c r="E16" t="s">
        <v>63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59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62</v>
      </c>
      <c r="E18" t="s">
        <v>63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97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55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49E7-7223-4C05-8833-892046D4C4B2}">
  <sheetPr>
    <pageSetUpPr fitToPage="1"/>
  </sheetPr>
  <dimension ref="B1:Q32"/>
  <sheetViews>
    <sheetView workbookViewId="0">
      <selection activeCell="D24" sqref="D24:H2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389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8</v>
      </c>
      <c r="H3" s="4">
        <f>PRODUCT(G3,20)</f>
        <v>160</v>
      </c>
      <c r="I3" s="27" t="s">
        <v>390</v>
      </c>
      <c r="J3" s="28"/>
      <c r="K3" s="29"/>
    </row>
    <row r="4" spans="2:17" x14ac:dyDescent="0.3">
      <c r="B4" s="22"/>
      <c r="C4" s="15">
        <v>2</v>
      </c>
      <c r="D4" t="s">
        <v>152</v>
      </c>
      <c r="E4" s="4"/>
      <c r="G4">
        <v>6</v>
      </c>
      <c r="H4" s="4">
        <f t="shared" ref="H4:H24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E5" s="4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53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87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169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59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60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62</v>
      </c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71</v>
      </c>
      <c r="E12" s="4"/>
      <c r="G12">
        <v>4</v>
      </c>
      <c r="H12" s="4">
        <f t="shared" si="0"/>
        <v>80</v>
      </c>
      <c r="I12" s="27" t="s">
        <v>427</v>
      </c>
      <c r="J12" s="28"/>
      <c r="K12" s="29"/>
    </row>
    <row r="13" spans="2:17" x14ac:dyDescent="0.3">
      <c r="B13" s="22"/>
      <c r="C13" s="15">
        <v>11</v>
      </c>
      <c r="D13" t="s">
        <v>45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79</v>
      </c>
      <c r="E14" s="4" t="s">
        <v>66</v>
      </c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160</v>
      </c>
      <c r="E15" s="4" t="s">
        <v>66</v>
      </c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64</v>
      </c>
      <c r="E16" s="4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47</v>
      </c>
      <c r="E17" s="4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49</v>
      </c>
      <c r="E18" s="4"/>
      <c r="G18">
        <v>1.2</v>
      </c>
      <c r="H18" s="4">
        <f t="shared" si="0"/>
        <v>24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48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67</v>
      </c>
      <c r="E21" s="4" t="s">
        <v>63</v>
      </c>
      <c r="G21">
        <v>2.8</v>
      </c>
      <c r="H21" s="4">
        <f t="shared" si="0"/>
        <v>56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14</v>
      </c>
      <c r="E22" s="4"/>
      <c r="G22">
        <v>4</v>
      </c>
      <c r="H22" s="4">
        <f t="shared" si="0"/>
        <v>80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55</v>
      </c>
      <c r="E23" s="4"/>
      <c r="G23">
        <v>4</v>
      </c>
      <c r="H23" s="4">
        <f t="shared" si="0"/>
        <v>80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D24" t="s">
        <v>100</v>
      </c>
      <c r="E24" s="4"/>
      <c r="G24">
        <v>4</v>
      </c>
      <c r="H24" s="4">
        <f t="shared" si="0"/>
        <v>80</v>
      </c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421A-FC53-4AD5-9392-05F2341A0C39}">
  <sheetPr>
    <pageSetUpPr fitToPage="1"/>
  </sheetPr>
  <dimension ref="B1:N32"/>
  <sheetViews>
    <sheetView workbookViewId="0">
      <selection activeCell="D9" sqref="D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426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/>
      <c r="J3" s="28"/>
      <c r="K3" s="29"/>
    </row>
    <row r="4" spans="2:14" x14ac:dyDescent="0.3">
      <c r="B4" s="22"/>
      <c r="C4" s="15">
        <v>2</v>
      </c>
      <c r="D4" t="s">
        <v>112</v>
      </c>
      <c r="F4" s="10"/>
      <c r="G4">
        <v>8</v>
      </c>
      <c r="H4" s="4">
        <f t="shared" ref="H4:H20" si="0">PRODUCT(G4,20)</f>
        <v>160</v>
      </c>
      <c r="I4" s="30"/>
      <c r="J4" s="31"/>
      <c r="K4" s="32"/>
    </row>
    <row r="5" spans="2:14" x14ac:dyDescent="0.3">
      <c r="B5" s="22"/>
      <c r="C5" s="15">
        <v>3</v>
      </c>
      <c r="D5" t="s">
        <v>54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53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4" x14ac:dyDescent="0.3">
      <c r="B7" s="22"/>
      <c r="C7" s="15">
        <v>5</v>
      </c>
      <c r="D7" t="s">
        <v>47</v>
      </c>
      <c r="F7" s="10"/>
      <c r="G7">
        <v>2</v>
      </c>
      <c r="H7" s="4">
        <f t="shared" si="0"/>
        <v>40</v>
      </c>
      <c r="I7" s="30"/>
      <c r="J7" s="31"/>
      <c r="K7" s="32"/>
    </row>
    <row r="8" spans="2:14" x14ac:dyDescent="0.3">
      <c r="B8" s="22"/>
      <c r="C8" s="15">
        <v>6</v>
      </c>
      <c r="D8" t="s">
        <v>48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4" x14ac:dyDescent="0.3">
      <c r="B9" s="22"/>
      <c r="C9" s="15">
        <v>7</v>
      </c>
      <c r="D9" t="s">
        <v>80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425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100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256</v>
      </c>
      <c r="F12" s="10"/>
      <c r="G12">
        <v>2</v>
      </c>
      <c r="H12" s="4">
        <f t="shared" si="0"/>
        <v>40</v>
      </c>
      <c r="I12" s="27"/>
      <c r="J12" s="28"/>
      <c r="K12" s="29"/>
    </row>
    <row r="13" spans="2:14" x14ac:dyDescent="0.3">
      <c r="B13" s="22"/>
      <c r="C13" s="15">
        <v>11</v>
      </c>
      <c r="D13" t="s">
        <v>13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75</v>
      </c>
      <c r="F14" s="10"/>
      <c r="G14">
        <v>4</v>
      </c>
      <c r="H14" s="4">
        <f t="shared" si="0"/>
        <v>80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79</v>
      </c>
      <c r="E15" t="s">
        <v>66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4" x14ac:dyDescent="0.3">
      <c r="B16" s="22"/>
      <c r="C16" s="15">
        <v>14</v>
      </c>
      <c r="D16" t="s">
        <v>67</v>
      </c>
      <c r="E16" t="s">
        <v>63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78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76</v>
      </c>
      <c r="F18" s="10"/>
      <c r="G18">
        <v>8</v>
      </c>
      <c r="H18" s="4">
        <f t="shared" si="0"/>
        <v>160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95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9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B653-9106-4D2C-B9C2-21683ABE5944}">
  <sheetPr>
    <pageSetUpPr fitToPage="1"/>
  </sheetPr>
  <dimension ref="B1:Q32"/>
  <sheetViews>
    <sheetView workbookViewId="0">
      <selection activeCell="R14" sqref="R1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201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146</v>
      </c>
      <c r="F3" s="10"/>
      <c r="G3">
        <v>6</v>
      </c>
      <c r="H3" s="4">
        <f>PRODUCT(G3,20)</f>
        <v>120</v>
      </c>
      <c r="I3" s="37" t="s">
        <v>202</v>
      </c>
      <c r="J3" s="28"/>
      <c r="K3" s="29"/>
    </row>
    <row r="4" spans="2:17" x14ac:dyDescent="0.3">
      <c r="B4" s="22"/>
      <c r="C4" s="15">
        <v>2</v>
      </c>
      <c r="D4" t="s">
        <v>152</v>
      </c>
      <c r="F4" s="10"/>
      <c r="G4">
        <v>6</v>
      </c>
      <c r="H4" s="4">
        <f t="shared" ref="H4:H23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87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13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75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85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53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58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100</v>
      </c>
      <c r="F12" s="10"/>
      <c r="G12">
        <v>4</v>
      </c>
      <c r="H12" s="4">
        <f t="shared" si="0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94</v>
      </c>
      <c r="F13" s="10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73</v>
      </c>
      <c r="F14" s="10"/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47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68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48</v>
      </c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147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131</v>
      </c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155</v>
      </c>
      <c r="F20" s="10"/>
      <c r="G20">
        <v>4</v>
      </c>
      <c r="H20" s="4">
        <f t="shared" si="0"/>
        <v>80</v>
      </c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59</v>
      </c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109</v>
      </c>
      <c r="G22">
        <v>4</v>
      </c>
      <c r="H22" s="4">
        <f t="shared" si="0"/>
        <v>80</v>
      </c>
      <c r="I22" s="10" t="s">
        <v>27</v>
      </c>
      <c r="J22">
        <v>50</v>
      </c>
      <c r="K22" s="4" t="s">
        <v>28</v>
      </c>
    </row>
    <row r="23" spans="2:11" ht="17.25" thickBot="1" x14ac:dyDescent="0.35">
      <c r="B23" s="22"/>
      <c r="C23" s="15">
        <v>21</v>
      </c>
      <c r="D23" t="s">
        <v>79</v>
      </c>
      <c r="E23" t="s">
        <v>66</v>
      </c>
      <c r="G23">
        <v>2</v>
      </c>
      <c r="H23" s="4">
        <f t="shared" si="0"/>
        <v>40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1800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1800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10574-C71D-4AD7-98C6-3D5C2005E9A9}">
  <sheetPr>
    <pageSetUpPr fitToPage="1"/>
  </sheetPr>
  <dimension ref="B1:K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356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58</v>
      </c>
      <c r="F3" s="10"/>
      <c r="G3">
        <v>9</v>
      </c>
      <c r="H3" s="4">
        <f>PRODUCT(G3,$J$21)</f>
        <v>180</v>
      </c>
      <c r="I3" s="27" t="s">
        <v>419</v>
      </c>
      <c r="J3" s="28"/>
      <c r="K3" s="29"/>
    </row>
    <row r="4" spans="2:11" x14ac:dyDescent="0.3">
      <c r="B4" s="22"/>
      <c r="C4" s="15">
        <v>2</v>
      </c>
      <c r="D4" t="s">
        <v>48</v>
      </c>
      <c r="F4" s="10"/>
      <c r="G4">
        <v>8</v>
      </c>
      <c r="H4" s="4">
        <f t="shared" ref="H4:H21" si="0">PRODUCT(G4,$J$21)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128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160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108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47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161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79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95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85</v>
      </c>
      <c r="F12" s="10"/>
      <c r="G12">
        <v>4</v>
      </c>
      <c r="H12" s="4">
        <f t="shared" si="0"/>
        <v>80</v>
      </c>
      <c r="I12" s="27" t="s">
        <v>420</v>
      </c>
      <c r="J12" s="28"/>
      <c r="K12" s="29"/>
    </row>
    <row r="13" spans="2:11" x14ac:dyDescent="0.3">
      <c r="B13" s="22"/>
      <c r="C13" s="15">
        <v>11</v>
      </c>
      <c r="D13" t="s">
        <v>13</v>
      </c>
      <c r="F13" s="10"/>
      <c r="G13">
        <v>5</v>
      </c>
      <c r="H13" s="4">
        <f t="shared" si="0"/>
        <v>100</v>
      </c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D16" t="s">
        <v>254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137</v>
      </c>
      <c r="F17" s="10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100</v>
      </c>
      <c r="F18" s="10"/>
      <c r="G18">
        <v>6</v>
      </c>
      <c r="H18" s="4">
        <f t="shared" si="0"/>
        <v>120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96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353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68</v>
      </c>
      <c r="F21" s="10"/>
      <c r="G21">
        <v>2</v>
      </c>
      <c r="H21" s="4">
        <f t="shared" si="0"/>
        <v>40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FCE7-D312-4276-8D33-BD5A83DC7BE0}">
  <sheetPr>
    <pageSetUpPr fitToPage="1"/>
  </sheetPr>
  <dimension ref="B1:K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416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51</v>
      </c>
      <c r="F3" s="10"/>
      <c r="G3">
        <v>12</v>
      </c>
      <c r="H3" s="4">
        <f>PRODUCT(G3,10)</f>
        <v>120</v>
      </c>
      <c r="I3" s="27" t="s">
        <v>415</v>
      </c>
      <c r="J3" s="28"/>
      <c r="K3" s="29"/>
    </row>
    <row r="4" spans="2:11" x14ac:dyDescent="0.3">
      <c r="B4" s="22"/>
      <c r="C4" s="15">
        <v>2</v>
      </c>
      <c r="D4" t="s">
        <v>54</v>
      </c>
      <c r="F4" s="10"/>
      <c r="G4">
        <v>6</v>
      </c>
      <c r="H4" s="4">
        <f t="shared" ref="H4:H20" si="0">PRODUCT(G4,10)</f>
        <v>60</v>
      </c>
      <c r="I4" s="30"/>
      <c r="J4" s="31"/>
      <c r="K4" s="32"/>
    </row>
    <row r="5" spans="2:11" x14ac:dyDescent="0.3">
      <c r="B5" s="22"/>
      <c r="C5" s="15">
        <v>3</v>
      </c>
      <c r="D5" t="s">
        <v>81</v>
      </c>
      <c r="G5">
        <v>4</v>
      </c>
      <c r="H5" s="4">
        <f t="shared" si="0"/>
        <v>40</v>
      </c>
      <c r="I5" s="30"/>
      <c r="J5" s="31"/>
      <c r="K5" s="32"/>
    </row>
    <row r="6" spans="2:11" x14ac:dyDescent="0.3">
      <c r="B6" s="22"/>
      <c r="C6" s="15">
        <v>4</v>
      </c>
      <c r="D6" t="s">
        <v>239</v>
      </c>
      <c r="F6" s="10"/>
      <c r="G6">
        <v>4</v>
      </c>
      <c r="H6" s="4">
        <f t="shared" si="0"/>
        <v>40</v>
      </c>
      <c r="I6" s="30"/>
      <c r="J6" s="31"/>
      <c r="K6" s="32"/>
    </row>
    <row r="7" spans="2:11" x14ac:dyDescent="0.3">
      <c r="B7" s="22"/>
      <c r="C7" s="15">
        <v>5</v>
      </c>
      <c r="D7" t="s">
        <v>53</v>
      </c>
      <c r="F7" s="10"/>
      <c r="G7">
        <v>4</v>
      </c>
      <c r="H7" s="4">
        <f t="shared" si="0"/>
        <v>40</v>
      </c>
      <c r="I7" s="30"/>
      <c r="J7" s="31"/>
      <c r="K7" s="32"/>
    </row>
    <row r="8" spans="2:11" x14ac:dyDescent="0.3">
      <c r="B8" s="22"/>
      <c r="C8" s="15">
        <v>6</v>
      </c>
      <c r="D8" t="s">
        <v>13</v>
      </c>
      <c r="F8" s="10"/>
      <c r="G8">
        <v>6</v>
      </c>
      <c r="H8" s="4">
        <f t="shared" si="0"/>
        <v>60</v>
      </c>
      <c r="I8" s="30"/>
      <c r="J8" s="31"/>
      <c r="K8" s="32"/>
    </row>
    <row r="9" spans="2:11" x14ac:dyDescent="0.3">
      <c r="B9" s="22"/>
      <c r="C9" s="15">
        <v>7</v>
      </c>
      <c r="D9" t="s">
        <v>75</v>
      </c>
      <c r="F9" s="10"/>
      <c r="G9">
        <v>4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14</v>
      </c>
      <c r="F10" s="10"/>
      <c r="G10">
        <v>4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44</v>
      </c>
      <c r="F11" s="10"/>
      <c r="G11">
        <v>4</v>
      </c>
      <c r="H11" s="4">
        <f t="shared" si="0"/>
        <v>40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266</v>
      </c>
      <c r="F12" s="10"/>
      <c r="G12">
        <v>4</v>
      </c>
      <c r="H12" s="4">
        <f t="shared" si="0"/>
        <v>40</v>
      </c>
      <c r="I12" s="27" t="s">
        <v>417</v>
      </c>
      <c r="J12" s="28"/>
      <c r="K12" s="29"/>
    </row>
    <row r="13" spans="2:11" x14ac:dyDescent="0.3">
      <c r="B13" s="22"/>
      <c r="C13" s="15">
        <v>11</v>
      </c>
      <c r="D13" t="s">
        <v>96</v>
      </c>
      <c r="F13" s="10"/>
      <c r="G13">
        <v>4</v>
      </c>
      <c r="H13" s="4">
        <f t="shared" si="0"/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100</v>
      </c>
      <c r="F14" s="10"/>
      <c r="G14">
        <v>2.8</v>
      </c>
      <c r="H14" s="4">
        <f t="shared" si="0"/>
        <v>28</v>
      </c>
      <c r="I14" s="30"/>
      <c r="J14" s="31"/>
      <c r="K14" s="32"/>
    </row>
    <row r="15" spans="2:11" x14ac:dyDescent="0.3">
      <c r="B15" s="22"/>
      <c r="C15" s="15">
        <v>13</v>
      </c>
      <c r="D15" t="s">
        <v>64</v>
      </c>
      <c r="F15" s="10"/>
      <c r="G15">
        <v>2.8</v>
      </c>
      <c r="H15" s="4">
        <f t="shared" si="0"/>
        <v>28</v>
      </c>
      <c r="I15" s="30"/>
      <c r="J15" s="31"/>
      <c r="K15" s="32"/>
    </row>
    <row r="16" spans="2:11" x14ac:dyDescent="0.3">
      <c r="B16" s="22"/>
      <c r="C16" s="15">
        <v>14</v>
      </c>
      <c r="D16" t="s">
        <v>15</v>
      </c>
      <c r="F16" s="10"/>
      <c r="G16">
        <v>2.8</v>
      </c>
      <c r="H16" s="4">
        <f t="shared" si="0"/>
        <v>28</v>
      </c>
      <c r="I16" s="30"/>
      <c r="J16" s="31"/>
      <c r="K16" s="32"/>
    </row>
    <row r="17" spans="2:11" x14ac:dyDescent="0.3">
      <c r="B17" s="22"/>
      <c r="C17" s="15">
        <v>15</v>
      </c>
      <c r="D17" t="s">
        <v>48</v>
      </c>
      <c r="F17" s="10"/>
      <c r="G17">
        <v>6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19</v>
      </c>
      <c r="F18" s="10"/>
      <c r="G18">
        <v>6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95</v>
      </c>
      <c r="F19" s="10"/>
      <c r="G19">
        <v>6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58</v>
      </c>
      <c r="F20" s="10"/>
      <c r="G20">
        <v>4</v>
      </c>
      <c r="H20" s="4">
        <f t="shared" si="0"/>
        <v>40</v>
      </c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10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20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86.399999999999991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863.99999999999989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864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7155-864F-406A-8A6C-15732D8899A7}">
  <sheetPr>
    <pageSetUpPr fitToPage="1"/>
  </sheetPr>
  <dimension ref="B1:K32"/>
  <sheetViews>
    <sheetView workbookViewId="0">
      <selection activeCell="G13" sqref="G1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379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13</v>
      </c>
      <c r="F3" s="10"/>
      <c r="G3">
        <v>12</v>
      </c>
      <c r="H3" s="4">
        <f>PRODUCT(G3,$J$21)</f>
        <v>120</v>
      </c>
      <c r="I3" s="27" t="s">
        <v>415</v>
      </c>
      <c r="J3" s="28"/>
      <c r="K3" s="29"/>
    </row>
    <row r="4" spans="2:11" x14ac:dyDescent="0.3">
      <c r="B4" s="22"/>
      <c r="C4" s="15">
        <v>2</v>
      </c>
      <c r="D4" t="s">
        <v>14</v>
      </c>
      <c r="F4" s="10"/>
      <c r="G4">
        <v>6</v>
      </c>
      <c r="H4" s="4">
        <f t="shared" ref="H4:H18" si="0">PRODUCT(G4,$J$21)</f>
        <v>60</v>
      </c>
      <c r="I4" s="30"/>
      <c r="J4" s="31"/>
      <c r="K4" s="32"/>
    </row>
    <row r="5" spans="2:11" x14ac:dyDescent="0.3">
      <c r="B5" s="22"/>
      <c r="C5" s="15">
        <v>3</v>
      </c>
      <c r="D5" t="s">
        <v>167</v>
      </c>
      <c r="G5">
        <v>6</v>
      </c>
      <c r="H5" s="4">
        <f t="shared" si="0"/>
        <v>60</v>
      </c>
      <c r="I5" s="30"/>
      <c r="J5" s="31"/>
      <c r="K5" s="32"/>
    </row>
    <row r="6" spans="2:11" x14ac:dyDescent="0.3">
      <c r="B6" s="22"/>
      <c r="C6" s="15">
        <v>4</v>
      </c>
      <c r="D6" t="s">
        <v>85</v>
      </c>
      <c r="F6" s="10"/>
      <c r="G6">
        <v>6</v>
      </c>
      <c r="H6" s="4">
        <f t="shared" si="0"/>
        <v>60</v>
      </c>
      <c r="I6" s="30"/>
      <c r="J6" s="31"/>
      <c r="K6" s="32"/>
    </row>
    <row r="7" spans="2:11" x14ac:dyDescent="0.3">
      <c r="B7" s="22"/>
      <c r="C7" s="15">
        <v>5</v>
      </c>
      <c r="D7" t="s">
        <v>19</v>
      </c>
      <c r="F7" s="10"/>
      <c r="G7">
        <v>8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95</v>
      </c>
      <c r="F8" s="10"/>
      <c r="G8">
        <v>8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58</v>
      </c>
      <c r="F9" s="10"/>
      <c r="G9">
        <v>6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96</v>
      </c>
      <c r="F10" s="10"/>
      <c r="G10">
        <v>4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54</v>
      </c>
      <c r="F11" s="10"/>
      <c r="G11">
        <v>8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55</v>
      </c>
      <c r="F12" s="10"/>
      <c r="G12">
        <v>4</v>
      </c>
      <c r="H12" s="4">
        <f t="shared" si="0"/>
        <v>40</v>
      </c>
      <c r="I12" s="27" t="s">
        <v>418</v>
      </c>
      <c r="J12" s="28"/>
      <c r="K12" s="29"/>
    </row>
    <row r="13" spans="2:11" x14ac:dyDescent="0.3">
      <c r="B13" s="22"/>
      <c r="C13" s="15">
        <v>11</v>
      </c>
      <c r="D13" t="s">
        <v>53</v>
      </c>
      <c r="F13" s="10"/>
      <c r="G13">
        <v>4</v>
      </c>
      <c r="H13" s="4">
        <f t="shared" si="0"/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48</v>
      </c>
      <c r="F14" s="10"/>
      <c r="G14">
        <v>6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59</v>
      </c>
      <c r="F15" s="10"/>
      <c r="G15">
        <v>4</v>
      </c>
      <c r="H15" s="4">
        <f t="shared" si="0"/>
        <v>40</v>
      </c>
      <c r="I15" s="30"/>
      <c r="J15" s="31"/>
      <c r="K15" s="32"/>
    </row>
    <row r="16" spans="2:11" x14ac:dyDescent="0.3">
      <c r="B16" s="22"/>
      <c r="C16" s="15">
        <v>14</v>
      </c>
      <c r="D16" t="s">
        <v>51</v>
      </c>
      <c r="F16" s="10"/>
      <c r="G16">
        <v>4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81</v>
      </c>
      <c r="F17" s="10"/>
      <c r="G17">
        <v>4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15</v>
      </c>
      <c r="F18" s="10"/>
      <c r="G18">
        <v>3</v>
      </c>
      <c r="H18" s="4">
        <f t="shared" si="0"/>
        <v>30</v>
      </c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10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20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93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930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930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A0FE-318B-4D15-B32F-278B9E81AB65}">
  <sheetPr>
    <pageSetUpPr fitToPage="1"/>
  </sheetPr>
  <dimension ref="B1:K32"/>
  <sheetViews>
    <sheetView workbookViewId="0">
      <selection activeCell="B1" sqref="B1:J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530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48</v>
      </c>
      <c r="F3" s="10"/>
      <c r="G3">
        <v>4</v>
      </c>
      <c r="H3" s="4">
        <f t="shared" ref="H3:H22" si="0">PRODUCT(G3,$J$21)</f>
        <v>80</v>
      </c>
      <c r="I3" s="27" t="s">
        <v>527</v>
      </c>
      <c r="J3" s="28"/>
      <c r="K3" s="29"/>
    </row>
    <row r="4" spans="2:11" x14ac:dyDescent="0.3">
      <c r="B4" s="22"/>
      <c r="C4" s="15">
        <v>2</v>
      </c>
      <c r="D4" t="s">
        <v>13</v>
      </c>
      <c r="F4" s="10"/>
      <c r="G4">
        <v>6</v>
      </c>
      <c r="H4" s="4">
        <f t="shared" si="0"/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94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76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164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95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167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53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54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55</v>
      </c>
      <c r="F12" s="10"/>
      <c r="G12">
        <v>4</v>
      </c>
      <c r="H12" s="4">
        <f t="shared" si="0"/>
        <v>80</v>
      </c>
      <c r="I12" s="27" t="s">
        <v>529</v>
      </c>
      <c r="J12" s="28"/>
      <c r="K12" s="29"/>
    </row>
    <row r="13" spans="2:11" x14ac:dyDescent="0.3">
      <c r="B13" s="22"/>
      <c r="C13" s="15">
        <v>11</v>
      </c>
      <c r="D13" t="s">
        <v>71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100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14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47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108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58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51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205</v>
      </c>
      <c r="F20" s="10"/>
      <c r="G20">
        <v>4</v>
      </c>
      <c r="H20" s="4">
        <f t="shared" si="0"/>
        <v>80</v>
      </c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280</v>
      </c>
      <c r="F21" s="10"/>
      <c r="G21">
        <v>3</v>
      </c>
      <c r="H21" s="4">
        <f t="shared" si="0"/>
        <v>60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68</v>
      </c>
      <c r="F22" s="10"/>
      <c r="G22">
        <v>2</v>
      </c>
      <c r="H22" s="4">
        <f t="shared" si="0"/>
        <v>40</v>
      </c>
      <c r="I22" s="10" t="s">
        <v>27</v>
      </c>
      <c r="J22" s="19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1680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225B-25E7-4969-8751-E059D0FB903D}">
  <sheetPr>
    <pageSetUpPr fitToPage="1"/>
  </sheetPr>
  <dimension ref="B1:N32"/>
  <sheetViews>
    <sheetView workbookViewId="0">
      <selection activeCell="G14" sqref="G1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322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51</v>
      </c>
      <c r="F3" s="10"/>
      <c r="G3">
        <v>10</v>
      </c>
      <c r="H3" s="4">
        <f>PRODUCT(G3,$J$21)</f>
        <v>200</v>
      </c>
      <c r="I3" s="27"/>
      <c r="J3" s="28"/>
      <c r="K3" s="29"/>
    </row>
    <row r="4" spans="2:14" x14ac:dyDescent="0.3">
      <c r="B4" s="22"/>
      <c r="C4" s="15">
        <v>2</v>
      </c>
      <c r="D4" t="s">
        <v>53</v>
      </c>
      <c r="F4" s="10"/>
      <c r="G4">
        <v>6</v>
      </c>
      <c r="H4" s="4">
        <f t="shared" ref="H4:H19" si="0">PRODUCT(G4,$J$21)</f>
        <v>120</v>
      </c>
      <c r="I4" s="30"/>
      <c r="J4" s="31"/>
      <c r="K4" s="32"/>
    </row>
    <row r="5" spans="2:14" x14ac:dyDescent="0.3">
      <c r="B5" s="22"/>
      <c r="C5" s="15">
        <v>3</v>
      </c>
      <c r="D5" t="s">
        <v>58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87</v>
      </c>
      <c r="F6" s="10"/>
      <c r="G6">
        <v>8</v>
      </c>
      <c r="H6" s="4">
        <f t="shared" si="0"/>
        <v>160</v>
      </c>
      <c r="I6" s="30"/>
      <c r="J6" s="31"/>
      <c r="K6" s="32"/>
    </row>
    <row r="7" spans="2:14" x14ac:dyDescent="0.3">
      <c r="B7" s="22"/>
      <c r="C7" s="15">
        <v>5</v>
      </c>
      <c r="D7" t="s">
        <v>54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4" x14ac:dyDescent="0.3">
      <c r="B8" s="22"/>
      <c r="C8" s="15">
        <v>6</v>
      </c>
      <c r="D8" t="s">
        <v>71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4" x14ac:dyDescent="0.3">
      <c r="B9" s="22"/>
      <c r="C9" s="15">
        <v>7</v>
      </c>
      <c r="D9" t="s">
        <v>78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160</v>
      </c>
      <c r="E10" t="s">
        <v>66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48</v>
      </c>
      <c r="F12" s="10"/>
      <c r="G12">
        <v>4</v>
      </c>
      <c r="H12" s="4">
        <f t="shared" si="0"/>
        <v>80</v>
      </c>
      <c r="I12" s="27" t="s">
        <v>411</v>
      </c>
      <c r="J12" s="28"/>
      <c r="K12" s="29"/>
    </row>
    <row r="13" spans="2:14" x14ac:dyDescent="0.3">
      <c r="B13" s="22"/>
      <c r="C13" s="15">
        <v>11</v>
      </c>
      <c r="D13" t="s">
        <v>76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13</v>
      </c>
      <c r="F14" s="10"/>
      <c r="G14">
        <v>6</v>
      </c>
      <c r="H14" s="4">
        <f t="shared" si="0"/>
        <v>120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131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4" x14ac:dyDescent="0.3">
      <c r="B16" s="22"/>
      <c r="C16" s="15">
        <v>14</v>
      </c>
      <c r="D16" t="s">
        <v>67</v>
      </c>
      <c r="E16" t="s">
        <v>63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59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62</v>
      </c>
      <c r="E18" t="s">
        <v>63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97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AE3D-C620-4738-A5D6-785268A29CED}">
  <sheetPr>
    <pageSetUpPr fitToPage="1"/>
  </sheetPr>
  <dimension ref="B1:Q32"/>
  <sheetViews>
    <sheetView workbookViewId="0">
      <selection activeCell="G10" sqref="G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409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410</v>
      </c>
      <c r="F3" s="10"/>
      <c r="G3">
        <v>24</v>
      </c>
      <c r="H3" s="4">
        <f>PRODUCT(G3,15)</f>
        <v>360</v>
      </c>
      <c r="I3" s="27" t="s">
        <v>408</v>
      </c>
      <c r="J3" s="28"/>
      <c r="K3" s="29"/>
    </row>
    <row r="4" spans="2:17" x14ac:dyDescent="0.3">
      <c r="B4" s="22"/>
      <c r="C4" s="15">
        <v>2</v>
      </c>
      <c r="D4" t="s">
        <v>88</v>
      </c>
      <c r="F4" s="10"/>
      <c r="G4">
        <v>10</v>
      </c>
      <c r="H4" s="4">
        <f t="shared" ref="H4:H9" si="0">PRODUCT(G4,15)</f>
        <v>150</v>
      </c>
      <c r="I4" s="30"/>
      <c r="J4" s="31"/>
      <c r="K4" s="32"/>
    </row>
    <row r="5" spans="2:17" x14ac:dyDescent="0.3">
      <c r="B5" s="22"/>
      <c r="C5" s="15">
        <v>3</v>
      </c>
      <c r="D5" t="s">
        <v>14</v>
      </c>
      <c r="F5" s="10"/>
      <c r="G5">
        <v>6</v>
      </c>
      <c r="H5" s="4">
        <f t="shared" si="0"/>
        <v>90</v>
      </c>
      <c r="I5" s="30"/>
      <c r="J5" s="31"/>
      <c r="K5" s="32"/>
    </row>
    <row r="6" spans="2:17" x14ac:dyDescent="0.3">
      <c r="B6" s="22"/>
      <c r="C6" s="15">
        <v>4</v>
      </c>
      <c r="D6" t="s">
        <v>95</v>
      </c>
      <c r="F6" s="10"/>
      <c r="G6">
        <v>10</v>
      </c>
      <c r="H6" s="4">
        <f t="shared" si="0"/>
        <v>150</v>
      </c>
      <c r="I6" s="30"/>
      <c r="J6" s="31"/>
      <c r="K6" s="32"/>
    </row>
    <row r="7" spans="2:17" x14ac:dyDescent="0.3">
      <c r="B7" s="22"/>
      <c r="C7" s="15">
        <v>5</v>
      </c>
      <c r="D7" t="s">
        <v>47</v>
      </c>
      <c r="F7" s="10"/>
      <c r="G7">
        <v>4</v>
      </c>
      <c r="H7" s="4">
        <f t="shared" si="0"/>
        <v>60</v>
      </c>
      <c r="I7" s="30"/>
      <c r="J7" s="31"/>
      <c r="K7" s="32"/>
    </row>
    <row r="8" spans="2:17" x14ac:dyDescent="0.3">
      <c r="B8" s="22"/>
      <c r="C8" s="15">
        <v>6</v>
      </c>
      <c r="D8" t="s">
        <v>79</v>
      </c>
      <c r="F8" s="10"/>
      <c r="G8">
        <v>4</v>
      </c>
      <c r="H8" s="4">
        <f t="shared" si="0"/>
        <v>60</v>
      </c>
      <c r="I8" s="30"/>
      <c r="J8" s="31"/>
      <c r="K8" s="32"/>
    </row>
    <row r="9" spans="2:17" x14ac:dyDescent="0.3">
      <c r="B9" s="22"/>
      <c r="C9" s="15">
        <v>7</v>
      </c>
      <c r="D9" t="s">
        <v>169</v>
      </c>
      <c r="F9" s="10"/>
      <c r="G9">
        <v>4</v>
      </c>
      <c r="H9" s="4">
        <f t="shared" si="0"/>
        <v>60</v>
      </c>
      <c r="I9" s="30"/>
      <c r="J9" s="31"/>
      <c r="K9" s="32"/>
    </row>
    <row r="10" spans="2:17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F12" s="10"/>
      <c r="H12" s="4"/>
      <c r="I12" s="27" t="s">
        <v>413</v>
      </c>
      <c r="J12" s="28"/>
      <c r="K12" s="29"/>
    </row>
    <row r="13" spans="2:17" x14ac:dyDescent="0.3">
      <c r="B13" s="22"/>
      <c r="C13" s="15">
        <v>11</v>
      </c>
      <c r="F13" s="10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15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62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930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930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C5BA-91B1-4FEC-BBAD-E2005E2B1776}">
  <sheetPr>
    <pageSetUpPr fitToPage="1"/>
  </sheetPr>
  <dimension ref="B1:Q32"/>
  <sheetViews>
    <sheetView workbookViewId="0">
      <selection activeCell="I29" sqref="I29:J3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406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75</v>
      </c>
      <c r="F3" s="10"/>
      <c r="G3">
        <v>16</v>
      </c>
      <c r="H3" s="4">
        <f>PRODUCT(G3,20)</f>
        <v>320</v>
      </c>
      <c r="I3" s="27" t="s">
        <v>407</v>
      </c>
      <c r="J3" s="28"/>
      <c r="K3" s="29"/>
    </row>
    <row r="4" spans="2:17" x14ac:dyDescent="0.3">
      <c r="B4" s="22"/>
      <c r="C4" s="15">
        <v>2</v>
      </c>
      <c r="D4" t="s">
        <v>363</v>
      </c>
      <c r="F4" s="10"/>
      <c r="G4">
        <v>8</v>
      </c>
      <c r="H4" s="4">
        <f t="shared" ref="H4:H20" si="0">PRODUCT(G4,20)</f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228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54</v>
      </c>
      <c r="F6" s="10"/>
      <c r="G6">
        <v>5</v>
      </c>
      <c r="H6" s="4">
        <f t="shared" si="0"/>
        <v>100</v>
      </c>
      <c r="I6" s="30"/>
      <c r="J6" s="31"/>
      <c r="K6" s="32"/>
    </row>
    <row r="7" spans="2:17" x14ac:dyDescent="0.3">
      <c r="B7" s="22"/>
      <c r="C7" s="15">
        <v>5</v>
      </c>
      <c r="D7" t="s">
        <v>241</v>
      </c>
      <c r="F7" s="10"/>
      <c r="G7">
        <v>5</v>
      </c>
      <c r="H7" s="4">
        <f t="shared" si="0"/>
        <v>100</v>
      </c>
      <c r="I7" s="30"/>
      <c r="J7" s="31"/>
      <c r="K7" s="32"/>
    </row>
    <row r="8" spans="2:17" x14ac:dyDescent="0.3">
      <c r="B8" s="22"/>
      <c r="C8" s="15">
        <v>6</v>
      </c>
      <c r="D8" t="s">
        <v>47</v>
      </c>
      <c r="F8" s="10"/>
      <c r="G8">
        <v>5</v>
      </c>
      <c r="H8" s="4">
        <f t="shared" si="0"/>
        <v>100</v>
      </c>
      <c r="I8" s="30"/>
      <c r="J8" s="31"/>
      <c r="K8" s="32"/>
    </row>
    <row r="9" spans="2:17" x14ac:dyDescent="0.3">
      <c r="B9" s="22"/>
      <c r="C9" s="15">
        <v>7</v>
      </c>
      <c r="D9" t="s">
        <v>13</v>
      </c>
      <c r="F9" s="10"/>
      <c r="G9">
        <v>3.5</v>
      </c>
      <c r="H9" s="4">
        <f t="shared" si="0"/>
        <v>70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12</v>
      </c>
      <c r="F10" s="10"/>
      <c r="G10">
        <v>3.5</v>
      </c>
      <c r="H10" s="4">
        <f t="shared" si="0"/>
        <v>70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146</v>
      </c>
      <c r="F11" s="10"/>
      <c r="G11">
        <v>3.5</v>
      </c>
      <c r="H11" s="4">
        <f t="shared" si="0"/>
        <v>70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81</v>
      </c>
      <c r="F12" s="10"/>
      <c r="G12">
        <v>3.5</v>
      </c>
      <c r="H12" s="4">
        <f t="shared" si="0"/>
        <v>70</v>
      </c>
      <c r="I12" s="27"/>
      <c r="J12" s="28"/>
      <c r="K12" s="29"/>
    </row>
    <row r="13" spans="2:17" x14ac:dyDescent="0.3">
      <c r="B13" s="22"/>
      <c r="C13" s="15">
        <v>11</v>
      </c>
      <c r="D13" t="s">
        <v>99</v>
      </c>
      <c r="F13" s="10"/>
      <c r="G13">
        <v>3.5</v>
      </c>
      <c r="H13" s="4">
        <f t="shared" si="0"/>
        <v>70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227</v>
      </c>
      <c r="F14" s="10"/>
      <c r="G14">
        <v>3.5</v>
      </c>
      <c r="H14" s="4">
        <f t="shared" si="0"/>
        <v>70</v>
      </c>
      <c r="I14" s="30"/>
      <c r="J14" s="31"/>
      <c r="K14" s="32"/>
    </row>
    <row r="15" spans="2:17" x14ac:dyDescent="0.3">
      <c r="B15" s="22"/>
      <c r="C15" s="15">
        <v>13</v>
      </c>
      <c r="D15" t="s">
        <v>42</v>
      </c>
      <c r="F15" s="10"/>
      <c r="G15">
        <v>3.5</v>
      </c>
      <c r="H15" s="4">
        <f t="shared" si="0"/>
        <v>70</v>
      </c>
      <c r="I15" s="30"/>
      <c r="J15" s="31"/>
      <c r="K15" s="32"/>
    </row>
    <row r="16" spans="2:17" x14ac:dyDescent="0.3">
      <c r="B16" s="22"/>
      <c r="C16" s="15">
        <v>14</v>
      </c>
      <c r="D16" t="s">
        <v>236</v>
      </c>
      <c r="F16" s="10"/>
      <c r="G16">
        <v>3.5</v>
      </c>
      <c r="H16" s="4">
        <f t="shared" si="0"/>
        <v>70</v>
      </c>
      <c r="I16" s="30"/>
      <c r="J16" s="31"/>
      <c r="K16" s="32"/>
    </row>
    <row r="17" spans="2:11" x14ac:dyDescent="0.3">
      <c r="B17" s="22"/>
      <c r="C17" s="15">
        <v>15</v>
      </c>
      <c r="D17" t="s">
        <v>364</v>
      </c>
      <c r="F17" s="10"/>
      <c r="G17">
        <v>3.5</v>
      </c>
      <c r="H17" s="4">
        <f t="shared" si="0"/>
        <v>70</v>
      </c>
      <c r="I17" s="30"/>
      <c r="J17" s="31"/>
      <c r="K17" s="32"/>
    </row>
    <row r="18" spans="2:11" x14ac:dyDescent="0.3">
      <c r="B18" s="22"/>
      <c r="C18" s="15">
        <v>16</v>
      </c>
      <c r="D18" t="s">
        <v>205</v>
      </c>
      <c r="F18" s="10"/>
      <c r="G18">
        <v>3.5</v>
      </c>
      <c r="H18" s="4">
        <f t="shared" si="0"/>
        <v>70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53</v>
      </c>
      <c r="F19" s="10"/>
      <c r="G19">
        <v>3.5</v>
      </c>
      <c r="H19" s="4">
        <f t="shared" si="0"/>
        <v>70</v>
      </c>
      <c r="I19" s="30"/>
      <c r="J19" s="31"/>
      <c r="K19" s="32"/>
    </row>
    <row r="20" spans="2:11" x14ac:dyDescent="0.3">
      <c r="B20" s="22"/>
      <c r="C20" s="15">
        <v>18</v>
      </c>
      <c r="D20" t="s">
        <v>51</v>
      </c>
      <c r="F20" s="10"/>
      <c r="G20">
        <v>3.5</v>
      </c>
      <c r="H20" s="4">
        <f t="shared" si="0"/>
        <v>70</v>
      </c>
      <c r="I20" s="17" t="s">
        <v>23</v>
      </c>
      <c r="J20" s="2"/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89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1780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1780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15AE-F028-471E-B86E-E79115FFA1B8}">
  <sheetPr>
    <pageSetUpPr fitToPage="1"/>
  </sheetPr>
  <dimension ref="B1:Q32"/>
  <sheetViews>
    <sheetView workbookViewId="0">
      <selection activeCell="G3" sqref="G3:G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402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81</v>
      </c>
      <c r="F3" s="10"/>
      <c r="G3">
        <v>6</v>
      </c>
      <c r="H3" s="4">
        <f>PRODUCT(G3,20)</f>
        <v>120</v>
      </c>
      <c r="I3" s="27" t="s">
        <v>404</v>
      </c>
      <c r="J3" s="28"/>
      <c r="K3" s="29"/>
    </row>
    <row r="4" spans="2:17" x14ac:dyDescent="0.3">
      <c r="B4" s="22"/>
      <c r="C4" s="15">
        <v>2</v>
      </c>
      <c r="D4" t="s">
        <v>53</v>
      </c>
      <c r="F4" s="10"/>
      <c r="G4">
        <v>6</v>
      </c>
      <c r="H4" s="4">
        <f t="shared" ref="H4:H19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236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9</v>
      </c>
      <c r="F6" s="10"/>
      <c r="G6">
        <v>2</v>
      </c>
      <c r="H6" s="4">
        <f t="shared" si="0"/>
        <v>40</v>
      </c>
      <c r="I6" s="30"/>
      <c r="J6" s="31"/>
      <c r="K6" s="32"/>
    </row>
    <row r="7" spans="2:17" x14ac:dyDescent="0.3">
      <c r="B7" s="22"/>
      <c r="C7" s="15">
        <v>5</v>
      </c>
      <c r="D7" t="s">
        <v>14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181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45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42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43</v>
      </c>
      <c r="F12" s="10"/>
      <c r="G12">
        <v>4</v>
      </c>
      <c r="H12" s="4">
        <f t="shared" si="0"/>
        <v>80</v>
      </c>
      <c r="I12" s="27" t="s">
        <v>405</v>
      </c>
      <c r="J12" s="28"/>
      <c r="K12" s="29"/>
    </row>
    <row r="13" spans="2:17" x14ac:dyDescent="0.3">
      <c r="B13" s="22"/>
      <c r="C13" s="15">
        <v>11</v>
      </c>
      <c r="D13" t="s">
        <v>364</v>
      </c>
      <c r="F13" s="10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403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47</v>
      </c>
      <c r="F15" s="10"/>
      <c r="G15">
        <v>1</v>
      </c>
      <c r="H15" s="4">
        <f t="shared" si="0"/>
        <v>20</v>
      </c>
      <c r="I15" s="30"/>
      <c r="J15" s="31"/>
      <c r="K15" s="32"/>
    </row>
    <row r="16" spans="2:17" x14ac:dyDescent="0.3">
      <c r="B16" s="22"/>
      <c r="C16" s="15">
        <v>14</v>
      </c>
      <c r="D16" t="s">
        <v>48</v>
      </c>
      <c r="F16" s="10"/>
      <c r="G16">
        <v>3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80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58</v>
      </c>
      <c r="F18" s="10"/>
      <c r="G18">
        <v>6</v>
      </c>
      <c r="H18" s="4">
        <f t="shared" si="0"/>
        <v>120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95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/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68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1360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1360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9957-39B2-407E-98E1-2C74263DF54D}">
  <sheetPr>
    <pageSetUpPr fitToPage="1"/>
  </sheetPr>
  <dimension ref="B1:K32"/>
  <sheetViews>
    <sheetView topLeftCell="A12"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400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51</v>
      </c>
      <c r="F3" s="10"/>
      <c r="G3">
        <v>10</v>
      </c>
      <c r="H3" s="4">
        <f>PRODUCT(G3,15)</f>
        <v>150</v>
      </c>
      <c r="I3" s="27" t="s">
        <v>401</v>
      </c>
      <c r="J3" s="28"/>
      <c r="K3" s="29"/>
    </row>
    <row r="4" spans="2:11" x14ac:dyDescent="0.3">
      <c r="B4" s="22"/>
      <c r="C4" s="15">
        <v>2</v>
      </c>
      <c r="D4" t="s">
        <v>75</v>
      </c>
      <c r="F4" s="10"/>
      <c r="G4">
        <v>6</v>
      </c>
      <c r="H4" s="4">
        <f t="shared" ref="H4:H20" si="0">PRODUCT(G4,15)</f>
        <v>90</v>
      </c>
      <c r="I4" s="30"/>
      <c r="J4" s="31"/>
      <c r="K4" s="32"/>
    </row>
    <row r="5" spans="2:11" x14ac:dyDescent="0.3">
      <c r="B5" s="22"/>
      <c r="C5" s="15">
        <v>3</v>
      </c>
      <c r="D5" t="s">
        <v>54</v>
      </c>
      <c r="G5">
        <v>6</v>
      </c>
      <c r="H5" s="4">
        <f t="shared" si="0"/>
        <v>90</v>
      </c>
      <c r="I5" s="30"/>
      <c r="J5" s="31"/>
      <c r="K5" s="32"/>
    </row>
    <row r="6" spans="2:11" x14ac:dyDescent="0.3">
      <c r="B6" s="22"/>
      <c r="C6" s="15">
        <v>4</v>
      </c>
      <c r="D6" t="s">
        <v>262</v>
      </c>
      <c r="F6" s="10"/>
      <c r="G6">
        <v>4</v>
      </c>
      <c r="H6" s="4">
        <f t="shared" si="0"/>
        <v>60</v>
      </c>
      <c r="I6" s="30"/>
      <c r="J6" s="31"/>
      <c r="K6" s="32"/>
    </row>
    <row r="7" spans="2:11" x14ac:dyDescent="0.3">
      <c r="B7" s="22"/>
      <c r="C7" s="15">
        <v>5</v>
      </c>
      <c r="D7" t="s">
        <v>40</v>
      </c>
      <c r="F7" s="10"/>
      <c r="G7">
        <v>4</v>
      </c>
      <c r="H7" s="4">
        <f t="shared" si="0"/>
        <v>60</v>
      </c>
      <c r="I7" s="30"/>
      <c r="J7" s="31"/>
      <c r="K7" s="32"/>
    </row>
    <row r="8" spans="2:11" x14ac:dyDescent="0.3">
      <c r="B8" s="22"/>
      <c r="C8" s="15">
        <v>6</v>
      </c>
      <c r="D8" t="s">
        <v>131</v>
      </c>
      <c r="F8" s="10"/>
      <c r="G8">
        <v>4</v>
      </c>
      <c r="H8" s="4">
        <f t="shared" si="0"/>
        <v>60</v>
      </c>
      <c r="I8" s="30"/>
      <c r="J8" s="31"/>
      <c r="K8" s="32"/>
    </row>
    <row r="9" spans="2:11" x14ac:dyDescent="0.3">
      <c r="B9" s="22"/>
      <c r="C9" s="15">
        <v>7</v>
      </c>
      <c r="D9" t="s">
        <v>13</v>
      </c>
      <c r="F9" s="10"/>
      <c r="G9">
        <v>4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87</v>
      </c>
      <c r="F10" s="10"/>
      <c r="G10">
        <v>4</v>
      </c>
      <c r="H10" s="4">
        <f t="shared" si="0"/>
        <v>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67</v>
      </c>
      <c r="E11" t="s">
        <v>63</v>
      </c>
      <c r="F11" s="10"/>
      <c r="G11">
        <v>2</v>
      </c>
      <c r="H11" s="4">
        <f t="shared" si="0"/>
        <v>30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49</v>
      </c>
      <c r="F12" s="10"/>
      <c r="G12">
        <v>2</v>
      </c>
      <c r="H12" s="4">
        <f t="shared" si="0"/>
        <v>30</v>
      </c>
      <c r="I12" s="27"/>
      <c r="J12" s="28"/>
      <c r="K12" s="29"/>
    </row>
    <row r="13" spans="2:11" x14ac:dyDescent="0.3">
      <c r="B13" s="22"/>
      <c r="C13" s="15">
        <v>11</v>
      </c>
      <c r="D13" t="s">
        <v>47</v>
      </c>
      <c r="F13" s="10"/>
      <c r="G13">
        <v>2</v>
      </c>
      <c r="H13" s="4">
        <f t="shared" si="0"/>
        <v>30</v>
      </c>
      <c r="I13" s="30"/>
      <c r="J13" s="31"/>
      <c r="K13" s="32"/>
    </row>
    <row r="14" spans="2:11" x14ac:dyDescent="0.3">
      <c r="B14" s="22"/>
      <c r="C14" s="15">
        <v>12</v>
      </c>
      <c r="D14" t="s">
        <v>79</v>
      </c>
      <c r="E14" t="s">
        <v>66</v>
      </c>
      <c r="F14" s="10"/>
      <c r="G14">
        <v>2</v>
      </c>
      <c r="H14" s="4">
        <f t="shared" si="0"/>
        <v>30</v>
      </c>
      <c r="I14" s="30"/>
      <c r="J14" s="31"/>
      <c r="K14" s="32"/>
    </row>
    <row r="15" spans="2:11" x14ac:dyDescent="0.3">
      <c r="B15" s="22"/>
      <c r="C15" s="15">
        <v>13</v>
      </c>
      <c r="D15" t="s">
        <v>160</v>
      </c>
      <c r="E15" t="s">
        <v>66</v>
      </c>
      <c r="F15" s="10"/>
      <c r="G15">
        <v>2</v>
      </c>
      <c r="H15" s="4">
        <f t="shared" si="0"/>
        <v>30</v>
      </c>
      <c r="I15" s="30"/>
      <c r="J15" s="31"/>
      <c r="K15" s="32"/>
    </row>
    <row r="16" spans="2:11" x14ac:dyDescent="0.3">
      <c r="B16" s="22"/>
      <c r="C16" s="15">
        <v>14</v>
      </c>
      <c r="D16" t="s">
        <v>71</v>
      </c>
      <c r="F16" s="10"/>
      <c r="G16">
        <v>4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96</v>
      </c>
      <c r="F17" s="10"/>
      <c r="G17">
        <v>4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85</v>
      </c>
      <c r="F18" s="10"/>
      <c r="G18">
        <v>4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14</v>
      </c>
      <c r="F19" s="10"/>
      <c r="G19">
        <v>4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48</v>
      </c>
      <c r="F20" s="10"/>
      <c r="G20">
        <v>4</v>
      </c>
      <c r="H20" s="4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30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2160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1080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A02E-1634-4D98-A2CA-7FAF13A10325}">
  <sheetPr>
    <pageSetUpPr fitToPage="1"/>
  </sheetPr>
  <dimension ref="B1:K32"/>
  <sheetViews>
    <sheetView workbookViewId="0">
      <selection activeCell="I11" sqref="I11:K1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398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280</v>
      </c>
      <c r="F3" s="10"/>
      <c r="G3">
        <v>12</v>
      </c>
      <c r="H3" s="4">
        <f>PRODUCT(G3,15)</f>
        <v>180</v>
      </c>
      <c r="I3" s="27" t="s">
        <v>401</v>
      </c>
      <c r="J3" s="28"/>
      <c r="K3" s="29"/>
    </row>
    <row r="4" spans="2:11" x14ac:dyDescent="0.3">
      <c r="B4" s="22"/>
      <c r="C4" s="15">
        <v>2</v>
      </c>
      <c r="D4" t="s">
        <v>281</v>
      </c>
      <c r="F4" s="10"/>
      <c r="G4">
        <v>10</v>
      </c>
      <c r="H4" s="4">
        <f t="shared" ref="H4:H5" si="0">PRODUCT(G4,15)</f>
        <v>150</v>
      </c>
      <c r="I4" s="30"/>
      <c r="J4" s="31"/>
      <c r="K4" s="32"/>
    </row>
    <row r="5" spans="2:11" x14ac:dyDescent="0.3">
      <c r="B5" s="22"/>
      <c r="C5" s="15">
        <v>3</v>
      </c>
      <c r="D5" t="s">
        <v>399</v>
      </c>
      <c r="G5">
        <v>2</v>
      </c>
      <c r="H5" s="4">
        <f t="shared" si="0"/>
        <v>30</v>
      </c>
      <c r="I5" s="30"/>
      <c r="J5" s="31"/>
      <c r="K5" s="32"/>
    </row>
    <row r="6" spans="2:11" x14ac:dyDescent="0.3">
      <c r="B6" s="22"/>
      <c r="C6" s="15">
        <v>4</v>
      </c>
      <c r="F6" s="10"/>
      <c r="H6" s="4"/>
      <c r="I6" s="30"/>
      <c r="J6" s="31"/>
      <c r="K6" s="32"/>
    </row>
    <row r="7" spans="2:11" x14ac:dyDescent="0.3">
      <c r="B7" s="22"/>
      <c r="C7" s="15">
        <v>5</v>
      </c>
      <c r="F7" s="10"/>
      <c r="H7" s="4"/>
      <c r="I7" s="30"/>
      <c r="J7" s="31"/>
      <c r="K7" s="32"/>
    </row>
    <row r="8" spans="2:11" x14ac:dyDescent="0.3">
      <c r="B8" s="22"/>
      <c r="C8" s="15">
        <v>6</v>
      </c>
      <c r="F8" s="10"/>
      <c r="H8" s="4"/>
      <c r="I8" s="30"/>
      <c r="J8" s="31"/>
      <c r="K8" s="32"/>
    </row>
    <row r="9" spans="2:11" x14ac:dyDescent="0.3">
      <c r="B9" s="22"/>
      <c r="C9" s="15">
        <v>7</v>
      </c>
      <c r="F9" s="10"/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15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20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24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360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360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F88E-33ED-468C-912F-50C009C32CD1}">
  <sheetPr>
    <pageSetUpPr fitToPage="1"/>
  </sheetPr>
  <dimension ref="B1:Q32"/>
  <sheetViews>
    <sheetView workbookViewId="0">
      <selection activeCell="E19" sqref="E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396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328</v>
      </c>
      <c r="E3" s="3"/>
      <c r="G3">
        <v>6</v>
      </c>
      <c r="H3" s="4">
        <f>PRODUCT(G3,20)</f>
        <v>120</v>
      </c>
      <c r="I3" s="27" t="s">
        <v>395</v>
      </c>
      <c r="J3" s="28"/>
      <c r="K3" s="29"/>
    </row>
    <row r="4" spans="2:17" x14ac:dyDescent="0.3">
      <c r="B4" s="22"/>
      <c r="C4" s="15">
        <v>2</v>
      </c>
      <c r="D4" t="s">
        <v>75</v>
      </c>
      <c r="E4" s="4"/>
      <c r="G4">
        <v>6</v>
      </c>
      <c r="H4" s="4">
        <f t="shared" ref="H4:H20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13</v>
      </c>
      <c r="E5" s="4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14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58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53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87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45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44</v>
      </c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100</v>
      </c>
      <c r="E12" s="4"/>
      <c r="G12">
        <v>4</v>
      </c>
      <c r="H12" s="4">
        <f t="shared" si="0"/>
        <v>80</v>
      </c>
      <c r="I12" s="27" t="s">
        <v>397</v>
      </c>
      <c r="J12" s="28"/>
      <c r="K12" s="29"/>
    </row>
    <row r="13" spans="2:17" x14ac:dyDescent="0.3">
      <c r="B13" s="22"/>
      <c r="C13" s="15">
        <v>11</v>
      </c>
      <c r="D13" t="s">
        <v>181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47</v>
      </c>
      <c r="E14" s="4"/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48</v>
      </c>
      <c r="E15" s="4"/>
      <c r="G15">
        <v>5</v>
      </c>
      <c r="H15" s="4">
        <f t="shared" si="0"/>
        <v>100</v>
      </c>
      <c r="I15" s="30"/>
      <c r="J15" s="31"/>
      <c r="K15" s="32"/>
    </row>
    <row r="16" spans="2:17" x14ac:dyDescent="0.3">
      <c r="B16" s="22"/>
      <c r="C16" s="15">
        <v>14</v>
      </c>
      <c r="D16" t="s">
        <v>128</v>
      </c>
      <c r="E16" s="4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108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146</v>
      </c>
      <c r="E18" s="4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152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81</v>
      </c>
      <c r="E20" s="4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68</v>
      </c>
      <c r="E21" s="4"/>
      <c r="H21" s="4">
        <v>40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75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9039-19B5-4E90-876E-0303B9B262F8}">
  <sheetPr>
    <pageSetUpPr fitToPage="1"/>
  </sheetPr>
  <dimension ref="B1:Q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393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8</v>
      </c>
      <c r="H3" s="4">
        <f>PRODUCT(G3,20)</f>
        <v>160</v>
      </c>
      <c r="I3" s="27" t="s">
        <v>392</v>
      </c>
      <c r="J3" s="28"/>
      <c r="K3" s="29"/>
    </row>
    <row r="4" spans="2:17" x14ac:dyDescent="0.3">
      <c r="B4" s="22"/>
      <c r="C4" s="15">
        <v>2</v>
      </c>
      <c r="D4" t="s">
        <v>75</v>
      </c>
      <c r="E4" s="4"/>
      <c r="G4">
        <v>8</v>
      </c>
      <c r="H4" s="4">
        <f t="shared" ref="H4:H17" si="0">PRODUCT(G4,20)</f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13</v>
      </c>
      <c r="E5" s="4"/>
      <c r="G5">
        <v>8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14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12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54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53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363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228</v>
      </c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241</v>
      </c>
      <c r="E12" s="4"/>
      <c r="G12">
        <v>4</v>
      </c>
      <c r="H12" s="4">
        <f t="shared" si="0"/>
        <v>80</v>
      </c>
      <c r="I12" s="27" t="s">
        <v>394</v>
      </c>
      <c r="J12" s="28"/>
      <c r="K12" s="29"/>
    </row>
    <row r="13" spans="2:17" x14ac:dyDescent="0.3">
      <c r="B13" s="22"/>
      <c r="C13" s="15">
        <v>11</v>
      </c>
      <c r="D13" t="s">
        <v>81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99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227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42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236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205</v>
      </c>
      <c r="E18" s="4"/>
      <c r="G18">
        <v>4</v>
      </c>
      <c r="H18" s="4">
        <f>PRODUCT(G18,20)</f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131</v>
      </c>
      <c r="E19" s="4"/>
      <c r="G19">
        <v>4</v>
      </c>
      <c r="H19" s="4">
        <f>PRODUCT(G19,20)</f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48</v>
      </c>
      <c r="E20" s="4"/>
      <c r="G20">
        <v>4</v>
      </c>
      <c r="H20" s="4">
        <f>PRODUCT(G20,20)</f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147</v>
      </c>
      <c r="E21" s="4"/>
      <c r="G21">
        <v>4</v>
      </c>
      <c r="H21" s="4">
        <f>PRODUCT(G21,20)</f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146</v>
      </c>
      <c r="G22">
        <v>4</v>
      </c>
      <c r="H22" s="4">
        <f>PRODUCT(G22,20)</f>
        <v>80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92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1840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1840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B794-35B5-4BE3-93E6-F92DB94CBC27}">
  <sheetPr>
    <pageSetUpPr fitToPage="1"/>
  </sheetPr>
  <dimension ref="B1:Q32"/>
  <sheetViews>
    <sheetView workbookViewId="0">
      <selection activeCell="E15" sqref="E1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389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8</v>
      </c>
      <c r="H3" s="4">
        <f>PRODUCT(G3,20)</f>
        <v>160</v>
      </c>
      <c r="I3" s="27" t="s">
        <v>390</v>
      </c>
      <c r="J3" s="28"/>
      <c r="K3" s="29"/>
    </row>
    <row r="4" spans="2:17" x14ac:dyDescent="0.3">
      <c r="B4" s="22"/>
      <c r="C4" s="15">
        <v>2</v>
      </c>
      <c r="D4" t="s">
        <v>152</v>
      </c>
      <c r="E4" s="4"/>
      <c r="G4">
        <v>6</v>
      </c>
      <c r="H4" s="4">
        <f t="shared" ref="H4:H22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E5" s="4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53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87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169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59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60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62</v>
      </c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71</v>
      </c>
      <c r="E12" s="4"/>
      <c r="G12">
        <v>4</v>
      </c>
      <c r="H12" s="4">
        <f t="shared" si="0"/>
        <v>80</v>
      </c>
      <c r="I12" s="27" t="s">
        <v>391</v>
      </c>
      <c r="J12" s="28"/>
      <c r="K12" s="29"/>
    </row>
    <row r="13" spans="2:17" x14ac:dyDescent="0.3">
      <c r="B13" s="22"/>
      <c r="C13" s="15">
        <v>11</v>
      </c>
      <c r="D13" t="s">
        <v>45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79</v>
      </c>
      <c r="E14" s="4" t="s">
        <v>66</v>
      </c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160</v>
      </c>
      <c r="E15" s="4" t="s">
        <v>66</v>
      </c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64</v>
      </c>
      <c r="E16" s="4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47</v>
      </c>
      <c r="E17" s="4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49</v>
      </c>
      <c r="E18" s="4"/>
      <c r="G18">
        <v>1.2</v>
      </c>
      <c r="H18" s="4">
        <f t="shared" si="0"/>
        <v>24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48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75</v>
      </c>
      <c r="E20" s="4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67</v>
      </c>
      <c r="E21" s="4" t="s">
        <v>63</v>
      </c>
      <c r="G21">
        <v>2.8</v>
      </c>
      <c r="H21" s="4">
        <f t="shared" si="0"/>
        <v>56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14</v>
      </c>
      <c r="E22" s="4"/>
      <c r="G22">
        <v>4</v>
      </c>
      <c r="H22" s="4">
        <f t="shared" si="0"/>
        <v>80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76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55FC-DE64-42D8-938D-FEE4CE49E42B}">
  <sheetPr>
    <pageSetUpPr fitToPage="1"/>
  </sheetPr>
  <dimension ref="B1:Q32"/>
  <sheetViews>
    <sheetView workbookViewId="0">
      <selection activeCell="D12" sqref="D1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91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12</v>
      </c>
      <c r="E3" s="3"/>
      <c r="G3">
        <v>12</v>
      </c>
      <c r="H3" s="4">
        <f>PRODUCT(G3,$J$21)</f>
        <v>240</v>
      </c>
      <c r="I3" s="27" t="s">
        <v>388</v>
      </c>
      <c r="J3" s="28"/>
      <c r="K3" s="29"/>
    </row>
    <row r="4" spans="2:17" x14ac:dyDescent="0.3">
      <c r="B4" s="22"/>
      <c r="C4" s="15">
        <v>2</v>
      </c>
      <c r="D4" t="s">
        <v>135</v>
      </c>
      <c r="E4" s="4"/>
      <c r="G4">
        <v>6</v>
      </c>
      <c r="H4" s="4">
        <f t="shared" ref="H4:H21" si="0">PRODUCT(G4,$J$21)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93</v>
      </c>
      <c r="E5" s="4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94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227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13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14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75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139</v>
      </c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100</v>
      </c>
      <c r="E12" s="4"/>
      <c r="G12">
        <v>3</v>
      </c>
      <c r="H12" s="4">
        <f t="shared" si="0"/>
        <v>60</v>
      </c>
      <c r="I12" s="27"/>
      <c r="J12" s="28"/>
      <c r="K12" s="29"/>
    </row>
    <row r="13" spans="2:17" x14ac:dyDescent="0.3">
      <c r="B13" s="22"/>
      <c r="C13" s="15">
        <v>11</v>
      </c>
      <c r="D13" t="s">
        <v>150</v>
      </c>
      <c r="E13" s="4"/>
      <c r="G13">
        <v>3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99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43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87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19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97</v>
      </c>
      <c r="E18" s="4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96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68</v>
      </c>
      <c r="E20" s="4"/>
      <c r="G20">
        <v>2</v>
      </c>
      <c r="H20" s="4">
        <f t="shared" si="0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73</v>
      </c>
      <c r="E21" s="4"/>
      <c r="G21">
        <v>2</v>
      </c>
      <c r="H21" s="4">
        <f t="shared" si="0"/>
        <v>40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81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8B5E-A6F4-45BA-8ED2-A223DB3F9B25}">
  <sheetPr>
    <pageSetUpPr fitToPage="1"/>
  </sheetPr>
  <dimension ref="B1:Q32"/>
  <sheetViews>
    <sheetView tabSelected="1" workbookViewId="0">
      <selection activeCell="N27" sqref="N2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385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12</v>
      </c>
      <c r="E3" s="3"/>
      <c r="G3">
        <v>10</v>
      </c>
      <c r="H3" s="4">
        <f>PRODUCT(G3,$J$21)</f>
        <v>200</v>
      </c>
      <c r="I3" s="27" t="s">
        <v>387</v>
      </c>
      <c r="J3" s="28"/>
      <c r="K3" s="29"/>
    </row>
    <row r="4" spans="2:17" x14ac:dyDescent="0.3">
      <c r="B4" s="22"/>
      <c r="C4" s="15">
        <v>2</v>
      </c>
      <c r="D4" t="s">
        <v>135</v>
      </c>
      <c r="E4" s="4"/>
      <c r="G4">
        <v>6</v>
      </c>
      <c r="H4" s="4">
        <f t="shared" ref="H4:H19" si="0">PRODUCT(G4,$J$21)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152</v>
      </c>
      <c r="E5" s="4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58</v>
      </c>
      <c r="E6" s="4"/>
      <c r="G6">
        <v>8</v>
      </c>
      <c r="H6" s="4">
        <f t="shared" si="0"/>
        <v>160</v>
      </c>
      <c r="I6" s="30"/>
      <c r="J6" s="31"/>
      <c r="K6" s="32"/>
    </row>
    <row r="7" spans="2:17" x14ac:dyDescent="0.3">
      <c r="B7" s="22"/>
      <c r="C7" s="15">
        <v>5</v>
      </c>
      <c r="D7" t="s">
        <v>87</v>
      </c>
      <c r="E7" s="4"/>
      <c r="G7">
        <v>8</v>
      </c>
      <c r="H7" s="4">
        <f t="shared" si="0"/>
        <v>160</v>
      </c>
      <c r="I7" s="30"/>
      <c r="J7" s="31"/>
      <c r="K7" s="32"/>
    </row>
    <row r="8" spans="2:17" x14ac:dyDescent="0.3">
      <c r="B8" s="22"/>
      <c r="C8" s="15">
        <v>6</v>
      </c>
      <c r="D8" t="s">
        <v>386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143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41</v>
      </c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144</v>
      </c>
      <c r="E12" s="4"/>
      <c r="G12">
        <v>4</v>
      </c>
      <c r="H12" s="4">
        <f t="shared" si="0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284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98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137</v>
      </c>
      <c r="E15" s="4"/>
      <c r="G15">
        <v>2.8</v>
      </c>
      <c r="H15" s="4">
        <f t="shared" si="0"/>
        <v>56</v>
      </c>
      <c r="I15" s="30"/>
      <c r="J15" s="31"/>
      <c r="K15" s="32"/>
    </row>
    <row r="16" spans="2:17" x14ac:dyDescent="0.3">
      <c r="B16" s="22"/>
      <c r="C16" s="15">
        <v>14</v>
      </c>
      <c r="D16" t="s">
        <v>108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73</v>
      </c>
      <c r="E17" s="4"/>
      <c r="G17">
        <v>2.8</v>
      </c>
      <c r="H17" s="4">
        <f t="shared" si="0"/>
        <v>56</v>
      </c>
      <c r="I17" s="30"/>
      <c r="J17" s="31"/>
      <c r="K17" s="32"/>
    </row>
    <row r="18" spans="2:11" x14ac:dyDescent="0.3">
      <c r="B18" s="22"/>
      <c r="C18" s="15">
        <v>16</v>
      </c>
      <c r="D18" t="s">
        <v>48</v>
      </c>
      <c r="E18" s="4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E19" s="4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80.599999999999994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1612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1612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63A4-B861-44B4-A9C2-4678A25505C9}">
  <sheetPr>
    <pageSetUpPr fitToPage="1"/>
  </sheetPr>
  <dimension ref="B1:Q32"/>
  <sheetViews>
    <sheetView topLeftCell="A3" workbookViewId="0">
      <selection activeCell="O9" sqref="O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384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40</v>
      </c>
      <c r="E3" s="3"/>
      <c r="G3">
        <v>12</v>
      </c>
      <c r="H3" s="4">
        <f>PRODUCT(G3,$J$21)</f>
        <v>240</v>
      </c>
      <c r="I3" s="27" t="s">
        <v>383</v>
      </c>
      <c r="J3" s="28"/>
      <c r="K3" s="29"/>
    </row>
    <row r="4" spans="2:17" x14ac:dyDescent="0.3">
      <c r="B4" s="22"/>
      <c r="C4" s="15">
        <v>2</v>
      </c>
      <c r="D4" t="s">
        <v>58</v>
      </c>
      <c r="E4" s="4"/>
      <c r="G4">
        <v>12</v>
      </c>
      <c r="H4" s="4">
        <f t="shared" ref="H4:H11" si="0">PRODUCT(G4,$J$21)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128</v>
      </c>
      <c r="E5" s="4"/>
      <c r="G5">
        <v>8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167</v>
      </c>
      <c r="E6" s="4"/>
      <c r="G6">
        <v>8</v>
      </c>
      <c r="H6" s="4">
        <f t="shared" si="0"/>
        <v>160</v>
      </c>
      <c r="I6" s="30"/>
      <c r="J6" s="31"/>
      <c r="K6" s="32"/>
    </row>
    <row r="7" spans="2:17" x14ac:dyDescent="0.3">
      <c r="B7" s="22"/>
      <c r="C7" s="15">
        <v>5</v>
      </c>
      <c r="D7" t="s">
        <v>80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160</v>
      </c>
      <c r="E8" s="4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108</v>
      </c>
      <c r="E9" s="4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48</v>
      </c>
      <c r="E10" s="4"/>
      <c r="G10">
        <v>6</v>
      </c>
      <c r="H10" s="4">
        <f t="shared" si="0"/>
        <v>120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47</v>
      </c>
      <c r="E11" s="4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E12" s="4"/>
      <c r="H12" s="4"/>
      <c r="I12" s="27"/>
      <c r="J12" s="28"/>
      <c r="K12" s="29"/>
    </row>
    <row r="13" spans="2:17" x14ac:dyDescent="0.3">
      <c r="B13" s="22"/>
      <c r="C13" s="15">
        <v>11</v>
      </c>
      <c r="E13" s="4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E14" s="4"/>
      <c r="H14" s="4"/>
      <c r="I14" s="30"/>
      <c r="J14" s="31"/>
      <c r="K14" s="32"/>
    </row>
    <row r="15" spans="2:17" x14ac:dyDescent="0.3">
      <c r="B15" s="22"/>
      <c r="C15" s="15">
        <v>13</v>
      </c>
      <c r="E15" s="4"/>
      <c r="H15" s="4"/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68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7A70-863D-4E82-AFDE-392BE0D5FB94}">
  <sheetPr>
    <pageSetUpPr fitToPage="1"/>
  </sheetPr>
  <dimension ref="B1:Q32"/>
  <sheetViews>
    <sheetView workbookViewId="0">
      <selection activeCell="G9" sqref="G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308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146</v>
      </c>
      <c r="E3" s="3"/>
      <c r="G3">
        <v>10</v>
      </c>
      <c r="H3" s="4">
        <f>PRODUCT(G3,30)</f>
        <v>300</v>
      </c>
      <c r="I3" s="27" t="s">
        <v>382</v>
      </c>
      <c r="J3" s="28"/>
      <c r="K3" s="29"/>
    </row>
    <row r="4" spans="2:17" x14ac:dyDescent="0.3">
      <c r="B4" s="22"/>
      <c r="C4" s="15">
        <v>2</v>
      </c>
      <c r="D4" t="s">
        <v>309</v>
      </c>
      <c r="E4" s="4"/>
      <c r="G4">
        <v>8</v>
      </c>
      <c r="H4" s="4">
        <f t="shared" ref="H4:H12" si="0">PRODUCT(G4,30)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128</v>
      </c>
      <c r="E5" s="4"/>
      <c r="G5">
        <v>8</v>
      </c>
      <c r="H5" s="4">
        <f t="shared" si="0"/>
        <v>240</v>
      </c>
      <c r="I5" s="30"/>
      <c r="J5" s="31"/>
      <c r="K5" s="32"/>
    </row>
    <row r="6" spans="2:17" x14ac:dyDescent="0.3">
      <c r="B6" s="22"/>
      <c r="C6" s="15">
        <v>4</v>
      </c>
      <c r="D6" t="s">
        <v>54</v>
      </c>
      <c r="E6" s="4"/>
      <c r="G6">
        <v>6</v>
      </c>
      <c r="H6" s="4">
        <f t="shared" si="0"/>
        <v>180</v>
      </c>
      <c r="I6" s="30"/>
      <c r="J6" s="31"/>
      <c r="K6" s="32"/>
    </row>
    <row r="7" spans="2:17" x14ac:dyDescent="0.3">
      <c r="B7" s="22"/>
      <c r="C7" s="15">
        <v>5</v>
      </c>
      <c r="D7" t="s">
        <v>48</v>
      </c>
      <c r="E7" s="4"/>
      <c r="G7">
        <v>6</v>
      </c>
      <c r="H7" s="4">
        <f t="shared" si="0"/>
        <v>180</v>
      </c>
      <c r="I7" s="30"/>
      <c r="J7" s="31"/>
      <c r="K7" s="32"/>
    </row>
    <row r="8" spans="2:17" x14ac:dyDescent="0.3">
      <c r="B8" s="22"/>
      <c r="C8" s="15">
        <v>6</v>
      </c>
      <c r="D8" t="s">
        <v>47</v>
      </c>
      <c r="E8" s="4"/>
      <c r="G8">
        <v>4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256</v>
      </c>
      <c r="E9" s="4"/>
      <c r="G9">
        <v>4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68</v>
      </c>
      <c r="E10" s="4"/>
      <c r="G10">
        <v>2</v>
      </c>
      <c r="H10" s="4">
        <v>40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55</v>
      </c>
      <c r="E11" s="4"/>
      <c r="G11">
        <v>4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53</v>
      </c>
      <c r="E12" s="4"/>
      <c r="G12">
        <v>4</v>
      </c>
      <c r="H12" s="4">
        <f t="shared" si="0"/>
        <v>120</v>
      </c>
      <c r="I12" s="27" t="s">
        <v>381</v>
      </c>
      <c r="J12" s="28"/>
      <c r="K12" s="29"/>
    </row>
    <row r="13" spans="2:17" x14ac:dyDescent="0.3">
      <c r="B13" s="22"/>
      <c r="C13" s="15">
        <v>11</v>
      </c>
      <c r="E13" s="4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E14" s="4"/>
      <c r="H14" s="4"/>
      <c r="I14" s="30"/>
      <c r="J14" s="31"/>
      <c r="K14" s="32"/>
    </row>
    <row r="15" spans="2:17" x14ac:dyDescent="0.3">
      <c r="B15" s="22"/>
      <c r="C15" s="15">
        <v>13</v>
      </c>
      <c r="E15" s="4"/>
      <c r="H15" s="4"/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56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F1D6-50AB-4B1D-80C5-80C422C94A52}">
  <sheetPr>
    <pageSetUpPr fitToPage="1"/>
  </sheetPr>
  <dimension ref="B1:K32"/>
  <sheetViews>
    <sheetView workbookViewId="0">
      <selection activeCell="G14" sqref="G1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379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13</v>
      </c>
      <c r="F3" s="10"/>
      <c r="G3">
        <v>12</v>
      </c>
      <c r="H3" s="4">
        <f>PRODUCT(G3,$J$21)</f>
        <v>120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14</v>
      </c>
      <c r="F4" s="10"/>
      <c r="G4">
        <v>6</v>
      </c>
      <c r="H4" s="4">
        <f t="shared" ref="H4:H15" si="0">PRODUCT(G4,$J$21)</f>
        <v>60</v>
      </c>
      <c r="I4" s="30"/>
      <c r="J4" s="31"/>
      <c r="K4" s="32"/>
    </row>
    <row r="5" spans="2:11" x14ac:dyDescent="0.3">
      <c r="B5" s="22"/>
      <c r="C5" s="15">
        <v>3</v>
      </c>
      <c r="D5" t="s">
        <v>167</v>
      </c>
      <c r="G5">
        <v>6</v>
      </c>
      <c r="H5" s="4">
        <f t="shared" si="0"/>
        <v>60</v>
      </c>
      <c r="I5" s="30"/>
      <c r="J5" s="31"/>
      <c r="K5" s="32"/>
    </row>
    <row r="6" spans="2:11" x14ac:dyDescent="0.3">
      <c r="B6" s="22"/>
      <c r="C6" s="15">
        <v>4</v>
      </c>
      <c r="D6" t="s">
        <v>85</v>
      </c>
      <c r="F6" s="10"/>
      <c r="G6">
        <v>8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19</v>
      </c>
      <c r="F7" s="10"/>
      <c r="G7">
        <v>8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95</v>
      </c>
      <c r="F8" s="10"/>
      <c r="G8">
        <v>8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58</v>
      </c>
      <c r="F9" s="10"/>
      <c r="G9">
        <v>6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96</v>
      </c>
      <c r="F10" s="10"/>
      <c r="G10">
        <v>4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54</v>
      </c>
      <c r="F11" s="10"/>
      <c r="G11">
        <v>8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55</v>
      </c>
      <c r="F12" s="10"/>
      <c r="G12">
        <v>4</v>
      </c>
      <c r="H12" s="4">
        <f t="shared" si="0"/>
        <v>40</v>
      </c>
      <c r="I12" s="27" t="s">
        <v>380</v>
      </c>
      <c r="J12" s="28"/>
      <c r="K12" s="29"/>
    </row>
    <row r="13" spans="2:11" x14ac:dyDescent="0.3">
      <c r="B13" s="22"/>
      <c r="C13" s="15">
        <v>11</v>
      </c>
      <c r="D13" t="s">
        <v>53</v>
      </c>
      <c r="F13" s="10"/>
      <c r="G13">
        <v>4</v>
      </c>
      <c r="H13" s="4">
        <f t="shared" si="0"/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48</v>
      </c>
      <c r="F14" s="10"/>
      <c r="G14">
        <v>6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59</v>
      </c>
      <c r="F15" s="10"/>
      <c r="G15">
        <v>4</v>
      </c>
      <c r="H15" s="4">
        <f t="shared" si="0"/>
        <v>40</v>
      </c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10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20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840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840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83CA-1918-4B1B-A7C0-5C194A8C4BC5}">
  <sheetPr>
    <pageSetUpPr fitToPage="1"/>
  </sheetPr>
  <dimension ref="B1:K32"/>
  <sheetViews>
    <sheetView workbookViewId="0">
      <selection activeCell="A33" sqref="A3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375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376</v>
      </c>
      <c r="F3" s="10"/>
      <c r="G3">
        <v>12</v>
      </c>
      <c r="H3" s="4">
        <f>PRODUCT(G3,$J$21)</f>
        <v>240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280</v>
      </c>
      <c r="E4" t="s">
        <v>378</v>
      </c>
      <c r="F4" s="10"/>
      <c r="G4">
        <v>8</v>
      </c>
      <c r="H4" s="4">
        <f t="shared" ref="H4:H10" si="0">PRODUCT(G4,$J$21)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96</v>
      </c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281</v>
      </c>
      <c r="E6" t="s">
        <v>378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171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85</v>
      </c>
      <c r="F8" s="10"/>
      <c r="G8">
        <v>12</v>
      </c>
      <c r="H8" s="4">
        <f t="shared" si="0"/>
        <v>240</v>
      </c>
      <c r="I8" s="30"/>
      <c r="J8" s="31"/>
      <c r="K8" s="32"/>
    </row>
    <row r="9" spans="2:11" x14ac:dyDescent="0.3">
      <c r="B9" s="22"/>
      <c r="C9" s="15">
        <v>7</v>
      </c>
      <c r="D9" t="s">
        <v>13</v>
      </c>
      <c r="F9" s="10"/>
      <c r="G9">
        <v>8</v>
      </c>
      <c r="H9" s="4">
        <f t="shared" si="0"/>
        <v>160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 t="s">
        <v>377</v>
      </c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58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1160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1160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E4F3-AC0D-4934-A91C-7E5C7C1667F7}">
  <sheetPr>
    <pageSetUpPr fitToPage="1"/>
  </sheetPr>
  <dimension ref="B1:K32"/>
  <sheetViews>
    <sheetView workbookViewId="0">
      <selection activeCell="K33" sqref="K3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372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85</v>
      </c>
      <c r="F3" s="10"/>
      <c r="G3">
        <v>12</v>
      </c>
      <c r="H3" s="4">
        <f>PRODUCT(G3,$J$21)</f>
        <v>240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79</v>
      </c>
      <c r="E4" t="s">
        <v>66</v>
      </c>
      <c r="F4" s="10"/>
      <c r="G4">
        <v>4</v>
      </c>
      <c r="H4" s="4">
        <f t="shared" ref="H4:H22" si="0">PRODUCT(G4,$J$21)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136</v>
      </c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373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13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137</v>
      </c>
      <c r="F8" s="10"/>
      <c r="G8">
        <v>2</v>
      </c>
      <c r="H8" s="4">
        <f t="shared" si="0"/>
        <v>40</v>
      </c>
      <c r="I8" s="30"/>
      <c r="J8" s="31"/>
      <c r="K8" s="32"/>
    </row>
    <row r="9" spans="2:11" x14ac:dyDescent="0.3">
      <c r="B9" s="22"/>
      <c r="C9" s="15">
        <v>7</v>
      </c>
      <c r="D9" t="s">
        <v>244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131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198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349</v>
      </c>
      <c r="F12" s="10"/>
      <c r="G12">
        <v>3</v>
      </c>
      <c r="H12" s="4">
        <f t="shared" si="0"/>
        <v>60</v>
      </c>
      <c r="I12" s="27" t="s">
        <v>374</v>
      </c>
      <c r="J12" s="28"/>
      <c r="K12" s="29"/>
    </row>
    <row r="13" spans="2:11" x14ac:dyDescent="0.3">
      <c r="B13" s="22"/>
      <c r="C13" s="15">
        <v>11</v>
      </c>
      <c r="D13" t="s">
        <v>77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353</v>
      </c>
      <c r="F14" s="10"/>
      <c r="G14">
        <v>3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45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1" x14ac:dyDescent="0.3">
      <c r="B16" s="22"/>
      <c r="C16" s="15">
        <v>14</v>
      </c>
      <c r="D16" t="s">
        <v>67</v>
      </c>
      <c r="E16" t="s">
        <v>63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88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89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153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19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54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68</v>
      </c>
      <c r="F22" s="10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75A6-1DFD-4B84-BBD0-6F53FFB72FC0}">
  <sheetPr>
    <pageSetUpPr fitToPage="1"/>
  </sheetPr>
  <dimension ref="B1:K32"/>
  <sheetViews>
    <sheetView workbookViewId="0">
      <selection activeCell="Q17" sqref="Q1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370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51</v>
      </c>
      <c r="F3" s="10"/>
      <c r="G3">
        <v>10</v>
      </c>
      <c r="H3" s="4">
        <f>PRODUCT($J$21)</f>
        <v>20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13</v>
      </c>
      <c r="F4" s="10"/>
      <c r="G4">
        <v>4</v>
      </c>
      <c r="H4" s="4">
        <f t="shared" ref="H4:H22" si="0">PRODUCT($J$21)</f>
        <v>20</v>
      </c>
      <c r="I4" s="30"/>
      <c r="J4" s="31"/>
      <c r="K4" s="32"/>
    </row>
    <row r="5" spans="2:11" x14ac:dyDescent="0.3">
      <c r="B5" s="22"/>
      <c r="C5" s="15">
        <v>3</v>
      </c>
      <c r="D5" t="s">
        <v>14</v>
      </c>
      <c r="G5">
        <v>4</v>
      </c>
      <c r="H5" s="4">
        <f t="shared" si="0"/>
        <v>20</v>
      </c>
      <c r="I5" s="30"/>
      <c r="J5" s="31"/>
      <c r="K5" s="32"/>
    </row>
    <row r="6" spans="2:11" x14ac:dyDescent="0.3">
      <c r="B6" s="22"/>
      <c r="C6" s="15">
        <v>4</v>
      </c>
      <c r="D6" t="s">
        <v>75</v>
      </c>
      <c r="F6" s="10"/>
      <c r="G6">
        <v>4</v>
      </c>
      <c r="H6" s="4">
        <f t="shared" si="0"/>
        <v>20</v>
      </c>
      <c r="I6" s="30"/>
      <c r="J6" s="31"/>
      <c r="K6" s="32"/>
    </row>
    <row r="7" spans="2:11" x14ac:dyDescent="0.3">
      <c r="B7" s="22"/>
      <c r="C7" s="15">
        <v>5</v>
      </c>
      <c r="D7" t="s">
        <v>85</v>
      </c>
      <c r="F7" s="10"/>
      <c r="G7">
        <v>4</v>
      </c>
      <c r="H7" s="4">
        <f t="shared" si="0"/>
        <v>20</v>
      </c>
      <c r="I7" s="30"/>
      <c r="J7" s="31"/>
      <c r="K7" s="32"/>
    </row>
    <row r="8" spans="2:11" x14ac:dyDescent="0.3">
      <c r="B8" s="22"/>
      <c r="C8" s="15">
        <v>6</v>
      </c>
      <c r="D8" t="s">
        <v>76</v>
      </c>
      <c r="F8" s="10"/>
      <c r="G8">
        <v>4</v>
      </c>
      <c r="H8" s="4">
        <f t="shared" si="0"/>
        <v>20</v>
      </c>
      <c r="I8" s="30"/>
      <c r="J8" s="31"/>
      <c r="K8" s="32"/>
    </row>
    <row r="9" spans="2:11" x14ac:dyDescent="0.3">
      <c r="B9" s="22"/>
      <c r="C9" s="15">
        <v>7</v>
      </c>
      <c r="D9" t="s">
        <v>108</v>
      </c>
      <c r="F9" s="10"/>
      <c r="G9">
        <v>4</v>
      </c>
      <c r="H9" s="4">
        <f t="shared" si="0"/>
        <v>20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54</v>
      </c>
      <c r="F10" s="10"/>
      <c r="G10">
        <v>4</v>
      </c>
      <c r="H10" s="4">
        <f t="shared" si="0"/>
        <v>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87</v>
      </c>
      <c r="F11" s="10"/>
      <c r="G11">
        <v>4</v>
      </c>
      <c r="H11" s="4">
        <f t="shared" si="0"/>
        <v>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79</v>
      </c>
      <c r="E12" t="s">
        <v>66</v>
      </c>
      <c r="F12" s="10"/>
      <c r="G12">
        <v>3</v>
      </c>
      <c r="H12" s="4">
        <f t="shared" si="0"/>
        <v>20</v>
      </c>
      <c r="I12" s="27" t="s">
        <v>371</v>
      </c>
      <c r="J12" s="28"/>
      <c r="K12" s="29"/>
    </row>
    <row r="13" spans="2:11" x14ac:dyDescent="0.3">
      <c r="B13" s="22"/>
      <c r="C13" s="15">
        <v>11</v>
      </c>
      <c r="D13" t="s">
        <v>67</v>
      </c>
      <c r="E13" t="s">
        <v>63</v>
      </c>
      <c r="F13" s="10"/>
      <c r="G13">
        <v>3</v>
      </c>
      <c r="H13" s="4">
        <f t="shared" si="0"/>
        <v>20</v>
      </c>
      <c r="I13" s="30"/>
      <c r="J13" s="31"/>
      <c r="K13" s="32"/>
    </row>
    <row r="14" spans="2:11" x14ac:dyDescent="0.3">
      <c r="B14" s="22"/>
      <c r="C14" s="15">
        <v>12</v>
      </c>
      <c r="D14" t="s">
        <v>131</v>
      </c>
      <c r="F14" s="10"/>
      <c r="G14">
        <v>3</v>
      </c>
      <c r="H14" s="4">
        <f t="shared" si="0"/>
        <v>20</v>
      </c>
      <c r="I14" s="30"/>
      <c r="J14" s="31"/>
      <c r="K14" s="32"/>
    </row>
    <row r="15" spans="2:11" x14ac:dyDescent="0.3">
      <c r="B15" s="22"/>
      <c r="C15" s="15">
        <v>13</v>
      </c>
      <c r="D15" t="s">
        <v>78</v>
      </c>
      <c r="F15" s="10"/>
      <c r="G15">
        <v>3</v>
      </c>
      <c r="H15" s="4">
        <f t="shared" si="0"/>
        <v>20</v>
      </c>
      <c r="I15" s="30"/>
      <c r="J15" s="31"/>
      <c r="K15" s="32"/>
    </row>
    <row r="16" spans="2:11" x14ac:dyDescent="0.3">
      <c r="B16" s="22"/>
      <c r="C16" s="15">
        <v>14</v>
      </c>
      <c r="D16" t="s">
        <v>349</v>
      </c>
      <c r="F16" s="10"/>
      <c r="G16">
        <v>3</v>
      </c>
      <c r="H16" s="4">
        <f t="shared" si="0"/>
        <v>20</v>
      </c>
      <c r="I16" s="30"/>
      <c r="J16" s="31"/>
      <c r="K16" s="32"/>
    </row>
    <row r="17" spans="2:11" x14ac:dyDescent="0.3">
      <c r="B17" s="22"/>
      <c r="C17" s="15">
        <v>15</v>
      </c>
      <c r="D17" t="s">
        <v>96</v>
      </c>
      <c r="F17" s="10"/>
      <c r="G17">
        <v>3</v>
      </c>
      <c r="H17" s="4">
        <f t="shared" si="0"/>
        <v>20</v>
      </c>
      <c r="I17" s="30"/>
      <c r="J17" s="31"/>
      <c r="K17" s="32"/>
    </row>
    <row r="18" spans="2:11" x14ac:dyDescent="0.3">
      <c r="B18" s="22"/>
      <c r="C18" s="15">
        <v>16</v>
      </c>
      <c r="D18" t="s">
        <v>164</v>
      </c>
      <c r="F18" s="10"/>
      <c r="G18">
        <v>3</v>
      </c>
      <c r="H18" s="4">
        <f t="shared" si="0"/>
        <v>20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62</v>
      </c>
      <c r="F19" s="10"/>
      <c r="G19">
        <v>3</v>
      </c>
      <c r="H19" s="4">
        <f t="shared" si="0"/>
        <v>20</v>
      </c>
      <c r="I19" s="30"/>
      <c r="J19" s="31"/>
      <c r="K19" s="32"/>
    </row>
    <row r="20" spans="2:11" x14ac:dyDescent="0.3">
      <c r="B20" s="22"/>
      <c r="C20" s="15">
        <v>18</v>
      </c>
      <c r="D20" t="s">
        <v>165</v>
      </c>
      <c r="F20" s="10"/>
      <c r="G20">
        <v>3</v>
      </c>
      <c r="H20" s="4">
        <f t="shared" si="0"/>
        <v>20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73</v>
      </c>
      <c r="F21" s="10"/>
      <c r="G21">
        <v>2</v>
      </c>
      <c r="H21" s="4">
        <f t="shared" si="0"/>
        <v>20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68</v>
      </c>
      <c r="F22" s="10"/>
      <c r="G22">
        <v>2</v>
      </c>
      <c r="H22" s="4">
        <f t="shared" si="0"/>
        <v>20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73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400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962D-DCB2-4779-8552-AA1E16037AEB}">
  <sheetPr>
    <pageSetUpPr fitToPage="1"/>
  </sheetPr>
  <dimension ref="B1:N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322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51</v>
      </c>
      <c r="F3" s="10"/>
      <c r="G3">
        <v>10</v>
      </c>
      <c r="H3" s="4">
        <f>PRODUCT(G3,$J$21)</f>
        <v>200</v>
      </c>
      <c r="I3" s="27" t="s">
        <v>367</v>
      </c>
      <c r="J3" s="28"/>
      <c r="K3" s="29"/>
    </row>
    <row r="4" spans="2:14" x14ac:dyDescent="0.3">
      <c r="B4" s="22"/>
      <c r="C4" s="15">
        <v>2</v>
      </c>
      <c r="D4" t="s">
        <v>53</v>
      </c>
      <c r="F4" s="10"/>
      <c r="G4">
        <v>6</v>
      </c>
      <c r="H4" s="4">
        <f t="shared" ref="H4:H13" si="0">PRODUCT(G4,$J$21)</f>
        <v>120</v>
      </c>
      <c r="I4" s="30"/>
      <c r="J4" s="31"/>
      <c r="K4" s="32"/>
    </row>
    <row r="5" spans="2:14" x14ac:dyDescent="0.3">
      <c r="B5" s="22"/>
      <c r="C5" s="15">
        <v>3</v>
      </c>
      <c r="D5" t="s">
        <v>58</v>
      </c>
      <c r="E5" t="s">
        <v>366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4" x14ac:dyDescent="0.3">
      <c r="B7" s="22"/>
      <c r="C7" s="15">
        <v>5</v>
      </c>
      <c r="D7" t="s">
        <v>54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4" x14ac:dyDescent="0.3">
      <c r="B8" s="22"/>
      <c r="C8" s="15">
        <v>6</v>
      </c>
      <c r="D8" t="s">
        <v>71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4" x14ac:dyDescent="0.3">
      <c r="B9" s="22"/>
      <c r="C9" s="15">
        <v>7</v>
      </c>
      <c r="D9" t="s">
        <v>78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160</v>
      </c>
      <c r="E10" t="s">
        <v>66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48</v>
      </c>
      <c r="F12" s="10"/>
      <c r="G12">
        <v>4</v>
      </c>
      <c r="H12" s="4">
        <f t="shared" si="0"/>
        <v>80</v>
      </c>
      <c r="I12" s="27" t="s">
        <v>365</v>
      </c>
      <c r="J12" s="28"/>
      <c r="K12" s="29"/>
    </row>
    <row r="13" spans="2:14" x14ac:dyDescent="0.3">
      <c r="B13" s="22"/>
      <c r="C13" s="15">
        <v>11</v>
      </c>
      <c r="D13" t="s">
        <v>76</v>
      </c>
      <c r="G13">
        <v>4</v>
      </c>
      <c r="H13" s="4">
        <f t="shared" si="0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13</v>
      </c>
      <c r="F14" s="10"/>
      <c r="G14">
        <v>6</v>
      </c>
      <c r="H14" s="4">
        <f t="shared" ref="H14:H20" si="1">PRODUCT(G14,$J$21)</f>
        <v>120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45</v>
      </c>
      <c r="F15" s="10"/>
      <c r="G15">
        <v>4</v>
      </c>
      <c r="H15" s="4">
        <f t="shared" si="1"/>
        <v>80</v>
      </c>
      <c r="I15" s="30"/>
      <c r="J15" s="31"/>
      <c r="K15" s="32"/>
    </row>
    <row r="16" spans="2:14" x14ac:dyDescent="0.3">
      <c r="B16" s="22"/>
      <c r="C16" s="15">
        <v>14</v>
      </c>
      <c r="D16" t="s">
        <v>136</v>
      </c>
      <c r="F16" s="10"/>
      <c r="G16">
        <v>4</v>
      </c>
      <c r="H16" s="4">
        <f t="shared" si="1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138</v>
      </c>
      <c r="F17" s="10"/>
      <c r="G17">
        <v>2</v>
      </c>
      <c r="H17" s="4">
        <f t="shared" si="1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14</v>
      </c>
      <c r="F18" s="10"/>
      <c r="G18">
        <v>4</v>
      </c>
      <c r="H18" s="4">
        <f t="shared" si="1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64</v>
      </c>
      <c r="F19" s="10"/>
      <c r="G19">
        <v>3</v>
      </c>
      <c r="H19" s="4">
        <f t="shared" si="1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73</v>
      </c>
      <c r="F20" s="10"/>
      <c r="G20">
        <v>2</v>
      </c>
      <c r="H20" s="4">
        <f t="shared" si="1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3F57-33D7-40C7-940A-49CFCC804950}">
  <sheetPr>
    <pageSetUpPr fitToPage="1"/>
  </sheetPr>
  <dimension ref="B1:K32"/>
  <sheetViews>
    <sheetView workbookViewId="0">
      <selection activeCell="G24" sqref="G2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361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75</v>
      </c>
      <c r="F3" s="10"/>
      <c r="G3">
        <v>10</v>
      </c>
      <c r="H3" s="4">
        <f>PRODUCT(G3,$J$21)</f>
        <v>100</v>
      </c>
      <c r="I3" s="27" t="s">
        <v>362</v>
      </c>
      <c r="J3" s="28"/>
      <c r="K3" s="29"/>
    </row>
    <row r="4" spans="2:11" x14ac:dyDescent="0.3">
      <c r="B4" s="22"/>
      <c r="C4" s="15">
        <v>2</v>
      </c>
      <c r="D4" t="s">
        <v>363</v>
      </c>
      <c r="F4" s="10"/>
      <c r="G4">
        <v>10</v>
      </c>
      <c r="H4" s="4">
        <f t="shared" ref="H4:H24" si="0">PRODUCT(G4,$J$21)</f>
        <v>100</v>
      </c>
      <c r="I4" s="30"/>
      <c r="J4" s="31"/>
      <c r="K4" s="32"/>
    </row>
    <row r="5" spans="2:11" x14ac:dyDescent="0.3">
      <c r="B5" s="22"/>
      <c r="C5" s="15">
        <v>3</v>
      </c>
      <c r="D5" t="s">
        <v>228</v>
      </c>
      <c r="F5" s="10"/>
      <c r="G5">
        <v>10</v>
      </c>
      <c r="H5" s="4">
        <f t="shared" si="0"/>
        <v>100</v>
      </c>
      <c r="I5" s="30"/>
      <c r="J5" s="31"/>
      <c r="K5" s="32"/>
    </row>
    <row r="6" spans="2:11" x14ac:dyDescent="0.3">
      <c r="B6" s="22"/>
      <c r="C6" s="15">
        <v>4</v>
      </c>
      <c r="D6" t="s">
        <v>54</v>
      </c>
      <c r="F6" s="10"/>
      <c r="G6">
        <v>8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241</v>
      </c>
      <c r="F7" s="10"/>
      <c r="G7">
        <v>5</v>
      </c>
      <c r="H7" s="4">
        <f t="shared" si="0"/>
        <v>50</v>
      </c>
      <c r="I7" s="30"/>
      <c r="J7" s="31"/>
      <c r="K7" s="32"/>
    </row>
    <row r="8" spans="2:11" x14ac:dyDescent="0.3">
      <c r="B8" s="22"/>
      <c r="C8" s="15">
        <v>6</v>
      </c>
      <c r="D8" t="s">
        <v>47</v>
      </c>
      <c r="F8" s="10"/>
      <c r="G8">
        <v>5</v>
      </c>
      <c r="H8" s="4">
        <f t="shared" si="0"/>
        <v>50</v>
      </c>
      <c r="I8" s="30"/>
      <c r="J8" s="31"/>
      <c r="K8" s="32"/>
    </row>
    <row r="9" spans="2:11" x14ac:dyDescent="0.3">
      <c r="B9" s="22"/>
      <c r="C9" s="15">
        <v>7</v>
      </c>
      <c r="D9" t="s">
        <v>13</v>
      </c>
      <c r="F9" s="10"/>
      <c r="G9">
        <v>3.5</v>
      </c>
      <c r="H9" s="4">
        <f t="shared" si="0"/>
        <v>35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12</v>
      </c>
      <c r="F10" s="10"/>
      <c r="G10">
        <v>3.5</v>
      </c>
      <c r="H10" s="4">
        <f t="shared" si="0"/>
        <v>35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146</v>
      </c>
      <c r="F11" s="10"/>
      <c r="G11">
        <v>3.5</v>
      </c>
      <c r="H11" s="4">
        <f t="shared" si="0"/>
        <v>35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227</v>
      </c>
      <c r="F12" s="10"/>
      <c r="G12">
        <v>3.5</v>
      </c>
      <c r="H12" s="4">
        <f t="shared" si="0"/>
        <v>35</v>
      </c>
      <c r="I12" s="27"/>
      <c r="J12" s="28"/>
      <c r="K12" s="29"/>
    </row>
    <row r="13" spans="2:11" x14ac:dyDescent="0.3">
      <c r="B13" s="22"/>
      <c r="C13" s="15">
        <v>11</v>
      </c>
      <c r="D13" t="s">
        <v>99</v>
      </c>
      <c r="F13" s="10"/>
      <c r="G13">
        <v>3.5</v>
      </c>
      <c r="H13" s="4">
        <f t="shared" si="0"/>
        <v>35</v>
      </c>
      <c r="I13" s="30"/>
      <c r="J13" s="31"/>
      <c r="K13" s="32"/>
    </row>
    <row r="14" spans="2:11" x14ac:dyDescent="0.3">
      <c r="B14" s="22"/>
      <c r="C14" s="15">
        <v>12</v>
      </c>
      <c r="D14" t="s">
        <v>81</v>
      </c>
      <c r="F14" s="10"/>
      <c r="G14">
        <v>3.5</v>
      </c>
      <c r="H14" s="4">
        <f t="shared" si="0"/>
        <v>35</v>
      </c>
      <c r="I14" s="30"/>
      <c r="J14" s="31"/>
      <c r="K14" s="32"/>
    </row>
    <row r="15" spans="2:11" x14ac:dyDescent="0.3">
      <c r="B15" s="22"/>
      <c r="C15" s="15">
        <v>13</v>
      </c>
      <c r="D15" t="s">
        <v>42</v>
      </c>
      <c r="F15" s="10"/>
      <c r="G15">
        <v>3.5</v>
      </c>
      <c r="H15" s="4">
        <f t="shared" si="0"/>
        <v>35</v>
      </c>
      <c r="I15" s="30"/>
      <c r="J15" s="31"/>
      <c r="K15" s="32"/>
    </row>
    <row r="16" spans="2:11" x14ac:dyDescent="0.3">
      <c r="B16" s="22"/>
      <c r="C16" s="15">
        <v>14</v>
      </c>
      <c r="D16" t="s">
        <v>236</v>
      </c>
      <c r="F16" s="10"/>
      <c r="G16">
        <v>3.5</v>
      </c>
      <c r="H16" s="4">
        <f t="shared" si="0"/>
        <v>35</v>
      </c>
      <c r="I16" s="30"/>
      <c r="J16" s="31"/>
      <c r="K16" s="32"/>
    </row>
    <row r="17" spans="2:11" x14ac:dyDescent="0.3">
      <c r="B17" s="22"/>
      <c r="C17" s="15">
        <v>15</v>
      </c>
      <c r="D17" t="s">
        <v>364</v>
      </c>
      <c r="F17" s="10"/>
      <c r="G17">
        <v>3.5</v>
      </c>
      <c r="H17" s="4">
        <f t="shared" si="0"/>
        <v>35</v>
      </c>
      <c r="I17" s="30"/>
      <c r="J17" s="31"/>
      <c r="K17" s="32"/>
    </row>
    <row r="18" spans="2:11" x14ac:dyDescent="0.3">
      <c r="B18" s="22"/>
      <c r="C18" s="15">
        <v>16</v>
      </c>
      <c r="D18" t="s">
        <v>205</v>
      </c>
      <c r="F18" s="10"/>
      <c r="G18">
        <v>3.5</v>
      </c>
      <c r="H18" s="4">
        <f t="shared" si="0"/>
        <v>35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53</v>
      </c>
      <c r="F19" s="10"/>
      <c r="G19">
        <v>3.5</v>
      </c>
      <c r="H19" s="4">
        <f t="shared" si="0"/>
        <v>35</v>
      </c>
      <c r="I19" s="30"/>
      <c r="J19" s="31"/>
      <c r="K19" s="32"/>
    </row>
    <row r="20" spans="2:11" x14ac:dyDescent="0.3">
      <c r="B20" s="22"/>
      <c r="C20" s="15">
        <v>18</v>
      </c>
      <c r="D20" t="s">
        <v>51</v>
      </c>
      <c r="F20" s="10"/>
      <c r="G20">
        <v>5</v>
      </c>
      <c r="H20" s="4">
        <f t="shared" si="0"/>
        <v>50</v>
      </c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D21" t="s">
        <v>95</v>
      </c>
      <c r="F21" s="10"/>
      <c r="G21">
        <v>3.5</v>
      </c>
      <c r="H21" s="4">
        <f t="shared" si="0"/>
        <v>35</v>
      </c>
      <c r="I21" s="10" t="s">
        <v>25</v>
      </c>
      <c r="J21" s="19">
        <v>10</v>
      </c>
      <c r="K21" s="4" t="s">
        <v>26</v>
      </c>
    </row>
    <row r="22" spans="2:11" x14ac:dyDescent="0.3">
      <c r="B22" s="22"/>
      <c r="C22" s="15">
        <v>20</v>
      </c>
      <c r="D22" t="s">
        <v>19</v>
      </c>
      <c r="F22" s="10"/>
      <c r="G22">
        <v>3.5</v>
      </c>
      <c r="H22" s="4">
        <f t="shared" si="0"/>
        <v>35</v>
      </c>
      <c r="I22" s="10" t="s">
        <v>27</v>
      </c>
      <c r="J22" s="19">
        <v>30</v>
      </c>
      <c r="K22" s="4" t="s">
        <v>28</v>
      </c>
    </row>
    <row r="23" spans="2:11" ht="17.25" thickBot="1" x14ac:dyDescent="0.35">
      <c r="B23" s="22"/>
      <c r="C23" s="15">
        <v>21</v>
      </c>
      <c r="D23" t="s">
        <v>73</v>
      </c>
      <c r="F23" s="10"/>
      <c r="G23">
        <v>2</v>
      </c>
      <c r="H23" s="4">
        <f t="shared" si="0"/>
        <v>20</v>
      </c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D24" t="s">
        <v>239</v>
      </c>
      <c r="G24">
        <v>3.5</v>
      </c>
      <c r="H24" s="4">
        <f t="shared" si="0"/>
        <v>35</v>
      </c>
      <c r="I24" s="17"/>
      <c r="J24" s="2"/>
      <c r="K24" s="3"/>
    </row>
    <row r="25" spans="2:11" x14ac:dyDescent="0.3">
      <c r="B25" s="22"/>
      <c r="C25" s="15">
        <v>23</v>
      </c>
      <c r="I25" s="17" t="s">
        <v>29</v>
      </c>
      <c r="J25" s="2">
        <f>SUM(G3:G32)</f>
        <v>104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1040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1040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4E8A-975F-4C0E-A221-C106146F21ED}">
  <sheetPr>
    <pageSetUpPr fitToPage="1"/>
  </sheetPr>
  <dimension ref="B1:K32"/>
  <sheetViews>
    <sheetView workbookViewId="0">
      <selection activeCell="B2" sqref="B2:B3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145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75</v>
      </c>
      <c r="F3" s="10"/>
      <c r="G3">
        <v>10</v>
      </c>
      <c r="H3" s="4">
        <f>PRODUCT(G3,20)</f>
        <v>200</v>
      </c>
      <c r="I3" s="27"/>
      <c r="J3" s="28"/>
      <c r="K3" s="29"/>
    </row>
    <row r="4" spans="2:11" x14ac:dyDescent="0.3">
      <c r="B4" s="22"/>
      <c r="C4" s="15">
        <v>2</v>
      </c>
      <c r="D4" t="s">
        <v>12</v>
      </c>
      <c r="F4" s="10"/>
      <c r="G4">
        <v>5</v>
      </c>
      <c r="H4" s="4">
        <f t="shared" ref="H4:H13" si="0">PRODUCT(G4,20)</f>
        <v>100</v>
      </c>
      <c r="I4" s="30"/>
      <c r="J4" s="31"/>
      <c r="K4" s="32"/>
    </row>
    <row r="5" spans="2:11" x14ac:dyDescent="0.3">
      <c r="B5" s="22"/>
      <c r="C5" s="15">
        <v>3</v>
      </c>
      <c r="D5" t="s">
        <v>146</v>
      </c>
      <c r="F5" s="10"/>
      <c r="G5">
        <v>5</v>
      </c>
      <c r="H5" s="4">
        <f t="shared" si="0"/>
        <v>100</v>
      </c>
      <c r="I5" s="30"/>
      <c r="J5" s="31"/>
      <c r="K5" s="32"/>
    </row>
    <row r="6" spans="2:11" x14ac:dyDescent="0.3">
      <c r="B6" s="22"/>
      <c r="C6" s="15">
        <v>4</v>
      </c>
      <c r="D6" t="s">
        <v>13</v>
      </c>
      <c r="F6" s="10"/>
      <c r="G6">
        <v>5</v>
      </c>
      <c r="H6" s="4">
        <f t="shared" si="0"/>
        <v>100</v>
      </c>
      <c r="I6" s="30"/>
      <c r="J6" s="31"/>
      <c r="K6" s="32"/>
    </row>
    <row r="7" spans="2:11" x14ac:dyDescent="0.3">
      <c r="B7" s="22"/>
      <c r="C7" s="15">
        <v>5</v>
      </c>
      <c r="D7" t="s">
        <v>14</v>
      </c>
      <c r="F7" s="10"/>
      <c r="G7">
        <v>5</v>
      </c>
      <c r="H7" s="4">
        <f t="shared" si="0"/>
        <v>100</v>
      </c>
      <c r="I7" s="30"/>
      <c r="J7" s="31"/>
      <c r="K7" s="32"/>
    </row>
    <row r="8" spans="2:11" x14ac:dyDescent="0.3">
      <c r="B8" s="22"/>
      <c r="C8" s="15">
        <v>6</v>
      </c>
      <c r="D8" t="s">
        <v>100</v>
      </c>
      <c r="F8" s="10"/>
      <c r="G8">
        <v>3</v>
      </c>
      <c r="H8" s="4">
        <f t="shared" si="0"/>
        <v>60</v>
      </c>
      <c r="I8" s="30"/>
      <c r="J8" s="31"/>
      <c r="K8" s="32"/>
    </row>
    <row r="9" spans="2:11" x14ac:dyDescent="0.3">
      <c r="B9" s="22"/>
      <c r="C9" s="15">
        <v>7</v>
      </c>
      <c r="D9" t="s">
        <v>47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40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93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19</v>
      </c>
      <c r="F12" s="10"/>
      <c r="G12">
        <v>4</v>
      </c>
      <c r="H12" s="4">
        <f t="shared" si="0"/>
        <v>80</v>
      </c>
      <c r="I12" s="27"/>
      <c r="J12" s="28"/>
      <c r="K12" s="29"/>
    </row>
    <row r="13" spans="2:11" x14ac:dyDescent="0.3">
      <c r="B13" s="22"/>
      <c r="C13" s="15">
        <v>11</v>
      </c>
      <c r="D13" t="s">
        <v>161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52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1040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1040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8F55-4E6B-48E7-B3B5-6F6E5276A0AB}">
  <sheetPr>
    <pageSetUpPr fitToPage="1"/>
  </sheetPr>
  <dimension ref="B1:K32"/>
  <sheetViews>
    <sheetView workbookViewId="0">
      <selection activeCell="E27" sqref="E2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356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58</v>
      </c>
      <c r="F3" s="10"/>
      <c r="G3">
        <v>9</v>
      </c>
      <c r="H3" s="4">
        <f>PRODUCT(G3,$J$21)</f>
        <v>180</v>
      </c>
      <c r="I3" s="27" t="s">
        <v>359</v>
      </c>
      <c r="J3" s="28"/>
      <c r="K3" s="29"/>
    </row>
    <row r="4" spans="2:11" x14ac:dyDescent="0.3">
      <c r="B4" s="22"/>
      <c r="C4" s="15">
        <v>2</v>
      </c>
      <c r="D4" t="s">
        <v>48</v>
      </c>
      <c r="F4" s="10"/>
      <c r="G4">
        <v>8</v>
      </c>
      <c r="H4" s="4">
        <f t="shared" ref="H4:H19" si="0">PRODUCT(G4,$J$21)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128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160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108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47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161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79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95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85</v>
      </c>
      <c r="F12" s="10"/>
      <c r="G12">
        <v>4</v>
      </c>
      <c r="H12" s="4">
        <f t="shared" si="0"/>
        <v>80</v>
      </c>
      <c r="I12" s="27" t="s">
        <v>360</v>
      </c>
      <c r="J12" s="28"/>
      <c r="K12" s="29"/>
    </row>
    <row r="13" spans="2:11" x14ac:dyDescent="0.3">
      <c r="B13" s="22"/>
      <c r="C13" s="15">
        <v>11</v>
      </c>
      <c r="D13" t="s">
        <v>13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131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349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1" x14ac:dyDescent="0.3">
      <c r="B16" s="22"/>
      <c r="C16" s="15">
        <v>14</v>
      </c>
      <c r="D16" t="s">
        <v>254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137</v>
      </c>
      <c r="F17" s="10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100</v>
      </c>
      <c r="F18" s="10"/>
      <c r="G18">
        <v>6</v>
      </c>
      <c r="H18" s="4">
        <f t="shared" si="0"/>
        <v>120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96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83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CE16-DACE-40B5-B989-9F603EAEC191}">
  <sheetPr>
    <pageSetUpPr fitToPage="1"/>
  </sheetPr>
  <dimension ref="B1:K32"/>
  <sheetViews>
    <sheetView workbookViewId="0">
      <selection activeCell="E13" sqref="E1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356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58</v>
      </c>
      <c r="F3" s="10"/>
      <c r="G3">
        <v>9</v>
      </c>
      <c r="H3" s="4">
        <f>PRODUCT(G3,20)</f>
        <v>180</v>
      </c>
      <c r="I3" s="27" t="s">
        <v>357</v>
      </c>
      <c r="J3" s="28"/>
      <c r="K3" s="29"/>
    </row>
    <row r="4" spans="2:11" x14ac:dyDescent="0.3">
      <c r="B4" s="22"/>
      <c r="C4" s="15">
        <v>2</v>
      </c>
      <c r="D4" t="s">
        <v>48</v>
      </c>
      <c r="F4" s="10"/>
      <c r="G4">
        <v>8</v>
      </c>
      <c r="H4" s="4">
        <f t="shared" ref="H4:H13" si="0">PRODUCT(G4,20)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128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160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108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47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79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100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85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161</v>
      </c>
      <c r="F12" s="10"/>
      <c r="G12">
        <v>2</v>
      </c>
      <c r="H12" s="4">
        <f t="shared" si="0"/>
        <v>40</v>
      </c>
      <c r="I12" s="27" t="s">
        <v>358</v>
      </c>
      <c r="J12" s="28"/>
      <c r="K12" s="29"/>
    </row>
    <row r="13" spans="2:11" x14ac:dyDescent="0.3">
      <c r="B13" s="22"/>
      <c r="C13" s="15">
        <v>11</v>
      </c>
      <c r="D13" t="s">
        <v>68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61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1220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1220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0CB5-EE46-43F6-BE04-39294B8FFCDA}">
  <sheetPr>
    <pageSetUpPr fitToPage="1"/>
  </sheetPr>
  <dimension ref="B1:K32"/>
  <sheetViews>
    <sheetView workbookViewId="0">
      <selection activeCell="M30" sqref="M3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351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85</v>
      </c>
      <c r="F3" s="10"/>
      <c r="G3">
        <v>32</v>
      </c>
      <c r="H3" s="4">
        <f>PRODUCT(G3,20)</f>
        <v>640</v>
      </c>
      <c r="I3" s="27" t="s">
        <v>352</v>
      </c>
      <c r="J3" s="28"/>
      <c r="K3" s="29"/>
    </row>
    <row r="4" spans="2:11" x14ac:dyDescent="0.3">
      <c r="B4" s="22"/>
      <c r="C4" s="15">
        <v>2</v>
      </c>
      <c r="D4" t="s">
        <v>13</v>
      </c>
      <c r="F4" s="10"/>
      <c r="G4">
        <v>32</v>
      </c>
      <c r="H4" s="4">
        <f t="shared" ref="H4:H16" si="0">PRODUCT(G4,20)</f>
        <v>640</v>
      </c>
      <c r="I4" s="30"/>
      <c r="J4" s="31"/>
      <c r="K4" s="32"/>
    </row>
    <row r="5" spans="2:11" x14ac:dyDescent="0.3">
      <c r="B5" s="22"/>
      <c r="C5" s="15">
        <v>3</v>
      </c>
      <c r="D5" t="s">
        <v>131</v>
      </c>
      <c r="F5" s="10"/>
      <c r="G5">
        <v>10</v>
      </c>
      <c r="H5" s="4">
        <f t="shared" si="0"/>
        <v>200</v>
      </c>
      <c r="I5" s="30"/>
      <c r="J5" s="31"/>
      <c r="K5" s="32"/>
    </row>
    <row r="6" spans="2:11" x14ac:dyDescent="0.3">
      <c r="B6" s="22"/>
      <c r="C6" s="15">
        <v>4</v>
      </c>
      <c r="D6" t="s">
        <v>128</v>
      </c>
      <c r="F6" s="10"/>
      <c r="G6">
        <v>10</v>
      </c>
      <c r="H6" s="4">
        <f t="shared" si="0"/>
        <v>200</v>
      </c>
      <c r="I6" s="30"/>
      <c r="J6" s="31"/>
      <c r="K6" s="32"/>
    </row>
    <row r="7" spans="2:11" x14ac:dyDescent="0.3">
      <c r="B7" s="22"/>
      <c r="C7" s="15">
        <v>5</v>
      </c>
      <c r="D7" t="s">
        <v>150</v>
      </c>
      <c r="F7" s="10"/>
      <c r="G7">
        <v>8</v>
      </c>
      <c r="H7" s="4">
        <f t="shared" si="0"/>
        <v>160</v>
      </c>
      <c r="I7" s="30"/>
      <c r="J7" s="31"/>
      <c r="K7" s="32"/>
    </row>
    <row r="8" spans="2:11" x14ac:dyDescent="0.3">
      <c r="B8" s="22"/>
      <c r="C8" s="15">
        <v>6</v>
      </c>
      <c r="D8" t="s">
        <v>194</v>
      </c>
      <c r="F8" s="10"/>
      <c r="G8">
        <v>8</v>
      </c>
      <c r="H8" s="4">
        <f t="shared" si="0"/>
        <v>160</v>
      </c>
      <c r="I8" s="30"/>
      <c r="J8" s="31"/>
      <c r="K8" s="32"/>
    </row>
    <row r="9" spans="2:11" x14ac:dyDescent="0.3">
      <c r="B9" s="22"/>
      <c r="C9" s="15">
        <v>7</v>
      </c>
      <c r="D9" t="s">
        <v>95</v>
      </c>
      <c r="F9" s="10"/>
      <c r="G9">
        <v>8</v>
      </c>
      <c r="H9" s="4">
        <f t="shared" si="0"/>
        <v>160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48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100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353</v>
      </c>
      <c r="F12" s="10"/>
      <c r="G12">
        <v>6</v>
      </c>
      <c r="H12" s="4">
        <f t="shared" si="0"/>
        <v>120</v>
      </c>
      <c r="I12" s="27" t="s">
        <v>355</v>
      </c>
      <c r="J12" s="28"/>
      <c r="K12" s="29"/>
    </row>
    <row r="13" spans="2:11" x14ac:dyDescent="0.3">
      <c r="B13" s="22"/>
      <c r="C13" s="15">
        <v>11</v>
      </c>
      <c r="D13" t="s">
        <v>108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354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96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68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60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142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2840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2840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3712-C6E3-402A-8D6D-769C5DE40CC6}">
  <sheetPr>
    <pageSetUpPr fitToPage="1"/>
  </sheetPr>
  <dimension ref="B1:K32"/>
  <sheetViews>
    <sheetView workbookViewId="0">
      <selection activeCell="D3" sqref="D3:G16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347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13</v>
      </c>
      <c r="F3" s="10"/>
      <c r="G3">
        <v>6</v>
      </c>
      <c r="H3" s="4">
        <f>PRODUCT(G3,$J$21)</f>
        <v>120</v>
      </c>
      <c r="I3" s="27" t="s">
        <v>348</v>
      </c>
      <c r="J3" s="28"/>
      <c r="K3" s="29"/>
    </row>
    <row r="4" spans="2:11" x14ac:dyDescent="0.3">
      <c r="B4" s="22"/>
      <c r="C4" s="15">
        <v>2</v>
      </c>
      <c r="D4" t="s">
        <v>14</v>
      </c>
      <c r="F4" s="10"/>
      <c r="G4">
        <v>6</v>
      </c>
      <c r="H4" s="4">
        <f t="shared" ref="H4:H16" si="0">PRODUCT(G4,$J$21)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75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12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131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349</v>
      </c>
      <c r="F8" s="10"/>
      <c r="G8">
        <v>3</v>
      </c>
      <c r="H8" s="4">
        <f t="shared" si="0"/>
        <v>60</v>
      </c>
      <c r="I8" s="30"/>
      <c r="J8" s="31"/>
      <c r="K8" s="32"/>
    </row>
    <row r="9" spans="2:11" x14ac:dyDescent="0.3">
      <c r="B9" s="22"/>
      <c r="C9" s="15">
        <v>7</v>
      </c>
      <c r="D9" t="s">
        <v>88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89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40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96</v>
      </c>
      <c r="F12" s="10"/>
      <c r="G12">
        <v>3</v>
      </c>
      <c r="H12" s="4">
        <f t="shared" si="0"/>
        <v>60</v>
      </c>
      <c r="I12" s="27" t="s">
        <v>350</v>
      </c>
      <c r="J12" s="28"/>
      <c r="K12" s="29"/>
    </row>
    <row r="13" spans="2:11" x14ac:dyDescent="0.3">
      <c r="B13" s="22"/>
      <c r="C13" s="15">
        <v>11</v>
      </c>
      <c r="D13" t="s">
        <v>137</v>
      </c>
      <c r="F13" s="10"/>
      <c r="G13">
        <v>3</v>
      </c>
      <c r="H13" s="4">
        <f t="shared" si="0"/>
        <v>60</v>
      </c>
      <c r="I13" s="30"/>
      <c r="J13" s="31"/>
      <c r="K13" s="32"/>
    </row>
    <row r="14" spans="2:11" x14ac:dyDescent="0.3">
      <c r="B14" s="22"/>
      <c r="C14" s="15">
        <v>12</v>
      </c>
      <c r="D14" t="s">
        <v>95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100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68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58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1160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1160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5963-8526-4B21-BC07-14B9DF6A883E}">
  <sheetPr>
    <pageSetUpPr fitToPage="1"/>
  </sheetPr>
  <dimension ref="B1:K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345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100</v>
      </c>
      <c r="F3" s="10"/>
      <c r="G3">
        <v>6</v>
      </c>
      <c r="H3" s="4">
        <f>PRODUCT(G3,$J$21)</f>
        <v>180</v>
      </c>
      <c r="I3" s="27" t="s">
        <v>346</v>
      </c>
      <c r="J3" s="28"/>
      <c r="K3" s="29"/>
    </row>
    <row r="4" spans="2:11" x14ac:dyDescent="0.3">
      <c r="B4" s="22"/>
      <c r="C4" s="15">
        <v>2</v>
      </c>
      <c r="D4" t="s">
        <v>47</v>
      </c>
      <c r="F4" s="10"/>
      <c r="G4">
        <v>4</v>
      </c>
      <c r="H4" s="4">
        <f t="shared" ref="H4:H7" si="0">PRODUCT(G4,$J$21)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48</v>
      </c>
      <c r="F5" s="10"/>
      <c r="G5">
        <v>6</v>
      </c>
      <c r="H5" s="4">
        <f t="shared" si="0"/>
        <v>180</v>
      </c>
      <c r="I5" s="30"/>
      <c r="J5" s="31"/>
      <c r="K5" s="32"/>
    </row>
    <row r="6" spans="2:11" x14ac:dyDescent="0.3">
      <c r="B6" s="22"/>
      <c r="C6" s="15">
        <v>4</v>
      </c>
      <c r="D6" t="s">
        <v>128</v>
      </c>
      <c r="F6" s="10"/>
      <c r="G6">
        <v>8</v>
      </c>
      <c r="H6" s="4">
        <f t="shared" si="0"/>
        <v>240</v>
      </c>
      <c r="I6" s="30"/>
      <c r="J6" s="31"/>
      <c r="K6" s="32"/>
    </row>
    <row r="7" spans="2:11" x14ac:dyDescent="0.3">
      <c r="B7" s="22"/>
      <c r="C7" s="15">
        <v>5</v>
      </c>
      <c r="D7" t="s">
        <v>68</v>
      </c>
      <c r="F7" s="10"/>
      <c r="G7">
        <v>2</v>
      </c>
      <c r="H7" s="4">
        <f t="shared" si="0"/>
        <v>60</v>
      </c>
      <c r="I7" s="30"/>
      <c r="J7" s="31"/>
      <c r="K7" s="32"/>
    </row>
    <row r="8" spans="2:11" x14ac:dyDescent="0.3">
      <c r="B8" s="22"/>
      <c r="C8" s="15">
        <v>6</v>
      </c>
      <c r="F8" s="10"/>
      <c r="H8" s="4"/>
      <c r="I8" s="30"/>
      <c r="J8" s="31"/>
      <c r="K8" s="32"/>
    </row>
    <row r="9" spans="2:11" x14ac:dyDescent="0.3">
      <c r="B9" s="22"/>
      <c r="C9" s="15">
        <v>7</v>
      </c>
      <c r="F9" s="10"/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 t="s">
        <v>271</v>
      </c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26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780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780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1E4B-2552-4F2F-B9D1-092C8142F6DB}">
  <sheetPr>
    <pageSetUpPr fitToPage="1"/>
  </sheetPr>
  <dimension ref="B1:N32"/>
  <sheetViews>
    <sheetView topLeftCell="C1"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342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108</v>
      </c>
      <c r="F3" s="10"/>
      <c r="G3">
        <v>4</v>
      </c>
      <c r="H3" s="4">
        <f>PRODUCT(G3,$J$21)</f>
        <v>80</v>
      </c>
      <c r="I3" s="27" t="s">
        <v>344</v>
      </c>
      <c r="J3" s="28"/>
      <c r="K3" s="29"/>
    </row>
    <row r="4" spans="2:14" x14ac:dyDescent="0.3">
      <c r="B4" s="22"/>
      <c r="C4" s="15">
        <v>2</v>
      </c>
      <c r="D4" t="s">
        <v>13</v>
      </c>
      <c r="F4" s="10"/>
      <c r="G4">
        <v>4</v>
      </c>
      <c r="H4" s="4">
        <f t="shared" ref="H4:H15" si="0">PRODUCT(G4,$J$21)</f>
        <v>80</v>
      </c>
      <c r="I4" s="30"/>
      <c r="J4" s="31"/>
      <c r="K4" s="32"/>
    </row>
    <row r="5" spans="2:14" x14ac:dyDescent="0.3">
      <c r="B5" s="22"/>
      <c r="C5" s="15">
        <v>3</v>
      </c>
      <c r="D5" t="s">
        <v>75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4" x14ac:dyDescent="0.3">
      <c r="B6" s="22"/>
      <c r="C6" s="15">
        <v>4</v>
      </c>
      <c r="D6" t="s">
        <v>77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4" x14ac:dyDescent="0.3">
      <c r="B7" s="22"/>
      <c r="C7" s="15">
        <v>5</v>
      </c>
      <c r="D7" t="s">
        <v>131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4" x14ac:dyDescent="0.3">
      <c r="B8" s="22"/>
      <c r="C8" s="15">
        <v>6</v>
      </c>
      <c r="D8" t="s">
        <v>14</v>
      </c>
      <c r="F8" s="10"/>
      <c r="G8">
        <v>2</v>
      </c>
      <c r="H8" s="4">
        <f t="shared" si="0"/>
        <v>40</v>
      </c>
      <c r="I8" s="30"/>
      <c r="J8" s="31"/>
      <c r="K8" s="32"/>
    </row>
    <row r="9" spans="2:14" x14ac:dyDescent="0.3">
      <c r="B9" s="22"/>
      <c r="C9" s="15">
        <v>7</v>
      </c>
      <c r="D9" t="s">
        <v>85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53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138</v>
      </c>
      <c r="F12" s="10"/>
      <c r="G12">
        <v>2</v>
      </c>
      <c r="H12" s="4">
        <f t="shared" si="0"/>
        <v>40</v>
      </c>
      <c r="I12" s="27" t="s">
        <v>343</v>
      </c>
      <c r="J12" s="28"/>
      <c r="K12" s="29"/>
    </row>
    <row r="13" spans="2:14" x14ac:dyDescent="0.3">
      <c r="B13" s="22"/>
      <c r="C13" s="15">
        <v>11</v>
      </c>
      <c r="D13" t="s">
        <v>136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4" x14ac:dyDescent="0.3">
      <c r="B14" s="22"/>
      <c r="C14" s="15">
        <v>12</v>
      </c>
      <c r="D14" t="s">
        <v>93</v>
      </c>
      <c r="F14" s="10"/>
      <c r="G14">
        <v>2</v>
      </c>
      <c r="H14" s="4">
        <f t="shared" si="0"/>
        <v>40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76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4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40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800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800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A724-271B-4795-9E17-70519C2D0F16}">
  <sheetPr>
    <pageSetUpPr fitToPage="1"/>
  </sheetPr>
  <dimension ref="B1:N32"/>
  <sheetViews>
    <sheetView workbookViewId="0">
      <selection activeCell="O27" sqref="O2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340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40</v>
      </c>
      <c r="F3" s="10"/>
      <c r="G3">
        <v>6</v>
      </c>
      <c r="H3" s="4">
        <f>PRODUCT(G3,$J$21)</f>
        <v>180</v>
      </c>
      <c r="I3" s="27" t="s">
        <v>341</v>
      </c>
      <c r="J3" s="28"/>
      <c r="K3" s="29"/>
    </row>
    <row r="4" spans="2:14" x14ac:dyDescent="0.3">
      <c r="B4" s="22"/>
      <c r="C4" s="15">
        <v>2</v>
      </c>
      <c r="D4" t="s">
        <v>167</v>
      </c>
      <c r="F4" s="10"/>
      <c r="G4">
        <v>3</v>
      </c>
      <c r="H4" s="4">
        <f t="shared" ref="H4:H8" si="0">PRODUCT(G4,$J$21)</f>
        <v>90</v>
      </c>
      <c r="I4" s="30"/>
      <c r="J4" s="31"/>
      <c r="K4" s="32"/>
    </row>
    <row r="5" spans="2:14" x14ac:dyDescent="0.3">
      <c r="B5" s="22"/>
      <c r="C5" s="15">
        <v>3</v>
      </c>
      <c r="D5" t="s">
        <v>71</v>
      </c>
      <c r="F5" s="10"/>
      <c r="G5">
        <v>3</v>
      </c>
      <c r="H5" s="4">
        <f t="shared" si="0"/>
        <v>90</v>
      </c>
      <c r="I5" s="30"/>
      <c r="J5" s="31"/>
      <c r="K5" s="32"/>
    </row>
    <row r="6" spans="2:14" x14ac:dyDescent="0.3">
      <c r="B6" s="22"/>
      <c r="C6" s="15">
        <v>4</v>
      </c>
      <c r="D6" t="s">
        <v>47</v>
      </c>
      <c r="F6" s="10"/>
      <c r="G6">
        <v>6</v>
      </c>
      <c r="H6" s="4">
        <f t="shared" si="0"/>
        <v>180</v>
      </c>
      <c r="I6" s="30"/>
      <c r="J6" s="31"/>
      <c r="K6" s="32"/>
    </row>
    <row r="7" spans="2:14" x14ac:dyDescent="0.3">
      <c r="B7" s="22"/>
      <c r="C7" s="15">
        <v>5</v>
      </c>
      <c r="D7" t="s">
        <v>100</v>
      </c>
      <c r="F7" s="10"/>
      <c r="G7">
        <v>6</v>
      </c>
      <c r="H7" s="4">
        <f t="shared" si="0"/>
        <v>180</v>
      </c>
      <c r="I7" s="30"/>
      <c r="J7" s="31"/>
      <c r="K7" s="32"/>
    </row>
    <row r="8" spans="2:14" x14ac:dyDescent="0.3">
      <c r="B8" s="22"/>
      <c r="C8" s="15">
        <v>6</v>
      </c>
      <c r="D8" t="s">
        <v>95</v>
      </c>
      <c r="F8" s="10"/>
      <c r="G8">
        <v>6</v>
      </c>
      <c r="H8" s="4">
        <f t="shared" si="0"/>
        <v>180</v>
      </c>
      <c r="I8" s="30"/>
      <c r="J8" s="31"/>
      <c r="K8" s="32"/>
    </row>
    <row r="9" spans="2:14" x14ac:dyDescent="0.3">
      <c r="B9" s="22"/>
      <c r="C9" s="15">
        <v>7</v>
      </c>
      <c r="F9" s="10"/>
      <c r="H9" s="4"/>
      <c r="I9" s="30"/>
      <c r="J9" s="31"/>
      <c r="K9" s="32"/>
    </row>
    <row r="10" spans="2:14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4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4" x14ac:dyDescent="0.3">
      <c r="B12" s="22"/>
      <c r="C12" s="15">
        <v>10</v>
      </c>
      <c r="F12" s="10"/>
      <c r="H12" s="4"/>
      <c r="I12" s="27"/>
      <c r="J12" s="28"/>
      <c r="K12" s="29"/>
    </row>
    <row r="13" spans="2:14" x14ac:dyDescent="0.3">
      <c r="B13" s="22"/>
      <c r="C13" s="15">
        <v>11</v>
      </c>
      <c r="F13" s="10"/>
      <c r="H13" s="4"/>
      <c r="I13" s="30"/>
      <c r="J13" s="31"/>
      <c r="K13" s="32"/>
    </row>
    <row r="14" spans="2:14" x14ac:dyDescent="0.3">
      <c r="B14" s="22"/>
      <c r="C14" s="15">
        <v>12</v>
      </c>
      <c r="F14" s="10"/>
      <c r="H14" s="4"/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F15" s="10"/>
      <c r="H15" s="4"/>
      <c r="I15" s="30"/>
      <c r="J15" s="31"/>
      <c r="K15" s="32"/>
    </row>
    <row r="16" spans="2:14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30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8ED6C-E581-4008-B5D1-623F6D9D4AA0}">
  <sheetPr>
    <pageSetUpPr fitToPage="1"/>
  </sheetPr>
  <dimension ref="B1:N32"/>
  <sheetViews>
    <sheetView workbookViewId="0">
      <selection activeCell="G23" sqref="G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339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280</v>
      </c>
      <c r="F3" s="10"/>
      <c r="G3">
        <v>2</v>
      </c>
      <c r="H3" s="4">
        <f>PRODUCT(G3,$J$21)</f>
        <v>40</v>
      </c>
      <c r="I3" s="27" t="s">
        <v>338</v>
      </c>
      <c r="J3" s="28"/>
      <c r="K3" s="29"/>
    </row>
    <row r="4" spans="2:14" x14ac:dyDescent="0.3">
      <c r="B4" s="22"/>
      <c r="C4" s="15">
        <v>2</v>
      </c>
      <c r="D4" t="s">
        <v>9</v>
      </c>
      <c r="F4" s="10"/>
      <c r="G4">
        <v>4</v>
      </c>
      <c r="H4" s="4">
        <f t="shared" ref="H4:H18" si="0">PRODUCT(G4,$J$21)</f>
        <v>80</v>
      </c>
      <c r="I4" s="30"/>
      <c r="J4" s="31"/>
      <c r="K4" s="32"/>
    </row>
    <row r="5" spans="2:14" x14ac:dyDescent="0.3">
      <c r="B5" s="22"/>
      <c r="C5" s="15">
        <v>3</v>
      </c>
      <c r="D5" t="s">
        <v>281</v>
      </c>
      <c r="F5" s="10"/>
      <c r="G5">
        <v>2</v>
      </c>
      <c r="H5" s="4">
        <f t="shared" si="0"/>
        <v>40</v>
      </c>
      <c r="I5" s="30"/>
      <c r="J5" s="31"/>
      <c r="K5" s="32"/>
    </row>
    <row r="6" spans="2:14" x14ac:dyDescent="0.3">
      <c r="B6" s="22"/>
      <c r="C6" s="15">
        <v>4</v>
      </c>
      <c r="D6" t="s">
        <v>49</v>
      </c>
      <c r="F6" s="10"/>
      <c r="G6">
        <v>10</v>
      </c>
      <c r="H6" s="4">
        <f t="shared" si="0"/>
        <v>200</v>
      </c>
      <c r="I6" s="30"/>
      <c r="J6" s="31"/>
      <c r="K6" s="32"/>
    </row>
    <row r="7" spans="2:14" x14ac:dyDescent="0.3">
      <c r="B7" s="22"/>
      <c r="C7" s="15">
        <v>5</v>
      </c>
      <c r="D7" t="s">
        <v>38</v>
      </c>
      <c r="F7" s="10"/>
      <c r="G7">
        <v>8</v>
      </c>
      <c r="H7" s="4">
        <f t="shared" si="0"/>
        <v>160</v>
      </c>
      <c r="I7" s="30"/>
      <c r="J7" s="31"/>
      <c r="K7" s="32"/>
    </row>
    <row r="8" spans="2:14" x14ac:dyDescent="0.3">
      <c r="B8" s="22"/>
      <c r="C8" s="15">
        <v>6</v>
      </c>
      <c r="D8" t="s">
        <v>11</v>
      </c>
      <c r="F8" s="10"/>
      <c r="G8">
        <v>20</v>
      </c>
      <c r="H8" s="4">
        <f t="shared" si="0"/>
        <v>400</v>
      </c>
      <c r="I8" s="30"/>
      <c r="J8" s="31"/>
      <c r="K8" s="32"/>
    </row>
    <row r="9" spans="2:14" x14ac:dyDescent="0.3">
      <c r="B9" s="22"/>
      <c r="C9" s="15">
        <v>7</v>
      </c>
      <c r="D9" t="s">
        <v>59</v>
      </c>
      <c r="F9" s="10"/>
      <c r="G9">
        <v>10</v>
      </c>
      <c r="H9" s="4">
        <f t="shared" si="0"/>
        <v>200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67</v>
      </c>
      <c r="F10" s="10"/>
      <c r="G10">
        <v>10</v>
      </c>
      <c r="H10" s="4">
        <f t="shared" si="0"/>
        <v>200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39</v>
      </c>
      <c r="F11" s="10"/>
      <c r="G11">
        <v>8</v>
      </c>
      <c r="H11" s="4">
        <f t="shared" si="0"/>
        <v>160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160</v>
      </c>
      <c r="F12" s="10"/>
      <c r="G12">
        <v>10</v>
      </c>
      <c r="H12" s="4">
        <f t="shared" si="0"/>
        <v>200</v>
      </c>
      <c r="I12" s="27"/>
      <c r="J12" s="28"/>
      <c r="K12" s="29"/>
    </row>
    <row r="13" spans="2:14" x14ac:dyDescent="0.3">
      <c r="B13" s="22"/>
      <c r="C13" s="15">
        <v>11</v>
      </c>
      <c r="D13" t="s">
        <v>337</v>
      </c>
      <c r="F13" s="10"/>
      <c r="G13">
        <v>10</v>
      </c>
      <c r="H13" s="4">
        <f t="shared" si="0"/>
        <v>200</v>
      </c>
      <c r="I13" s="30"/>
      <c r="J13" s="31"/>
      <c r="K13" s="32"/>
    </row>
    <row r="14" spans="2:14" x14ac:dyDescent="0.3">
      <c r="B14" s="22"/>
      <c r="C14" s="15">
        <v>12</v>
      </c>
      <c r="D14" t="s">
        <v>47</v>
      </c>
      <c r="F14" s="10"/>
      <c r="G14">
        <v>4</v>
      </c>
      <c r="H14" s="4">
        <f t="shared" si="0"/>
        <v>80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55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4" x14ac:dyDescent="0.3">
      <c r="B16" s="22"/>
      <c r="C16" s="15">
        <v>14</v>
      </c>
      <c r="D16" t="s">
        <v>164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62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58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114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2280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2280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1704-D83D-46CF-9928-8D743E2CFE90}">
  <sheetPr>
    <pageSetUpPr fitToPage="1"/>
  </sheetPr>
  <dimension ref="B1:N32"/>
  <sheetViews>
    <sheetView workbookViewId="0">
      <selection activeCell="O10" sqref="O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333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54</v>
      </c>
      <c r="F3" s="10"/>
      <c r="G3">
        <v>9</v>
      </c>
      <c r="H3" s="4">
        <f>PRODUCT(G3,20)</f>
        <v>180</v>
      </c>
      <c r="I3" s="27" t="s">
        <v>334</v>
      </c>
      <c r="J3" s="28"/>
      <c r="K3" s="29"/>
    </row>
    <row r="4" spans="2:14" x14ac:dyDescent="0.3">
      <c r="B4" s="22"/>
      <c r="C4" s="15">
        <v>2</v>
      </c>
      <c r="D4" t="s">
        <v>89</v>
      </c>
      <c r="F4" s="10"/>
      <c r="G4">
        <v>9</v>
      </c>
      <c r="H4" s="4">
        <f t="shared" ref="H4:H7" si="0">PRODUCT(G4,20)</f>
        <v>180</v>
      </c>
      <c r="I4" s="30"/>
      <c r="J4" s="31"/>
      <c r="K4" s="32"/>
    </row>
    <row r="5" spans="2:14" x14ac:dyDescent="0.3">
      <c r="B5" s="22"/>
      <c r="C5" s="15">
        <v>3</v>
      </c>
      <c r="D5" t="s">
        <v>95</v>
      </c>
      <c r="F5" s="10"/>
      <c r="G5">
        <v>9</v>
      </c>
      <c r="H5" s="4">
        <f t="shared" si="0"/>
        <v>180</v>
      </c>
      <c r="I5" s="30"/>
      <c r="J5" s="31"/>
      <c r="K5" s="32"/>
    </row>
    <row r="6" spans="2:14" x14ac:dyDescent="0.3">
      <c r="B6" s="22"/>
      <c r="C6" s="15">
        <v>4</v>
      </c>
      <c r="D6" t="s">
        <v>19</v>
      </c>
      <c r="F6" s="10"/>
      <c r="G6">
        <v>9</v>
      </c>
      <c r="H6" s="4">
        <f t="shared" si="0"/>
        <v>180</v>
      </c>
      <c r="I6" s="30"/>
      <c r="J6" s="31"/>
      <c r="K6" s="32"/>
    </row>
    <row r="7" spans="2:14" x14ac:dyDescent="0.3">
      <c r="B7" s="22"/>
      <c r="C7" s="15">
        <v>5</v>
      </c>
      <c r="D7" t="s">
        <v>99</v>
      </c>
      <c r="F7" s="10"/>
      <c r="G7">
        <v>9</v>
      </c>
      <c r="H7" s="4">
        <f t="shared" si="0"/>
        <v>180</v>
      </c>
      <c r="I7" s="30"/>
      <c r="J7" s="31"/>
      <c r="K7" s="32"/>
    </row>
    <row r="8" spans="2:14" x14ac:dyDescent="0.3">
      <c r="B8" s="22"/>
      <c r="C8" s="15">
        <v>6</v>
      </c>
      <c r="F8" s="10"/>
      <c r="H8" s="4"/>
      <c r="I8" s="30"/>
      <c r="J8" s="31"/>
      <c r="K8" s="32"/>
    </row>
    <row r="9" spans="2:14" x14ac:dyDescent="0.3">
      <c r="B9" s="22"/>
      <c r="C9" s="15">
        <v>7</v>
      </c>
      <c r="F9" s="10"/>
      <c r="H9" s="4"/>
      <c r="I9" s="30"/>
      <c r="J9" s="31"/>
      <c r="K9" s="32"/>
    </row>
    <row r="10" spans="2:14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4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4" x14ac:dyDescent="0.3">
      <c r="B12" s="22"/>
      <c r="C12" s="15">
        <v>10</v>
      </c>
      <c r="F12" s="10"/>
      <c r="H12" s="4"/>
      <c r="I12" s="27"/>
      <c r="J12" s="28"/>
      <c r="K12" s="29"/>
    </row>
    <row r="13" spans="2:14" x14ac:dyDescent="0.3">
      <c r="B13" s="22"/>
      <c r="C13" s="15">
        <v>11</v>
      </c>
      <c r="F13" s="10"/>
      <c r="H13" s="4"/>
      <c r="I13" s="30"/>
      <c r="J13" s="31"/>
      <c r="K13" s="32"/>
    </row>
    <row r="14" spans="2:14" x14ac:dyDescent="0.3">
      <c r="B14" s="22"/>
      <c r="C14" s="15">
        <v>12</v>
      </c>
      <c r="F14" s="10"/>
      <c r="H14" s="4"/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F15" s="10"/>
      <c r="H15" s="4"/>
      <c r="I15" s="30"/>
      <c r="J15" s="31"/>
      <c r="K15" s="32"/>
    </row>
    <row r="16" spans="2:14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45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66AB-AFE9-4780-A935-0DF6156508B7}">
  <sheetPr>
    <pageSetUpPr fitToPage="1"/>
  </sheetPr>
  <dimension ref="B1:N32"/>
  <sheetViews>
    <sheetView workbookViewId="0">
      <selection activeCell="R9" sqref="R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329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36</v>
      </c>
      <c r="F3" s="10"/>
      <c r="G3">
        <v>9</v>
      </c>
      <c r="H3" s="4">
        <f>PRODUCT(G3,$J$21)</f>
        <v>180</v>
      </c>
      <c r="I3" s="27" t="s">
        <v>336</v>
      </c>
      <c r="J3" s="28"/>
      <c r="K3" s="29"/>
    </row>
    <row r="4" spans="2:14" x14ac:dyDescent="0.3">
      <c r="B4" s="22"/>
      <c r="C4" s="15">
        <v>2</v>
      </c>
      <c r="D4" t="s">
        <v>59</v>
      </c>
      <c r="F4" s="10"/>
      <c r="G4">
        <v>9</v>
      </c>
      <c r="H4" s="4">
        <f t="shared" ref="H4:H10" si="0">PRODUCT(G4,$J$21)</f>
        <v>180</v>
      </c>
      <c r="I4" s="30"/>
      <c r="J4" s="31"/>
      <c r="K4" s="32"/>
    </row>
    <row r="5" spans="2:14" x14ac:dyDescent="0.3">
      <c r="B5" s="22"/>
      <c r="C5" s="15">
        <v>3</v>
      </c>
      <c r="D5" t="s">
        <v>330</v>
      </c>
      <c r="F5" s="10"/>
      <c r="G5">
        <v>9</v>
      </c>
      <c r="H5" s="4">
        <f t="shared" si="0"/>
        <v>180</v>
      </c>
      <c r="I5" s="30"/>
      <c r="J5" s="31"/>
      <c r="K5" s="32"/>
    </row>
    <row r="6" spans="2:14" x14ac:dyDescent="0.3">
      <c r="B6" s="22"/>
      <c r="C6" s="15">
        <v>4</v>
      </c>
      <c r="D6" t="s">
        <v>45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4" x14ac:dyDescent="0.3">
      <c r="B7" s="22"/>
      <c r="C7" s="15">
        <v>5</v>
      </c>
      <c r="D7" t="s">
        <v>335</v>
      </c>
      <c r="F7" s="10"/>
      <c r="G7">
        <v>5</v>
      </c>
      <c r="H7" s="4">
        <f t="shared" si="0"/>
        <v>100</v>
      </c>
      <c r="I7" s="30"/>
      <c r="J7" s="31"/>
      <c r="K7" s="32"/>
    </row>
    <row r="8" spans="2:14" x14ac:dyDescent="0.3">
      <c r="B8" s="22"/>
      <c r="C8" s="15">
        <v>6</v>
      </c>
      <c r="D8" t="s">
        <v>49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4" x14ac:dyDescent="0.3">
      <c r="B9" s="22"/>
      <c r="C9" s="15">
        <v>7</v>
      </c>
      <c r="D9" t="s">
        <v>331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332</v>
      </c>
      <c r="F10" s="10"/>
      <c r="G10">
        <v>5</v>
      </c>
      <c r="H10" s="4">
        <f t="shared" si="0"/>
        <v>100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47</v>
      </c>
      <c r="F11" s="10"/>
      <c r="G11">
        <v>5</v>
      </c>
      <c r="H11" s="4">
        <f>PRODUCT(G11,$J$21)</f>
        <v>100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F12" s="10"/>
      <c r="H12" s="4"/>
      <c r="I12" s="27"/>
      <c r="J12" s="28"/>
      <c r="K12" s="29"/>
    </row>
    <row r="13" spans="2:14" x14ac:dyDescent="0.3">
      <c r="B13" s="22"/>
      <c r="C13" s="15">
        <v>11</v>
      </c>
      <c r="F13" s="10"/>
      <c r="H13" s="4"/>
      <c r="I13" s="30"/>
      <c r="J13" s="31"/>
      <c r="K13" s="32"/>
    </row>
    <row r="14" spans="2:14" x14ac:dyDescent="0.3">
      <c r="B14" s="22"/>
      <c r="C14" s="15">
        <v>12</v>
      </c>
      <c r="F14" s="10"/>
      <c r="H14" s="4"/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F15" s="10"/>
      <c r="H15" s="4"/>
      <c r="I15" s="30"/>
      <c r="J15" s="31"/>
      <c r="K15" s="32"/>
    </row>
    <row r="16" spans="2:14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58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1160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1160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3C4B-B21A-4D78-98D7-EBF8E075A84F}">
  <sheetPr>
    <pageSetUpPr fitToPage="1"/>
  </sheetPr>
  <dimension ref="B1:N32"/>
  <sheetViews>
    <sheetView workbookViewId="0">
      <selection activeCell="D6" sqref="D6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326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13</v>
      </c>
      <c r="F3" s="10"/>
      <c r="G3">
        <v>12</v>
      </c>
      <c r="H3" s="4">
        <f>PRODUCT(G3,$J$21)</f>
        <v>240</v>
      </c>
      <c r="I3" s="27"/>
      <c r="J3" s="28"/>
      <c r="K3" s="29"/>
    </row>
    <row r="4" spans="2:14" x14ac:dyDescent="0.3">
      <c r="B4" s="22"/>
      <c r="C4" s="15">
        <v>2</v>
      </c>
      <c r="D4" t="s">
        <v>14</v>
      </c>
      <c r="F4" s="10"/>
      <c r="G4">
        <v>8</v>
      </c>
      <c r="H4" s="4">
        <f t="shared" ref="H4:H18" si="0">PRODUCT(G4,$J$21)</f>
        <v>160</v>
      </c>
      <c r="I4" s="30"/>
      <c r="J4" s="31"/>
      <c r="K4" s="32"/>
    </row>
    <row r="5" spans="2:14" x14ac:dyDescent="0.3">
      <c r="B5" s="22"/>
      <c r="C5" s="15">
        <v>3</v>
      </c>
      <c r="D5" t="s">
        <v>75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4" x14ac:dyDescent="0.3">
      <c r="B6" s="22"/>
      <c r="C6" s="15">
        <v>4</v>
      </c>
      <c r="D6" t="s">
        <v>328</v>
      </c>
      <c r="F6" s="10"/>
      <c r="G6">
        <v>8</v>
      </c>
      <c r="H6" s="4">
        <f t="shared" si="0"/>
        <v>160</v>
      </c>
      <c r="I6" s="30"/>
      <c r="J6" s="31"/>
      <c r="K6" s="32"/>
    </row>
    <row r="7" spans="2:14" x14ac:dyDescent="0.3">
      <c r="B7" s="22"/>
      <c r="C7" s="15">
        <v>5</v>
      </c>
      <c r="D7" t="s">
        <v>40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4" x14ac:dyDescent="0.3">
      <c r="B8" s="22"/>
      <c r="C8" s="15">
        <v>6</v>
      </c>
      <c r="D8" t="s">
        <v>181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4" x14ac:dyDescent="0.3">
      <c r="B9" s="22"/>
      <c r="C9" s="15">
        <v>7</v>
      </c>
      <c r="D9" t="s">
        <v>51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54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73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47</v>
      </c>
      <c r="F12" s="10"/>
      <c r="G12">
        <v>4</v>
      </c>
      <c r="H12" s="4">
        <f t="shared" si="0"/>
        <v>80</v>
      </c>
      <c r="I12" s="27" t="s">
        <v>327</v>
      </c>
      <c r="J12" s="28"/>
      <c r="K12" s="29"/>
    </row>
    <row r="13" spans="2:14" x14ac:dyDescent="0.3">
      <c r="B13" s="22"/>
      <c r="C13" s="15">
        <v>11</v>
      </c>
      <c r="D13" t="s">
        <v>68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4" x14ac:dyDescent="0.3">
      <c r="B14" s="22"/>
      <c r="C14" s="15">
        <v>12</v>
      </c>
      <c r="D14" t="s">
        <v>164</v>
      </c>
      <c r="F14" s="10"/>
      <c r="G14">
        <v>3</v>
      </c>
      <c r="H14" s="4">
        <f t="shared" si="0"/>
        <v>60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62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4" x14ac:dyDescent="0.3">
      <c r="B16" s="22"/>
      <c r="C16" s="15">
        <v>14</v>
      </c>
      <c r="D16" t="s">
        <v>165</v>
      </c>
      <c r="F16" s="10"/>
      <c r="G16">
        <v>3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88</v>
      </c>
      <c r="E17" t="s">
        <v>66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89</v>
      </c>
      <c r="E18" t="s">
        <v>66</v>
      </c>
      <c r="F18" s="10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7413-A50D-4B8C-B188-BBC24BC29BC6}">
  <sheetPr>
    <pageSetUpPr fitToPage="1"/>
  </sheetPr>
  <dimension ref="B1:N32"/>
  <sheetViews>
    <sheetView workbookViewId="0">
      <selection activeCell="G22" sqref="G2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211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13</v>
      </c>
      <c r="F3" s="10"/>
      <c r="G3">
        <v>4</v>
      </c>
      <c r="H3" s="4">
        <f>PRODUCT(G3,$J$21)</f>
        <v>80</v>
      </c>
      <c r="I3" s="27"/>
      <c r="J3" s="28"/>
      <c r="K3" s="29"/>
    </row>
    <row r="4" spans="2:14" x14ac:dyDescent="0.3">
      <c r="B4" s="22"/>
      <c r="C4" s="15">
        <v>2</v>
      </c>
      <c r="D4" t="s">
        <v>76</v>
      </c>
      <c r="F4" s="10"/>
      <c r="G4">
        <v>8</v>
      </c>
      <c r="H4" s="4">
        <f t="shared" ref="H4:H22" si="0">PRODUCT(G4,$J$21)</f>
        <v>160</v>
      </c>
      <c r="I4" s="30"/>
      <c r="J4" s="31"/>
      <c r="K4" s="32"/>
    </row>
    <row r="5" spans="2:14" x14ac:dyDescent="0.3">
      <c r="B5" s="22"/>
      <c r="C5" s="15">
        <v>3</v>
      </c>
      <c r="D5" t="s">
        <v>108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4" x14ac:dyDescent="0.3">
      <c r="B6" s="22"/>
      <c r="C6" s="15">
        <v>4</v>
      </c>
      <c r="D6" t="s">
        <v>146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4" x14ac:dyDescent="0.3">
      <c r="B7" s="22"/>
      <c r="C7" s="15">
        <v>5</v>
      </c>
      <c r="D7" t="s">
        <v>152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4" x14ac:dyDescent="0.3">
      <c r="B8" s="22"/>
      <c r="C8" s="15">
        <v>6</v>
      </c>
      <c r="D8" t="s">
        <v>77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4" x14ac:dyDescent="0.3">
      <c r="B9" s="22"/>
      <c r="C9" s="15">
        <v>7</v>
      </c>
      <c r="D9" t="s">
        <v>138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64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47</v>
      </c>
      <c r="F11" s="10"/>
      <c r="G11">
        <v>1</v>
      </c>
      <c r="H11" s="4">
        <f t="shared" si="0"/>
        <v>20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48</v>
      </c>
      <c r="F12" s="10"/>
      <c r="G12">
        <v>4</v>
      </c>
      <c r="H12" s="4">
        <f t="shared" si="0"/>
        <v>80</v>
      </c>
      <c r="I12" s="27" t="s">
        <v>325</v>
      </c>
      <c r="J12" s="28"/>
      <c r="K12" s="29"/>
    </row>
    <row r="13" spans="2:14" x14ac:dyDescent="0.3">
      <c r="B13" s="22"/>
      <c r="C13" s="15">
        <v>11</v>
      </c>
      <c r="D13" t="s">
        <v>147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85</v>
      </c>
      <c r="F14" s="10"/>
      <c r="G14">
        <v>4</v>
      </c>
      <c r="H14" s="4">
        <f t="shared" si="0"/>
        <v>80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324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4" x14ac:dyDescent="0.3">
      <c r="B16" s="22"/>
      <c r="C16" s="15">
        <v>14</v>
      </c>
      <c r="D16" t="s">
        <v>40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79</v>
      </c>
      <c r="E17" t="s">
        <v>66</v>
      </c>
      <c r="F17" s="10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94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51</v>
      </c>
      <c r="F19" s="10"/>
      <c r="G19">
        <v>6</v>
      </c>
      <c r="H19" s="4">
        <f t="shared" si="0"/>
        <v>120</v>
      </c>
      <c r="I19" s="30"/>
      <c r="J19" s="31"/>
      <c r="K19" s="32"/>
    </row>
    <row r="20" spans="2:11" x14ac:dyDescent="0.3">
      <c r="B20" s="22"/>
      <c r="C20" s="15">
        <v>18</v>
      </c>
      <c r="D20" t="s">
        <v>75</v>
      </c>
      <c r="E20" t="s">
        <v>63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53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73</v>
      </c>
      <c r="F22" s="10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AABE-F2AE-463B-B78C-B56ABB625350}">
  <sheetPr>
    <pageSetUpPr fitToPage="1"/>
  </sheetPr>
  <dimension ref="B1:N32"/>
  <sheetViews>
    <sheetView workbookViewId="0">
      <selection activeCell="N16" sqref="N16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322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51</v>
      </c>
      <c r="F3" s="10"/>
      <c r="G3">
        <v>10</v>
      </c>
      <c r="H3" s="4">
        <f>PRODUCT(G3,$J$21)</f>
        <v>200</v>
      </c>
      <c r="I3" s="27"/>
      <c r="J3" s="28"/>
      <c r="K3" s="29"/>
    </row>
    <row r="4" spans="2:14" x14ac:dyDescent="0.3">
      <c r="B4" s="22"/>
      <c r="C4" s="15">
        <v>2</v>
      </c>
      <c r="D4" t="s">
        <v>53</v>
      </c>
      <c r="F4" s="10"/>
      <c r="G4">
        <v>6</v>
      </c>
      <c r="H4" s="4">
        <f t="shared" ref="H4:H20" si="0">PRODUCT(G4,$J$21)</f>
        <v>120</v>
      </c>
      <c r="I4" s="30"/>
      <c r="J4" s="31"/>
      <c r="K4" s="32"/>
    </row>
    <row r="5" spans="2:14" x14ac:dyDescent="0.3">
      <c r="B5" s="22"/>
      <c r="C5" s="15">
        <v>3</v>
      </c>
      <c r="D5" t="s">
        <v>58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4" x14ac:dyDescent="0.3">
      <c r="B7" s="22"/>
      <c r="C7" s="15">
        <v>5</v>
      </c>
      <c r="D7" t="s">
        <v>54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4" x14ac:dyDescent="0.3">
      <c r="B8" s="22"/>
      <c r="C8" s="15">
        <v>6</v>
      </c>
      <c r="D8" t="s">
        <v>44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4" x14ac:dyDescent="0.3">
      <c r="B9" s="22"/>
      <c r="C9" s="15">
        <v>7</v>
      </c>
      <c r="D9" t="s">
        <v>78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160</v>
      </c>
      <c r="E10" t="s">
        <v>66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48</v>
      </c>
      <c r="F12" s="10"/>
      <c r="G12">
        <v>4</v>
      </c>
      <c r="H12" s="4">
        <f t="shared" si="0"/>
        <v>80</v>
      </c>
      <c r="I12" s="27" t="s">
        <v>323</v>
      </c>
      <c r="J12" s="28"/>
      <c r="K12" s="29"/>
    </row>
    <row r="13" spans="2:14" x14ac:dyDescent="0.3">
      <c r="B13" s="22"/>
      <c r="C13" s="15">
        <v>11</v>
      </c>
      <c r="D13" t="s">
        <v>76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40</v>
      </c>
      <c r="F14" s="10"/>
      <c r="G14">
        <v>4</v>
      </c>
      <c r="H14" s="4">
        <f t="shared" si="0"/>
        <v>80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67</v>
      </c>
      <c r="E15" t="s">
        <v>63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4" x14ac:dyDescent="0.3">
      <c r="B16" s="22"/>
      <c r="C16" s="15">
        <v>14</v>
      </c>
      <c r="D16" t="s">
        <v>13</v>
      </c>
      <c r="F16" s="10"/>
      <c r="G16">
        <v>6</v>
      </c>
      <c r="H16" s="4">
        <f t="shared" si="0"/>
        <v>120</v>
      </c>
      <c r="I16" s="30"/>
      <c r="J16" s="31"/>
      <c r="K16" s="32"/>
    </row>
    <row r="17" spans="2:11" x14ac:dyDescent="0.3">
      <c r="B17" s="22"/>
      <c r="C17" s="15">
        <v>15</v>
      </c>
      <c r="D17" t="s">
        <v>19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21</v>
      </c>
      <c r="F18" s="10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64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73</v>
      </c>
      <c r="F20" s="10"/>
      <c r="G20">
        <v>2</v>
      </c>
      <c r="H20" s="4">
        <f t="shared" si="0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C9BBE-94DA-40B2-90A9-D2E82D07E006}">
  <sheetPr>
    <pageSetUpPr fitToPage="1"/>
  </sheetPr>
  <dimension ref="B1:N32"/>
  <sheetViews>
    <sheetView workbookViewId="0">
      <selection activeCell="F27" sqref="F2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320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39</v>
      </c>
      <c r="F3" s="10"/>
      <c r="G3">
        <v>8</v>
      </c>
      <c r="H3" s="4">
        <f>PRODUCT(G3,20)</f>
        <v>160</v>
      </c>
      <c r="I3" s="27"/>
      <c r="J3" s="28"/>
      <c r="K3" s="29"/>
    </row>
    <row r="4" spans="2:14" x14ac:dyDescent="0.3">
      <c r="B4" s="22"/>
      <c r="C4" s="15">
        <v>2</v>
      </c>
      <c r="D4" t="s">
        <v>40</v>
      </c>
      <c r="F4" s="10"/>
      <c r="G4">
        <v>8</v>
      </c>
      <c r="H4" s="4">
        <f t="shared" ref="H4:H22" si="0">PRODUCT(G4,20)</f>
        <v>160</v>
      </c>
      <c r="I4" s="30"/>
      <c r="J4" s="31"/>
      <c r="K4" s="32"/>
    </row>
    <row r="5" spans="2:14" x14ac:dyDescent="0.3">
      <c r="B5" s="22"/>
      <c r="C5" s="15">
        <v>3</v>
      </c>
      <c r="D5" t="s">
        <v>14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4" x14ac:dyDescent="0.3">
      <c r="B6" s="22"/>
      <c r="C6" s="15">
        <v>4</v>
      </c>
      <c r="D6" t="s">
        <v>13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4" x14ac:dyDescent="0.3">
      <c r="B7" s="22"/>
      <c r="C7" s="15">
        <v>5</v>
      </c>
      <c r="D7" t="s">
        <v>85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4" x14ac:dyDescent="0.3">
      <c r="B8" s="22"/>
      <c r="C8" s="15">
        <v>6</v>
      </c>
      <c r="D8" t="s">
        <v>240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4" x14ac:dyDescent="0.3">
      <c r="B9" s="22"/>
      <c r="C9" s="15">
        <v>7</v>
      </c>
      <c r="D9" t="s">
        <v>181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38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49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67</v>
      </c>
      <c r="E12" t="s">
        <v>63</v>
      </c>
      <c r="F12" s="10"/>
      <c r="G12">
        <v>2</v>
      </c>
      <c r="H12" s="4">
        <f t="shared" si="0"/>
        <v>40</v>
      </c>
      <c r="I12" s="27" t="s">
        <v>321</v>
      </c>
      <c r="J12" s="28"/>
      <c r="K12" s="29"/>
    </row>
    <row r="13" spans="2:14" x14ac:dyDescent="0.3">
      <c r="B13" s="22"/>
      <c r="C13" s="15">
        <v>11</v>
      </c>
      <c r="D13" t="s">
        <v>160</v>
      </c>
      <c r="E13" t="s">
        <v>66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4" x14ac:dyDescent="0.3">
      <c r="B14" s="22"/>
      <c r="C14" s="15">
        <v>12</v>
      </c>
      <c r="D14" t="s">
        <v>45</v>
      </c>
      <c r="F14" s="10"/>
      <c r="G14">
        <v>2</v>
      </c>
      <c r="H14" s="4">
        <f t="shared" si="0"/>
        <v>40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59</v>
      </c>
      <c r="F15" s="10"/>
      <c r="G15">
        <v>8</v>
      </c>
      <c r="H15" s="4">
        <f t="shared" si="0"/>
        <v>160</v>
      </c>
      <c r="I15" s="30"/>
      <c r="J15" s="31"/>
      <c r="K15" s="32"/>
    </row>
    <row r="16" spans="2:14" x14ac:dyDescent="0.3">
      <c r="B16" s="22"/>
      <c r="C16" s="15">
        <v>14</v>
      </c>
      <c r="D16" t="s">
        <v>47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36</v>
      </c>
      <c r="F17" s="10"/>
      <c r="G17">
        <v>8</v>
      </c>
      <c r="H17" s="4">
        <f t="shared" si="0"/>
        <v>160</v>
      </c>
      <c r="I17" s="30"/>
      <c r="J17" s="31"/>
      <c r="K17" s="32"/>
    </row>
    <row r="18" spans="2:11" x14ac:dyDescent="0.3">
      <c r="B18" s="22"/>
      <c r="C18" s="15">
        <v>16</v>
      </c>
      <c r="D18" t="s">
        <v>254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119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54</v>
      </c>
      <c r="F20" s="10"/>
      <c r="G20">
        <v>3</v>
      </c>
      <c r="H20" s="4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42</v>
      </c>
      <c r="F21" s="10"/>
      <c r="G21">
        <v>3</v>
      </c>
      <c r="H21" s="4">
        <f t="shared" si="0"/>
        <v>60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48</v>
      </c>
      <c r="F22" s="10"/>
      <c r="G22">
        <v>3</v>
      </c>
      <c r="H22" s="4">
        <f t="shared" si="0"/>
        <v>60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77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BD9E-499C-4180-AE41-C618875D69F8}">
  <sheetPr>
    <pageSetUpPr fitToPage="1"/>
  </sheetPr>
  <dimension ref="B1:N32"/>
  <sheetViews>
    <sheetView workbookViewId="0">
      <selection activeCell="Q11" sqref="Q1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107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108</v>
      </c>
      <c r="F3" s="10"/>
      <c r="G3">
        <v>2</v>
      </c>
      <c r="H3" s="4">
        <f>PRODUCT(G3,20)</f>
        <v>40</v>
      </c>
      <c r="I3" s="27"/>
      <c r="J3" s="28"/>
      <c r="K3" s="29"/>
    </row>
    <row r="4" spans="2:14" x14ac:dyDescent="0.3">
      <c r="B4" s="22"/>
      <c r="C4" s="15">
        <v>2</v>
      </c>
      <c r="D4" t="s">
        <v>109</v>
      </c>
      <c r="F4" s="10"/>
      <c r="G4">
        <v>2</v>
      </c>
      <c r="H4" s="4">
        <f t="shared" ref="H4:H20" si="0">PRODUCT(G4,20)</f>
        <v>40</v>
      </c>
      <c r="I4" s="30"/>
      <c r="J4" s="31"/>
      <c r="K4" s="32"/>
      <c r="N4" t="s">
        <v>204</v>
      </c>
    </row>
    <row r="5" spans="2:14" x14ac:dyDescent="0.3">
      <c r="B5" s="22"/>
      <c r="C5" s="15">
        <v>3</v>
      </c>
      <c r="D5" t="s">
        <v>112</v>
      </c>
      <c r="F5" s="10"/>
      <c r="G5">
        <v>4</v>
      </c>
      <c r="H5" s="4">
        <f t="shared" si="0"/>
        <v>80</v>
      </c>
      <c r="I5" s="30"/>
      <c r="J5" s="31"/>
      <c r="K5" s="32"/>
      <c r="L5" t="s">
        <v>110</v>
      </c>
      <c r="N5" t="s">
        <v>111</v>
      </c>
    </row>
    <row r="6" spans="2:14" x14ac:dyDescent="0.3">
      <c r="B6" s="22"/>
      <c r="C6" s="15">
        <v>4</v>
      </c>
      <c r="D6" t="s">
        <v>41</v>
      </c>
      <c r="F6" s="10"/>
      <c r="G6">
        <v>4</v>
      </c>
      <c r="H6" s="4">
        <f t="shared" si="0"/>
        <v>80</v>
      </c>
      <c r="I6" s="30"/>
      <c r="J6" s="31"/>
      <c r="K6" s="32"/>
      <c r="L6" t="s">
        <v>113</v>
      </c>
      <c r="N6" t="s">
        <v>114</v>
      </c>
    </row>
    <row r="7" spans="2:14" x14ac:dyDescent="0.3">
      <c r="B7" s="22"/>
      <c r="C7" s="15">
        <v>5</v>
      </c>
      <c r="D7" t="s">
        <v>58</v>
      </c>
      <c r="F7" s="10"/>
      <c r="G7">
        <v>4</v>
      </c>
      <c r="H7" s="4">
        <f t="shared" si="0"/>
        <v>80</v>
      </c>
      <c r="I7" s="30"/>
      <c r="J7" s="31"/>
      <c r="K7" s="32"/>
      <c r="L7" t="s">
        <v>115</v>
      </c>
      <c r="N7" t="s">
        <v>116</v>
      </c>
    </row>
    <row r="8" spans="2:14" x14ac:dyDescent="0.3">
      <c r="B8" s="22"/>
      <c r="C8" s="15">
        <v>6</v>
      </c>
      <c r="D8" t="s">
        <v>119</v>
      </c>
      <c r="F8" s="10"/>
      <c r="G8">
        <v>4</v>
      </c>
      <c r="H8" s="4">
        <f t="shared" si="0"/>
        <v>80</v>
      </c>
      <c r="I8" s="30"/>
      <c r="J8" s="31"/>
      <c r="K8" s="32"/>
      <c r="L8" t="s">
        <v>117</v>
      </c>
      <c r="N8" t="s">
        <v>118</v>
      </c>
    </row>
    <row r="9" spans="2:14" x14ac:dyDescent="0.3">
      <c r="B9" s="22"/>
      <c r="C9" s="15">
        <v>7</v>
      </c>
      <c r="D9" t="s">
        <v>46</v>
      </c>
      <c r="F9" s="10"/>
      <c r="G9">
        <v>4</v>
      </c>
      <c r="H9" s="4">
        <f t="shared" si="0"/>
        <v>80</v>
      </c>
      <c r="I9" s="30"/>
      <c r="J9" s="31"/>
      <c r="K9" s="32"/>
      <c r="L9" t="s">
        <v>120</v>
      </c>
      <c r="N9" t="s">
        <v>121</v>
      </c>
    </row>
    <row r="10" spans="2:14" ht="17.25" thickBot="1" x14ac:dyDescent="0.35">
      <c r="B10" s="22"/>
      <c r="C10" s="15">
        <v>8</v>
      </c>
      <c r="D10" t="s">
        <v>53</v>
      </c>
      <c r="F10" s="10"/>
      <c r="G10">
        <v>3</v>
      </c>
      <c r="H10" s="4">
        <f t="shared" si="0"/>
        <v>60</v>
      </c>
      <c r="I10" s="33"/>
      <c r="J10" s="34"/>
      <c r="K10" s="35"/>
      <c r="N10" t="s">
        <v>122</v>
      </c>
    </row>
    <row r="11" spans="2:14" ht="17.25" thickBot="1" x14ac:dyDescent="0.35">
      <c r="B11" s="22"/>
      <c r="C11" s="15">
        <v>9</v>
      </c>
      <c r="D11" t="s">
        <v>45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  <c r="N11" t="s">
        <v>123</v>
      </c>
    </row>
    <row r="12" spans="2:14" x14ac:dyDescent="0.3">
      <c r="B12" s="22"/>
      <c r="C12" s="15">
        <v>10</v>
      </c>
      <c r="D12" t="s">
        <v>44</v>
      </c>
      <c r="F12" s="10"/>
      <c r="G12">
        <v>3</v>
      </c>
      <c r="H12" s="4">
        <f t="shared" si="0"/>
        <v>60</v>
      </c>
      <c r="I12" s="27"/>
      <c r="J12" s="28"/>
      <c r="K12" s="29"/>
      <c r="N12" t="s">
        <v>124</v>
      </c>
    </row>
    <row r="13" spans="2:14" x14ac:dyDescent="0.3">
      <c r="B13" s="22"/>
      <c r="C13" s="15">
        <v>11</v>
      </c>
      <c r="D13" t="s">
        <v>47</v>
      </c>
      <c r="F13" s="10"/>
      <c r="G13">
        <v>2</v>
      </c>
      <c r="H13" s="4">
        <f t="shared" si="0"/>
        <v>40</v>
      </c>
      <c r="I13" s="30"/>
      <c r="J13" s="31"/>
      <c r="K13" s="32"/>
      <c r="N13" t="s">
        <v>125</v>
      </c>
    </row>
    <row r="14" spans="2:14" x14ac:dyDescent="0.3">
      <c r="B14" s="22"/>
      <c r="C14" s="15">
        <v>12</v>
      </c>
      <c r="D14" t="s">
        <v>48</v>
      </c>
      <c r="F14" s="10"/>
      <c r="G14">
        <v>6</v>
      </c>
      <c r="H14" s="4">
        <f t="shared" si="0"/>
        <v>120</v>
      </c>
      <c r="I14" s="30"/>
      <c r="J14" s="31"/>
      <c r="K14" s="32"/>
      <c r="L14" s="18"/>
      <c r="N14" s="18" t="s">
        <v>126</v>
      </c>
    </row>
    <row r="15" spans="2:14" x14ac:dyDescent="0.3">
      <c r="B15" s="22"/>
      <c r="C15" s="15">
        <v>13</v>
      </c>
      <c r="D15" t="s">
        <v>128</v>
      </c>
      <c r="F15" s="10"/>
      <c r="G15">
        <v>6</v>
      </c>
      <c r="H15" s="4">
        <f t="shared" si="0"/>
        <v>120</v>
      </c>
      <c r="I15" s="30"/>
      <c r="J15" s="31"/>
      <c r="K15" s="32"/>
      <c r="N15" t="s">
        <v>127</v>
      </c>
    </row>
    <row r="16" spans="2:14" x14ac:dyDescent="0.3">
      <c r="B16" s="22"/>
      <c r="C16" s="15">
        <v>14</v>
      </c>
      <c r="D16" t="s">
        <v>130</v>
      </c>
      <c r="F16" s="10"/>
      <c r="G16">
        <v>3</v>
      </c>
      <c r="H16" s="4">
        <f t="shared" si="0"/>
        <v>60</v>
      </c>
      <c r="I16" s="30"/>
      <c r="J16" s="31"/>
      <c r="K16" s="32"/>
      <c r="N16" t="s">
        <v>129</v>
      </c>
    </row>
    <row r="17" spans="2:11" x14ac:dyDescent="0.3">
      <c r="B17" s="22"/>
      <c r="C17" s="15">
        <v>15</v>
      </c>
      <c r="D17" t="s">
        <v>131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132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60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133</v>
      </c>
      <c r="F20" s="10"/>
      <c r="G20">
        <v>3</v>
      </c>
      <c r="H20" s="4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1240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1240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66" orientation="portrait" horizontalDpi="0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39F3-1427-45B8-B8D5-A81BA459C0A5}">
  <sheetPr>
    <pageSetUpPr fitToPage="1"/>
  </sheetPr>
  <dimension ref="B1:K32"/>
  <sheetViews>
    <sheetView workbookViewId="0">
      <selection activeCell="E15" sqref="E1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317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108</v>
      </c>
      <c r="F3" s="10"/>
      <c r="G3">
        <v>4</v>
      </c>
      <c r="H3" s="4">
        <f>PRODUCT(G3,20)</f>
        <v>80</v>
      </c>
      <c r="I3" s="27" t="s">
        <v>318</v>
      </c>
      <c r="J3" s="28"/>
      <c r="K3" s="29"/>
    </row>
    <row r="4" spans="2:11" x14ac:dyDescent="0.3">
      <c r="B4" s="22"/>
      <c r="C4" s="15">
        <v>2</v>
      </c>
      <c r="D4" t="s">
        <v>236</v>
      </c>
      <c r="F4" s="10"/>
      <c r="G4">
        <v>4</v>
      </c>
      <c r="H4" s="4">
        <f t="shared" ref="H4:H18" si="0">PRODUCT(G4,20)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41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58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119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46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53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45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44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47</v>
      </c>
      <c r="F12" s="10"/>
      <c r="G12">
        <v>3</v>
      </c>
      <c r="H12" s="4">
        <f t="shared" si="0"/>
        <v>60</v>
      </c>
      <c r="I12" s="27" t="s">
        <v>319</v>
      </c>
      <c r="J12" s="28"/>
      <c r="K12" s="29"/>
    </row>
    <row r="13" spans="2:11" x14ac:dyDescent="0.3">
      <c r="B13" s="22"/>
      <c r="C13" s="15">
        <v>11</v>
      </c>
      <c r="D13" t="s">
        <v>60</v>
      </c>
      <c r="F13" s="10"/>
      <c r="G13">
        <v>3</v>
      </c>
      <c r="H13" s="4">
        <f t="shared" si="0"/>
        <v>60</v>
      </c>
      <c r="I13" s="30"/>
      <c r="J13" s="31"/>
      <c r="K13" s="32"/>
    </row>
    <row r="14" spans="2:11" x14ac:dyDescent="0.3">
      <c r="B14" s="22"/>
      <c r="C14" s="15">
        <v>12</v>
      </c>
      <c r="D14" t="s">
        <v>285</v>
      </c>
      <c r="F14" s="10"/>
      <c r="G14">
        <v>3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132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1" x14ac:dyDescent="0.3">
      <c r="B16" s="22"/>
      <c r="C16" s="15">
        <v>14</v>
      </c>
      <c r="D16" t="s">
        <v>137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22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256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100</v>
      </c>
      <c r="F19" s="10"/>
      <c r="G19">
        <v>4</v>
      </c>
      <c r="H19" s="4">
        <f>PRODUCT(G19,20)</f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64</v>
      </c>
      <c r="F20" s="10"/>
      <c r="G20">
        <v>3</v>
      </c>
      <c r="H20" s="4">
        <f>PRODUCT(G20,20)</f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48</v>
      </c>
      <c r="F21" s="10"/>
      <c r="G21">
        <v>4</v>
      </c>
      <c r="H21" s="4">
        <v>80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147</v>
      </c>
      <c r="F22" s="10"/>
      <c r="G22">
        <v>4</v>
      </c>
      <c r="H22" s="4">
        <v>80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68</v>
      </c>
      <c r="F23" s="10"/>
      <c r="G23">
        <v>2</v>
      </c>
      <c r="H23" s="4">
        <v>40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I25" s="17" t="s">
        <v>29</v>
      </c>
      <c r="J25" s="2">
        <f>SUM(G3:G32)</f>
        <v>70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CC72-FE53-47AE-810F-63AF3174DCEE}">
  <sheetPr>
    <pageSetUpPr fitToPage="1"/>
  </sheetPr>
  <dimension ref="B1:K32"/>
  <sheetViews>
    <sheetView workbookViewId="0">
      <selection activeCell="O22" sqref="O2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315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147</v>
      </c>
      <c r="F3" s="10"/>
      <c r="G3">
        <v>8</v>
      </c>
      <c r="H3" s="4">
        <f>PRODUCT(G3,30)</f>
        <v>240</v>
      </c>
      <c r="I3" s="27" t="s">
        <v>316</v>
      </c>
      <c r="J3" s="28"/>
      <c r="K3" s="29"/>
    </row>
    <row r="4" spans="2:11" x14ac:dyDescent="0.3">
      <c r="B4" s="22"/>
      <c r="C4" s="15">
        <v>2</v>
      </c>
      <c r="D4" t="s">
        <v>80</v>
      </c>
      <c r="F4" s="10"/>
      <c r="G4">
        <v>6</v>
      </c>
      <c r="H4" s="4">
        <f t="shared" ref="H4:H8" si="0">PRODUCT(G4,30)</f>
        <v>180</v>
      </c>
      <c r="I4" s="30"/>
      <c r="J4" s="31"/>
      <c r="K4" s="32"/>
    </row>
    <row r="5" spans="2:11" x14ac:dyDescent="0.3">
      <c r="B5" s="22"/>
      <c r="C5" s="15">
        <v>3</v>
      </c>
      <c r="D5" t="s">
        <v>48</v>
      </c>
      <c r="F5" s="10"/>
      <c r="G5">
        <v>6</v>
      </c>
      <c r="H5" s="4">
        <f t="shared" si="0"/>
        <v>180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8</v>
      </c>
      <c r="H6" s="4">
        <f t="shared" si="0"/>
        <v>240</v>
      </c>
      <c r="I6" s="30"/>
      <c r="J6" s="31"/>
      <c r="K6" s="32"/>
    </row>
    <row r="7" spans="2:11" x14ac:dyDescent="0.3">
      <c r="B7" s="22"/>
      <c r="C7" s="15">
        <v>5</v>
      </c>
      <c r="D7" t="s">
        <v>54</v>
      </c>
      <c r="F7" s="10"/>
      <c r="G7">
        <v>6</v>
      </c>
      <c r="H7" s="4">
        <f t="shared" si="0"/>
        <v>180</v>
      </c>
      <c r="I7" s="30"/>
      <c r="J7" s="31"/>
      <c r="K7" s="32"/>
    </row>
    <row r="8" spans="2:11" x14ac:dyDescent="0.3">
      <c r="B8" s="22"/>
      <c r="C8" s="15">
        <v>6</v>
      </c>
      <c r="D8" t="s">
        <v>47</v>
      </c>
      <c r="F8" s="10"/>
      <c r="G8">
        <v>4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F9" s="10"/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38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1140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1140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AAF9-D76A-4FB6-BB62-59D2492C44F0}">
  <sheetPr>
    <pageSetUpPr fitToPage="1"/>
  </sheetPr>
  <dimension ref="B1:Q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311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40</v>
      </c>
      <c r="E3" s="3"/>
      <c r="G3">
        <v>12</v>
      </c>
      <c r="H3" s="4">
        <f>PRODUCT(G3,23)</f>
        <v>276</v>
      </c>
      <c r="I3" s="27" t="s">
        <v>312</v>
      </c>
      <c r="J3" s="28"/>
      <c r="K3" s="29"/>
    </row>
    <row r="4" spans="2:17" x14ac:dyDescent="0.3">
      <c r="B4" s="22"/>
      <c r="C4" s="15">
        <v>2</v>
      </c>
      <c r="D4" t="s">
        <v>58</v>
      </c>
      <c r="E4" s="4"/>
      <c r="G4">
        <v>9</v>
      </c>
      <c r="H4" s="4">
        <f t="shared" ref="H4:H12" si="0">PRODUCT(G4,23)</f>
        <v>207</v>
      </c>
      <c r="I4" s="30"/>
      <c r="J4" s="31"/>
      <c r="K4" s="32"/>
    </row>
    <row r="5" spans="2:17" x14ac:dyDescent="0.3">
      <c r="B5" s="22"/>
      <c r="C5" s="15">
        <v>3</v>
      </c>
      <c r="D5" t="s">
        <v>128</v>
      </c>
      <c r="E5" s="4"/>
      <c r="G5">
        <v>6</v>
      </c>
      <c r="H5" s="4">
        <f t="shared" si="0"/>
        <v>138</v>
      </c>
      <c r="I5" s="30"/>
      <c r="J5" s="31"/>
      <c r="K5" s="32"/>
    </row>
    <row r="6" spans="2:17" x14ac:dyDescent="0.3">
      <c r="B6" s="22"/>
      <c r="C6" s="15">
        <v>4</v>
      </c>
      <c r="D6" t="s">
        <v>160</v>
      </c>
      <c r="E6" s="4"/>
      <c r="G6">
        <v>5</v>
      </c>
      <c r="H6" s="4">
        <f t="shared" si="0"/>
        <v>115</v>
      </c>
      <c r="I6" s="30"/>
      <c r="J6" s="31"/>
      <c r="K6" s="32"/>
    </row>
    <row r="7" spans="2:17" x14ac:dyDescent="0.3">
      <c r="B7" s="22"/>
      <c r="C7" s="15">
        <v>5</v>
      </c>
      <c r="D7" t="s">
        <v>108</v>
      </c>
      <c r="E7" s="4"/>
      <c r="G7">
        <v>5</v>
      </c>
      <c r="H7" s="4">
        <f t="shared" si="0"/>
        <v>115</v>
      </c>
      <c r="I7" s="30"/>
      <c r="J7" s="31"/>
      <c r="K7" s="32"/>
    </row>
    <row r="8" spans="2:17" x14ac:dyDescent="0.3">
      <c r="B8" s="22"/>
      <c r="C8" s="15">
        <v>6</v>
      </c>
      <c r="D8" t="s">
        <v>80</v>
      </c>
      <c r="E8" s="4"/>
      <c r="G8">
        <v>5</v>
      </c>
      <c r="H8" s="4">
        <f t="shared" si="0"/>
        <v>115</v>
      </c>
      <c r="I8" s="30"/>
      <c r="J8" s="31"/>
      <c r="K8" s="32"/>
    </row>
    <row r="9" spans="2:17" x14ac:dyDescent="0.3">
      <c r="B9" s="22"/>
      <c r="C9" s="15">
        <v>7</v>
      </c>
      <c r="D9" t="s">
        <v>95</v>
      </c>
      <c r="E9" s="4"/>
      <c r="G9">
        <v>5</v>
      </c>
      <c r="H9" s="4">
        <f t="shared" si="0"/>
        <v>115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313</v>
      </c>
      <c r="E10" s="4"/>
      <c r="G10">
        <v>5</v>
      </c>
      <c r="H10" s="4">
        <f t="shared" si="0"/>
        <v>115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314</v>
      </c>
      <c r="E11" s="4"/>
      <c r="G11">
        <v>5</v>
      </c>
      <c r="H11" s="4">
        <f t="shared" si="0"/>
        <v>115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48</v>
      </c>
      <c r="E12" s="4"/>
      <c r="G12">
        <v>5</v>
      </c>
      <c r="H12" s="4">
        <f t="shared" si="0"/>
        <v>115</v>
      </c>
      <c r="I12" s="27"/>
      <c r="J12" s="28"/>
      <c r="K12" s="29"/>
    </row>
    <row r="13" spans="2:17" x14ac:dyDescent="0.3">
      <c r="B13" s="22"/>
      <c r="C13" s="15">
        <v>11</v>
      </c>
      <c r="D13" t="s">
        <v>68</v>
      </c>
      <c r="E13" s="4"/>
      <c r="G13">
        <v>2</v>
      </c>
      <c r="H13" s="4">
        <f t="shared" ref="H13" si="1">PRODUCT(G13,20)</f>
        <v>40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E14" s="4"/>
      <c r="H14" s="4"/>
      <c r="I14" s="30"/>
      <c r="J14" s="31"/>
      <c r="K14" s="32"/>
    </row>
    <row r="15" spans="2:17" x14ac:dyDescent="0.3">
      <c r="B15" s="22"/>
      <c r="C15" s="15">
        <v>13</v>
      </c>
      <c r="E15" s="4"/>
      <c r="H15" s="4"/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64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1280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1466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5FEC-FD7D-43E9-9C0C-D04DD0C56BC8}">
  <sheetPr>
    <pageSetUpPr fitToPage="1"/>
  </sheetPr>
  <dimension ref="B1:Q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308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146</v>
      </c>
      <c r="E3" s="3"/>
      <c r="G3">
        <v>10</v>
      </c>
      <c r="H3" s="4">
        <f>PRODUCT(G3,30)</f>
        <v>300</v>
      </c>
      <c r="I3" s="27" t="s">
        <v>307</v>
      </c>
      <c r="J3" s="28"/>
      <c r="K3" s="29"/>
    </row>
    <row r="4" spans="2:17" x14ac:dyDescent="0.3">
      <c r="B4" s="22"/>
      <c r="C4" s="15">
        <v>2</v>
      </c>
      <c r="D4" t="s">
        <v>309</v>
      </c>
      <c r="E4" s="4"/>
      <c r="G4">
        <v>8</v>
      </c>
      <c r="H4" s="4">
        <f t="shared" ref="H4:H11" si="0">PRODUCT(G4,30)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128</v>
      </c>
      <c r="E5" s="4"/>
      <c r="G5">
        <v>8</v>
      </c>
      <c r="H5" s="4">
        <f t="shared" si="0"/>
        <v>240</v>
      </c>
      <c r="I5" s="30"/>
      <c r="J5" s="31"/>
      <c r="K5" s="32"/>
    </row>
    <row r="6" spans="2:17" x14ac:dyDescent="0.3">
      <c r="B6" s="22"/>
      <c r="C6" s="15">
        <v>4</v>
      </c>
      <c r="D6" t="s">
        <v>54</v>
      </c>
      <c r="E6" s="4"/>
      <c r="G6">
        <v>6</v>
      </c>
      <c r="H6" s="4">
        <f t="shared" si="0"/>
        <v>180</v>
      </c>
      <c r="I6" s="30"/>
      <c r="J6" s="31"/>
      <c r="K6" s="32"/>
    </row>
    <row r="7" spans="2:17" x14ac:dyDescent="0.3">
      <c r="B7" s="22"/>
      <c r="C7" s="15">
        <v>5</v>
      </c>
      <c r="D7" t="s">
        <v>48</v>
      </c>
      <c r="E7" s="4"/>
      <c r="G7">
        <v>6</v>
      </c>
      <c r="H7" s="4">
        <f t="shared" si="0"/>
        <v>180</v>
      </c>
      <c r="I7" s="30"/>
      <c r="J7" s="31"/>
      <c r="K7" s="32"/>
    </row>
    <row r="8" spans="2:17" x14ac:dyDescent="0.3">
      <c r="B8" s="22"/>
      <c r="C8" s="15">
        <v>6</v>
      </c>
      <c r="D8" t="s">
        <v>47</v>
      </c>
      <c r="E8" s="4"/>
      <c r="G8">
        <v>4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80</v>
      </c>
      <c r="E9" s="4"/>
      <c r="G9">
        <v>6</v>
      </c>
      <c r="H9" s="4">
        <f t="shared" si="0"/>
        <v>180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167</v>
      </c>
      <c r="E10" s="4"/>
      <c r="G10">
        <v>4</v>
      </c>
      <c r="H10" s="4">
        <f t="shared" si="0"/>
        <v>120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256</v>
      </c>
      <c r="E11" s="4"/>
      <c r="G11">
        <v>4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68</v>
      </c>
      <c r="E12" s="4"/>
      <c r="G12">
        <v>2</v>
      </c>
      <c r="H12" s="4">
        <f>PRODUCT(G12,20)</f>
        <v>40</v>
      </c>
      <c r="I12" s="27" t="s">
        <v>310</v>
      </c>
      <c r="J12" s="28"/>
      <c r="K12" s="29"/>
    </row>
    <row r="13" spans="2:17" x14ac:dyDescent="0.3">
      <c r="B13" s="22"/>
      <c r="C13" s="15">
        <v>11</v>
      </c>
      <c r="E13" s="4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E14" s="4"/>
      <c r="H14" s="4"/>
      <c r="I14" s="30"/>
      <c r="J14" s="31"/>
      <c r="K14" s="32"/>
    </row>
    <row r="15" spans="2:17" x14ac:dyDescent="0.3">
      <c r="B15" s="22"/>
      <c r="C15" s="15">
        <v>13</v>
      </c>
      <c r="E15" s="4"/>
      <c r="H15" s="4"/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58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68E1-CD4C-4D1E-996F-31000DB4CC70}">
  <sheetPr>
    <pageSetUpPr fitToPage="1"/>
  </sheetPr>
  <dimension ref="B1:Q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304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55</v>
      </c>
      <c r="E3" s="3"/>
      <c r="G3">
        <v>8</v>
      </c>
      <c r="H3" s="4">
        <f>PRODUCT(G3,30)</f>
        <v>240</v>
      </c>
      <c r="I3" s="27" t="s">
        <v>305</v>
      </c>
      <c r="J3" s="28"/>
      <c r="K3" s="29"/>
    </row>
    <row r="4" spans="2:17" x14ac:dyDescent="0.3">
      <c r="B4" s="22"/>
      <c r="C4" s="15">
        <v>2</v>
      </c>
      <c r="D4" t="s">
        <v>71</v>
      </c>
      <c r="E4" s="4"/>
      <c r="G4">
        <v>8</v>
      </c>
      <c r="H4" s="4">
        <f t="shared" ref="H4:H5" si="0">PRODUCT(G4,30)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67</v>
      </c>
      <c r="E5" s="4"/>
      <c r="G5">
        <v>4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E6" s="4"/>
      <c r="H6" s="4"/>
      <c r="I6" s="30"/>
      <c r="J6" s="31"/>
      <c r="K6" s="32"/>
    </row>
    <row r="7" spans="2:17" x14ac:dyDescent="0.3">
      <c r="B7" s="22"/>
      <c r="C7" s="15">
        <v>5</v>
      </c>
      <c r="E7" s="4"/>
      <c r="H7" s="4"/>
      <c r="I7" s="30"/>
      <c r="J7" s="31"/>
      <c r="K7" s="32"/>
    </row>
    <row r="8" spans="2:17" x14ac:dyDescent="0.3">
      <c r="B8" s="22"/>
      <c r="C8" s="15">
        <v>6</v>
      </c>
      <c r="E8" s="4"/>
      <c r="H8" s="4"/>
      <c r="I8" s="30"/>
      <c r="J8" s="31"/>
      <c r="K8" s="32"/>
    </row>
    <row r="9" spans="2:17" x14ac:dyDescent="0.3">
      <c r="B9" s="22"/>
      <c r="C9" s="15">
        <v>7</v>
      </c>
      <c r="E9" s="4"/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E10" s="4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E11" s="4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E12" s="4"/>
      <c r="H12" s="4"/>
      <c r="I12" s="27"/>
      <c r="J12" s="28"/>
      <c r="K12" s="29"/>
    </row>
    <row r="13" spans="2:17" x14ac:dyDescent="0.3">
      <c r="B13" s="22"/>
      <c r="C13" s="15">
        <v>11</v>
      </c>
      <c r="E13" s="4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E14" s="4"/>
      <c r="H14" s="4"/>
      <c r="I14" s="30"/>
      <c r="J14" s="31"/>
      <c r="K14" s="32"/>
    </row>
    <row r="15" spans="2:17" x14ac:dyDescent="0.3">
      <c r="B15" s="22"/>
      <c r="C15" s="15">
        <v>13</v>
      </c>
      <c r="E15" s="4"/>
      <c r="H15" s="4"/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20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600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600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ECA1-9E1A-4192-823A-79CB4305C6D1}">
  <sheetPr>
    <pageSetUpPr fitToPage="1"/>
  </sheetPr>
  <dimension ref="B1:Q32"/>
  <sheetViews>
    <sheetView workbookViewId="0">
      <selection activeCell="D15" sqref="D1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301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75</v>
      </c>
      <c r="E3" s="3" t="s">
        <v>66</v>
      </c>
      <c r="G3">
        <v>12</v>
      </c>
      <c r="H3" s="4">
        <f>PRODUCT(G3,10)</f>
        <v>120</v>
      </c>
      <c r="I3" s="27" t="s">
        <v>300</v>
      </c>
      <c r="J3" s="28"/>
      <c r="K3" s="29"/>
    </row>
    <row r="4" spans="2:17" x14ac:dyDescent="0.3">
      <c r="B4" s="22"/>
      <c r="C4" s="15">
        <v>2</v>
      </c>
      <c r="D4" t="s">
        <v>19</v>
      </c>
      <c r="E4" s="4"/>
      <c r="G4">
        <v>8</v>
      </c>
      <c r="H4" s="4">
        <f t="shared" ref="H4:H15" si="0">PRODUCT(G4,10)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95</v>
      </c>
      <c r="E5" s="4"/>
      <c r="G5">
        <v>8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54</v>
      </c>
      <c r="E6" s="4"/>
      <c r="G6">
        <v>8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13</v>
      </c>
      <c r="E7" s="4"/>
      <c r="G7">
        <v>6</v>
      </c>
      <c r="H7" s="4">
        <f t="shared" si="0"/>
        <v>60</v>
      </c>
      <c r="I7" s="30"/>
      <c r="J7" s="31"/>
      <c r="K7" s="32"/>
    </row>
    <row r="8" spans="2:17" x14ac:dyDescent="0.3">
      <c r="B8" s="22"/>
      <c r="C8" s="15">
        <v>6</v>
      </c>
      <c r="D8" t="s">
        <v>14</v>
      </c>
      <c r="E8" s="4"/>
      <c r="G8">
        <v>6</v>
      </c>
      <c r="H8" s="4">
        <f t="shared" si="0"/>
        <v>60</v>
      </c>
      <c r="I8" s="30"/>
      <c r="J8" s="31"/>
      <c r="K8" s="32"/>
    </row>
    <row r="9" spans="2:17" x14ac:dyDescent="0.3">
      <c r="B9" s="22"/>
      <c r="C9" s="15">
        <v>7</v>
      </c>
      <c r="D9" t="s">
        <v>239</v>
      </c>
      <c r="E9" s="4"/>
      <c r="G9">
        <v>3.2</v>
      </c>
      <c r="H9" s="4">
        <f t="shared" si="0"/>
        <v>32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72</v>
      </c>
      <c r="E10" s="4"/>
      <c r="G10">
        <v>3.2</v>
      </c>
      <c r="H10" s="4">
        <f t="shared" si="0"/>
        <v>32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71</v>
      </c>
      <c r="E11" s="4"/>
      <c r="G11">
        <v>3.2</v>
      </c>
      <c r="H11" s="4">
        <f t="shared" si="0"/>
        <v>32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45</v>
      </c>
      <c r="E12" s="4"/>
      <c r="G12">
        <v>3.2</v>
      </c>
      <c r="H12" s="4">
        <f t="shared" si="0"/>
        <v>32</v>
      </c>
      <c r="I12" s="27"/>
      <c r="J12" s="28"/>
      <c r="K12" s="29"/>
    </row>
    <row r="13" spans="2:17" x14ac:dyDescent="0.3">
      <c r="B13" s="22"/>
      <c r="C13" s="15">
        <v>11</v>
      </c>
      <c r="D13" t="s">
        <v>64</v>
      </c>
      <c r="E13" s="4"/>
      <c r="G13">
        <v>3.2</v>
      </c>
      <c r="H13" s="4">
        <f t="shared" si="0"/>
        <v>32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73</v>
      </c>
      <c r="E14" s="4"/>
      <c r="G14">
        <v>3.2</v>
      </c>
      <c r="H14" s="4">
        <f t="shared" si="0"/>
        <v>32</v>
      </c>
      <c r="I14" s="30"/>
      <c r="J14" s="31"/>
      <c r="K14" s="32"/>
    </row>
    <row r="15" spans="2:17" x14ac:dyDescent="0.3">
      <c r="B15" s="22"/>
      <c r="C15" s="15">
        <v>13</v>
      </c>
      <c r="D15" t="s">
        <v>47</v>
      </c>
      <c r="E15" s="4"/>
      <c r="G15">
        <v>3.2</v>
      </c>
      <c r="H15" s="4">
        <f t="shared" si="0"/>
        <v>32</v>
      </c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10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20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70.40000000000002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704.00000000000023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704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D64E-75BE-451E-9D09-CFE1EA2B1A31}">
  <sheetPr>
    <pageSetUpPr fitToPage="1"/>
  </sheetPr>
  <dimension ref="B1:Q32"/>
  <sheetViews>
    <sheetView workbookViewId="0">
      <selection activeCell="B1" sqref="B1:J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306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12</v>
      </c>
      <c r="E3" s="3"/>
      <c r="G3">
        <v>16</v>
      </c>
      <c r="H3" s="4">
        <f>PRODUCT(G3,20)</f>
        <v>320</v>
      </c>
      <c r="I3" s="27" t="s">
        <v>302</v>
      </c>
      <c r="J3" s="28"/>
      <c r="K3" s="29"/>
    </row>
    <row r="4" spans="2:17" x14ac:dyDescent="0.3">
      <c r="B4" s="22"/>
      <c r="C4" s="15">
        <v>2</v>
      </c>
      <c r="D4" t="s">
        <v>13</v>
      </c>
      <c r="E4" s="4"/>
      <c r="G4">
        <v>8</v>
      </c>
      <c r="H4" s="4">
        <f t="shared" ref="H4:H19" si="0">PRODUCT(G4,20)</f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E5" s="4"/>
      <c r="G5">
        <v>8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95</v>
      </c>
      <c r="E6" s="4"/>
      <c r="G6">
        <v>8</v>
      </c>
      <c r="H6" s="4">
        <f t="shared" si="0"/>
        <v>160</v>
      </c>
      <c r="I6" s="30"/>
      <c r="J6" s="31"/>
      <c r="K6" s="32"/>
    </row>
    <row r="7" spans="2:17" x14ac:dyDescent="0.3">
      <c r="B7" s="22"/>
      <c r="C7" s="15">
        <v>5</v>
      </c>
      <c r="D7" t="s">
        <v>53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47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132</v>
      </c>
      <c r="E9" s="4"/>
      <c r="G9">
        <v>3</v>
      </c>
      <c r="H9" s="4">
        <f t="shared" si="0"/>
        <v>60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48</v>
      </c>
      <c r="E10" s="4"/>
      <c r="G10">
        <v>5</v>
      </c>
      <c r="H10" s="4">
        <f t="shared" si="0"/>
        <v>100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143</v>
      </c>
      <c r="E11" s="4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41</v>
      </c>
      <c r="E12" s="4"/>
      <c r="G12">
        <v>4</v>
      </c>
      <c r="H12" s="4">
        <f t="shared" si="0"/>
        <v>80</v>
      </c>
      <c r="I12" s="27" t="s">
        <v>303</v>
      </c>
      <c r="J12" s="28"/>
      <c r="K12" s="29"/>
    </row>
    <row r="13" spans="2:17" x14ac:dyDescent="0.3">
      <c r="B13" s="22"/>
      <c r="C13" s="15">
        <v>11</v>
      </c>
      <c r="D13" t="s">
        <v>164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62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73</v>
      </c>
      <c r="E15" s="4"/>
      <c r="G15">
        <v>3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94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227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99</v>
      </c>
      <c r="E18" s="4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E19" s="4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46D8-F99F-4238-993A-843929D6FBFF}">
  <sheetPr>
    <pageSetUpPr fitToPage="1"/>
  </sheetPr>
  <dimension ref="B1:K32"/>
  <sheetViews>
    <sheetView workbookViewId="0">
      <selection activeCell="B2" sqref="B2:B3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297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51</v>
      </c>
      <c r="F3" s="10"/>
      <c r="G3">
        <v>10</v>
      </c>
      <c r="H3" s="4">
        <f>PRODUCT(G3,10)</f>
        <v>100</v>
      </c>
      <c r="I3" s="27" t="s">
        <v>296</v>
      </c>
      <c r="J3" s="28"/>
      <c r="K3" s="29"/>
    </row>
    <row r="4" spans="2:11" x14ac:dyDescent="0.3">
      <c r="B4" s="22"/>
      <c r="C4" s="15">
        <v>2</v>
      </c>
      <c r="D4" t="s">
        <v>53</v>
      </c>
      <c r="F4" s="10"/>
      <c r="G4">
        <v>4</v>
      </c>
      <c r="H4" s="4">
        <f t="shared" ref="H4:H22" si="0">PRODUCT(G4,10)</f>
        <v>40</v>
      </c>
      <c r="I4" s="30"/>
      <c r="J4" s="31"/>
      <c r="K4" s="32"/>
    </row>
    <row r="5" spans="2:11" x14ac:dyDescent="0.3">
      <c r="B5" s="22"/>
      <c r="C5" s="15">
        <v>3</v>
      </c>
      <c r="D5" t="s">
        <v>54</v>
      </c>
      <c r="F5" s="10"/>
      <c r="G5">
        <v>4</v>
      </c>
      <c r="H5" s="4">
        <f t="shared" si="0"/>
        <v>40</v>
      </c>
      <c r="I5" s="30"/>
      <c r="J5" s="31"/>
      <c r="K5" s="32"/>
    </row>
    <row r="6" spans="2:11" x14ac:dyDescent="0.3">
      <c r="B6" s="22"/>
      <c r="C6" s="15">
        <v>4</v>
      </c>
      <c r="D6" t="s">
        <v>48</v>
      </c>
      <c r="F6" s="10"/>
      <c r="G6">
        <v>6</v>
      </c>
      <c r="H6" s="4">
        <f t="shared" si="0"/>
        <v>60</v>
      </c>
      <c r="I6" s="30"/>
      <c r="J6" s="31"/>
      <c r="K6" s="32"/>
    </row>
    <row r="7" spans="2:11" x14ac:dyDescent="0.3">
      <c r="B7" s="22"/>
      <c r="C7" s="15">
        <v>5</v>
      </c>
      <c r="D7" t="s">
        <v>55</v>
      </c>
      <c r="F7" s="10"/>
      <c r="G7">
        <v>4</v>
      </c>
      <c r="H7" s="4">
        <f t="shared" si="0"/>
        <v>40</v>
      </c>
      <c r="I7" s="30"/>
      <c r="J7" s="31"/>
      <c r="K7" s="32"/>
    </row>
    <row r="8" spans="2:11" x14ac:dyDescent="0.3">
      <c r="B8" s="22"/>
      <c r="C8" s="15">
        <v>6</v>
      </c>
      <c r="D8" t="s">
        <v>46</v>
      </c>
      <c r="F8" s="10"/>
      <c r="G8">
        <v>4</v>
      </c>
      <c r="H8" s="4">
        <f t="shared" si="0"/>
        <v>40</v>
      </c>
      <c r="I8" s="30"/>
      <c r="J8" s="31"/>
      <c r="K8" s="32"/>
    </row>
    <row r="9" spans="2:11" x14ac:dyDescent="0.3">
      <c r="B9" s="22"/>
      <c r="C9" s="15">
        <v>7</v>
      </c>
      <c r="D9" t="s">
        <v>58</v>
      </c>
      <c r="F9" s="10"/>
      <c r="G9">
        <v>4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59</v>
      </c>
      <c r="F10" s="10"/>
      <c r="G10">
        <v>4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60</v>
      </c>
      <c r="F11" s="10"/>
      <c r="G11">
        <v>4</v>
      </c>
      <c r="H11" s="4">
        <f t="shared" si="0"/>
        <v>40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44</v>
      </c>
      <c r="F12" s="10"/>
      <c r="G12">
        <v>4</v>
      </c>
      <c r="H12" s="4">
        <f t="shared" si="0"/>
        <v>40</v>
      </c>
      <c r="I12" s="27" t="s">
        <v>295</v>
      </c>
      <c r="J12" s="28"/>
      <c r="K12" s="29"/>
    </row>
    <row r="13" spans="2:11" x14ac:dyDescent="0.3">
      <c r="B13" s="22"/>
      <c r="C13" s="15">
        <v>11</v>
      </c>
      <c r="D13" t="s">
        <v>62</v>
      </c>
      <c r="E13" t="s">
        <v>63</v>
      </c>
      <c r="F13" s="10"/>
      <c r="G13">
        <v>4</v>
      </c>
      <c r="H13" s="4">
        <f t="shared" si="0"/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45</v>
      </c>
      <c r="F14" s="10"/>
      <c r="G14">
        <v>4</v>
      </c>
      <c r="H14" s="4">
        <f t="shared" si="0"/>
        <v>40</v>
      </c>
      <c r="I14" s="30"/>
      <c r="J14" s="31"/>
      <c r="K14" s="32"/>
    </row>
    <row r="15" spans="2:11" x14ac:dyDescent="0.3">
      <c r="B15" s="22"/>
      <c r="C15" s="15">
        <v>13</v>
      </c>
      <c r="D15" t="s">
        <v>64</v>
      </c>
      <c r="F15" s="10"/>
      <c r="G15">
        <v>2.8</v>
      </c>
      <c r="H15" s="4">
        <f t="shared" si="0"/>
        <v>28</v>
      </c>
      <c r="I15" s="30"/>
      <c r="J15" s="31"/>
      <c r="K15" s="32"/>
    </row>
    <row r="16" spans="2:11" x14ac:dyDescent="0.3">
      <c r="B16" s="22"/>
      <c r="C16" s="15">
        <v>14</v>
      </c>
      <c r="D16" t="s">
        <v>79</v>
      </c>
      <c r="E16" t="s">
        <v>66</v>
      </c>
      <c r="F16" s="10"/>
      <c r="G16">
        <v>4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160</v>
      </c>
      <c r="E17" t="s">
        <v>66</v>
      </c>
      <c r="F17" s="10"/>
      <c r="G17">
        <v>2</v>
      </c>
      <c r="H17" s="4">
        <f t="shared" si="0"/>
        <v>20</v>
      </c>
      <c r="I17" s="30"/>
      <c r="J17" s="31"/>
      <c r="K17" s="32"/>
    </row>
    <row r="18" spans="2:11" x14ac:dyDescent="0.3">
      <c r="B18" s="22"/>
      <c r="C18" s="15">
        <v>16</v>
      </c>
      <c r="D18" t="s">
        <v>14</v>
      </c>
      <c r="F18" s="10"/>
      <c r="G18">
        <v>4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67</v>
      </c>
      <c r="E19" t="s">
        <v>63</v>
      </c>
      <c r="F19" s="10"/>
      <c r="G19">
        <v>2</v>
      </c>
      <c r="H19" s="4">
        <f t="shared" si="0"/>
        <v>20</v>
      </c>
      <c r="I19" s="33"/>
      <c r="J19" s="34"/>
      <c r="K19" s="35"/>
    </row>
    <row r="20" spans="2:11" x14ac:dyDescent="0.3">
      <c r="B20" s="22"/>
      <c r="C20" s="15">
        <v>18</v>
      </c>
      <c r="D20" t="s">
        <v>164</v>
      </c>
      <c r="F20" s="10"/>
      <c r="G20">
        <v>4</v>
      </c>
      <c r="H20" s="4">
        <f t="shared" si="0"/>
        <v>40</v>
      </c>
      <c r="I20" s="2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D21" t="s">
        <v>165</v>
      </c>
      <c r="E21" t="s">
        <v>63</v>
      </c>
      <c r="F21" s="10"/>
      <c r="G21">
        <v>4</v>
      </c>
      <c r="H21" s="4">
        <f t="shared" si="0"/>
        <v>40</v>
      </c>
      <c r="I21" t="s">
        <v>25</v>
      </c>
      <c r="J21">
        <v>10</v>
      </c>
      <c r="K21" s="4" t="s">
        <v>26</v>
      </c>
    </row>
    <row r="22" spans="2:11" ht="17.25" thickBot="1" x14ac:dyDescent="0.35">
      <c r="B22" s="22"/>
      <c r="C22" s="15">
        <v>20</v>
      </c>
      <c r="D22" t="s">
        <v>169</v>
      </c>
      <c r="F22" s="10"/>
      <c r="G22">
        <v>4</v>
      </c>
      <c r="H22" s="4">
        <f t="shared" si="0"/>
        <v>40</v>
      </c>
      <c r="I22" s="7" t="s">
        <v>27</v>
      </c>
      <c r="J22" s="7">
        <v>20</v>
      </c>
      <c r="K22" s="8" t="s">
        <v>28</v>
      </c>
    </row>
    <row r="23" spans="2:11" ht="17.25" thickBot="1" x14ac:dyDescent="0.35">
      <c r="B23" s="22"/>
      <c r="C23" s="15">
        <v>21</v>
      </c>
      <c r="F23" s="10"/>
      <c r="H23" s="4"/>
      <c r="K23" s="4"/>
    </row>
    <row r="24" spans="2:11" x14ac:dyDescent="0.3">
      <c r="B24" s="22"/>
      <c r="C24" s="15">
        <v>22</v>
      </c>
      <c r="F24" s="10"/>
      <c r="H24" s="4"/>
      <c r="I24" s="2" t="s">
        <v>29</v>
      </c>
      <c r="J24" s="2">
        <f>SUM(G3:G32)</f>
        <v>82.8</v>
      </c>
      <c r="K24" s="3" t="s">
        <v>30</v>
      </c>
    </row>
    <row r="25" spans="2:11" x14ac:dyDescent="0.3">
      <c r="B25" s="22"/>
      <c r="C25" s="15">
        <v>23</v>
      </c>
      <c r="F25" s="10"/>
      <c r="H25" s="4"/>
      <c r="I25" t="s">
        <v>31</v>
      </c>
      <c r="J25">
        <f>PRODUCT(J24,J21)</f>
        <v>828</v>
      </c>
      <c r="K25" s="4" t="s">
        <v>30</v>
      </c>
    </row>
    <row r="26" spans="2:11" ht="17.25" thickBot="1" x14ac:dyDescent="0.35">
      <c r="B26" s="22"/>
      <c r="C26" s="15">
        <v>24</v>
      </c>
      <c r="F26" s="10"/>
      <c r="H26" s="4"/>
      <c r="I26" s="7" t="s">
        <v>32</v>
      </c>
      <c r="J26" s="7"/>
      <c r="K26" s="8" t="s">
        <v>33</v>
      </c>
    </row>
    <row r="27" spans="2:11" x14ac:dyDescent="0.3">
      <c r="B27" s="22"/>
      <c r="C27" s="15">
        <v>25</v>
      </c>
      <c r="F27" s="10"/>
      <c r="H27" s="4"/>
      <c r="K27" s="4"/>
    </row>
    <row r="28" spans="2:11" x14ac:dyDescent="0.3">
      <c r="B28" s="22"/>
      <c r="C28" s="15">
        <v>26</v>
      </c>
      <c r="F28" s="10"/>
      <c r="H28" s="4"/>
      <c r="K28" s="4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FEC6-D017-4C0A-8C1B-A2369776E5D7}">
  <sheetPr>
    <pageSetUpPr fitToPage="1"/>
  </sheetPr>
  <dimension ref="B1:K32"/>
  <sheetViews>
    <sheetView workbookViewId="0">
      <selection activeCell="R19" sqref="R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293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12</v>
      </c>
      <c r="H3" s="4">
        <f>PRODUCT(G3,20)</f>
        <v>240</v>
      </c>
      <c r="I3" s="27" t="s">
        <v>292</v>
      </c>
      <c r="J3" s="28"/>
      <c r="K3" s="29"/>
    </row>
    <row r="4" spans="2:11" x14ac:dyDescent="0.3">
      <c r="B4" s="22"/>
      <c r="C4" s="15">
        <v>2</v>
      </c>
      <c r="D4" t="s">
        <v>227</v>
      </c>
      <c r="F4" s="10"/>
      <c r="G4">
        <v>6</v>
      </c>
      <c r="H4" s="4">
        <f t="shared" ref="H4:H21" si="0">PRODUCT(G4,20)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99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13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94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75</v>
      </c>
      <c r="E8" t="s">
        <v>63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14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95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100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43</v>
      </c>
      <c r="F12" s="10"/>
      <c r="G12">
        <v>3</v>
      </c>
      <c r="H12" s="4">
        <f t="shared" si="0"/>
        <v>60</v>
      </c>
      <c r="I12" s="27" t="s">
        <v>294</v>
      </c>
      <c r="J12" s="28"/>
      <c r="K12" s="29"/>
    </row>
    <row r="13" spans="2:11" x14ac:dyDescent="0.3">
      <c r="B13" s="22"/>
      <c r="C13" s="15">
        <v>11</v>
      </c>
      <c r="D13" t="s">
        <v>181</v>
      </c>
      <c r="F13" s="10"/>
      <c r="G13">
        <v>3</v>
      </c>
      <c r="H13" s="4">
        <f t="shared" si="0"/>
        <v>60</v>
      </c>
      <c r="I13" s="30"/>
      <c r="J13" s="31"/>
      <c r="K13" s="32"/>
    </row>
    <row r="14" spans="2:11" x14ac:dyDescent="0.3">
      <c r="B14" s="22"/>
      <c r="C14" s="15">
        <v>12</v>
      </c>
      <c r="D14" t="s">
        <v>47</v>
      </c>
      <c r="F14" s="10"/>
      <c r="G14">
        <v>3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48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1" x14ac:dyDescent="0.3">
      <c r="B16" s="22"/>
      <c r="C16" s="15">
        <v>14</v>
      </c>
      <c r="D16" t="s">
        <v>147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108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152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73</v>
      </c>
      <c r="F19" s="10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D20" t="s">
        <v>164</v>
      </c>
      <c r="F20" s="10"/>
      <c r="G20">
        <v>3</v>
      </c>
      <c r="H20" s="4">
        <f t="shared" si="0"/>
        <v>60</v>
      </c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D21" t="s">
        <v>53</v>
      </c>
      <c r="F21" s="10"/>
      <c r="G21">
        <v>4</v>
      </c>
      <c r="H21" s="4">
        <f t="shared" si="0"/>
        <v>80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62A1-B2CB-4C54-8C66-B5CB495CBB67}">
  <sheetPr>
    <pageSetUpPr fitToPage="1"/>
  </sheetPr>
  <dimension ref="B1:K32"/>
  <sheetViews>
    <sheetView workbookViewId="0">
      <selection activeCell="E12" sqref="E12:E3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289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146</v>
      </c>
      <c r="F3" s="10"/>
      <c r="G3">
        <v>4</v>
      </c>
      <c r="H3" s="4">
        <f>PRODUCT(G3,20)</f>
        <v>80</v>
      </c>
      <c r="I3" s="27" t="s">
        <v>290</v>
      </c>
      <c r="J3" s="28"/>
      <c r="K3" s="29"/>
    </row>
    <row r="4" spans="2:11" x14ac:dyDescent="0.3">
      <c r="B4" s="22"/>
      <c r="C4" s="15">
        <v>2</v>
      </c>
      <c r="D4" t="s">
        <v>108</v>
      </c>
      <c r="F4" s="10"/>
      <c r="G4">
        <v>4</v>
      </c>
      <c r="H4" s="4">
        <f t="shared" ref="H4:H23" si="0">PRODUCT(G4,20)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152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150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76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13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75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94</v>
      </c>
      <c r="F12" s="10"/>
      <c r="G12">
        <v>4</v>
      </c>
      <c r="H12" s="4">
        <f t="shared" si="0"/>
        <v>80</v>
      </c>
      <c r="I12" s="27" t="s">
        <v>291</v>
      </c>
      <c r="J12" s="28"/>
      <c r="K12" s="29"/>
    </row>
    <row r="13" spans="2:11" x14ac:dyDescent="0.3">
      <c r="B13" s="22"/>
      <c r="C13" s="15">
        <v>11</v>
      </c>
      <c r="D13" t="s">
        <v>93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58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53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55</v>
      </c>
      <c r="F16" s="10"/>
      <c r="G16">
        <v>3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164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165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100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73</v>
      </c>
      <c r="F20" s="10"/>
      <c r="G20">
        <v>2</v>
      </c>
      <c r="H20" s="4">
        <f t="shared" si="0"/>
        <v>40</v>
      </c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D21" t="s">
        <v>48</v>
      </c>
      <c r="F21" s="10"/>
      <c r="G21">
        <v>3</v>
      </c>
      <c r="H21" s="4">
        <f t="shared" si="0"/>
        <v>60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147</v>
      </c>
      <c r="F22" s="10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68</v>
      </c>
      <c r="F23" s="10"/>
      <c r="G23">
        <v>2</v>
      </c>
      <c r="H23" s="4">
        <f t="shared" si="0"/>
        <v>40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73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BDA5-D373-4B9B-A906-9FA8306BC031}">
  <sheetPr>
    <pageSetUpPr fitToPage="1"/>
  </sheetPr>
  <dimension ref="B1:K32"/>
  <sheetViews>
    <sheetView topLeftCell="D1" workbookViewId="0">
      <selection activeCell="H25" sqref="H2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287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76</v>
      </c>
      <c r="F3" s="10"/>
      <c r="G3">
        <v>8</v>
      </c>
      <c r="H3" s="4">
        <f>PRODUCT(G3,20)</f>
        <v>160</v>
      </c>
      <c r="I3" s="27" t="s">
        <v>288</v>
      </c>
      <c r="J3" s="28"/>
      <c r="K3" s="29"/>
    </row>
    <row r="4" spans="2:11" x14ac:dyDescent="0.3">
      <c r="B4" s="22"/>
      <c r="C4" s="15">
        <v>2</v>
      </c>
      <c r="D4" t="s">
        <v>135</v>
      </c>
      <c r="F4" s="10"/>
      <c r="G4">
        <v>6</v>
      </c>
      <c r="H4" s="4">
        <f t="shared" ref="H4:H25" si="0">PRODUCT(G4,20)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93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87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96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19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137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71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131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244</v>
      </c>
      <c r="F12" s="10"/>
      <c r="G12">
        <v>4</v>
      </c>
      <c r="H12" s="4">
        <f t="shared" si="0"/>
        <v>80</v>
      </c>
      <c r="I12" s="27" t="s">
        <v>286</v>
      </c>
      <c r="J12" s="28"/>
      <c r="K12" s="29"/>
    </row>
    <row r="13" spans="2:11" x14ac:dyDescent="0.3">
      <c r="B13" s="22"/>
      <c r="C13" s="15">
        <v>11</v>
      </c>
      <c r="D13" t="s">
        <v>143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45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22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160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58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47</v>
      </c>
      <c r="F18" s="10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284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144</v>
      </c>
      <c r="F20" s="10"/>
      <c r="G20">
        <v>3</v>
      </c>
      <c r="H20" s="4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53</v>
      </c>
      <c r="F21" s="10"/>
      <c r="G21">
        <v>3</v>
      </c>
      <c r="H21" s="4">
        <f t="shared" si="0"/>
        <v>60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285</v>
      </c>
      <c r="F22" s="10"/>
      <c r="G22">
        <v>3</v>
      </c>
      <c r="H22" s="4">
        <f t="shared" si="0"/>
        <v>60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79</v>
      </c>
      <c r="F23" s="10"/>
      <c r="G23">
        <v>2</v>
      </c>
      <c r="H23" s="4">
        <f t="shared" si="0"/>
        <v>40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D24" t="s">
        <v>169</v>
      </c>
      <c r="F24" s="10"/>
      <c r="G24">
        <v>2</v>
      </c>
      <c r="H24" s="4">
        <f t="shared" si="0"/>
        <v>40</v>
      </c>
      <c r="I24" s="17"/>
      <c r="J24" s="2"/>
      <c r="K24" s="3"/>
    </row>
    <row r="25" spans="2:11" x14ac:dyDescent="0.3">
      <c r="B25" s="22"/>
      <c r="C25" s="15">
        <v>23</v>
      </c>
      <c r="D25" t="s">
        <v>68</v>
      </c>
      <c r="F25" s="10"/>
      <c r="G25">
        <v>2</v>
      </c>
      <c r="H25" s="4">
        <f t="shared" si="0"/>
        <v>40</v>
      </c>
      <c r="I25" s="17" t="s">
        <v>29</v>
      </c>
      <c r="J25" s="2">
        <f>SUM(G3:G32)</f>
        <v>88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7D4D-5F2E-480B-97A8-550607C9DCEA}">
  <sheetPr>
    <pageSetUpPr fitToPage="1"/>
  </sheetPr>
  <dimension ref="B1:K32"/>
  <sheetViews>
    <sheetView workbookViewId="0">
      <selection activeCell="N18" sqref="N18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279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280</v>
      </c>
      <c r="F3" s="10"/>
      <c r="G3">
        <v>8</v>
      </c>
      <c r="H3" s="4">
        <f>PRODUCT(G3,25)</f>
        <v>200</v>
      </c>
      <c r="I3" s="27" t="s">
        <v>283</v>
      </c>
      <c r="J3" s="28"/>
      <c r="K3" s="29"/>
    </row>
    <row r="4" spans="2:11" x14ac:dyDescent="0.3">
      <c r="B4" s="22"/>
      <c r="C4" s="15">
        <v>2</v>
      </c>
      <c r="D4" t="s">
        <v>171</v>
      </c>
      <c r="F4" s="10"/>
      <c r="G4">
        <v>4</v>
      </c>
      <c r="H4" s="4">
        <f t="shared" ref="H4:H7" si="0">PRODUCT(G4,25)</f>
        <v>100</v>
      </c>
      <c r="I4" s="30"/>
      <c r="J4" s="31"/>
      <c r="K4" s="32"/>
    </row>
    <row r="5" spans="2:11" x14ac:dyDescent="0.3">
      <c r="B5" s="22"/>
      <c r="C5" s="15">
        <v>3</v>
      </c>
      <c r="D5" t="s">
        <v>80</v>
      </c>
      <c r="F5" s="10"/>
      <c r="G5">
        <v>4</v>
      </c>
      <c r="H5" s="4">
        <f t="shared" si="0"/>
        <v>100</v>
      </c>
      <c r="I5" s="30"/>
      <c r="J5" s="31"/>
      <c r="K5" s="32"/>
    </row>
    <row r="6" spans="2:11" x14ac:dyDescent="0.3">
      <c r="B6" s="22"/>
      <c r="C6" s="15">
        <v>4</v>
      </c>
      <c r="D6" t="s">
        <v>47</v>
      </c>
      <c r="F6" s="10"/>
      <c r="G6">
        <v>4</v>
      </c>
      <c r="H6" s="4">
        <f t="shared" si="0"/>
        <v>100</v>
      </c>
      <c r="I6" s="30"/>
      <c r="J6" s="31"/>
      <c r="K6" s="32"/>
    </row>
    <row r="7" spans="2:11" x14ac:dyDescent="0.3">
      <c r="B7" s="22"/>
      <c r="C7" s="15">
        <v>5</v>
      </c>
      <c r="D7" t="s">
        <v>281</v>
      </c>
      <c r="F7" s="10"/>
      <c r="G7">
        <v>4</v>
      </c>
      <c r="H7" s="4">
        <f t="shared" si="0"/>
        <v>100</v>
      </c>
      <c r="I7" s="30"/>
      <c r="J7" s="31"/>
      <c r="K7" s="32"/>
    </row>
    <row r="8" spans="2:11" x14ac:dyDescent="0.3">
      <c r="B8" s="22"/>
      <c r="C8" s="15">
        <v>6</v>
      </c>
      <c r="F8" s="10"/>
      <c r="H8" s="4"/>
      <c r="I8" s="30"/>
      <c r="J8" s="31"/>
      <c r="K8" s="32"/>
    </row>
    <row r="9" spans="2:11" x14ac:dyDescent="0.3">
      <c r="B9" s="22"/>
      <c r="C9" s="15">
        <v>7</v>
      </c>
      <c r="F9" s="10"/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 t="s">
        <v>282</v>
      </c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25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24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600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600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0B0E-72A2-47B5-A8CA-E63375CEE48C}">
  <sheetPr>
    <pageSetUpPr fitToPage="1"/>
  </sheetPr>
  <dimension ref="B1:K32"/>
  <sheetViews>
    <sheetView workbookViewId="0">
      <selection activeCell="J28" sqref="J28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276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146</v>
      </c>
      <c r="F3" s="10"/>
      <c r="G3">
        <v>6</v>
      </c>
      <c r="H3" s="4">
        <f>PRODUCT(G3,20)</f>
        <v>120</v>
      </c>
      <c r="I3" s="27" t="s">
        <v>277</v>
      </c>
      <c r="J3" s="28"/>
      <c r="K3" s="29"/>
    </row>
    <row r="4" spans="2:11" x14ac:dyDescent="0.3">
      <c r="B4" s="22"/>
      <c r="C4" s="15">
        <v>2</v>
      </c>
      <c r="D4" t="s">
        <v>108</v>
      </c>
      <c r="F4" s="10"/>
      <c r="G4">
        <v>4</v>
      </c>
      <c r="H4" s="4">
        <f t="shared" ref="H4:H22" si="0">PRODUCT(G4,20)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152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13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14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75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76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94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131</v>
      </c>
      <c r="F12" s="10"/>
      <c r="G12">
        <v>4</v>
      </c>
      <c r="H12" s="4">
        <f t="shared" si="0"/>
        <v>80</v>
      </c>
      <c r="I12" s="27" t="s">
        <v>278</v>
      </c>
      <c r="J12" s="28"/>
      <c r="K12" s="29"/>
    </row>
    <row r="13" spans="2:11" x14ac:dyDescent="0.3">
      <c r="B13" s="22"/>
      <c r="C13" s="15">
        <v>11</v>
      </c>
      <c r="D13" t="s">
        <v>135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53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73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1" x14ac:dyDescent="0.3">
      <c r="B16" s="22"/>
      <c r="C16" s="15">
        <v>14</v>
      </c>
      <c r="D16" t="s">
        <v>64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100</v>
      </c>
      <c r="F17" s="10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47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164</v>
      </c>
      <c r="F20" s="10"/>
      <c r="G20">
        <v>2</v>
      </c>
      <c r="H20" s="4">
        <f t="shared" si="0"/>
        <v>40</v>
      </c>
      <c r="I20" s="17" t="s">
        <v>23</v>
      </c>
      <c r="J20" s="2">
        <v>22</v>
      </c>
      <c r="K20" s="3" t="s">
        <v>24</v>
      </c>
    </row>
    <row r="21" spans="2:11" x14ac:dyDescent="0.3">
      <c r="B21" s="22"/>
      <c r="C21" s="15">
        <v>19</v>
      </c>
      <c r="D21" t="s">
        <v>368</v>
      </c>
      <c r="F21" s="10"/>
      <c r="G21">
        <v>4</v>
      </c>
      <c r="H21" s="4">
        <f t="shared" si="0"/>
        <v>80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369</v>
      </c>
      <c r="F22" s="10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08D7-EF74-4B67-AEC1-1A08CEA3E368}">
  <sheetPr>
    <pageSetUpPr fitToPage="1"/>
  </sheetPr>
  <dimension ref="B1:K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274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146</v>
      </c>
      <c r="F3" s="10"/>
      <c r="G3">
        <v>6</v>
      </c>
      <c r="H3" s="4">
        <f>PRODUCT(G3,30)</f>
        <v>180</v>
      </c>
      <c r="I3" s="27" t="s">
        <v>298</v>
      </c>
      <c r="J3" s="28"/>
      <c r="K3" s="29"/>
    </row>
    <row r="4" spans="2:11" x14ac:dyDescent="0.3">
      <c r="B4" s="22"/>
      <c r="C4" s="15">
        <v>2</v>
      </c>
      <c r="D4" t="s">
        <v>108</v>
      </c>
      <c r="F4" s="10"/>
      <c r="G4">
        <v>4</v>
      </c>
      <c r="H4" s="4">
        <f t="shared" ref="H4:H14" si="0">PRODUCT(G4,30)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152</v>
      </c>
      <c r="F5" s="10"/>
      <c r="G5">
        <v>4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47</v>
      </c>
      <c r="F6" s="10"/>
      <c r="G6">
        <v>4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189</v>
      </c>
      <c r="F7" s="10"/>
      <c r="G7">
        <v>2</v>
      </c>
      <c r="H7" s="4">
        <f t="shared" si="0"/>
        <v>60</v>
      </c>
      <c r="I7" s="30"/>
      <c r="J7" s="31"/>
      <c r="K7" s="32"/>
    </row>
    <row r="8" spans="2:11" x14ac:dyDescent="0.3">
      <c r="B8" s="22"/>
      <c r="C8" s="15">
        <v>6</v>
      </c>
      <c r="D8" t="s">
        <v>53</v>
      </c>
      <c r="F8" s="10"/>
      <c r="G8">
        <v>2</v>
      </c>
      <c r="H8" s="4">
        <f t="shared" si="0"/>
        <v>60</v>
      </c>
      <c r="I8" s="30"/>
      <c r="J8" s="31"/>
      <c r="K8" s="32"/>
    </row>
    <row r="9" spans="2:11" x14ac:dyDescent="0.3">
      <c r="B9" s="22"/>
      <c r="C9" s="15">
        <v>7</v>
      </c>
      <c r="D9" t="s">
        <v>254</v>
      </c>
      <c r="F9" s="10"/>
      <c r="G9">
        <v>1.2</v>
      </c>
      <c r="H9" s="4">
        <f t="shared" si="0"/>
        <v>36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40</v>
      </c>
      <c r="F10" s="10"/>
      <c r="G10">
        <v>1.2</v>
      </c>
      <c r="H10" s="4">
        <f t="shared" si="0"/>
        <v>36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64</v>
      </c>
      <c r="F11" s="10"/>
      <c r="G11">
        <v>2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205</v>
      </c>
      <c r="F12" s="10"/>
      <c r="G12">
        <v>2</v>
      </c>
      <c r="H12" s="4">
        <f t="shared" si="0"/>
        <v>60</v>
      </c>
      <c r="I12" s="27" t="s">
        <v>275</v>
      </c>
      <c r="J12" s="28"/>
      <c r="K12" s="29"/>
    </row>
    <row r="13" spans="2:11" x14ac:dyDescent="0.3">
      <c r="B13" s="22"/>
      <c r="C13" s="15">
        <v>11</v>
      </c>
      <c r="D13" t="s">
        <v>9</v>
      </c>
      <c r="F13" s="10"/>
      <c r="G13">
        <v>2</v>
      </c>
      <c r="H13" s="4">
        <f t="shared" si="0"/>
        <v>60</v>
      </c>
      <c r="I13" s="30"/>
      <c r="J13" s="31"/>
      <c r="K13" s="32"/>
    </row>
    <row r="14" spans="2:11" x14ac:dyDescent="0.3">
      <c r="B14" s="22"/>
      <c r="C14" s="15">
        <v>12</v>
      </c>
      <c r="D14" t="s">
        <v>100</v>
      </c>
      <c r="F14" s="10"/>
      <c r="G14">
        <v>2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32.4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972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972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B218-F7A9-47BB-9B63-D2FB34D5290D}">
  <sheetPr>
    <pageSetUpPr fitToPage="1"/>
  </sheetPr>
  <dimension ref="B1:K32"/>
  <sheetViews>
    <sheetView workbookViewId="0">
      <selection activeCell="M16" sqref="M16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272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95</v>
      </c>
      <c r="F3" s="10"/>
      <c r="G3">
        <v>8</v>
      </c>
      <c r="H3" s="4">
        <f>PRODUCT(G3,30)</f>
        <v>240</v>
      </c>
      <c r="I3" s="27" t="s">
        <v>270</v>
      </c>
      <c r="J3" s="28"/>
      <c r="K3" s="29"/>
    </row>
    <row r="4" spans="2:11" x14ac:dyDescent="0.3">
      <c r="B4" s="22"/>
      <c r="C4" s="15">
        <v>2</v>
      </c>
      <c r="D4" t="s">
        <v>100</v>
      </c>
      <c r="F4" s="10"/>
      <c r="G4">
        <v>6</v>
      </c>
      <c r="H4" s="4">
        <f t="shared" ref="H4:H6" si="0">PRODUCT(G4,30)</f>
        <v>180</v>
      </c>
      <c r="I4" s="30"/>
      <c r="J4" s="31"/>
      <c r="K4" s="32"/>
    </row>
    <row r="5" spans="2:11" x14ac:dyDescent="0.3">
      <c r="B5" s="22"/>
      <c r="C5" s="15">
        <v>3</v>
      </c>
      <c r="D5" t="s">
        <v>54</v>
      </c>
      <c r="F5" s="10"/>
      <c r="G5">
        <v>6</v>
      </c>
      <c r="H5" s="4">
        <f t="shared" si="0"/>
        <v>180</v>
      </c>
      <c r="I5" s="30"/>
      <c r="J5" s="31"/>
      <c r="K5" s="32"/>
    </row>
    <row r="6" spans="2:11" x14ac:dyDescent="0.3">
      <c r="B6" s="22"/>
      <c r="C6" s="15">
        <v>4</v>
      </c>
      <c r="D6" t="s">
        <v>47</v>
      </c>
      <c r="F6" s="10"/>
      <c r="G6">
        <v>4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F7" s="10"/>
      <c r="H7" s="4"/>
      <c r="I7" s="30"/>
      <c r="J7" s="31"/>
      <c r="K7" s="32"/>
    </row>
    <row r="8" spans="2:11" x14ac:dyDescent="0.3">
      <c r="B8" s="22"/>
      <c r="C8" s="15">
        <v>6</v>
      </c>
      <c r="F8" s="10"/>
      <c r="H8" s="4"/>
      <c r="I8" s="30"/>
      <c r="J8" s="31"/>
      <c r="K8" s="32"/>
    </row>
    <row r="9" spans="2:11" x14ac:dyDescent="0.3">
      <c r="B9" s="22"/>
      <c r="C9" s="15">
        <v>7</v>
      </c>
      <c r="F9" s="10"/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 t="s">
        <v>271</v>
      </c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24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720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720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03E0-2A83-41EA-9977-467199866E40}">
  <sheetPr>
    <pageSetUpPr fitToPage="1"/>
  </sheetPr>
  <dimension ref="B1:K32"/>
  <sheetViews>
    <sheetView workbookViewId="0">
      <selection activeCell="M13" sqref="M13:M1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267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260</v>
      </c>
      <c r="F3" s="10"/>
      <c r="G3">
        <v>15</v>
      </c>
      <c r="H3" s="4">
        <f>PRODUCT(G3,20)</f>
        <v>300</v>
      </c>
      <c r="I3" s="27" t="s">
        <v>268</v>
      </c>
      <c r="J3" s="28"/>
      <c r="K3" s="29"/>
    </row>
    <row r="4" spans="2:11" x14ac:dyDescent="0.3">
      <c r="B4" s="22"/>
      <c r="C4" s="15">
        <v>2</v>
      </c>
      <c r="D4" t="s">
        <v>19</v>
      </c>
      <c r="F4" s="10"/>
      <c r="G4">
        <v>9</v>
      </c>
      <c r="H4" s="4">
        <f t="shared" ref="H4:H23" si="0">PRODUCT(G4,20)</f>
        <v>180</v>
      </c>
      <c r="I4" s="30"/>
      <c r="J4" s="31"/>
      <c r="K4" s="32"/>
    </row>
    <row r="5" spans="2:11" x14ac:dyDescent="0.3">
      <c r="B5" s="22"/>
      <c r="C5" s="15">
        <v>3</v>
      </c>
      <c r="D5" t="s">
        <v>164</v>
      </c>
      <c r="F5" s="10"/>
      <c r="G5">
        <v>7.5</v>
      </c>
      <c r="H5" s="4">
        <f t="shared" si="0"/>
        <v>150</v>
      </c>
      <c r="I5" s="30"/>
      <c r="J5" s="31"/>
      <c r="K5" s="32"/>
    </row>
    <row r="6" spans="2:11" x14ac:dyDescent="0.3">
      <c r="B6" s="22"/>
      <c r="C6" s="15">
        <v>4</v>
      </c>
      <c r="D6" t="s">
        <v>165</v>
      </c>
      <c r="F6" s="10"/>
      <c r="G6">
        <v>7.5</v>
      </c>
      <c r="H6" s="4">
        <f t="shared" si="0"/>
        <v>150</v>
      </c>
      <c r="I6" s="30"/>
      <c r="J6" s="31"/>
      <c r="K6" s="32"/>
    </row>
    <row r="7" spans="2:11" x14ac:dyDescent="0.3">
      <c r="B7" s="22"/>
      <c r="C7" s="15">
        <v>5</v>
      </c>
      <c r="D7" t="s">
        <v>54</v>
      </c>
      <c r="F7" s="10"/>
      <c r="G7">
        <v>7.5</v>
      </c>
      <c r="H7" s="4">
        <f t="shared" si="0"/>
        <v>150</v>
      </c>
      <c r="I7" s="30"/>
      <c r="J7" s="31"/>
      <c r="K7" s="32"/>
    </row>
    <row r="8" spans="2:11" x14ac:dyDescent="0.3">
      <c r="B8" s="22"/>
      <c r="C8" s="15">
        <v>6</v>
      </c>
      <c r="D8" t="s">
        <v>261</v>
      </c>
      <c r="F8" s="10"/>
      <c r="G8">
        <v>3.75</v>
      </c>
      <c r="H8" s="4">
        <f t="shared" si="0"/>
        <v>75</v>
      </c>
      <c r="I8" s="30"/>
      <c r="J8" s="31"/>
      <c r="K8" s="32"/>
    </row>
    <row r="9" spans="2:11" x14ac:dyDescent="0.3">
      <c r="B9" s="22"/>
      <c r="C9" s="15">
        <v>7</v>
      </c>
      <c r="D9" t="s">
        <v>46</v>
      </c>
      <c r="F9" s="10"/>
      <c r="G9">
        <v>3.75</v>
      </c>
      <c r="H9" s="4">
        <f t="shared" si="0"/>
        <v>75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55</v>
      </c>
      <c r="F10" s="10"/>
      <c r="G10">
        <v>3.75</v>
      </c>
      <c r="H10" s="4">
        <f t="shared" si="0"/>
        <v>75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53</v>
      </c>
      <c r="F11" s="10"/>
      <c r="G11">
        <v>3.75</v>
      </c>
      <c r="H11" s="4">
        <f t="shared" si="0"/>
        <v>75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60</v>
      </c>
      <c r="F12" s="10"/>
      <c r="G12">
        <v>3.75</v>
      </c>
      <c r="H12" s="4">
        <f t="shared" si="0"/>
        <v>75</v>
      </c>
      <c r="I12" s="27" t="s">
        <v>269</v>
      </c>
      <c r="J12" s="28"/>
      <c r="K12" s="29"/>
    </row>
    <row r="13" spans="2:11" x14ac:dyDescent="0.3">
      <c r="B13" s="22"/>
      <c r="C13" s="15">
        <v>11</v>
      </c>
      <c r="D13" t="s">
        <v>73</v>
      </c>
      <c r="F13" s="10"/>
      <c r="G13">
        <v>2.8</v>
      </c>
      <c r="H13" s="4">
        <f t="shared" si="0"/>
        <v>56</v>
      </c>
      <c r="I13" s="30"/>
      <c r="J13" s="31"/>
      <c r="K13" s="32"/>
    </row>
    <row r="14" spans="2:11" x14ac:dyDescent="0.3">
      <c r="B14" s="22"/>
      <c r="C14" s="15">
        <v>12</v>
      </c>
      <c r="D14" t="s">
        <v>62</v>
      </c>
      <c r="F14" s="10"/>
      <c r="G14">
        <v>2.8</v>
      </c>
      <c r="H14" s="4">
        <f t="shared" si="0"/>
        <v>56</v>
      </c>
      <c r="I14" s="30"/>
      <c r="J14" s="31"/>
      <c r="K14" s="32"/>
    </row>
    <row r="15" spans="2:11" x14ac:dyDescent="0.3">
      <c r="B15" s="22"/>
      <c r="C15" s="15">
        <v>13</v>
      </c>
      <c r="D15" t="s">
        <v>262</v>
      </c>
      <c r="F15" s="10"/>
      <c r="G15">
        <v>2.8</v>
      </c>
      <c r="H15" s="4">
        <f t="shared" si="0"/>
        <v>56</v>
      </c>
      <c r="I15" s="30"/>
      <c r="J15" s="31"/>
      <c r="K15" s="32"/>
    </row>
    <row r="16" spans="2:11" x14ac:dyDescent="0.3">
      <c r="B16" s="22"/>
      <c r="C16" s="15">
        <v>14</v>
      </c>
      <c r="D16" t="s">
        <v>263</v>
      </c>
      <c r="F16" s="10"/>
      <c r="G16">
        <v>2.8</v>
      </c>
      <c r="H16" s="4">
        <f t="shared" si="0"/>
        <v>56</v>
      </c>
      <c r="I16" s="30"/>
      <c r="J16" s="31"/>
      <c r="K16" s="32"/>
    </row>
    <row r="17" spans="2:11" x14ac:dyDescent="0.3">
      <c r="B17" s="22"/>
      <c r="C17" s="15">
        <v>15</v>
      </c>
      <c r="D17" t="s">
        <v>72</v>
      </c>
      <c r="F17" s="10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58</v>
      </c>
      <c r="F18" s="10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264</v>
      </c>
      <c r="F19" s="10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D20" t="s">
        <v>47</v>
      </c>
      <c r="F20" s="10"/>
      <c r="G20">
        <v>2</v>
      </c>
      <c r="H20" s="4">
        <f t="shared" si="0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265</v>
      </c>
      <c r="F21" s="10"/>
      <c r="G21">
        <v>2</v>
      </c>
      <c r="H21" s="4">
        <f t="shared" si="0"/>
        <v>40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266</v>
      </c>
      <c r="F22" s="10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48</v>
      </c>
      <c r="F23" s="10"/>
      <c r="G23">
        <v>4</v>
      </c>
      <c r="H23" s="4">
        <f t="shared" si="0"/>
        <v>80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92.449999999999989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1848.9999999999998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1849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AECF-947A-4517-8D68-B7087F8D48A6}">
  <sheetPr>
    <pageSetUpPr fitToPage="1"/>
  </sheetPr>
  <dimension ref="B1:Q32"/>
  <sheetViews>
    <sheetView workbookViewId="0">
      <selection activeCell="P11" sqref="P1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252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146</v>
      </c>
      <c r="E3" t="s">
        <v>184</v>
      </c>
      <c r="F3" s="10"/>
      <c r="G3">
        <v>6</v>
      </c>
      <c r="H3" s="4">
        <f>PRODUCT(G3,20)</f>
        <v>120</v>
      </c>
      <c r="I3" s="27" t="s">
        <v>253</v>
      </c>
      <c r="J3" s="28"/>
      <c r="K3" s="29"/>
    </row>
    <row r="4" spans="2:17" x14ac:dyDescent="0.3">
      <c r="B4" s="22"/>
      <c r="C4" s="15">
        <v>2</v>
      </c>
      <c r="D4" t="s">
        <v>108</v>
      </c>
      <c r="F4" s="10"/>
      <c r="G4">
        <v>4</v>
      </c>
      <c r="H4" s="4">
        <f t="shared" ref="H4:H16" si="0">PRODUCT(G4,20)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152</v>
      </c>
      <c r="F5" s="10"/>
      <c r="G5">
        <v>2</v>
      </c>
      <c r="H5" s="4">
        <f t="shared" si="0"/>
        <v>40</v>
      </c>
      <c r="I5" s="30"/>
      <c r="J5" s="31"/>
      <c r="K5" s="32"/>
    </row>
    <row r="6" spans="2:17" x14ac:dyDescent="0.3">
      <c r="B6" s="22"/>
      <c r="C6" s="15">
        <v>4</v>
      </c>
      <c r="D6" t="s">
        <v>13</v>
      </c>
      <c r="F6" s="10"/>
      <c r="G6">
        <v>2</v>
      </c>
      <c r="H6" s="4">
        <f t="shared" si="0"/>
        <v>40</v>
      </c>
      <c r="I6" s="30"/>
      <c r="J6" s="31"/>
      <c r="K6" s="32"/>
    </row>
    <row r="7" spans="2:17" x14ac:dyDescent="0.3">
      <c r="B7" s="22"/>
      <c r="C7" s="15">
        <v>5</v>
      </c>
      <c r="D7" t="s">
        <v>75</v>
      </c>
      <c r="F7" s="10"/>
      <c r="G7">
        <v>2</v>
      </c>
      <c r="H7" s="4">
        <f t="shared" si="0"/>
        <v>40</v>
      </c>
      <c r="I7" s="30"/>
      <c r="J7" s="31"/>
      <c r="K7" s="32"/>
    </row>
    <row r="8" spans="2:17" x14ac:dyDescent="0.3">
      <c r="B8" s="22"/>
      <c r="C8" s="15">
        <v>6</v>
      </c>
      <c r="D8" t="s">
        <v>53</v>
      </c>
      <c r="F8" s="10"/>
      <c r="G8">
        <v>2</v>
      </c>
      <c r="H8" s="4">
        <f t="shared" si="0"/>
        <v>40</v>
      </c>
      <c r="I8" s="30"/>
      <c r="J8" s="31"/>
      <c r="K8" s="32"/>
    </row>
    <row r="9" spans="2:17" x14ac:dyDescent="0.3">
      <c r="B9" s="22"/>
      <c r="C9" s="15">
        <v>7</v>
      </c>
      <c r="D9" t="s">
        <v>254</v>
      </c>
      <c r="F9" s="10"/>
      <c r="G9">
        <v>1.2</v>
      </c>
      <c r="H9" s="4">
        <f t="shared" si="0"/>
        <v>24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40</v>
      </c>
      <c r="F10" s="10"/>
      <c r="G10">
        <v>1.2</v>
      </c>
      <c r="H10" s="4">
        <f t="shared" si="0"/>
        <v>24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255</v>
      </c>
      <c r="F11" s="10"/>
      <c r="G11">
        <v>0.8</v>
      </c>
      <c r="H11" s="4">
        <f t="shared" si="0"/>
        <v>16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256</v>
      </c>
      <c r="F12" s="10"/>
      <c r="G12">
        <v>0.8</v>
      </c>
      <c r="H12" s="4">
        <f t="shared" si="0"/>
        <v>16</v>
      </c>
      <c r="I12" s="27" t="s">
        <v>258</v>
      </c>
      <c r="J12" s="28"/>
      <c r="K12" s="29"/>
    </row>
    <row r="13" spans="2:17" x14ac:dyDescent="0.3">
      <c r="B13" s="22"/>
      <c r="C13" s="15">
        <v>11</v>
      </c>
      <c r="D13" t="s">
        <v>14</v>
      </c>
      <c r="F13" s="10"/>
      <c r="G13">
        <v>0.8</v>
      </c>
      <c r="H13" s="4">
        <f t="shared" si="0"/>
        <v>16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51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48</v>
      </c>
      <c r="F15" s="10"/>
      <c r="G15">
        <v>6</v>
      </c>
      <c r="H15" s="4">
        <f t="shared" si="0"/>
        <v>120</v>
      </c>
      <c r="I15" s="30"/>
      <c r="J15" s="31"/>
      <c r="K15" s="32"/>
    </row>
    <row r="16" spans="2:17" x14ac:dyDescent="0.3">
      <c r="B16" s="22"/>
      <c r="C16" s="15">
        <v>14</v>
      </c>
      <c r="D16" t="s">
        <v>147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30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36.799999999999997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736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736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17EB-45A3-460B-8BED-26A26457FCA0}">
  <sheetPr>
    <pageSetUpPr fitToPage="1"/>
  </sheetPr>
  <dimension ref="B1:Q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197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 t="s">
        <v>299</v>
      </c>
      <c r="J3" s="28"/>
      <c r="K3" s="29"/>
    </row>
    <row r="4" spans="2:17" x14ac:dyDescent="0.3">
      <c r="B4" s="22"/>
      <c r="C4" s="15">
        <v>2</v>
      </c>
      <c r="D4" t="s">
        <v>53</v>
      </c>
      <c r="F4" s="10"/>
      <c r="G4">
        <v>6</v>
      </c>
      <c r="H4" s="4">
        <f t="shared" ref="H4:H21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152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71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78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160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48</v>
      </c>
      <c r="F12" s="10"/>
      <c r="G12">
        <v>6</v>
      </c>
      <c r="H12" s="4">
        <f t="shared" si="0"/>
        <v>120</v>
      </c>
      <c r="I12" s="27" t="s">
        <v>251</v>
      </c>
      <c r="J12" s="28"/>
      <c r="K12" s="29"/>
    </row>
    <row r="13" spans="2:17" x14ac:dyDescent="0.3">
      <c r="B13" s="22"/>
      <c r="C13" s="15">
        <v>11</v>
      </c>
      <c r="D13" t="s">
        <v>128</v>
      </c>
      <c r="F13" s="10"/>
      <c r="G13">
        <v>8</v>
      </c>
      <c r="H13" s="4">
        <f t="shared" si="0"/>
        <v>160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76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196</v>
      </c>
      <c r="F16" s="10"/>
      <c r="G16">
        <v>4</v>
      </c>
      <c r="H16" s="4">
        <f>PRODUCT(G16,20)</f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64</v>
      </c>
      <c r="G17">
        <v>2</v>
      </c>
      <c r="H17" s="4">
        <f>PRODUCT(G17,20)</f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153</v>
      </c>
      <c r="F18" s="10"/>
      <c r="G18">
        <v>4</v>
      </c>
      <c r="H18" s="4">
        <f>PRODUCT(G18,20)</f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198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108</v>
      </c>
      <c r="F20" s="10"/>
      <c r="G20">
        <v>2</v>
      </c>
      <c r="H20" s="4">
        <f t="shared" si="0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40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88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1760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A44C-C546-4B72-BB96-EBFF7ECA0F83}">
  <sheetPr>
    <pageSetUpPr fitToPage="1"/>
  </sheetPr>
  <dimension ref="B1:Q32"/>
  <sheetViews>
    <sheetView workbookViewId="0">
      <selection activeCell="F9" sqref="F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201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146</v>
      </c>
      <c r="F3" s="10"/>
      <c r="G3">
        <v>6</v>
      </c>
      <c r="H3" s="4">
        <f>PRODUCT(G3,20)</f>
        <v>120</v>
      </c>
      <c r="I3" s="37" t="s">
        <v>250</v>
      </c>
      <c r="J3" s="28"/>
      <c r="K3" s="29"/>
    </row>
    <row r="4" spans="2:17" x14ac:dyDescent="0.3">
      <c r="B4" s="22"/>
      <c r="C4" s="15">
        <v>2</v>
      </c>
      <c r="D4" t="s">
        <v>152</v>
      </c>
      <c r="F4" s="10"/>
      <c r="G4">
        <v>6</v>
      </c>
      <c r="H4" s="4">
        <f t="shared" ref="H4:H22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87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13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75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85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53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135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94</v>
      </c>
      <c r="F12" s="10"/>
      <c r="G12">
        <v>6</v>
      </c>
      <c r="H12" s="4">
        <f t="shared" si="0"/>
        <v>120</v>
      </c>
      <c r="I12" s="27"/>
      <c r="J12" s="28"/>
      <c r="K12" s="29"/>
    </row>
    <row r="13" spans="2:17" x14ac:dyDescent="0.3">
      <c r="B13" s="22"/>
      <c r="C13" s="15">
        <v>11</v>
      </c>
      <c r="D13" t="s">
        <v>76</v>
      </c>
      <c r="F13" s="10"/>
      <c r="G13">
        <v>6</v>
      </c>
      <c r="H13" s="4">
        <f t="shared" si="0"/>
        <v>120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174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73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47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164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51</v>
      </c>
      <c r="F18" s="10"/>
      <c r="G18">
        <v>8</v>
      </c>
      <c r="H18" s="4">
        <f t="shared" si="0"/>
        <v>160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F19" s="10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D20" t="s">
        <v>48</v>
      </c>
      <c r="G20">
        <v>4</v>
      </c>
      <c r="H20" s="4">
        <f t="shared" si="0"/>
        <v>80</v>
      </c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147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131</v>
      </c>
      <c r="G22">
        <v>4</v>
      </c>
      <c r="H22" s="4">
        <f t="shared" si="0"/>
        <v>80</v>
      </c>
      <c r="I22" s="10" t="s">
        <v>27</v>
      </c>
      <c r="J22">
        <v>50</v>
      </c>
      <c r="K22" s="4" t="s">
        <v>28</v>
      </c>
    </row>
    <row r="23" spans="2:11" ht="17.25" thickBot="1" x14ac:dyDescent="0.35">
      <c r="B23" s="22"/>
      <c r="C23" s="15">
        <v>21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1980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1980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6C55-03FF-4112-AA42-3DDABA6BD7EC}">
  <sheetPr>
    <pageSetUpPr fitToPage="1"/>
  </sheetPr>
  <dimension ref="B1:K32"/>
  <sheetViews>
    <sheetView workbookViewId="0">
      <selection activeCell="F33" sqref="F3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91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8</v>
      </c>
      <c r="H3" s="4">
        <f>PRODUCT(G3,20)</f>
        <v>160</v>
      </c>
      <c r="I3" s="27" t="s">
        <v>249</v>
      </c>
      <c r="J3" s="28"/>
      <c r="K3" s="29"/>
    </row>
    <row r="4" spans="2:11" x14ac:dyDescent="0.3">
      <c r="B4" s="22"/>
      <c r="C4" s="15">
        <v>2</v>
      </c>
      <c r="D4" t="s">
        <v>93</v>
      </c>
      <c r="F4" s="10"/>
      <c r="G4">
        <v>8</v>
      </c>
      <c r="H4" s="4">
        <f t="shared" ref="H4:H14" si="0">PRODUCT(G4,20)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94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135</v>
      </c>
      <c r="F6" s="10"/>
      <c r="G6">
        <v>8</v>
      </c>
      <c r="H6" s="4">
        <f t="shared" si="0"/>
        <v>160</v>
      </c>
      <c r="I6" s="30"/>
      <c r="J6" s="31"/>
      <c r="K6" s="32"/>
    </row>
    <row r="7" spans="2:11" x14ac:dyDescent="0.3">
      <c r="B7" s="22"/>
      <c r="C7" s="15">
        <v>5</v>
      </c>
      <c r="D7" t="s">
        <v>95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19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96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54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55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53</v>
      </c>
      <c r="F12" s="10"/>
      <c r="G12">
        <v>4</v>
      </c>
      <c r="H12" s="4">
        <f t="shared" si="0"/>
        <v>80</v>
      </c>
      <c r="I12" s="27" t="s">
        <v>248</v>
      </c>
      <c r="J12" s="28"/>
      <c r="K12" s="29"/>
    </row>
    <row r="13" spans="2:11" x14ac:dyDescent="0.3">
      <c r="B13" s="22"/>
      <c r="C13" s="15">
        <v>11</v>
      </c>
      <c r="D13" t="s">
        <v>47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58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38</v>
      </c>
      <c r="F15" s="10"/>
      <c r="G15">
        <v>3</v>
      </c>
      <c r="H15" s="4">
        <f t="shared" ref="H15:H17" si="1">PRODUCT(G15,20)</f>
        <v>60</v>
      </c>
      <c r="I15" s="30"/>
      <c r="J15" s="31"/>
      <c r="K15" s="32"/>
    </row>
    <row r="16" spans="2:11" x14ac:dyDescent="0.3">
      <c r="B16" s="22"/>
      <c r="C16" s="15">
        <v>14</v>
      </c>
      <c r="D16" t="s">
        <v>39</v>
      </c>
      <c r="F16" s="10"/>
      <c r="G16">
        <v>3</v>
      </c>
      <c r="H16" s="4">
        <f t="shared" si="1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100</v>
      </c>
      <c r="F17" s="10"/>
      <c r="G17">
        <v>3</v>
      </c>
      <c r="H17" s="4">
        <f t="shared" si="1"/>
        <v>60</v>
      </c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77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E629-068C-42ED-A138-DEFCE14894C2}">
  <sheetPr>
    <pageSetUpPr fitToPage="1"/>
  </sheetPr>
  <dimension ref="B1:Q32"/>
  <sheetViews>
    <sheetView workbookViewId="0">
      <selection activeCell="D15" sqref="D1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91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12</v>
      </c>
      <c r="E3" s="3"/>
      <c r="G3">
        <v>8</v>
      </c>
      <c r="H3" s="4">
        <f>PRODUCT(G3,20)</f>
        <v>160</v>
      </c>
      <c r="I3" s="27" t="s">
        <v>247</v>
      </c>
      <c r="J3" s="28"/>
      <c r="K3" s="29"/>
    </row>
    <row r="4" spans="2:17" x14ac:dyDescent="0.3">
      <c r="B4" s="22"/>
      <c r="C4" s="15">
        <v>2</v>
      </c>
      <c r="D4" t="s">
        <v>93</v>
      </c>
      <c r="E4" s="4"/>
      <c r="G4">
        <v>8</v>
      </c>
      <c r="H4" s="4">
        <f t="shared" ref="H4:H19" si="0">PRODUCT(G4,20)</f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135</v>
      </c>
      <c r="E5" s="4"/>
      <c r="G5">
        <v>8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87</v>
      </c>
      <c r="E6" s="4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96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19</v>
      </c>
      <c r="E8" s="4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94</v>
      </c>
      <c r="E9" s="4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227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99</v>
      </c>
      <c r="E11" s="4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100</v>
      </c>
      <c r="E12" s="4"/>
      <c r="G12">
        <v>3</v>
      </c>
      <c r="H12" s="4">
        <f t="shared" si="0"/>
        <v>60</v>
      </c>
      <c r="I12" s="27"/>
      <c r="J12" s="28"/>
      <c r="K12" s="29"/>
    </row>
    <row r="13" spans="2:17" x14ac:dyDescent="0.3">
      <c r="B13" s="22"/>
      <c r="C13" s="15">
        <v>11</v>
      </c>
      <c r="D13" t="s">
        <v>47</v>
      </c>
      <c r="E13" s="4"/>
      <c r="G13">
        <v>2</v>
      </c>
      <c r="H13" s="4">
        <f t="shared" si="0"/>
        <v>40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146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152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53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97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73</v>
      </c>
      <c r="E18" s="4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E19" s="4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81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4B12-0A5D-46E5-A8C7-F77A480D4A3C}">
  <sheetPr>
    <pageSetUpPr fitToPage="1"/>
  </sheetPr>
  <dimension ref="B1:Q32"/>
  <sheetViews>
    <sheetView workbookViewId="0">
      <selection activeCell="D33" sqref="D3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245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54</v>
      </c>
      <c r="F3" s="10"/>
      <c r="G3">
        <v>4</v>
      </c>
      <c r="H3" s="4">
        <f>PRODUCT(G3,20)</f>
        <v>80</v>
      </c>
      <c r="I3" s="27" t="s">
        <v>246</v>
      </c>
      <c r="J3" s="28"/>
      <c r="K3" s="29"/>
    </row>
    <row r="4" spans="2:17" x14ac:dyDescent="0.3">
      <c r="B4" s="22"/>
      <c r="C4" s="15">
        <v>2</v>
      </c>
      <c r="D4" t="s">
        <v>9</v>
      </c>
      <c r="F4" s="10"/>
      <c r="G4">
        <v>4</v>
      </c>
      <c r="H4" s="4">
        <f t="shared" ref="H4:H21" si="0">PRODUCT(G4,20)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53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55</v>
      </c>
      <c r="F6" s="10"/>
      <c r="G6">
        <v>3</v>
      </c>
      <c r="H6" s="4">
        <f t="shared" si="0"/>
        <v>60</v>
      </c>
      <c r="I6" s="30"/>
      <c r="J6" s="31"/>
      <c r="K6" s="32"/>
    </row>
    <row r="7" spans="2:17" x14ac:dyDescent="0.3">
      <c r="B7" s="22"/>
      <c r="C7" s="15">
        <v>5</v>
      </c>
      <c r="D7" t="s">
        <v>45</v>
      </c>
      <c r="F7" s="10"/>
      <c r="G7">
        <v>3</v>
      </c>
      <c r="H7" s="4">
        <f t="shared" si="0"/>
        <v>60</v>
      </c>
      <c r="I7" s="30"/>
      <c r="J7" s="31"/>
      <c r="K7" s="32"/>
    </row>
    <row r="8" spans="2:17" x14ac:dyDescent="0.3">
      <c r="B8" s="22"/>
      <c r="C8" s="15">
        <v>6</v>
      </c>
      <c r="D8" t="s">
        <v>60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188</v>
      </c>
      <c r="F9" s="10"/>
      <c r="G9">
        <v>10</v>
      </c>
      <c r="H9" s="4">
        <f t="shared" si="0"/>
        <v>200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243</v>
      </c>
      <c r="F10" s="10"/>
      <c r="G10">
        <v>10</v>
      </c>
      <c r="H10" s="4">
        <f t="shared" si="0"/>
        <v>200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137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131</v>
      </c>
      <c r="F12" s="10"/>
      <c r="G12">
        <v>3</v>
      </c>
      <c r="H12" s="4">
        <f t="shared" si="0"/>
        <v>60</v>
      </c>
      <c r="I12" s="27"/>
      <c r="J12" s="28"/>
      <c r="K12" s="29"/>
    </row>
    <row r="13" spans="2:17" x14ac:dyDescent="0.3">
      <c r="B13" s="22"/>
      <c r="C13" s="15">
        <v>11</v>
      </c>
      <c r="D13" t="s">
        <v>244</v>
      </c>
      <c r="F13" s="10"/>
      <c r="G13">
        <v>3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138</v>
      </c>
      <c r="G14">
        <v>3</v>
      </c>
      <c r="H14" s="4">
        <f t="shared" si="0"/>
        <v>60</v>
      </c>
      <c r="I14" s="30"/>
      <c r="J14" s="31"/>
      <c r="K14" s="32"/>
    </row>
    <row r="15" spans="2:17" x14ac:dyDescent="0.3">
      <c r="B15" s="22"/>
      <c r="C15" s="15">
        <v>13</v>
      </c>
      <c r="D15" t="s">
        <v>136</v>
      </c>
      <c r="G15">
        <v>3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47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48</v>
      </c>
      <c r="F17" s="10"/>
      <c r="G17">
        <v>6</v>
      </c>
      <c r="H17" s="4">
        <f t="shared" si="0"/>
        <v>120</v>
      </c>
      <c r="I17" s="30"/>
      <c r="J17" s="31"/>
      <c r="K17" s="32"/>
    </row>
    <row r="18" spans="2:11" x14ac:dyDescent="0.3">
      <c r="B18" s="22"/>
      <c r="C18" s="15">
        <v>16</v>
      </c>
      <c r="D18" t="s">
        <v>128</v>
      </c>
      <c r="F18" s="10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67</v>
      </c>
      <c r="F19" s="10"/>
      <c r="G19">
        <v>6</v>
      </c>
      <c r="H19" s="4">
        <f t="shared" si="0"/>
        <v>120</v>
      </c>
      <c r="I19" s="30"/>
      <c r="J19" s="31"/>
      <c r="K19" s="32"/>
    </row>
    <row r="20" spans="2:11" x14ac:dyDescent="0.3">
      <c r="B20" s="22"/>
      <c r="C20" s="15">
        <v>18</v>
      </c>
      <c r="D20" t="s">
        <v>89</v>
      </c>
      <c r="F20" s="10"/>
      <c r="G20">
        <v>6</v>
      </c>
      <c r="H20" s="4">
        <f t="shared" si="0"/>
        <v>120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99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83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27B1-B6F0-481E-AEB3-07F27FEFB266}">
  <sheetPr>
    <pageSetUpPr fitToPage="1"/>
  </sheetPr>
  <dimension ref="B1:K32"/>
  <sheetViews>
    <sheetView workbookViewId="0">
      <selection activeCell="P21" sqref="P2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233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235</v>
      </c>
      <c r="F3" s="10"/>
      <c r="G3">
        <v>8</v>
      </c>
      <c r="H3" s="4">
        <f>PRODUCT(G3,10)</f>
        <v>80</v>
      </c>
      <c r="I3" s="27" t="s">
        <v>234</v>
      </c>
      <c r="J3" s="28"/>
      <c r="K3" s="29"/>
    </row>
    <row r="4" spans="2:11" x14ac:dyDescent="0.3">
      <c r="B4" s="22"/>
      <c r="C4" s="15">
        <v>2</v>
      </c>
      <c r="D4" t="s">
        <v>188</v>
      </c>
      <c r="F4" s="10"/>
      <c r="G4">
        <v>6</v>
      </c>
      <c r="H4" s="4">
        <f t="shared" ref="H4:H24" si="0">PRODUCT(G4,10)</f>
        <v>60</v>
      </c>
      <c r="I4" s="30"/>
      <c r="J4" s="31"/>
      <c r="K4" s="32"/>
    </row>
    <row r="5" spans="2:11" x14ac:dyDescent="0.3">
      <c r="B5" s="22"/>
      <c r="C5" s="15">
        <v>3</v>
      </c>
      <c r="D5" t="s">
        <v>54</v>
      </c>
      <c r="F5" s="10"/>
      <c r="G5">
        <v>4</v>
      </c>
      <c r="H5" s="4">
        <f t="shared" si="0"/>
        <v>40</v>
      </c>
      <c r="I5" s="30"/>
      <c r="J5" s="31"/>
      <c r="K5" s="32"/>
    </row>
    <row r="6" spans="2:11" x14ac:dyDescent="0.3">
      <c r="B6" s="22"/>
      <c r="C6" s="15">
        <v>4</v>
      </c>
      <c r="D6" t="s">
        <v>58</v>
      </c>
      <c r="F6" s="10"/>
      <c r="G6">
        <v>4</v>
      </c>
      <c r="H6" s="4">
        <f t="shared" si="0"/>
        <v>40</v>
      </c>
      <c r="I6" s="30"/>
      <c r="J6" s="31"/>
      <c r="K6" s="32"/>
    </row>
    <row r="7" spans="2:11" x14ac:dyDescent="0.3">
      <c r="B7" s="22"/>
      <c r="C7" s="15">
        <v>5</v>
      </c>
      <c r="D7" t="s">
        <v>53</v>
      </c>
      <c r="F7" s="10"/>
      <c r="G7">
        <v>4</v>
      </c>
      <c r="H7" s="4">
        <f t="shared" si="0"/>
        <v>40</v>
      </c>
      <c r="I7" s="30"/>
      <c r="J7" s="31"/>
      <c r="K7" s="32"/>
    </row>
    <row r="8" spans="2:11" x14ac:dyDescent="0.3">
      <c r="B8" s="22"/>
      <c r="C8" s="15">
        <v>6</v>
      </c>
      <c r="D8" t="s">
        <v>236</v>
      </c>
      <c r="F8" s="10"/>
      <c r="G8">
        <v>4</v>
      </c>
      <c r="H8" s="4">
        <f t="shared" si="0"/>
        <v>40</v>
      </c>
      <c r="I8" s="30"/>
      <c r="J8" s="31"/>
      <c r="K8" s="32"/>
    </row>
    <row r="9" spans="2:11" x14ac:dyDescent="0.3">
      <c r="B9" s="22"/>
      <c r="C9" s="15">
        <v>7</v>
      </c>
      <c r="D9" t="s">
        <v>51</v>
      </c>
      <c r="F9" s="10"/>
      <c r="G9">
        <v>4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81</v>
      </c>
      <c r="F10" s="10"/>
      <c r="G10">
        <v>4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237</v>
      </c>
      <c r="F11" s="10"/>
      <c r="G11">
        <v>4</v>
      </c>
      <c r="H11" s="4">
        <f t="shared" si="0"/>
        <v>40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238</v>
      </c>
      <c r="F12" s="10"/>
      <c r="G12">
        <v>4</v>
      </c>
      <c r="H12" s="4">
        <f t="shared" si="0"/>
        <v>40</v>
      </c>
      <c r="I12" s="27"/>
      <c r="J12" s="28"/>
      <c r="K12" s="29"/>
    </row>
    <row r="13" spans="2:11" x14ac:dyDescent="0.3">
      <c r="B13" s="22"/>
      <c r="C13" s="15">
        <v>11</v>
      </c>
      <c r="D13" t="s">
        <v>239</v>
      </c>
      <c r="F13" s="10"/>
      <c r="G13">
        <v>4</v>
      </c>
      <c r="H13" s="4">
        <f t="shared" si="0"/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13</v>
      </c>
      <c r="F14" s="10"/>
      <c r="G14">
        <v>2.8</v>
      </c>
      <c r="H14" s="4">
        <f t="shared" si="0"/>
        <v>28</v>
      </c>
      <c r="I14" s="30"/>
      <c r="J14" s="31"/>
      <c r="K14" s="32"/>
    </row>
    <row r="15" spans="2:11" x14ac:dyDescent="0.3">
      <c r="B15" s="22"/>
      <c r="C15" s="15">
        <v>13</v>
      </c>
      <c r="D15" t="s">
        <v>240</v>
      </c>
      <c r="F15" s="10"/>
      <c r="G15">
        <v>2.8</v>
      </c>
      <c r="H15" s="4">
        <f t="shared" si="0"/>
        <v>28</v>
      </c>
      <c r="I15" s="30"/>
      <c r="J15" s="31"/>
      <c r="K15" s="32"/>
    </row>
    <row r="16" spans="2:11" x14ac:dyDescent="0.3">
      <c r="B16" s="22"/>
      <c r="C16" s="15">
        <v>14</v>
      </c>
      <c r="D16" t="s">
        <v>14</v>
      </c>
      <c r="F16" s="10"/>
      <c r="G16">
        <v>2.8</v>
      </c>
      <c r="H16" s="4">
        <f t="shared" si="0"/>
        <v>28</v>
      </c>
      <c r="I16" s="30"/>
      <c r="J16" s="31"/>
      <c r="K16" s="32"/>
    </row>
    <row r="17" spans="2:11" x14ac:dyDescent="0.3">
      <c r="B17" s="22"/>
      <c r="C17" s="15">
        <v>15</v>
      </c>
      <c r="D17" t="s">
        <v>15</v>
      </c>
      <c r="F17" s="10"/>
      <c r="G17">
        <v>2.8</v>
      </c>
      <c r="H17" s="4">
        <f t="shared" si="0"/>
        <v>28</v>
      </c>
      <c r="I17" s="30"/>
      <c r="J17" s="31"/>
      <c r="K17" s="32"/>
    </row>
    <row r="18" spans="2:11" x14ac:dyDescent="0.3">
      <c r="B18" s="22"/>
      <c r="C18" s="15">
        <v>16</v>
      </c>
      <c r="D18" t="s">
        <v>42</v>
      </c>
      <c r="F18" s="10"/>
      <c r="G18">
        <v>2.8</v>
      </c>
      <c r="H18" s="4">
        <f t="shared" si="0"/>
        <v>28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241</v>
      </c>
      <c r="F19" s="10"/>
      <c r="G19">
        <v>2.8</v>
      </c>
      <c r="H19" s="4">
        <f t="shared" si="0"/>
        <v>28</v>
      </c>
      <c r="I19" s="30"/>
      <c r="J19" s="31"/>
      <c r="K19" s="32"/>
    </row>
    <row r="20" spans="2:11" x14ac:dyDescent="0.3">
      <c r="B20" s="22"/>
      <c r="C20" s="15">
        <v>18</v>
      </c>
      <c r="D20" t="s">
        <v>46</v>
      </c>
      <c r="F20" s="10"/>
      <c r="G20">
        <v>2.8</v>
      </c>
      <c r="H20" s="4">
        <f t="shared" si="0"/>
        <v>28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242</v>
      </c>
      <c r="F21" s="10"/>
      <c r="G21">
        <v>2</v>
      </c>
      <c r="H21" s="4">
        <f t="shared" si="0"/>
        <v>20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78</v>
      </c>
      <c r="F22" s="10"/>
      <c r="G22">
        <v>2</v>
      </c>
      <c r="H22" s="4">
        <f t="shared" si="0"/>
        <v>20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47</v>
      </c>
      <c r="F23" s="10"/>
      <c r="G23">
        <v>2</v>
      </c>
      <c r="H23" s="4">
        <f t="shared" si="0"/>
        <v>20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D24" t="s">
        <v>48</v>
      </c>
      <c r="F24" s="10"/>
      <c r="G24">
        <v>4</v>
      </c>
      <c r="H24" s="4">
        <f t="shared" si="0"/>
        <v>40</v>
      </c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79.59999999999998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1591.9999999999995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796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E997-9173-4DC4-9EB6-CF14D0AB4ADA}">
  <sheetPr>
    <pageSetUpPr fitToPage="1"/>
  </sheetPr>
  <dimension ref="B1:K32"/>
  <sheetViews>
    <sheetView workbookViewId="0">
      <selection activeCell="O10" sqref="O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229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75</v>
      </c>
      <c r="F3" s="10"/>
      <c r="G3">
        <v>8</v>
      </c>
      <c r="H3" s="4">
        <f>PRODUCT(G3,20)</f>
        <v>160</v>
      </c>
      <c r="I3" s="27" t="s">
        <v>231</v>
      </c>
      <c r="J3" s="28"/>
      <c r="K3" s="29"/>
    </row>
    <row r="4" spans="2:11" x14ac:dyDescent="0.3">
      <c r="B4" s="22"/>
      <c r="C4" s="15">
        <v>2</v>
      </c>
      <c r="D4" t="s">
        <v>12</v>
      </c>
      <c r="F4" s="10"/>
      <c r="G4">
        <v>6</v>
      </c>
      <c r="H4" s="4">
        <f t="shared" ref="H4:H24" si="0">PRODUCT(G4,20)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146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13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14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100</v>
      </c>
      <c r="F8" s="10"/>
      <c r="G8">
        <v>2</v>
      </c>
      <c r="H8" s="4">
        <f t="shared" si="0"/>
        <v>40</v>
      </c>
      <c r="I8" s="30"/>
      <c r="J8" s="31"/>
      <c r="K8" s="32"/>
    </row>
    <row r="9" spans="2:11" x14ac:dyDescent="0.3">
      <c r="B9" s="22"/>
      <c r="C9" s="15">
        <v>7</v>
      </c>
      <c r="D9" t="s">
        <v>47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48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147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54</v>
      </c>
      <c r="F12" s="10"/>
      <c r="G12">
        <v>4</v>
      </c>
      <c r="H12" s="4">
        <f t="shared" si="0"/>
        <v>80</v>
      </c>
      <c r="I12" s="27" t="s">
        <v>230</v>
      </c>
      <c r="J12" s="28"/>
      <c r="K12" s="29"/>
    </row>
    <row r="13" spans="2:11" x14ac:dyDescent="0.3">
      <c r="B13" s="22"/>
      <c r="C13" s="15">
        <v>11</v>
      </c>
      <c r="D13" t="s">
        <v>53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119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227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99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228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43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42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38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164</v>
      </c>
      <c r="F21" s="10"/>
      <c r="G21">
        <v>3</v>
      </c>
      <c r="H21" s="4">
        <f t="shared" si="0"/>
        <v>60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62</v>
      </c>
      <c r="F22" s="10"/>
      <c r="G22">
        <v>3</v>
      </c>
      <c r="H22" s="4">
        <f t="shared" si="0"/>
        <v>60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165</v>
      </c>
      <c r="F23" s="10"/>
      <c r="G23">
        <v>3</v>
      </c>
      <c r="H23" s="4">
        <f t="shared" si="0"/>
        <v>60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D24" t="s">
        <v>68</v>
      </c>
      <c r="F24" s="10"/>
      <c r="G24">
        <v>2</v>
      </c>
      <c r="H24" s="4">
        <f t="shared" si="0"/>
        <v>40</v>
      </c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909D-C634-409B-A25C-B9EDEBB0E198}">
  <sheetPr>
    <pageSetUpPr fitToPage="1"/>
  </sheetPr>
  <dimension ref="B1:Q32"/>
  <sheetViews>
    <sheetView zoomScaleNormal="100" workbookViewId="0">
      <selection activeCell="O11" sqref="O1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225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 t="s">
        <v>259</v>
      </c>
      <c r="J3" s="28"/>
      <c r="K3" s="29"/>
    </row>
    <row r="4" spans="2:17" x14ac:dyDescent="0.3">
      <c r="B4" s="22"/>
      <c r="C4" s="15">
        <v>2</v>
      </c>
      <c r="D4" t="s">
        <v>53</v>
      </c>
      <c r="F4" s="10"/>
      <c r="G4">
        <v>6</v>
      </c>
      <c r="H4" s="4">
        <f t="shared" ref="H4:H24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78</v>
      </c>
      <c r="F6" s="10"/>
      <c r="G6">
        <v>3</v>
      </c>
      <c r="H6" s="4">
        <f t="shared" si="0"/>
        <v>60</v>
      </c>
      <c r="I6" s="30"/>
      <c r="J6" s="31"/>
      <c r="K6" s="32"/>
    </row>
    <row r="7" spans="2:17" x14ac:dyDescent="0.3">
      <c r="B7" s="22"/>
      <c r="C7" s="15">
        <v>5</v>
      </c>
      <c r="D7" t="s">
        <v>71</v>
      </c>
      <c r="F7" s="10"/>
      <c r="G7">
        <v>2</v>
      </c>
      <c r="H7" s="4">
        <f t="shared" si="0"/>
        <v>40</v>
      </c>
      <c r="I7" s="30"/>
      <c r="J7" s="31"/>
      <c r="K7" s="32"/>
    </row>
    <row r="8" spans="2:17" x14ac:dyDescent="0.3">
      <c r="B8" s="22"/>
      <c r="C8" s="15">
        <v>6</v>
      </c>
      <c r="D8" t="s">
        <v>108</v>
      </c>
      <c r="F8" s="10"/>
      <c r="G8">
        <v>2</v>
      </c>
      <c r="H8" s="4">
        <f t="shared" si="0"/>
        <v>40</v>
      </c>
      <c r="I8" s="30"/>
      <c r="J8" s="31"/>
      <c r="K8" s="32"/>
    </row>
    <row r="9" spans="2:17" x14ac:dyDescent="0.3">
      <c r="B9" s="22"/>
      <c r="C9" s="15">
        <v>7</v>
      </c>
      <c r="D9" t="s">
        <v>87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131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45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47</v>
      </c>
      <c r="F12" s="10"/>
      <c r="G12">
        <v>1</v>
      </c>
      <c r="H12" s="4">
        <f t="shared" si="0"/>
        <v>20</v>
      </c>
      <c r="I12" s="27" t="s">
        <v>226</v>
      </c>
      <c r="J12" s="28"/>
      <c r="K12" s="29"/>
    </row>
    <row r="13" spans="2:17" x14ac:dyDescent="0.3">
      <c r="B13" s="22"/>
      <c r="C13" s="15">
        <v>11</v>
      </c>
      <c r="D13" t="s">
        <v>67</v>
      </c>
      <c r="E13" t="s">
        <v>63</v>
      </c>
      <c r="F13" s="10"/>
      <c r="G13">
        <v>3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14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164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54</v>
      </c>
      <c r="G17">
        <v>6</v>
      </c>
      <c r="H17" s="4">
        <f t="shared" si="0"/>
        <v>120</v>
      </c>
      <c r="I17" s="30"/>
      <c r="J17" s="31"/>
      <c r="K17" s="32"/>
    </row>
    <row r="18" spans="2:11" x14ac:dyDescent="0.3">
      <c r="B18" s="22"/>
      <c r="C18" s="15">
        <v>16</v>
      </c>
      <c r="D18" t="s">
        <v>196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224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72</v>
      </c>
      <c r="F20" s="10"/>
      <c r="G20">
        <v>3</v>
      </c>
      <c r="H20" s="4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55</v>
      </c>
      <c r="F21" s="10"/>
      <c r="G21">
        <v>3</v>
      </c>
      <c r="H21" s="4">
        <f t="shared" si="0"/>
        <v>60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64</v>
      </c>
      <c r="F22" s="10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48</v>
      </c>
      <c r="F23" s="10"/>
      <c r="G23">
        <v>6</v>
      </c>
      <c r="H23" s="4">
        <f t="shared" si="0"/>
        <v>120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D24" t="s">
        <v>79</v>
      </c>
      <c r="E24" t="s">
        <v>63</v>
      </c>
      <c r="F24" s="10"/>
      <c r="G24">
        <v>2</v>
      </c>
      <c r="H24" s="4">
        <f t="shared" si="0"/>
        <v>40</v>
      </c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D920-9D1D-4D83-BBBB-34B2095CC21F}">
  <sheetPr>
    <pageSetUpPr fitToPage="1"/>
  </sheetPr>
  <dimension ref="B1:Q32"/>
  <sheetViews>
    <sheetView workbookViewId="0">
      <selection activeCell="N18" sqref="N18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183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</v>
      </c>
      <c r="F3" s="10"/>
      <c r="G3">
        <v>6</v>
      </c>
      <c r="H3" s="4">
        <f>PRODUCT(G3,20)</f>
        <v>120</v>
      </c>
      <c r="I3" s="27" t="s">
        <v>223</v>
      </c>
      <c r="J3" s="28"/>
      <c r="K3" s="29"/>
    </row>
    <row r="4" spans="2:17" x14ac:dyDescent="0.3">
      <c r="B4" s="22"/>
      <c r="C4" s="15">
        <v>2</v>
      </c>
      <c r="D4" t="s">
        <v>85</v>
      </c>
      <c r="F4" s="10"/>
      <c r="G4">
        <v>6</v>
      </c>
      <c r="H4" s="4">
        <f t="shared" ref="H4:H15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12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75</v>
      </c>
      <c r="E6" t="s">
        <v>185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152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87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146</v>
      </c>
      <c r="E9" t="s">
        <v>184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88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89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53</v>
      </c>
      <c r="F12" s="10"/>
      <c r="G12">
        <v>4</v>
      </c>
      <c r="H12" s="4">
        <f t="shared" si="0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108</v>
      </c>
      <c r="F13" s="10"/>
      <c r="G13">
        <v>3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47</v>
      </c>
      <c r="F14" s="10"/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128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68</v>
      </c>
      <c r="F16" s="10"/>
      <c r="G16">
        <v>2</v>
      </c>
      <c r="H16" s="4">
        <f>PRODUCT(G16,20)</f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196</v>
      </c>
      <c r="G17">
        <v>3</v>
      </c>
      <c r="H17" s="4">
        <f>PRODUCT(G17,20)</f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224</v>
      </c>
      <c r="F18" s="10"/>
      <c r="G18">
        <v>3</v>
      </c>
      <c r="H18" s="4">
        <f>PRODUCT(G18,20)</f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8EB4-59BD-490E-8674-D19BD4AE1E25}">
  <sheetPr>
    <pageSetUpPr fitToPage="1"/>
  </sheetPr>
  <dimension ref="B1:Q32"/>
  <sheetViews>
    <sheetView workbookViewId="0">
      <selection activeCell="Q14" sqref="Q1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221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119</v>
      </c>
      <c r="F3" s="10"/>
      <c r="G3">
        <v>8</v>
      </c>
      <c r="H3" s="4">
        <f>PRODUCT(G3,30)</f>
        <v>240</v>
      </c>
      <c r="I3" s="27" t="s">
        <v>222</v>
      </c>
      <c r="J3" s="28"/>
      <c r="K3" s="29"/>
    </row>
    <row r="4" spans="2:17" x14ac:dyDescent="0.3">
      <c r="B4" s="22"/>
      <c r="C4" s="15">
        <v>2</v>
      </c>
      <c r="D4" t="s">
        <v>128</v>
      </c>
      <c r="F4" s="10"/>
      <c r="G4">
        <v>8</v>
      </c>
      <c r="H4" s="4">
        <f t="shared" ref="H4:H9" si="0">PRODUCT(G4,30)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9</v>
      </c>
      <c r="F5" s="10"/>
      <c r="G5">
        <v>6</v>
      </c>
      <c r="H5" s="4">
        <f t="shared" si="0"/>
        <v>180</v>
      </c>
      <c r="I5" s="30"/>
      <c r="J5" s="31"/>
      <c r="K5" s="32"/>
    </row>
    <row r="6" spans="2:17" x14ac:dyDescent="0.3">
      <c r="B6" s="22"/>
      <c r="C6" s="15">
        <v>4</v>
      </c>
      <c r="D6" t="s">
        <v>48</v>
      </c>
      <c r="F6" s="10"/>
      <c r="G6">
        <v>6</v>
      </c>
      <c r="H6" s="4">
        <f t="shared" si="0"/>
        <v>180</v>
      </c>
      <c r="I6" s="30"/>
      <c r="J6" s="31"/>
      <c r="K6" s="32"/>
    </row>
    <row r="7" spans="2:17" x14ac:dyDescent="0.3">
      <c r="B7" s="22"/>
      <c r="C7" s="15">
        <v>5</v>
      </c>
      <c r="D7" t="s">
        <v>100</v>
      </c>
      <c r="F7" s="10"/>
      <c r="G7">
        <v>4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167</v>
      </c>
      <c r="F8" s="10"/>
      <c r="G8">
        <v>4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F9" s="10"/>
      <c r="G9">
        <v>4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F12" s="10"/>
      <c r="H12" s="4"/>
      <c r="I12" s="27"/>
      <c r="J12" s="28"/>
      <c r="K12" s="29"/>
    </row>
    <row r="13" spans="2:17" x14ac:dyDescent="0.3">
      <c r="B13" s="22"/>
      <c r="C13" s="15">
        <v>11</v>
      </c>
      <c r="F13" s="10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/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40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1200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1200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CE7F-E73E-4738-85C6-C0258FF0C2E3}">
  <sheetPr>
    <pageSetUpPr fitToPage="1"/>
  </sheetPr>
  <dimension ref="B1:Q32"/>
  <sheetViews>
    <sheetView workbookViewId="0">
      <selection activeCell="D47" sqref="D4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211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152</v>
      </c>
      <c r="F3" s="10"/>
      <c r="G3">
        <v>8</v>
      </c>
      <c r="H3" s="4"/>
      <c r="I3" s="27" t="s">
        <v>216</v>
      </c>
      <c r="J3" s="28"/>
      <c r="K3" s="29"/>
    </row>
    <row r="4" spans="2:17" x14ac:dyDescent="0.3">
      <c r="B4" s="22"/>
      <c r="C4" s="15">
        <v>2</v>
      </c>
      <c r="D4" t="s">
        <v>13</v>
      </c>
      <c r="F4" s="10"/>
      <c r="G4">
        <v>4</v>
      </c>
      <c r="H4" s="4"/>
      <c r="I4" s="30"/>
      <c r="J4" s="31"/>
      <c r="K4" s="32"/>
    </row>
    <row r="5" spans="2:17" x14ac:dyDescent="0.3">
      <c r="B5" s="22"/>
      <c r="C5" s="15">
        <v>3</v>
      </c>
      <c r="D5" t="s">
        <v>76</v>
      </c>
      <c r="F5" s="10"/>
      <c r="G5">
        <v>4</v>
      </c>
      <c r="H5" s="4"/>
      <c r="I5" s="30"/>
      <c r="J5" s="31"/>
      <c r="K5" s="32"/>
    </row>
    <row r="6" spans="2:17" x14ac:dyDescent="0.3">
      <c r="B6" s="22"/>
      <c r="C6" s="15">
        <v>4</v>
      </c>
      <c r="D6" t="s">
        <v>146</v>
      </c>
      <c r="F6" s="10"/>
      <c r="G6">
        <v>6</v>
      </c>
      <c r="H6" s="4"/>
      <c r="I6" s="30"/>
      <c r="J6" s="31"/>
      <c r="K6" s="32"/>
    </row>
    <row r="7" spans="2:17" x14ac:dyDescent="0.3">
      <c r="B7" s="22"/>
      <c r="C7" s="15">
        <v>5</v>
      </c>
      <c r="D7" t="s">
        <v>94</v>
      </c>
      <c r="F7" s="10"/>
      <c r="G7">
        <v>4</v>
      </c>
      <c r="H7" s="4"/>
      <c r="I7" s="30"/>
      <c r="J7" s="31"/>
      <c r="K7" s="32"/>
    </row>
    <row r="8" spans="2:17" x14ac:dyDescent="0.3">
      <c r="B8" s="22"/>
      <c r="C8" s="15">
        <v>6</v>
      </c>
      <c r="D8" t="s">
        <v>176</v>
      </c>
      <c r="F8" s="10"/>
      <c r="G8">
        <v>4</v>
      </c>
      <c r="H8" s="4"/>
      <c r="I8" s="30"/>
      <c r="J8" s="31"/>
      <c r="K8" s="32"/>
    </row>
    <row r="9" spans="2:17" x14ac:dyDescent="0.3">
      <c r="B9" s="22"/>
      <c r="C9" s="15">
        <v>7</v>
      </c>
      <c r="D9" t="s">
        <v>131</v>
      </c>
      <c r="F9" s="10"/>
      <c r="G9">
        <v>4</v>
      </c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D10" t="s">
        <v>64</v>
      </c>
      <c r="F10" s="10"/>
      <c r="G10">
        <v>4</v>
      </c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53</v>
      </c>
      <c r="F11" s="10"/>
      <c r="G11">
        <v>4</v>
      </c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55</v>
      </c>
      <c r="F12" s="10"/>
      <c r="G12">
        <v>4</v>
      </c>
      <c r="H12" s="4"/>
      <c r="I12" s="27" t="s">
        <v>215</v>
      </c>
      <c r="J12" s="28"/>
      <c r="K12" s="29"/>
    </row>
    <row r="13" spans="2:17" x14ac:dyDescent="0.3">
      <c r="B13" s="22"/>
      <c r="C13" s="15">
        <v>11</v>
      </c>
      <c r="D13" t="s">
        <v>93</v>
      </c>
      <c r="F13" s="10"/>
      <c r="G13">
        <v>4</v>
      </c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77</v>
      </c>
      <c r="F14" s="10"/>
      <c r="G14">
        <v>4</v>
      </c>
      <c r="H14" s="4"/>
      <c r="I14" s="30"/>
      <c r="J14" s="31"/>
      <c r="K14" s="32"/>
    </row>
    <row r="15" spans="2:17" x14ac:dyDescent="0.3">
      <c r="B15" s="22"/>
      <c r="C15" s="15">
        <v>13</v>
      </c>
      <c r="D15" t="s">
        <v>73</v>
      </c>
      <c r="F15" s="10"/>
      <c r="G15">
        <v>2</v>
      </c>
      <c r="H15" s="4"/>
      <c r="I15" s="30"/>
      <c r="J15" s="31"/>
      <c r="K15" s="32"/>
    </row>
    <row r="16" spans="2:17" x14ac:dyDescent="0.3">
      <c r="B16" s="22"/>
      <c r="C16" s="15">
        <v>14</v>
      </c>
      <c r="D16" t="s">
        <v>100</v>
      </c>
      <c r="F16" s="10"/>
      <c r="G16">
        <v>2</v>
      </c>
      <c r="H16" s="4"/>
      <c r="I16" s="30"/>
      <c r="J16" s="31"/>
      <c r="K16" s="32"/>
    </row>
    <row r="17" spans="2:11" x14ac:dyDescent="0.3">
      <c r="B17" s="22"/>
      <c r="C17" s="15">
        <v>15</v>
      </c>
      <c r="D17" t="s">
        <v>137</v>
      </c>
      <c r="F17" s="10"/>
      <c r="G17">
        <v>2</v>
      </c>
      <c r="H17" s="4"/>
      <c r="I17" s="30"/>
      <c r="J17" s="31"/>
      <c r="K17" s="32"/>
    </row>
    <row r="18" spans="2:11" x14ac:dyDescent="0.3">
      <c r="B18" s="22"/>
      <c r="C18" s="15">
        <v>16</v>
      </c>
      <c r="D18" t="s">
        <v>175</v>
      </c>
      <c r="F18" s="10"/>
      <c r="G18">
        <v>2</v>
      </c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51</v>
      </c>
      <c r="F19" s="10"/>
      <c r="G19">
        <v>4</v>
      </c>
      <c r="H19" s="4"/>
      <c r="I19" s="30"/>
      <c r="J19" s="31"/>
      <c r="K19" s="32"/>
    </row>
    <row r="20" spans="2:11" x14ac:dyDescent="0.3">
      <c r="B20" s="22"/>
      <c r="C20" s="15">
        <v>18</v>
      </c>
      <c r="D20" t="s">
        <v>68</v>
      </c>
      <c r="F20" s="10"/>
      <c r="G20">
        <v>2</v>
      </c>
      <c r="H20" s="4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75</v>
      </c>
      <c r="F21" s="10"/>
      <c r="G21">
        <v>4</v>
      </c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72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1440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0</v>
      </c>
      <c r="K28" s="3"/>
    </row>
    <row r="29" spans="2:11" x14ac:dyDescent="0.3">
      <c r="B29" s="22"/>
      <c r="C29" s="15">
        <v>27</v>
      </c>
      <c r="F29" s="10"/>
      <c r="H29" s="4"/>
      <c r="I29" t="s">
        <v>217</v>
      </c>
      <c r="J29" t="s">
        <v>218</v>
      </c>
      <c r="K29" s="4"/>
    </row>
    <row r="30" spans="2:11" x14ac:dyDescent="0.3">
      <c r="B30" s="22"/>
      <c r="C30" s="15">
        <v>28</v>
      </c>
      <c r="F30" s="10"/>
      <c r="H30" s="4"/>
      <c r="I30" t="s">
        <v>219</v>
      </c>
      <c r="J30" t="s">
        <v>220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E505-6211-4F76-B4A8-F9513C79C5C0}">
  <sheetPr>
    <pageSetUpPr fitToPage="1"/>
  </sheetPr>
  <dimension ref="B1:Q32"/>
  <sheetViews>
    <sheetView topLeftCell="A9" workbookViewId="0">
      <selection activeCell="C33" sqref="C3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211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F3" s="10"/>
      <c r="G3">
        <v>6</v>
      </c>
      <c r="H3" s="4">
        <f>PRODUCT(G3,20)</f>
        <v>120</v>
      </c>
      <c r="I3" s="27" t="s">
        <v>212</v>
      </c>
      <c r="J3" s="28"/>
      <c r="K3" s="29"/>
    </row>
    <row r="4" spans="2:17" x14ac:dyDescent="0.3">
      <c r="B4" s="22"/>
      <c r="C4" s="15">
        <v>2</v>
      </c>
      <c r="D4" t="s">
        <v>13</v>
      </c>
      <c r="F4" s="10"/>
      <c r="G4">
        <v>6</v>
      </c>
      <c r="H4" s="4">
        <f t="shared" ref="H4:H22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76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146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152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77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108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138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64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47</v>
      </c>
      <c r="F12" s="10"/>
      <c r="G12">
        <v>4</v>
      </c>
      <c r="H12" s="4">
        <f t="shared" si="0"/>
        <v>80</v>
      </c>
      <c r="I12" s="27" t="s">
        <v>213</v>
      </c>
      <c r="J12" s="28"/>
      <c r="K12" s="29"/>
    </row>
    <row r="13" spans="2:17" x14ac:dyDescent="0.3">
      <c r="B13" s="22"/>
      <c r="C13" s="15">
        <v>11</v>
      </c>
      <c r="D13" t="s">
        <v>48</v>
      </c>
      <c r="F13" s="10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128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164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62</v>
      </c>
      <c r="F16" s="10"/>
      <c r="G16">
        <v>3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165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214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100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135</v>
      </c>
      <c r="F20" s="10"/>
      <c r="G20">
        <v>4</v>
      </c>
      <c r="H20" s="4">
        <f t="shared" si="0"/>
        <v>80</v>
      </c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94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68</v>
      </c>
      <c r="F22" s="10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76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1520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85F3-8A7B-438D-B6FB-6B5AF5903B6A}">
  <sheetPr>
    <pageSetUpPr fitToPage="1"/>
  </sheetPr>
  <dimension ref="B1:Q32"/>
  <sheetViews>
    <sheetView topLeftCell="A12" workbookViewId="0">
      <selection activeCell="O19" sqref="O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208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80</v>
      </c>
      <c r="F3" s="10"/>
      <c r="G3">
        <v>6</v>
      </c>
      <c r="H3" s="4">
        <f>PRODUCT(G3,40)</f>
        <v>240</v>
      </c>
      <c r="I3" s="27" t="s">
        <v>209</v>
      </c>
      <c r="J3" s="28"/>
      <c r="K3" s="29"/>
    </row>
    <row r="4" spans="2:17" x14ac:dyDescent="0.3">
      <c r="B4" s="22"/>
      <c r="C4" s="15">
        <v>2</v>
      </c>
      <c r="D4" t="s">
        <v>167</v>
      </c>
      <c r="F4" s="10"/>
      <c r="G4">
        <v>6</v>
      </c>
      <c r="H4" s="4">
        <f t="shared" ref="H4:H9" si="0">PRODUCT(G4,40)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48</v>
      </c>
      <c r="F5" s="10"/>
      <c r="G5">
        <v>6</v>
      </c>
      <c r="H5" s="4">
        <f t="shared" si="0"/>
        <v>240</v>
      </c>
      <c r="I5" s="30"/>
      <c r="J5" s="31"/>
      <c r="K5" s="32"/>
    </row>
    <row r="6" spans="2:17" x14ac:dyDescent="0.3">
      <c r="B6" s="22"/>
      <c r="C6" s="15">
        <v>4</v>
      </c>
      <c r="D6" t="s">
        <v>47</v>
      </c>
      <c r="F6" s="10"/>
      <c r="G6">
        <v>6</v>
      </c>
      <c r="H6" s="4">
        <f t="shared" si="0"/>
        <v>240</v>
      </c>
      <c r="I6" s="30"/>
      <c r="J6" s="31"/>
      <c r="K6" s="32"/>
    </row>
    <row r="7" spans="2:17" x14ac:dyDescent="0.3">
      <c r="B7" s="22"/>
      <c r="C7" s="15">
        <v>5</v>
      </c>
      <c r="D7" t="s">
        <v>147</v>
      </c>
      <c r="F7" s="10"/>
      <c r="G7">
        <v>8</v>
      </c>
      <c r="H7" s="4">
        <f t="shared" si="0"/>
        <v>320</v>
      </c>
      <c r="I7" s="30"/>
      <c r="J7" s="31"/>
      <c r="K7" s="32"/>
    </row>
    <row r="8" spans="2:17" x14ac:dyDescent="0.3">
      <c r="B8" s="22"/>
      <c r="C8" s="15">
        <v>6</v>
      </c>
      <c r="D8" t="s">
        <v>146</v>
      </c>
      <c r="F8" s="10"/>
      <c r="G8">
        <v>4</v>
      </c>
      <c r="H8" s="4">
        <f t="shared" si="0"/>
        <v>160</v>
      </c>
      <c r="I8" s="30"/>
      <c r="J8" s="31"/>
      <c r="K8" s="32"/>
    </row>
    <row r="9" spans="2:17" x14ac:dyDescent="0.3">
      <c r="B9" s="22"/>
      <c r="C9" s="15">
        <v>7</v>
      </c>
      <c r="D9" t="s">
        <v>68</v>
      </c>
      <c r="F9" s="10"/>
      <c r="G9">
        <v>2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F12" s="10"/>
      <c r="H12" s="4"/>
      <c r="I12" s="27" t="s">
        <v>210</v>
      </c>
      <c r="J12" s="28"/>
      <c r="K12" s="29"/>
    </row>
    <row r="13" spans="2:17" x14ac:dyDescent="0.3">
      <c r="B13" s="22"/>
      <c r="C13" s="15">
        <v>11</v>
      </c>
      <c r="F13" s="10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25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40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38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1520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0DE6-8FCE-41EB-AFD3-A85BACFEF45E}">
  <sheetPr>
    <pageSetUpPr fitToPage="1"/>
  </sheetPr>
  <dimension ref="B1:Q32"/>
  <sheetViews>
    <sheetView workbookViewId="0">
      <selection activeCell="M21" sqref="M2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197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F3" s="10"/>
      <c r="G3">
        <v>6</v>
      </c>
      <c r="H3" s="4">
        <f>PRODUCT(G3,20)</f>
        <v>120</v>
      </c>
      <c r="I3" s="27" t="s">
        <v>207</v>
      </c>
      <c r="J3" s="28"/>
      <c r="K3" s="29"/>
    </row>
    <row r="4" spans="2:17" x14ac:dyDescent="0.3">
      <c r="B4" s="22"/>
      <c r="C4" s="15">
        <v>2</v>
      </c>
      <c r="D4" t="s">
        <v>53</v>
      </c>
      <c r="F4" s="10"/>
      <c r="G4">
        <v>6</v>
      </c>
      <c r="H4" s="4">
        <f t="shared" ref="H4:H22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152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71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78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40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48</v>
      </c>
      <c r="F12" s="10"/>
      <c r="G12">
        <v>6</v>
      </c>
      <c r="H12" s="4">
        <f t="shared" si="0"/>
        <v>120</v>
      </c>
      <c r="I12" s="27" t="s">
        <v>206</v>
      </c>
      <c r="J12" s="28"/>
      <c r="K12" s="29"/>
    </row>
    <row r="13" spans="2:17" x14ac:dyDescent="0.3">
      <c r="B13" s="22"/>
      <c r="C13" s="15">
        <v>11</v>
      </c>
      <c r="D13" t="s">
        <v>128</v>
      </c>
      <c r="F13" s="10"/>
      <c r="G13">
        <v>6</v>
      </c>
      <c r="H13" s="4">
        <f t="shared" si="0"/>
        <v>120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76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138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136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146</v>
      </c>
      <c r="F18" s="10"/>
      <c r="G18">
        <v>8</v>
      </c>
      <c r="H18" s="4">
        <f t="shared" si="0"/>
        <v>160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67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205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64</v>
      </c>
      <c r="F21" s="10"/>
      <c r="G21">
        <v>2</v>
      </c>
      <c r="H21" s="4">
        <f t="shared" si="0"/>
        <v>40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68</v>
      </c>
      <c r="F22" s="10"/>
      <c r="G22">
        <v>2</v>
      </c>
      <c r="H22" s="4">
        <f t="shared" si="0"/>
        <v>40</v>
      </c>
      <c r="I22" s="10" t="s">
        <v>27</v>
      </c>
      <c r="J22">
        <v>50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87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1740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9B131-31ED-4D03-9113-FA645207031B}">
  <sheetPr>
    <pageSetUpPr fitToPage="1"/>
  </sheetPr>
  <dimension ref="B1:K32"/>
  <sheetViews>
    <sheetView workbookViewId="0">
      <selection activeCell="F9" sqref="F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91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12</v>
      </c>
      <c r="H3" s="4">
        <f>PRODUCT(G3,20)</f>
        <v>240</v>
      </c>
      <c r="I3" s="27" t="s">
        <v>92</v>
      </c>
      <c r="J3" s="28"/>
      <c r="K3" s="29"/>
    </row>
    <row r="4" spans="2:11" x14ac:dyDescent="0.3">
      <c r="B4" s="22"/>
      <c r="C4" s="15">
        <v>2</v>
      </c>
      <c r="D4" t="s">
        <v>93</v>
      </c>
      <c r="F4" s="10"/>
      <c r="G4">
        <v>8</v>
      </c>
      <c r="H4" s="4">
        <f t="shared" ref="H4:H20" si="0">PRODUCT(G4,20)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94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135</v>
      </c>
      <c r="F6" s="10"/>
      <c r="G6">
        <v>8</v>
      </c>
      <c r="H6" s="4">
        <f t="shared" ref="H6:H16" si="1">PRODUCT(G6,20)</f>
        <v>160</v>
      </c>
      <c r="I6" s="30"/>
      <c r="J6" s="31"/>
      <c r="K6" s="32"/>
    </row>
    <row r="7" spans="2:11" x14ac:dyDescent="0.3">
      <c r="B7" s="22"/>
      <c r="C7" s="15">
        <v>5</v>
      </c>
      <c r="D7" t="s">
        <v>95</v>
      </c>
      <c r="F7" s="10"/>
      <c r="G7">
        <v>6</v>
      </c>
      <c r="H7" s="4">
        <f t="shared" si="1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19</v>
      </c>
      <c r="F8" s="10"/>
      <c r="G8">
        <v>6</v>
      </c>
      <c r="H8" s="4">
        <f t="shared" si="1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96</v>
      </c>
      <c r="F9" s="10"/>
      <c r="G9">
        <v>6</v>
      </c>
      <c r="H9" s="4">
        <f t="shared" si="1"/>
        <v>120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97</v>
      </c>
      <c r="F10" s="10"/>
      <c r="G10">
        <v>3</v>
      </c>
      <c r="H10" s="4">
        <f t="shared" si="1"/>
        <v>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98</v>
      </c>
      <c r="F11" s="10"/>
      <c r="G11">
        <v>3</v>
      </c>
      <c r="H11" s="4">
        <f t="shared" si="1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99</v>
      </c>
      <c r="F12" s="10"/>
      <c r="G12">
        <v>3</v>
      </c>
      <c r="H12" s="4">
        <f t="shared" si="1"/>
        <v>60</v>
      </c>
      <c r="I12" s="27" t="s">
        <v>203</v>
      </c>
      <c r="J12" s="28"/>
      <c r="K12" s="29"/>
    </row>
    <row r="13" spans="2:11" x14ac:dyDescent="0.3">
      <c r="B13" s="22"/>
      <c r="C13" s="15">
        <v>11</v>
      </c>
      <c r="D13" t="s">
        <v>100</v>
      </c>
      <c r="F13" s="10"/>
      <c r="G13">
        <v>2</v>
      </c>
      <c r="H13" s="4">
        <f t="shared" si="1"/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102</v>
      </c>
      <c r="F14" s="10"/>
      <c r="G14">
        <v>3</v>
      </c>
      <c r="H14" s="4">
        <f t="shared" si="1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103</v>
      </c>
      <c r="F15" s="10"/>
      <c r="G15">
        <v>3</v>
      </c>
      <c r="H15" s="4">
        <f t="shared" si="1"/>
        <v>60</v>
      </c>
      <c r="I15" s="30"/>
      <c r="J15" s="31"/>
      <c r="K15" s="32"/>
    </row>
    <row r="16" spans="2:11" x14ac:dyDescent="0.3">
      <c r="B16" s="22"/>
      <c r="C16" s="15">
        <v>14</v>
      </c>
      <c r="D16" t="s">
        <v>40</v>
      </c>
      <c r="F16" s="10"/>
      <c r="G16">
        <v>3</v>
      </c>
      <c r="H16" s="4">
        <f t="shared" si="1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58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106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38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39</v>
      </c>
      <c r="F20" s="10"/>
      <c r="G20">
        <v>3</v>
      </c>
      <c r="H20" s="4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87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D023-6911-43F1-9AC1-0AC1866178FF}">
  <sheetPr>
    <pageSetUpPr fitToPage="1"/>
  </sheetPr>
  <dimension ref="B1:Q32"/>
  <sheetViews>
    <sheetView workbookViewId="0">
      <selection activeCell="D3" sqref="D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201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146</v>
      </c>
      <c r="F3" s="10"/>
      <c r="G3">
        <v>6</v>
      </c>
      <c r="H3" s="4">
        <f>PRODUCT(G3,20)</f>
        <v>120</v>
      </c>
      <c r="I3" s="37" t="s">
        <v>202</v>
      </c>
      <c r="J3" s="28"/>
      <c r="K3" s="29"/>
    </row>
    <row r="4" spans="2:17" x14ac:dyDescent="0.3">
      <c r="B4" s="22"/>
      <c r="C4" s="15">
        <v>2</v>
      </c>
      <c r="D4" t="s">
        <v>152</v>
      </c>
      <c r="F4" s="10"/>
      <c r="G4">
        <v>6</v>
      </c>
      <c r="H4" s="4">
        <f t="shared" ref="H4:H22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87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13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75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85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53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135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94</v>
      </c>
      <c r="F12" s="10"/>
      <c r="G12">
        <v>6</v>
      </c>
      <c r="H12" s="4">
        <f t="shared" si="0"/>
        <v>120</v>
      </c>
      <c r="I12" s="27"/>
      <c r="J12" s="28"/>
      <c r="K12" s="29"/>
    </row>
    <row r="13" spans="2:17" x14ac:dyDescent="0.3">
      <c r="B13" s="22"/>
      <c r="C13" s="15">
        <v>11</v>
      </c>
      <c r="D13" t="s">
        <v>76</v>
      </c>
      <c r="F13" s="10"/>
      <c r="G13">
        <v>6</v>
      </c>
      <c r="H13" s="4">
        <f t="shared" si="0"/>
        <v>120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174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73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47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164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51</v>
      </c>
      <c r="F18" s="10"/>
      <c r="G18">
        <v>8</v>
      </c>
      <c r="H18" s="4">
        <f t="shared" si="0"/>
        <v>160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F19" s="10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D20" t="s">
        <v>48</v>
      </c>
      <c r="G20">
        <v>4</v>
      </c>
      <c r="H20" s="4">
        <f t="shared" si="0"/>
        <v>80</v>
      </c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147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131</v>
      </c>
      <c r="G22">
        <v>4</v>
      </c>
      <c r="H22" s="4">
        <f t="shared" si="0"/>
        <v>80</v>
      </c>
      <c r="I22" s="10" t="s">
        <v>27</v>
      </c>
      <c r="J22">
        <v>50</v>
      </c>
      <c r="K22" s="4" t="s">
        <v>28</v>
      </c>
    </row>
    <row r="23" spans="2:11" ht="17.25" thickBot="1" x14ac:dyDescent="0.35">
      <c r="B23" s="22"/>
      <c r="C23" s="15">
        <v>21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1980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1980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58AA-37AD-4B4E-8A18-BCE1DFEB7B11}">
  <sheetPr>
    <pageSetUpPr fitToPage="1"/>
  </sheetPr>
  <dimension ref="B1:Q32"/>
  <sheetViews>
    <sheetView workbookViewId="0">
      <selection activeCell="P24" sqref="P24:P2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188</v>
      </c>
      <c r="F3" s="10"/>
      <c r="G3">
        <v>20</v>
      </c>
      <c r="H3" s="4">
        <f>PRODUCT(G3,17.5)</f>
        <v>350</v>
      </c>
      <c r="I3" s="37">
        <v>45376</v>
      </c>
      <c r="J3" s="28"/>
      <c r="K3" s="29"/>
    </row>
    <row r="4" spans="2:17" x14ac:dyDescent="0.3">
      <c r="B4" s="22"/>
      <c r="C4" s="15">
        <v>2</v>
      </c>
      <c r="D4" t="s">
        <v>12</v>
      </c>
      <c r="F4" s="10"/>
      <c r="G4">
        <v>8</v>
      </c>
      <c r="H4" s="4">
        <f t="shared" ref="H4:H22" si="0">PRODUCT(G4,17.5)</f>
        <v>140</v>
      </c>
      <c r="I4" s="30"/>
      <c r="J4" s="31"/>
      <c r="K4" s="32"/>
    </row>
    <row r="5" spans="2:17" x14ac:dyDescent="0.3">
      <c r="B5" s="22"/>
      <c r="C5" s="15">
        <v>3</v>
      </c>
      <c r="D5" t="s">
        <v>146</v>
      </c>
      <c r="F5" s="10"/>
      <c r="G5">
        <v>6</v>
      </c>
      <c r="H5" s="4">
        <f t="shared" si="0"/>
        <v>105</v>
      </c>
      <c r="I5" s="30"/>
      <c r="J5" s="31"/>
      <c r="K5" s="32"/>
    </row>
    <row r="6" spans="2:17" x14ac:dyDescent="0.3">
      <c r="B6" s="22"/>
      <c r="C6" s="15">
        <v>4</v>
      </c>
      <c r="D6" t="s">
        <v>189</v>
      </c>
      <c r="F6" s="10"/>
      <c r="G6">
        <v>6</v>
      </c>
      <c r="H6" s="4">
        <f t="shared" si="0"/>
        <v>105</v>
      </c>
      <c r="I6" s="30"/>
      <c r="J6" s="31"/>
      <c r="K6" s="32"/>
    </row>
    <row r="7" spans="2:17" x14ac:dyDescent="0.3">
      <c r="B7" s="22"/>
      <c r="C7" s="15">
        <v>5</v>
      </c>
      <c r="D7" t="s">
        <v>76</v>
      </c>
      <c r="F7" s="10"/>
      <c r="G7">
        <v>6</v>
      </c>
      <c r="H7" s="4">
        <f t="shared" si="0"/>
        <v>105</v>
      </c>
      <c r="I7" s="30"/>
      <c r="J7" s="31"/>
      <c r="K7" s="32"/>
    </row>
    <row r="8" spans="2:17" x14ac:dyDescent="0.3">
      <c r="B8" s="22"/>
      <c r="C8" s="15">
        <v>6</v>
      </c>
      <c r="D8" t="s">
        <v>190</v>
      </c>
      <c r="F8" s="10"/>
      <c r="G8">
        <v>4</v>
      </c>
      <c r="H8" s="4">
        <f t="shared" si="0"/>
        <v>70</v>
      </c>
      <c r="I8" s="30"/>
      <c r="J8" s="31"/>
      <c r="K8" s="32"/>
    </row>
    <row r="9" spans="2:17" x14ac:dyDescent="0.3">
      <c r="B9" s="22"/>
      <c r="C9" s="15">
        <v>7</v>
      </c>
      <c r="D9" t="s">
        <v>191</v>
      </c>
      <c r="F9" s="10"/>
      <c r="G9">
        <v>4</v>
      </c>
      <c r="H9" s="4">
        <f t="shared" si="0"/>
        <v>70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135</v>
      </c>
      <c r="F10" s="10"/>
      <c r="G10">
        <v>4</v>
      </c>
      <c r="H10" s="4">
        <f t="shared" si="0"/>
        <v>70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130</v>
      </c>
      <c r="F11" s="10"/>
      <c r="G11">
        <v>4</v>
      </c>
      <c r="H11" s="4">
        <f t="shared" si="0"/>
        <v>70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53</v>
      </c>
      <c r="F12" s="10"/>
      <c r="G12">
        <v>4</v>
      </c>
      <c r="H12" s="4">
        <f t="shared" si="0"/>
        <v>70</v>
      </c>
      <c r="I12" s="27"/>
      <c r="J12" s="28"/>
      <c r="K12" s="29"/>
    </row>
    <row r="13" spans="2:17" x14ac:dyDescent="0.3">
      <c r="B13" s="22"/>
      <c r="C13" s="15">
        <v>11</v>
      </c>
      <c r="D13" t="s">
        <v>14</v>
      </c>
      <c r="F13" s="10"/>
      <c r="G13">
        <v>4</v>
      </c>
      <c r="H13" s="4">
        <f t="shared" si="0"/>
        <v>70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192</v>
      </c>
      <c r="F14" s="10"/>
      <c r="G14">
        <v>2</v>
      </c>
      <c r="H14" s="4">
        <f t="shared" si="0"/>
        <v>35</v>
      </c>
      <c r="I14" s="30"/>
      <c r="J14" s="31"/>
      <c r="K14" s="32"/>
    </row>
    <row r="15" spans="2:17" x14ac:dyDescent="0.3">
      <c r="B15" s="22"/>
      <c r="C15" s="15">
        <v>13</v>
      </c>
      <c r="D15" t="s">
        <v>94</v>
      </c>
      <c r="F15" s="10"/>
      <c r="G15">
        <v>4</v>
      </c>
      <c r="H15" s="4">
        <f t="shared" si="0"/>
        <v>70</v>
      </c>
      <c r="I15" s="30"/>
      <c r="J15" s="31"/>
      <c r="K15" s="32"/>
    </row>
    <row r="16" spans="2:17" x14ac:dyDescent="0.3">
      <c r="B16" s="22"/>
      <c r="C16" s="15">
        <v>14</v>
      </c>
      <c r="D16" t="s">
        <v>93</v>
      </c>
      <c r="F16" s="10"/>
      <c r="G16">
        <v>4</v>
      </c>
      <c r="H16" s="4">
        <f t="shared" si="0"/>
        <v>70</v>
      </c>
      <c r="I16" s="30"/>
      <c r="J16" s="31"/>
      <c r="K16" s="32"/>
    </row>
    <row r="17" spans="2:11" x14ac:dyDescent="0.3">
      <c r="B17" s="22"/>
      <c r="C17" s="15">
        <v>15</v>
      </c>
      <c r="D17" t="s">
        <v>193</v>
      </c>
      <c r="F17" s="10"/>
      <c r="G17">
        <v>4</v>
      </c>
      <c r="H17" s="4">
        <f t="shared" si="0"/>
        <v>70</v>
      </c>
      <c r="I17" s="30"/>
      <c r="J17" s="31"/>
      <c r="K17" s="32"/>
    </row>
    <row r="18" spans="2:11" x14ac:dyDescent="0.3">
      <c r="B18" s="22"/>
      <c r="C18" s="15">
        <v>16</v>
      </c>
      <c r="D18" t="s">
        <v>95</v>
      </c>
      <c r="F18" s="10"/>
      <c r="G18">
        <v>8</v>
      </c>
      <c r="H18" s="4">
        <f t="shared" si="0"/>
        <v>140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</v>
      </c>
      <c r="F19" s="10"/>
      <c r="G19">
        <v>6</v>
      </c>
      <c r="H19" s="4">
        <f t="shared" si="0"/>
        <v>105</v>
      </c>
      <c r="I19" s="30"/>
      <c r="J19" s="31"/>
      <c r="K19" s="32"/>
    </row>
    <row r="20" spans="2:11" x14ac:dyDescent="0.3">
      <c r="B20" s="22"/>
      <c r="C20" s="15">
        <v>18</v>
      </c>
      <c r="D20" t="s">
        <v>200</v>
      </c>
      <c r="F20" s="10"/>
      <c r="G20">
        <v>4</v>
      </c>
      <c r="H20" s="4">
        <f t="shared" si="0"/>
        <v>70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15</v>
      </c>
      <c r="F21" s="10"/>
      <c r="G21">
        <v>3</v>
      </c>
      <c r="H21" s="4">
        <f t="shared" si="0"/>
        <v>52.5</v>
      </c>
      <c r="I21" s="10" t="s">
        <v>25</v>
      </c>
      <c r="J21">
        <v>17.5</v>
      </c>
      <c r="K21" s="4" t="s">
        <v>26</v>
      </c>
    </row>
    <row r="22" spans="2:11" x14ac:dyDescent="0.3">
      <c r="B22" s="22"/>
      <c r="C22" s="15">
        <v>20</v>
      </c>
      <c r="D22" t="s">
        <v>108</v>
      </c>
      <c r="G22">
        <v>4</v>
      </c>
      <c r="H22" s="4">
        <f t="shared" si="0"/>
        <v>70</v>
      </c>
      <c r="I22" s="10" t="s">
        <v>27</v>
      </c>
      <c r="J22">
        <v>40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109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1907.5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1907.5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F395-5377-43C3-9C74-05A1D3A10D05}">
  <sheetPr>
    <pageSetUpPr fitToPage="1"/>
  </sheetPr>
  <dimension ref="B1:Q32"/>
  <sheetViews>
    <sheetView workbookViewId="0">
      <selection activeCell="P23" sqref="P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197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 t="s">
        <v>199</v>
      </c>
      <c r="J3" s="28"/>
      <c r="K3" s="29"/>
    </row>
    <row r="4" spans="2:17" x14ac:dyDescent="0.3">
      <c r="B4" s="22"/>
      <c r="C4" s="15">
        <v>2</v>
      </c>
      <c r="D4" t="s">
        <v>53</v>
      </c>
      <c r="F4" s="10"/>
      <c r="G4">
        <v>6</v>
      </c>
      <c r="H4" s="4">
        <f t="shared" ref="H4:H20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152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71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78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79</v>
      </c>
      <c r="E10" t="s">
        <v>66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48</v>
      </c>
      <c r="F12" s="10"/>
      <c r="G12">
        <v>6</v>
      </c>
      <c r="H12" s="4">
        <f t="shared" si="0"/>
        <v>120</v>
      </c>
      <c r="I12" s="27" t="s">
        <v>232</v>
      </c>
      <c r="J12" s="28"/>
      <c r="K12" s="29"/>
    </row>
    <row r="13" spans="2:17" x14ac:dyDescent="0.3">
      <c r="B13" s="22"/>
      <c r="C13" s="15">
        <v>11</v>
      </c>
      <c r="D13" t="s">
        <v>128</v>
      </c>
      <c r="F13" s="10"/>
      <c r="G13">
        <v>8</v>
      </c>
      <c r="H13" s="4">
        <f t="shared" si="0"/>
        <v>160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76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196</v>
      </c>
      <c r="F16" s="10"/>
      <c r="G16">
        <v>4</v>
      </c>
      <c r="H16" s="4">
        <f>PRODUCT(G16,20)</f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64</v>
      </c>
      <c r="G17">
        <v>2</v>
      </c>
      <c r="H17" s="4">
        <f>PRODUCT(G17,20)</f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153</v>
      </c>
      <c r="F18" s="10"/>
      <c r="G18">
        <v>4</v>
      </c>
      <c r="H18" s="4">
        <f>PRODUCT(G18,20)</f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198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108</v>
      </c>
      <c r="F20" s="10"/>
      <c r="G20">
        <v>2</v>
      </c>
      <c r="H20" s="4">
        <f t="shared" si="0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82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1640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52B1-36B9-4FEA-AC65-CE0B3465E163}">
  <sheetPr>
    <pageSetUpPr fitToPage="1"/>
  </sheetPr>
  <dimension ref="B1:Q32"/>
  <sheetViews>
    <sheetView workbookViewId="0">
      <selection activeCell="G8" sqref="G8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195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167</v>
      </c>
      <c r="F3" s="10"/>
      <c r="G3">
        <v>12</v>
      </c>
      <c r="H3" s="4">
        <f>PRODUCT(G3,30)</f>
        <v>360</v>
      </c>
      <c r="I3" s="27"/>
      <c r="J3" s="28"/>
      <c r="K3" s="29"/>
    </row>
    <row r="4" spans="2:17" x14ac:dyDescent="0.3">
      <c r="B4" s="22"/>
      <c r="C4" s="15">
        <v>2</v>
      </c>
      <c r="D4" t="s">
        <v>128</v>
      </c>
      <c r="F4" s="10"/>
      <c r="G4">
        <v>8</v>
      </c>
      <c r="H4" s="4">
        <f t="shared" ref="H4:H8" si="0">PRODUCT(G4,30)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100</v>
      </c>
      <c r="F5" s="10"/>
      <c r="G5">
        <v>6</v>
      </c>
      <c r="H5" s="4">
        <f t="shared" si="0"/>
        <v>180</v>
      </c>
      <c r="I5" s="30"/>
      <c r="J5" s="31"/>
      <c r="K5" s="32"/>
    </row>
    <row r="6" spans="2:17" x14ac:dyDescent="0.3">
      <c r="B6" s="22"/>
      <c r="C6" s="15">
        <v>4</v>
      </c>
      <c r="D6" t="s">
        <v>48</v>
      </c>
      <c r="F6" s="10"/>
      <c r="G6">
        <v>6</v>
      </c>
      <c r="H6" s="4">
        <f t="shared" si="0"/>
        <v>180</v>
      </c>
      <c r="I6" s="30"/>
      <c r="J6" s="31"/>
      <c r="K6" s="32"/>
    </row>
    <row r="7" spans="2:17" x14ac:dyDescent="0.3">
      <c r="B7" s="22"/>
      <c r="C7" s="15">
        <v>5</v>
      </c>
      <c r="D7" t="s">
        <v>47</v>
      </c>
      <c r="F7" s="10"/>
      <c r="G7">
        <v>4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96</v>
      </c>
      <c r="F8" s="10"/>
      <c r="G8">
        <v>6</v>
      </c>
      <c r="H8" s="4">
        <f t="shared" si="0"/>
        <v>180</v>
      </c>
      <c r="I8" s="30"/>
      <c r="J8" s="31"/>
      <c r="K8" s="32"/>
    </row>
    <row r="9" spans="2:17" x14ac:dyDescent="0.3">
      <c r="B9" s="22"/>
      <c r="C9" s="15">
        <v>7</v>
      </c>
      <c r="F9" s="10"/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F12" s="10"/>
      <c r="H12" s="4"/>
      <c r="I12" s="27"/>
      <c r="J12" s="28"/>
      <c r="K12" s="29"/>
    </row>
    <row r="13" spans="2:17" x14ac:dyDescent="0.3">
      <c r="B13" s="22"/>
      <c r="C13" s="15">
        <v>11</v>
      </c>
      <c r="F13" s="10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42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1260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1260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A90E-B6D9-4A64-ABA6-0B9CC81DCEF8}">
  <sheetPr>
    <pageSetUpPr fitToPage="1"/>
  </sheetPr>
  <dimension ref="B1:Q32"/>
  <sheetViews>
    <sheetView workbookViewId="0">
      <selection activeCell="P19" sqref="P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54</v>
      </c>
      <c r="F3" s="10"/>
      <c r="G3">
        <v>8</v>
      </c>
      <c r="H3" s="4">
        <f>PRODUCT(G3,20)</f>
        <v>160</v>
      </c>
      <c r="I3" s="27"/>
      <c r="J3" s="28"/>
      <c r="K3" s="29"/>
    </row>
    <row r="4" spans="2:17" x14ac:dyDescent="0.3">
      <c r="B4" s="22"/>
      <c r="C4" s="15">
        <v>2</v>
      </c>
      <c r="D4" t="s">
        <v>55</v>
      </c>
      <c r="F4" s="10"/>
      <c r="G4">
        <v>6</v>
      </c>
      <c r="H4" s="4">
        <f t="shared" ref="H4:H7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53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48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47</v>
      </c>
      <c r="F7" s="10"/>
      <c r="G7">
        <v>2</v>
      </c>
      <c r="H7" s="4">
        <f t="shared" si="0"/>
        <v>40</v>
      </c>
      <c r="I7" s="30"/>
      <c r="J7" s="31"/>
      <c r="K7" s="32"/>
    </row>
    <row r="8" spans="2:17" x14ac:dyDescent="0.3">
      <c r="B8" s="22"/>
      <c r="C8" s="15">
        <v>6</v>
      </c>
      <c r="D8" t="s">
        <v>58</v>
      </c>
      <c r="F8" s="10"/>
      <c r="G8">
        <v>4</v>
      </c>
      <c r="H8" s="4">
        <f t="shared" ref="H8:H17" si="1">PRODUCT(G8,20)</f>
        <v>80</v>
      </c>
      <c r="I8" s="30"/>
      <c r="J8" s="31"/>
      <c r="K8" s="32"/>
    </row>
    <row r="9" spans="2:17" x14ac:dyDescent="0.3">
      <c r="B9" s="22"/>
      <c r="C9" s="15">
        <v>7</v>
      </c>
      <c r="D9" t="s">
        <v>188</v>
      </c>
      <c r="F9" s="10"/>
      <c r="G9">
        <v>20</v>
      </c>
      <c r="H9" s="4">
        <f t="shared" si="1"/>
        <v>400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9</v>
      </c>
      <c r="F10" s="10"/>
      <c r="G10">
        <v>8</v>
      </c>
      <c r="H10" s="4">
        <f t="shared" si="1"/>
        <v>160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162</v>
      </c>
      <c r="F11" s="10"/>
      <c r="G11">
        <v>8</v>
      </c>
      <c r="H11" s="4">
        <f t="shared" si="1"/>
        <v>160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135</v>
      </c>
      <c r="F12" s="10"/>
      <c r="G12">
        <v>4</v>
      </c>
      <c r="H12" s="4">
        <f t="shared" si="1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13</v>
      </c>
      <c r="F13" s="10"/>
      <c r="G13">
        <v>4</v>
      </c>
      <c r="H13" s="4">
        <f t="shared" si="1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95</v>
      </c>
      <c r="F14" s="10"/>
      <c r="G14">
        <v>4</v>
      </c>
      <c r="H14" s="4">
        <f t="shared" si="1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19</v>
      </c>
      <c r="F15" s="10"/>
      <c r="G15">
        <v>4</v>
      </c>
      <c r="H15" s="4">
        <f t="shared" si="1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193</v>
      </c>
      <c r="F16" s="10"/>
      <c r="G16">
        <v>4</v>
      </c>
      <c r="H16" s="4">
        <f t="shared" si="1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194</v>
      </c>
      <c r="F17" s="10"/>
      <c r="G17">
        <v>4</v>
      </c>
      <c r="H17" s="4">
        <f t="shared" si="1"/>
        <v>80</v>
      </c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88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1760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9DAA-5782-4F91-AE57-CC7AC63CC37D}">
  <sheetPr>
    <pageSetUpPr fitToPage="1"/>
  </sheetPr>
  <dimension ref="B1:Q32"/>
  <sheetViews>
    <sheetView workbookViewId="0">
      <selection activeCell="M22" sqref="M2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188</v>
      </c>
      <c r="F3" s="10"/>
      <c r="G3">
        <v>20</v>
      </c>
      <c r="H3" s="4">
        <f>PRODUCT(G3,20)</f>
        <v>400</v>
      </c>
      <c r="I3" s="27"/>
      <c r="J3" s="28"/>
      <c r="K3" s="29"/>
    </row>
    <row r="4" spans="2:17" x14ac:dyDescent="0.3">
      <c r="B4" s="22"/>
      <c r="C4" s="15">
        <v>2</v>
      </c>
      <c r="D4" t="s">
        <v>12</v>
      </c>
      <c r="F4" s="10"/>
      <c r="G4">
        <v>8</v>
      </c>
      <c r="H4" s="4">
        <f t="shared" ref="H4:H20" si="0">PRODUCT(G4,20)</f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146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189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76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190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191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135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130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53</v>
      </c>
      <c r="F12" s="10"/>
      <c r="G12">
        <v>4</v>
      </c>
      <c r="H12" s="4">
        <f t="shared" si="0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14</v>
      </c>
      <c r="F13" s="10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192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94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93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193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95</v>
      </c>
      <c r="F18" s="10"/>
      <c r="G18">
        <v>8</v>
      </c>
      <c r="H18" s="4">
        <f>PRODUCT(G18,20)</f>
        <v>160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194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9</v>
      </c>
      <c r="F20" s="10"/>
      <c r="G20">
        <v>8</v>
      </c>
      <c r="H20" s="4">
        <f t="shared" si="0"/>
        <v>160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106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2120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2120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3454-6FD7-4305-9B2F-FD5102AFDEE7}">
  <sheetPr>
    <pageSetUpPr fitToPage="1"/>
  </sheetPr>
  <dimension ref="B1:Q32"/>
  <sheetViews>
    <sheetView workbookViewId="0">
      <selection activeCell="N14" sqref="N1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183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</v>
      </c>
      <c r="F3" s="10"/>
      <c r="G3">
        <v>4</v>
      </c>
      <c r="H3" s="4">
        <f>PRODUCT(G3,20)</f>
        <v>80</v>
      </c>
      <c r="I3" s="27"/>
      <c r="J3" s="28"/>
      <c r="K3" s="29"/>
    </row>
    <row r="4" spans="2:17" x14ac:dyDescent="0.3">
      <c r="B4" s="22"/>
      <c r="C4" s="15">
        <v>2</v>
      </c>
      <c r="D4" t="s">
        <v>85</v>
      </c>
      <c r="F4" s="10"/>
      <c r="G4">
        <v>4</v>
      </c>
      <c r="H4" s="4">
        <f t="shared" ref="H4:H16" si="0">PRODUCT(G4,20)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12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167</v>
      </c>
      <c r="E6" t="s">
        <v>185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152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87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146</v>
      </c>
      <c r="E9" t="s">
        <v>184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88</v>
      </c>
      <c r="F10" s="10"/>
      <c r="G10">
        <v>3.2</v>
      </c>
      <c r="H10" s="4">
        <f t="shared" si="0"/>
        <v>64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89</v>
      </c>
      <c r="F11" s="10"/>
      <c r="G11">
        <v>3.2</v>
      </c>
      <c r="H11" s="4">
        <f t="shared" si="0"/>
        <v>64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53</v>
      </c>
      <c r="F12" s="10"/>
      <c r="G12">
        <v>3.2</v>
      </c>
      <c r="H12" s="4">
        <f t="shared" si="0"/>
        <v>64</v>
      </c>
      <c r="I12" s="27"/>
      <c r="J12" s="28"/>
      <c r="K12" s="29"/>
    </row>
    <row r="13" spans="2:17" x14ac:dyDescent="0.3">
      <c r="B13" s="22"/>
      <c r="C13" s="15">
        <v>11</v>
      </c>
      <c r="D13" t="s">
        <v>108</v>
      </c>
      <c r="F13" s="10"/>
      <c r="G13">
        <v>2</v>
      </c>
      <c r="H13" s="4">
        <f t="shared" si="0"/>
        <v>40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47</v>
      </c>
      <c r="F14" s="10"/>
      <c r="G14">
        <v>1.2</v>
      </c>
      <c r="H14" s="4">
        <f t="shared" si="0"/>
        <v>24</v>
      </c>
      <c r="I14" s="30"/>
      <c r="J14" s="31"/>
      <c r="K14" s="32"/>
    </row>
    <row r="15" spans="2:17" x14ac:dyDescent="0.3">
      <c r="B15" s="22"/>
      <c r="C15" s="15">
        <v>13</v>
      </c>
      <c r="D15" t="s">
        <v>128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186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68</v>
      </c>
      <c r="F17" s="10"/>
      <c r="G17">
        <v>2</v>
      </c>
      <c r="H17" s="4">
        <f>PRODUCT(G17,20)</f>
        <v>40</v>
      </c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48.800000000000004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976.00000000000011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976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C0AD-3AA8-4544-AE75-BCB093C2489F}">
  <sheetPr>
    <pageSetUpPr fitToPage="1"/>
  </sheetPr>
  <dimension ref="B1:Q32"/>
  <sheetViews>
    <sheetView workbookViewId="0">
      <selection activeCell="A32" sqref="A3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182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54</v>
      </c>
      <c r="F3" s="10"/>
      <c r="G3">
        <v>4</v>
      </c>
      <c r="H3" s="4">
        <f>PRODUCT(G3,20)</f>
        <v>80</v>
      </c>
      <c r="I3" s="27"/>
      <c r="J3" s="28"/>
      <c r="K3" s="29"/>
    </row>
    <row r="4" spans="2:17" x14ac:dyDescent="0.3">
      <c r="B4" s="22"/>
      <c r="C4" s="15">
        <v>2</v>
      </c>
      <c r="D4" t="s">
        <v>9</v>
      </c>
      <c r="F4" s="10"/>
      <c r="G4">
        <v>4</v>
      </c>
      <c r="H4" s="4">
        <f t="shared" ref="H4:H21" si="0">PRODUCT(G4,20)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53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55</v>
      </c>
      <c r="F6" s="10"/>
      <c r="G6">
        <v>3.2</v>
      </c>
      <c r="H6" s="4">
        <f t="shared" si="0"/>
        <v>64</v>
      </c>
      <c r="I6" s="30"/>
      <c r="J6" s="31"/>
      <c r="K6" s="32"/>
    </row>
    <row r="7" spans="2:17" x14ac:dyDescent="0.3">
      <c r="B7" s="22"/>
      <c r="C7" s="15">
        <v>5</v>
      </c>
      <c r="D7" t="s">
        <v>45</v>
      </c>
      <c r="F7" s="10"/>
      <c r="G7">
        <v>3.2</v>
      </c>
      <c r="H7" s="4">
        <f t="shared" si="0"/>
        <v>64</v>
      </c>
      <c r="I7" s="30"/>
      <c r="J7" s="31"/>
      <c r="K7" s="32"/>
    </row>
    <row r="8" spans="2:17" x14ac:dyDescent="0.3">
      <c r="B8" s="22"/>
      <c r="C8" s="15">
        <v>6</v>
      </c>
      <c r="D8" t="s">
        <v>44</v>
      </c>
      <c r="F8" s="10"/>
      <c r="G8">
        <v>3.2</v>
      </c>
      <c r="H8" s="4">
        <f t="shared" si="0"/>
        <v>64</v>
      </c>
      <c r="I8" s="30"/>
      <c r="J8" s="31"/>
      <c r="K8" s="32"/>
    </row>
    <row r="9" spans="2:17" x14ac:dyDescent="0.3">
      <c r="B9" s="22"/>
      <c r="C9" s="15">
        <v>7</v>
      </c>
      <c r="D9" t="s">
        <v>13</v>
      </c>
      <c r="F9" s="10"/>
      <c r="G9">
        <v>3.2</v>
      </c>
      <c r="H9" s="4">
        <f t="shared" si="0"/>
        <v>64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167</v>
      </c>
      <c r="F10" s="10"/>
      <c r="G10">
        <v>3.2</v>
      </c>
      <c r="H10" s="4">
        <f t="shared" si="0"/>
        <v>64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95</v>
      </c>
      <c r="F11" s="10"/>
      <c r="G11">
        <v>3.2</v>
      </c>
      <c r="H11" s="4">
        <f t="shared" si="0"/>
        <v>64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14</v>
      </c>
      <c r="F12" s="10"/>
      <c r="G12">
        <v>2.8</v>
      </c>
      <c r="H12" s="4">
        <f t="shared" si="0"/>
        <v>56</v>
      </c>
      <c r="I12" s="27"/>
      <c r="J12" s="28"/>
      <c r="K12" s="29"/>
    </row>
    <row r="13" spans="2:17" x14ac:dyDescent="0.3">
      <c r="B13" s="22"/>
      <c r="C13" s="15">
        <v>11</v>
      </c>
      <c r="D13" t="s">
        <v>181</v>
      </c>
      <c r="F13" s="10"/>
      <c r="G13">
        <v>2.8</v>
      </c>
      <c r="H13" s="4">
        <f t="shared" si="0"/>
        <v>56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38</v>
      </c>
      <c r="F14" s="10"/>
      <c r="G14">
        <v>2.8</v>
      </c>
      <c r="H14" s="4">
        <f t="shared" si="0"/>
        <v>56</v>
      </c>
      <c r="I14" s="30"/>
      <c r="J14" s="31"/>
      <c r="K14" s="32"/>
    </row>
    <row r="15" spans="2:17" x14ac:dyDescent="0.3">
      <c r="B15" s="22"/>
      <c r="C15" s="15">
        <v>13</v>
      </c>
      <c r="D15" t="s">
        <v>58</v>
      </c>
      <c r="F15" s="10"/>
      <c r="G15">
        <v>2.8</v>
      </c>
      <c r="H15" s="4">
        <f t="shared" si="0"/>
        <v>56</v>
      </c>
      <c r="I15" s="30"/>
      <c r="J15" s="31"/>
      <c r="K15" s="32"/>
    </row>
    <row r="16" spans="2:17" x14ac:dyDescent="0.3">
      <c r="B16" s="22"/>
      <c r="C16" s="15">
        <v>14</v>
      </c>
      <c r="D16" t="s">
        <v>100</v>
      </c>
      <c r="F16" s="10"/>
      <c r="G16">
        <v>2.8</v>
      </c>
      <c r="H16" s="4">
        <f t="shared" si="0"/>
        <v>56</v>
      </c>
      <c r="I16" s="30"/>
      <c r="J16" s="31"/>
      <c r="K16" s="32"/>
    </row>
    <row r="17" spans="2:11" x14ac:dyDescent="0.3">
      <c r="B17" s="22"/>
      <c r="C17" s="15">
        <v>15</v>
      </c>
      <c r="D17" t="s">
        <v>47</v>
      </c>
      <c r="F17" s="10"/>
      <c r="G17">
        <v>2.4</v>
      </c>
      <c r="H17" s="4">
        <f t="shared" si="0"/>
        <v>48</v>
      </c>
      <c r="I17" s="30"/>
      <c r="J17" s="31"/>
      <c r="K17" s="32"/>
    </row>
    <row r="18" spans="2:11" x14ac:dyDescent="0.3">
      <c r="B18" s="22"/>
      <c r="C18" s="15">
        <v>16</v>
      </c>
      <c r="D18" t="s">
        <v>48</v>
      </c>
      <c r="F18" s="10"/>
      <c r="G18">
        <v>6</v>
      </c>
      <c r="H18" s="4">
        <f t="shared" si="0"/>
        <v>120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128</v>
      </c>
      <c r="F19" s="10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D20" t="s">
        <v>67</v>
      </c>
      <c r="F20" s="10"/>
      <c r="G20">
        <v>6</v>
      </c>
      <c r="H20" s="4">
        <f t="shared" si="0"/>
        <v>120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89</v>
      </c>
      <c r="F21" s="10"/>
      <c r="G21">
        <v>6</v>
      </c>
      <c r="H21" s="4">
        <f t="shared" si="0"/>
        <v>120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67.59999999999998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1351.9999999999995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1352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9C13-46AE-4BDE-A7FE-A3FF41D786EE}">
  <sheetPr>
    <pageSetUpPr fitToPage="1"/>
  </sheetPr>
  <dimension ref="B1:Q32"/>
  <sheetViews>
    <sheetView workbookViewId="0">
      <selection activeCell="U15" sqref="U1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180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167</v>
      </c>
      <c r="F3" s="10"/>
      <c r="G3">
        <v>12</v>
      </c>
      <c r="H3" s="4">
        <f t="shared" ref="H3:H8" si="0">PRODUCT(G3,20)</f>
        <v>240</v>
      </c>
      <c r="I3" s="37">
        <v>45366</v>
      </c>
      <c r="J3" s="28"/>
      <c r="K3" s="29"/>
    </row>
    <row r="4" spans="2:17" x14ac:dyDescent="0.3">
      <c r="B4" s="22"/>
      <c r="C4" s="15">
        <v>2</v>
      </c>
      <c r="D4" t="s">
        <v>95</v>
      </c>
      <c r="F4" s="10"/>
      <c r="G4">
        <v>8</v>
      </c>
      <c r="H4" s="4">
        <f t="shared" si="0"/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152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19</v>
      </c>
      <c r="F6" s="10"/>
      <c r="G6">
        <v>8</v>
      </c>
      <c r="H6" s="4">
        <f t="shared" si="0"/>
        <v>160</v>
      </c>
      <c r="I6" s="30"/>
      <c r="J6" s="31"/>
      <c r="K6" s="32"/>
    </row>
    <row r="7" spans="2:17" x14ac:dyDescent="0.3">
      <c r="B7" s="22"/>
      <c r="C7" s="15">
        <v>5</v>
      </c>
      <c r="D7" t="s">
        <v>13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14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F9" s="10"/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F12" s="10"/>
      <c r="H12" s="4"/>
      <c r="I12" s="27"/>
      <c r="J12" s="28"/>
      <c r="K12" s="29"/>
    </row>
    <row r="13" spans="2:17" x14ac:dyDescent="0.3">
      <c r="B13" s="22"/>
      <c r="C13" s="15">
        <v>11</v>
      </c>
      <c r="F13" s="10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48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7621-ACA4-4817-8717-CBE566C0917B}">
  <sheetPr>
    <pageSetUpPr fitToPage="1"/>
  </sheetPr>
  <dimension ref="B1:Q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179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58</v>
      </c>
      <c r="F3" s="10"/>
      <c r="G3">
        <v>9</v>
      </c>
      <c r="H3" s="4">
        <f>PRODUCT(G3,20)</f>
        <v>180</v>
      </c>
      <c r="I3" s="37">
        <v>45366</v>
      </c>
      <c r="J3" s="28"/>
      <c r="K3" s="29"/>
    </row>
    <row r="4" spans="2:17" x14ac:dyDescent="0.3">
      <c r="B4" s="22"/>
      <c r="C4" s="15">
        <v>2</v>
      </c>
      <c r="D4" t="s">
        <v>178</v>
      </c>
      <c r="F4" s="10"/>
      <c r="G4">
        <v>3</v>
      </c>
      <c r="H4" s="4">
        <f>PRODUCT(G4,20)</f>
        <v>60</v>
      </c>
      <c r="I4" s="30"/>
      <c r="J4" s="31"/>
      <c r="K4" s="32"/>
    </row>
    <row r="5" spans="2:17" x14ac:dyDescent="0.3">
      <c r="B5" s="22"/>
      <c r="C5" s="15">
        <v>3</v>
      </c>
      <c r="D5" t="s">
        <v>79</v>
      </c>
      <c r="F5" s="10"/>
      <c r="G5">
        <v>9</v>
      </c>
      <c r="H5" s="4">
        <f>PRODUCT(G5,20)</f>
        <v>180</v>
      </c>
      <c r="I5" s="30"/>
      <c r="J5" s="31"/>
      <c r="K5" s="32"/>
    </row>
    <row r="6" spans="2:17" x14ac:dyDescent="0.3">
      <c r="B6" s="22"/>
      <c r="C6" s="15">
        <v>4</v>
      </c>
      <c r="D6" t="s">
        <v>128</v>
      </c>
      <c r="F6" s="10"/>
      <c r="G6">
        <v>9</v>
      </c>
      <c r="H6" s="4">
        <f>PRODUCT(G6,20)</f>
        <v>180</v>
      </c>
      <c r="I6" s="30"/>
      <c r="J6" s="31"/>
      <c r="K6" s="32"/>
    </row>
    <row r="7" spans="2:17" x14ac:dyDescent="0.3">
      <c r="B7" s="22"/>
      <c r="C7" s="15">
        <v>5</v>
      </c>
      <c r="F7" s="10"/>
      <c r="H7" s="4"/>
      <c r="I7" s="30"/>
      <c r="J7" s="31"/>
      <c r="K7" s="32"/>
    </row>
    <row r="8" spans="2:17" x14ac:dyDescent="0.3">
      <c r="B8" s="22"/>
      <c r="C8" s="15">
        <v>6</v>
      </c>
      <c r="F8" s="10"/>
      <c r="H8" s="4"/>
      <c r="I8" s="30"/>
      <c r="J8" s="31"/>
      <c r="K8" s="32"/>
    </row>
    <row r="9" spans="2:17" x14ac:dyDescent="0.3">
      <c r="B9" s="22"/>
      <c r="C9" s="15">
        <v>7</v>
      </c>
      <c r="F9" s="10"/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F12" s="10"/>
      <c r="H12" s="4"/>
      <c r="I12" s="27"/>
      <c r="J12" s="28"/>
      <c r="K12" s="29"/>
    </row>
    <row r="13" spans="2:17" x14ac:dyDescent="0.3">
      <c r="B13" s="22"/>
      <c r="C13" s="15">
        <v>11</v>
      </c>
      <c r="F13" s="10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30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30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600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600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8F18-FC15-431B-8E4C-38A87E37752C}">
  <sheetPr>
    <pageSetUpPr fitToPage="1"/>
  </sheetPr>
  <dimension ref="B1:M32"/>
  <sheetViews>
    <sheetView workbookViewId="0">
      <selection activeCell="O23" sqref="O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3" ht="17.25" thickBot="1" x14ac:dyDescent="0.35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9"/>
    </row>
    <row r="2" spans="2:13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3" x14ac:dyDescent="0.3">
      <c r="B3" s="22"/>
      <c r="C3" s="15">
        <v>1</v>
      </c>
      <c r="D3" t="s">
        <v>9</v>
      </c>
      <c r="F3" s="10"/>
      <c r="G3">
        <v>12</v>
      </c>
      <c r="H3" s="4">
        <f>PRODUCT(G3,30)</f>
        <v>360</v>
      </c>
      <c r="I3" s="27" t="s">
        <v>10</v>
      </c>
      <c r="J3" s="28"/>
      <c r="K3" s="29"/>
    </row>
    <row r="4" spans="2:13" x14ac:dyDescent="0.3">
      <c r="B4" s="22"/>
      <c r="C4" s="15">
        <v>2</v>
      </c>
      <c r="D4" t="s">
        <v>11</v>
      </c>
      <c r="F4" s="10"/>
      <c r="G4">
        <v>6</v>
      </c>
      <c r="H4" s="4">
        <f t="shared" ref="H4:H13" si="0">PRODUCT(G4,30)</f>
        <v>180</v>
      </c>
      <c r="I4" s="30"/>
      <c r="J4" s="31"/>
      <c r="K4" s="32"/>
    </row>
    <row r="5" spans="2:13" x14ac:dyDescent="0.3">
      <c r="B5" s="22"/>
      <c r="C5" s="15">
        <v>3</v>
      </c>
      <c r="D5" t="s">
        <v>12</v>
      </c>
      <c r="F5" s="10"/>
      <c r="G5">
        <v>6</v>
      </c>
      <c r="H5" s="4">
        <f t="shared" si="0"/>
        <v>180</v>
      </c>
      <c r="I5" s="30"/>
      <c r="J5" s="31"/>
      <c r="K5" s="32"/>
    </row>
    <row r="6" spans="2:13" x14ac:dyDescent="0.3">
      <c r="B6" s="22"/>
      <c r="C6" s="15">
        <v>4</v>
      </c>
      <c r="D6" t="s">
        <v>13</v>
      </c>
      <c r="F6" s="10"/>
      <c r="G6">
        <v>6</v>
      </c>
      <c r="H6" s="4">
        <f t="shared" si="0"/>
        <v>180</v>
      </c>
      <c r="I6" s="30"/>
      <c r="J6" s="31"/>
      <c r="K6" s="32"/>
    </row>
    <row r="7" spans="2:13" x14ac:dyDescent="0.3">
      <c r="B7" s="22"/>
      <c r="C7" s="15">
        <v>5</v>
      </c>
      <c r="D7" t="s">
        <v>14</v>
      </c>
      <c r="F7" s="10"/>
      <c r="G7">
        <v>2</v>
      </c>
      <c r="H7" s="4">
        <f t="shared" si="0"/>
        <v>60</v>
      </c>
      <c r="I7" s="30"/>
      <c r="J7" s="31"/>
      <c r="K7" s="32"/>
    </row>
    <row r="8" spans="2:13" x14ac:dyDescent="0.3">
      <c r="B8" s="22"/>
      <c r="C8" s="15">
        <v>6</v>
      </c>
      <c r="D8" t="s">
        <v>15</v>
      </c>
      <c r="F8" s="10"/>
      <c r="G8">
        <v>4</v>
      </c>
      <c r="H8" s="4">
        <f t="shared" si="0"/>
        <v>120</v>
      </c>
      <c r="I8" s="30"/>
      <c r="J8" s="31"/>
      <c r="K8" s="32"/>
      <c r="M8" t="s">
        <v>16</v>
      </c>
    </row>
    <row r="9" spans="2:13" x14ac:dyDescent="0.3">
      <c r="B9" s="22"/>
      <c r="C9" s="15">
        <v>7</v>
      </c>
      <c r="D9" t="s">
        <v>17</v>
      </c>
      <c r="F9" s="10"/>
      <c r="G9">
        <v>4</v>
      </c>
      <c r="H9" s="4">
        <f t="shared" si="0"/>
        <v>120</v>
      </c>
      <c r="I9" s="30"/>
      <c r="J9" s="31"/>
      <c r="K9" s="32"/>
    </row>
    <row r="10" spans="2:13" ht="17.25" thickBot="1" x14ac:dyDescent="0.35">
      <c r="B10" s="22"/>
      <c r="C10" s="15">
        <v>8</v>
      </c>
      <c r="D10" t="s">
        <v>18</v>
      </c>
      <c r="F10" s="10"/>
      <c r="G10">
        <v>4</v>
      </c>
      <c r="H10" s="4">
        <f t="shared" si="0"/>
        <v>120</v>
      </c>
      <c r="I10" s="33"/>
      <c r="J10" s="34"/>
      <c r="K10" s="35"/>
    </row>
    <row r="11" spans="2:13" ht="17.25" thickBot="1" x14ac:dyDescent="0.35">
      <c r="B11" s="22"/>
      <c r="C11" s="15">
        <v>9</v>
      </c>
      <c r="D11" t="s">
        <v>19</v>
      </c>
      <c r="F11" s="10"/>
      <c r="G11">
        <v>4</v>
      </c>
      <c r="H11" s="4">
        <f t="shared" si="0"/>
        <v>120</v>
      </c>
      <c r="I11" s="25" t="s">
        <v>20</v>
      </c>
      <c r="J11" s="25"/>
      <c r="K11" s="26"/>
    </row>
    <row r="12" spans="2:13" x14ac:dyDescent="0.3">
      <c r="B12" s="22"/>
      <c r="C12" s="15">
        <v>10</v>
      </c>
      <c r="D12" t="s">
        <v>21</v>
      </c>
      <c r="F12" s="10"/>
      <c r="G12">
        <v>0.5</v>
      </c>
      <c r="H12" s="4">
        <f t="shared" si="0"/>
        <v>15</v>
      </c>
      <c r="I12" s="36"/>
      <c r="J12" s="28"/>
      <c r="K12" s="29"/>
    </row>
    <row r="13" spans="2:13" x14ac:dyDescent="0.3">
      <c r="B13" s="22"/>
      <c r="C13" s="15">
        <v>11</v>
      </c>
      <c r="D13" t="s">
        <v>22</v>
      </c>
      <c r="F13" s="10"/>
      <c r="G13">
        <v>8</v>
      </c>
      <c r="H13" s="4">
        <f t="shared" si="0"/>
        <v>240</v>
      </c>
      <c r="I13" s="30"/>
      <c r="J13" s="31"/>
      <c r="K13" s="32"/>
    </row>
    <row r="14" spans="2:13" x14ac:dyDescent="0.3">
      <c r="B14" s="22"/>
      <c r="C14" s="15">
        <v>12</v>
      </c>
      <c r="F14" s="10"/>
      <c r="H14" s="4"/>
      <c r="I14" s="30"/>
      <c r="J14" s="31"/>
      <c r="K14" s="32"/>
    </row>
    <row r="15" spans="2:13" x14ac:dyDescent="0.3">
      <c r="B15" s="22"/>
      <c r="C15" s="15">
        <v>13</v>
      </c>
      <c r="F15" s="10"/>
      <c r="H15" s="4"/>
      <c r="I15" s="30"/>
      <c r="J15" s="31"/>
      <c r="K15" s="32"/>
    </row>
    <row r="16" spans="2:13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3"/>
      <c r="J19" s="34"/>
      <c r="K19" s="35"/>
    </row>
    <row r="20" spans="2:11" x14ac:dyDescent="0.3">
      <c r="B20" s="22"/>
      <c r="C20" s="15">
        <v>18</v>
      </c>
      <c r="F20" s="10"/>
      <c r="H20" s="4"/>
      <c r="I20" s="2" t="s">
        <v>23</v>
      </c>
      <c r="J20" s="2">
        <v>30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t="s">
        <v>25</v>
      </c>
      <c r="J21">
        <v>30</v>
      </c>
      <c r="K21" s="4" t="s">
        <v>26</v>
      </c>
    </row>
    <row r="22" spans="2:11" ht="17.25" thickBot="1" x14ac:dyDescent="0.35">
      <c r="B22" s="22"/>
      <c r="C22" s="15">
        <v>20</v>
      </c>
      <c r="F22" s="10"/>
      <c r="H22" s="4"/>
      <c r="I22" s="7" t="s">
        <v>27</v>
      </c>
      <c r="J22" s="7">
        <v>90</v>
      </c>
      <c r="K22" s="8" t="s">
        <v>28</v>
      </c>
    </row>
    <row r="23" spans="2:11" ht="17.25" thickBot="1" x14ac:dyDescent="0.35">
      <c r="B23" s="22"/>
      <c r="C23" s="15">
        <v>21</v>
      </c>
      <c r="F23" s="10"/>
      <c r="H23" s="4"/>
      <c r="K23" s="4"/>
    </row>
    <row r="24" spans="2:11" x14ac:dyDescent="0.3">
      <c r="B24" s="22"/>
      <c r="C24" s="15">
        <v>22</v>
      </c>
      <c r="F24" s="10"/>
      <c r="H24" s="4"/>
      <c r="I24" s="2" t="s">
        <v>29</v>
      </c>
      <c r="J24" s="2">
        <f>SUM(G3:G32)</f>
        <v>56.5</v>
      </c>
      <c r="K24" s="3" t="s">
        <v>30</v>
      </c>
    </row>
    <row r="25" spans="2:11" x14ac:dyDescent="0.3">
      <c r="B25" s="22"/>
      <c r="C25" s="15">
        <v>23</v>
      </c>
      <c r="F25" s="10"/>
      <c r="H25" s="4"/>
      <c r="I25" t="s">
        <v>31</v>
      </c>
      <c r="J25">
        <f>PRODUCT(J24,J21)</f>
        <v>1695</v>
      </c>
      <c r="K25" s="4" t="s">
        <v>30</v>
      </c>
    </row>
    <row r="26" spans="2:11" ht="17.25" thickBot="1" x14ac:dyDescent="0.35">
      <c r="B26" s="22"/>
      <c r="C26" s="15">
        <v>24</v>
      </c>
      <c r="F26" s="10"/>
      <c r="H26" s="4"/>
      <c r="I26" s="7" t="s">
        <v>32</v>
      </c>
      <c r="J26" s="7"/>
      <c r="K26" s="8" t="s">
        <v>33</v>
      </c>
    </row>
    <row r="27" spans="2:11" x14ac:dyDescent="0.3">
      <c r="B27" s="22"/>
      <c r="C27" s="15">
        <v>25</v>
      </c>
      <c r="F27" s="10"/>
      <c r="H27" s="4"/>
      <c r="K27" s="4"/>
    </row>
    <row r="28" spans="2:11" x14ac:dyDescent="0.3">
      <c r="B28" s="22"/>
      <c r="C28" s="15">
        <v>26</v>
      </c>
      <c r="F28" s="10"/>
      <c r="H28" s="4"/>
      <c r="K28" s="4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46" orientation="portrait" horizontalDpi="0" verticalDpi="0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7E01-8E41-440E-AF4C-7AD42EAF34BA}">
  <dimension ref="B1:K32"/>
  <sheetViews>
    <sheetView workbookViewId="0">
      <selection activeCell="P18" sqref="P18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35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5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">
        <v>1</v>
      </c>
      <c r="D3" t="s">
        <v>36</v>
      </c>
      <c r="F3" s="10">
        <v>1</v>
      </c>
      <c r="G3">
        <f>PRODUCT(F3,4)</f>
        <v>4</v>
      </c>
      <c r="H3" s="4">
        <f>PRODUCT(G3,20)</f>
        <v>80</v>
      </c>
      <c r="I3" s="38"/>
      <c r="J3" s="39"/>
      <c r="K3" s="40"/>
    </row>
    <row r="4" spans="2:11" x14ac:dyDescent="0.3">
      <c r="B4" s="22"/>
      <c r="C4" s="1">
        <v>2</v>
      </c>
      <c r="D4" t="s">
        <v>37</v>
      </c>
      <c r="F4" s="10">
        <v>1</v>
      </c>
      <c r="G4">
        <f>PRODUCT(F4,J32)</f>
        <v>4</v>
      </c>
      <c r="H4" s="4">
        <f t="shared" ref="H4:H17" si="0">PRODUCT(G4,20)</f>
        <v>80</v>
      </c>
      <c r="I4" s="41"/>
      <c r="J4" s="42"/>
      <c r="K4" s="43"/>
    </row>
    <row r="5" spans="2:11" x14ac:dyDescent="0.3">
      <c r="B5" s="22"/>
      <c r="C5" s="1">
        <v>3</v>
      </c>
      <c r="D5" t="s">
        <v>38</v>
      </c>
      <c r="F5" s="10">
        <v>1</v>
      </c>
      <c r="G5">
        <f>PRODUCT(F5,J32)</f>
        <v>4</v>
      </c>
      <c r="H5" s="4">
        <f t="shared" si="0"/>
        <v>80</v>
      </c>
      <c r="I5" s="41"/>
      <c r="J5" s="42"/>
      <c r="K5" s="43"/>
    </row>
    <row r="6" spans="2:11" x14ac:dyDescent="0.3">
      <c r="B6" s="22"/>
      <c r="C6" s="1">
        <v>4</v>
      </c>
      <c r="D6" t="s">
        <v>39</v>
      </c>
      <c r="F6" s="10">
        <v>1</v>
      </c>
      <c r="G6">
        <f>PRODUCT(F6,J32)</f>
        <v>4</v>
      </c>
      <c r="H6" s="4">
        <f t="shared" si="0"/>
        <v>80</v>
      </c>
      <c r="I6" s="41"/>
      <c r="J6" s="42"/>
      <c r="K6" s="43"/>
    </row>
    <row r="7" spans="2:11" x14ac:dyDescent="0.3">
      <c r="B7" s="22"/>
      <c r="C7" s="1">
        <v>5</v>
      </c>
      <c r="D7" t="s">
        <v>40</v>
      </c>
      <c r="F7" s="10">
        <v>1</v>
      </c>
      <c r="G7">
        <f>PRODUCT(F7,J32)</f>
        <v>4</v>
      </c>
      <c r="H7" s="4">
        <f t="shared" si="0"/>
        <v>80</v>
      </c>
      <c r="I7" s="41"/>
      <c r="J7" s="42"/>
      <c r="K7" s="43"/>
    </row>
    <row r="8" spans="2:11" x14ac:dyDescent="0.3">
      <c r="B8" s="22"/>
      <c r="C8" s="1">
        <v>6</v>
      </c>
      <c r="D8" t="s">
        <v>41</v>
      </c>
      <c r="F8" s="10">
        <v>1</v>
      </c>
      <c r="G8">
        <f>PRODUCT(F8,J32)</f>
        <v>4</v>
      </c>
      <c r="H8" s="4">
        <f t="shared" si="0"/>
        <v>80</v>
      </c>
      <c r="I8" s="41"/>
      <c r="J8" s="42"/>
      <c r="K8" s="43"/>
    </row>
    <row r="9" spans="2:11" x14ac:dyDescent="0.3">
      <c r="B9" s="22"/>
      <c r="C9" s="1">
        <v>7</v>
      </c>
      <c r="D9" t="s">
        <v>42</v>
      </c>
      <c r="F9" s="10">
        <v>1</v>
      </c>
      <c r="G9">
        <f>PRODUCT(F9,J32)</f>
        <v>4</v>
      </c>
      <c r="H9" s="4">
        <f t="shared" si="0"/>
        <v>80</v>
      </c>
      <c r="I9" s="41"/>
      <c r="J9" s="42"/>
      <c r="K9" s="43"/>
    </row>
    <row r="10" spans="2:11" ht="17.25" thickBot="1" x14ac:dyDescent="0.35">
      <c r="B10" s="22"/>
      <c r="C10" s="1">
        <v>8</v>
      </c>
      <c r="D10" t="s">
        <v>43</v>
      </c>
      <c r="F10" s="10">
        <v>1</v>
      </c>
      <c r="G10">
        <f>PRODUCT(F10,J32)</f>
        <v>4</v>
      </c>
      <c r="H10" s="4">
        <f t="shared" si="0"/>
        <v>80</v>
      </c>
      <c r="I10" s="44"/>
      <c r="J10" s="45"/>
      <c r="K10" s="46"/>
    </row>
    <row r="11" spans="2:11" ht="17.25" thickBot="1" x14ac:dyDescent="0.35">
      <c r="B11" s="22"/>
      <c r="C11" s="1">
        <v>9</v>
      </c>
      <c r="D11" t="s">
        <v>44</v>
      </c>
      <c r="F11" s="10">
        <v>1</v>
      </c>
      <c r="G11">
        <f>PRODUCT(F11,J32)</f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">
        <v>10</v>
      </c>
      <c r="D12" t="s">
        <v>45</v>
      </c>
      <c r="F12" s="10">
        <v>1</v>
      </c>
      <c r="G12">
        <f>PRODUCT(F12,J32)</f>
        <v>4</v>
      </c>
      <c r="H12" s="4">
        <f t="shared" si="0"/>
        <v>80</v>
      </c>
      <c r="I12" s="38"/>
      <c r="J12" s="39"/>
      <c r="K12" s="40"/>
    </row>
    <row r="13" spans="2:11" x14ac:dyDescent="0.3">
      <c r="B13" s="22"/>
      <c r="C13" s="1">
        <v>11</v>
      </c>
      <c r="D13" t="s">
        <v>14</v>
      </c>
      <c r="F13" s="10">
        <v>1</v>
      </c>
      <c r="G13">
        <f>PRODUCT(F13,J32)</f>
        <v>4</v>
      </c>
      <c r="H13" s="4">
        <f t="shared" si="0"/>
        <v>80</v>
      </c>
      <c r="I13" s="41"/>
      <c r="J13" s="42"/>
      <c r="K13" s="43"/>
    </row>
    <row r="14" spans="2:11" x14ac:dyDescent="0.3">
      <c r="B14" s="22"/>
      <c r="C14" s="1">
        <v>12</v>
      </c>
      <c r="D14" t="s">
        <v>46</v>
      </c>
      <c r="F14" s="10">
        <v>1</v>
      </c>
      <c r="G14">
        <f>PRODUCT(F14,J32)</f>
        <v>4</v>
      </c>
      <c r="H14" s="4">
        <f t="shared" si="0"/>
        <v>80</v>
      </c>
      <c r="I14" s="41"/>
      <c r="J14" s="42"/>
      <c r="K14" s="43"/>
    </row>
    <row r="15" spans="2:11" x14ac:dyDescent="0.3">
      <c r="B15" s="22"/>
      <c r="C15" s="1">
        <v>13</v>
      </c>
      <c r="D15" t="s">
        <v>47</v>
      </c>
      <c r="F15" s="10">
        <v>1</v>
      </c>
      <c r="G15">
        <f>PRODUCT(F15,J32)</f>
        <v>4</v>
      </c>
      <c r="H15" s="4">
        <f t="shared" si="0"/>
        <v>80</v>
      </c>
      <c r="I15" s="41"/>
      <c r="J15" s="42"/>
      <c r="K15" s="43"/>
    </row>
    <row r="16" spans="2:11" x14ac:dyDescent="0.3">
      <c r="B16" s="22"/>
      <c r="C16" s="1">
        <v>14</v>
      </c>
      <c r="D16" t="s">
        <v>48</v>
      </c>
      <c r="F16" s="10">
        <v>1</v>
      </c>
      <c r="G16">
        <f>PRODUCT(F16,J32)</f>
        <v>4</v>
      </c>
      <c r="H16" s="4">
        <f t="shared" si="0"/>
        <v>80</v>
      </c>
      <c r="I16" s="41"/>
      <c r="J16" s="42"/>
      <c r="K16" s="43"/>
    </row>
    <row r="17" spans="2:11" x14ac:dyDescent="0.3">
      <c r="B17" s="22"/>
      <c r="C17" s="1">
        <v>15</v>
      </c>
      <c r="D17" t="s">
        <v>49</v>
      </c>
      <c r="F17" s="10">
        <v>1</v>
      </c>
      <c r="G17">
        <f>PRODUCT(F17,J32)</f>
        <v>4</v>
      </c>
      <c r="H17" s="4">
        <f t="shared" si="0"/>
        <v>80</v>
      </c>
      <c r="I17" s="41"/>
      <c r="J17" s="42"/>
      <c r="K17" s="43"/>
    </row>
    <row r="18" spans="2:11" x14ac:dyDescent="0.3">
      <c r="B18" s="22"/>
      <c r="C18" s="1">
        <v>16</v>
      </c>
      <c r="F18" s="10"/>
      <c r="H18" s="4"/>
      <c r="I18" s="41"/>
      <c r="J18" s="42"/>
      <c r="K18" s="43"/>
    </row>
    <row r="19" spans="2:11" ht="17.25" thickBot="1" x14ac:dyDescent="0.35">
      <c r="B19" s="22"/>
      <c r="C19" s="1">
        <v>17</v>
      </c>
      <c r="F19" s="10"/>
      <c r="H19" s="4"/>
      <c r="I19" s="44"/>
      <c r="J19" s="45"/>
      <c r="K19" s="46"/>
    </row>
    <row r="20" spans="2:11" x14ac:dyDescent="0.3">
      <c r="B20" s="22"/>
      <c r="C20" s="1">
        <v>18</v>
      </c>
      <c r="F20" s="10"/>
      <c r="H20" s="4"/>
      <c r="I20" s="2" t="s">
        <v>23</v>
      </c>
      <c r="J20" s="2">
        <v>15</v>
      </c>
      <c r="K20" s="3" t="s">
        <v>24</v>
      </c>
    </row>
    <row r="21" spans="2:11" x14ac:dyDescent="0.3">
      <c r="B21" s="22"/>
      <c r="C21" s="1">
        <v>19</v>
      </c>
      <c r="F21" s="10"/>
      <c r="H21" s="4"/>
      <c r="I21" t="s">
        <v>25</v>
      </c>
      <c r="J21">
        <v>20</v>
      </c>
      <c r="K21" s="4" t="s">
        <v>26</v>
      </c>
    </row>
    <row r="22" spans="2:11" ht="17.25" thickBot="1" x14ac:dyDescent="0.35">
      <c r="B22" s="22"/>
      <c r="C22" s="1">
        <v>20</v>
      </c>
      <c r="F22" s="10"/>
      <c r="H22" s="4"/>
      <c r="I22" s="7" t="s">
        <v>27</v>
      </c>
      <c r="J22" s="7">
        <v>45</v>
      </c>
      <c r="K22" s="8" t="s">
        <v>28</v>
      </c>
    </row>
    <row r="23" spans="2:11" ht="17.25" thickBot="1" x14ac:dyDescent="0.35">
      <c r="B23" s="22"/>
      <c r="C23" s="1">
        <v>21</v>
      </c>
      <c r="F23" s="10"/>
      <c r="H23" s="4"/>
      <c r="K23" s="4"/>
    </row>
    <row r="24" spans="2:11" x14ac:dyDescent="0.3">
      <c r="B24" s="22"/>
      <c r="C24" s="1">
        <v>22</v>
      </c>
      <c r="F24" s="10"/>
      <c r="H24" s="4"/>
      <c r="I24" s="2" t="s">
        <v>29</v>
      </c>
      <c r="J24" s="2">
        <f>SUM(G3:G32)</f>
        <v>60</v>
      </c>
      <c r="K24" s="3" t="s">
        <v>30</v>
      </c>
    </row>
    <row r="25" spans="2:11" x14ac:dyDescent="0.3">
      <c r="B25" s="22"/>
      <c r="C25" s="1">
        <v>23</v>
      </c>
      <c r="F25" s="10"/>
      <c r="H25" s="4"/>
      <c r="I25" t="s">
        <v>31</v>
      </c>
      <c r="J25">
        <f>PRODUCT(J24,J21)</f>
        <v>1200</v>
      </c>
      <c r="K25" s="4" t="s">
        <v>30</v>
      </c>
    </row>
    <row r="26" spans="2:11" ht="17.25" thickBot="1" x14ac:dyDescent="0.35">
      <c r="B26" s="22"/>
      <c r="C26" s="1">
        <v>24</v>
      </c>
      <c r="F26" s="10"/>
      <c r="H26" s="4"/>
      <c r="I26" s="7" t="s">
        <v>32</v>
      </c>
      <c r="J26" s="7"/>
      <c r="K26" s="8" t="s">
        <v>33</v>
      </c>
    </row>
    <row r="27" spans="2:11" x14ac:dyDescent="0.3">
      <c r="B27" s="22"/>
      <c r="C27" s="1">
        <v>25</v>
      </c>
      <c r="F27" s="10"/>
      <c r="H27" s="4"/>
      <c r="K27" s="4"/>
    </row>
    <row r="28" spans="2:11" x14ac:dyDescent="0.3">
      <c r="B28" s="22"/>
      <c r="C28" s="1">
        <v>26</v>
      </c>
      <c r="F28" s="10"/>
      <c r="H28" s="4"/>
      <c r="K28" s="4"/>
    </row>
    <row r="29" spans="2:11" x14ac:dyDescent="0.3">
      <c r="B29" s="22"/>
      <c r="C29" s="1">
        <v>27</v>
      </c>
      <c r="F29" s="10"/>
      <c r="H29" s="4"/>
      <c r="K29" s="4"/>
    </row>
    <row r="30" spans="2:11" x14ac:dyDescent="0.3">
      <c r="B30" s="22"/>
      <c r="C30" s="1">
        <v>28</v>
      </c>
      <c r="F30" s="10"/>
      <c r="H30" s="4"/>
      <c r="K30" s="4"/>
    </row>
    <row r="31" spans="2:11" x14ac:dyDescent="0.3">
      <c r="B31" s="22"/>
      <c r="C31" s="1">
        <v>29</v>
      </c>
      <c r="F31" s="10"/>
      <c r="H31" s="4"/>
      <c r="K31" s="4"/>
    </row>
    <row r="32" spans="2:11" ht="17.25" thickBot="1" x14ac:dyDescent="0.35">
      <c r="B32" s="23"/>
      <c r="C32" s="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2:B32"/>
    <mergeCell ref="I11:K11"/>
    <mergeCell ref="B1:J1"/>
    <mergeCell ref="I2:K2"/>
    <mergeCell ref="I3:K10"/>
    <mergeCell ref="I12:K19"/>
  </mergeCells>
  <phoneticPr fontId="1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B2AA-8C32-47A6-91D9-F36E4B76C732}">
  <dimension ref="B1:M32"/>
  <sheetViews>
    <sheetView workbookViewId="0">
      <selection activeCell="M33" sqref="M3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3" ht="17.25" thickBot="1" x14ac:dyDescent="0.35">
      <c r="B1" s="20" t="s">
        <v>50</v>
      </c>
      <c r="C1" s="21"/>
      <c r="D1" s="21"/>
      <c r="E1" s="21"/>
      <c r="F1" s="21"/>
      <c r="G1" s="21"/>
      <c r="H1" s="21"/>
      <c r="I1" s="21"/>
      <c r="J1" s="21"/>
      <c r="K1" s="9"/>
    </row>
    <row r="2" spans="2:13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3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 t="s">
        <v>52</v>
      </c>
      <c r="J3" s="28"/>
      <c r="K3" s="29"/>
    </row>
    <row r="4" spans="2:13" x14ac:dyDescent="0.3">
      <c r="B4" s="22"/>
      <c r="C4" s="15">
        <v>2</v>
      </c>
      <c r="D4" t="s">
        <v>53</v>
      </c>
      <c r="F4" s="10"/>
      <c r="G4">
        <v>6</v>
      </c>
      <c r="H4" s="4">
        <f t="shared" ref="H4:H20" si="0">PRODUCT(G4,20)</f>
        <v>120</v>
      </c>
      <c r="I4" s="30"/>
      <c r="J4" s="31"/>
      <c r="K4" s="32"/>
    </row>
    <row r="5" spans="2:13" x14ac:dyDescent="0.3">
      <c r="B5" s="22"/>
      <c r="C5" s="15">
        <v>3</v>
      </c>
      <c r="D5" t="s">
        <v>54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3" x14ac:dyDescent="0.3">
      <c r="B6" s="22"/>
      <c r="C6" s="15">
        <v>4</v>
      </c>
      <c r="D6" t="s">
        <v>48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3" x14ac:dyDescent="0.3">
      <c r="B7" s="22"/>
      <c r="C7" s="15">
        <v>5</v>
      </c>
      <c r="D7" t="s">
        <v>55</v>
      </c>
      <c r="F7" s="10"/>
      <c r="G7">
        <v>4</v>
      </c>
      <c r="H7" s="4">
        <f t="shared" si="0"/>
        <v>80</v>
      </c>
      <c r="I7" s="30"/>
      <c r="J7" s="31"/>
      <c r="K7" s="32"/>
      <c r="M7" t="s">
        <v>56</v>
      </c>
    </row>
    <row r="8" spans="2:13" x14ac:dyDescent="0.3">
      <c r="B8" s="22"/>
      <c r="C8" s="15">
        <v>6</v>
      </c>
      <c r="D8" t="s">
        <v>46</v>
      </c>
      <c r="F8" s="10"/>
      <c r="G8">
        <v>4</v>
      </c>
      <c r="H8" s="4">
        <f t="shared" si="0"/>
        <v>80</v>
      </c>
      <c r="I8" s="30"/>
      <c r="J8" s="31"/>
      <c r="K8" s="32"/>
      <c r="M8" t="s">
        <v>57</v>
      </c>
    </row>
    <row r="9" spans="2:13" x14ac:dyDescent="0.3">
      <c r="B9" s="22"/>
      <c r="C9" s="15">
        <v>7</v>
      </c>
      <c r="D9" t="s">
        <v>58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3" ht="17.25" thickBot="1" x14ac:dyDescent="0.35">
      <c r="B10" s="22"/>
      <c r="C10" s="15">
        <v>8</v>
      </c>
      <c r="D10" t="s">
        <v>59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3" ht="17.25" thickBot="1" x14ac:dyDescent="0.35">
      <c r="B11" s="22"/>
      <c r="C11" s="15">
        <v>9</v>
      </c>
      <c r="D11" t="s">
        <v>60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3" x14ac:dyDescent="0.3">
      <c r="B12" s="22"/>
      <c r="C12" s="15">
        <v>10</v>
      </c>
      <c r="D12" t="s">
        <v>44</v>
      </c>
      <c r="F12" s="10"/>
      <c r="G12">
        <v>4</v>
      </c>
      <c r="H12" s="4">
        <f t="shared" si="0"/>
        <v>80</v>
      </c>
      <c r="I12" s="27" t="s">
        <v>61</v>
      </c>
      <c r="J12" s="28"/>
      <c r="K12" s="29"/>
    </row>
    <row r="13" spans="2:13" x14ac:dyDescent="0.3">
      <c r="B13" s="22"/>
      <c r="C13" s="15">
        <v>11</v>
      </c>
      <c r="D13" t="s">
        <v>62</v>
      </c>
      <c r="E13" t="s">
        <v>63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3" x14ac:dyDescent="0.3">
      <c r="B14" s="22"/>
      <c r="C14" s="15">
        <v>12</v>
      </c>
      <c r="D14" t="s">
        <v>45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3" x14ac:dyDescent="0.3">
      <c r="B15" s="22"/>
      <c r="C15" s="15">
        <v>13</v>
      </c>
      <c r="D15" t="s">
        <v>64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3" x14ac:dyDescent="0.3">
      <c r="B16" s="22"/>
      <c r="C16" s="15">
        <v>14</v>
      </c>
      <c r="D16" t="s">
        <v>65</v>
      </c>
      <c r="E16" t="s">
        <v>66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19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14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67</v>
      </c>
      <c r="E19" t="s">
        <v>63</v>
      </c>
      <c r="F19" s="10"/>
      <c r="G19">
        <v>2</v>
      </c>
      <c r="H19" s="4">
        <f t="shared" si="0"/>
        <v>40</v>
      </c>
      <c r="I19" s="33"/>
      <c r="J19" s="34"/>
      <c r="K19" s="35"/>
    </row>
    <row r="20" spans="2:11" x14ac:dyDescent="0.3">
      <c r="B20" s="22"/>
      <c r="C20" s="15">
        <v>18</v>
      </c>
      <c r="D20" t="s">
        <v>68</v>
      </c>
      <c r="F20" s="10"/>
      <c r="G20">
        <v>2</v>
      </c>
      <c r="H20" s="4">
        <f t="shared" si="0"/>
        <v>40</v>
      </c>
      <c r="I20" s="2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t="s">
        <v>25</v>
      </c>
      <c r="J21">
        <v>20</v>
      </c>
      <c r="K21" s="4" t="s">
        <v>26</v>
      </c>
    </row>
    <row r="22" spans="2:11" ht="17.25" thickBot="1" x14ac:dyDescent="0.35">
      <c r="B22" s="22"/>
      <c r="C22" s="15">
        <v>20</v>
      </c>
      <c r="F22" s="10"/>
      <c r="H22" s="4"/>
      <c r="I22" s="7" t="s">
        <v>27</v>
      </c>
      <c r="J22" s="7">
        <v>45</v>
      </c>
      <c r="K22" s="8" t="s">
        <v>28</v>
      </c>
    </row>
    <row r="23" spans="2:11" ht="17.25" thickBot="1" x14ac:dyDescent="0.35">
      <c r="B23" s="22"/>
      <c r="C23" s="15">
        <v>21</v>
      </c>
      <c r="F23" s="10"/>
      <c r="H23" s="4"/>
      <c r="K23" s="4"/>
    </row>
    <row r="24" spans="2:11" x14ac:dyDescent="0.3">
      <c r="B24" s="22"/>
      <c r="C24" s="15">
        <v>22</v>
      </c>
      <c r="F24" s="10"/>
      <c r="H24" s="4"/>
      <c r="I24" s="2" t="s">
        <v>29</v>
      </c>
      <c r="J24" s="2">
        <f>SUM(G3:G32)</f>
        <v>78</v>
      </c>
      <c r="K24" s="3" t="s">
        <v>30</v>
      </c>
    </row>
    <row r="25" spans="2:11" x14ac:dyDescent="0.3">
      <c r="B25" s="22"/>
      <c r="C25" s="15">
        <v>23</v>
      </c>
      <c r="F25" s="10"/>
      <c r="H25" s="4"/>
      <c r="I25" t="s">
        <v>31</v>
      </c>
      <c r="J25">
        <f>PRODUCT(J24,J21)</f>
        <v>1560</v>
      </c>
      <c r="K25" s="4" t="s">
        <v>30</v>
      </c>
    </row>
    <row r="26" spans="2:11" ht="17.25" thickBot="1" x14ac:dyDescent="0.35">
      <c r="B26" s="22"/>
      <c r="C26" s="15">
        <v>24</v>
      </c>
      <c r="F26" s="10"/>
      <c r="H26" s="4"/>
      <c r="I26" s="7" t="s">
        <v>32</v>
      </c>
      <c r="J26" s="7"/>
      <c r="K26" s="8" t="s">
        <v>33</v>
      </c>
    </row>
    <row r="27" spans="2:11" x14ac:dyDescent="0.3">
      <c r="B27" s="22"/>
      <c r="C27" s="15">
        <v>25</v>
      </c>
      <c r="F27" s="10"/>
      <c r="H27" s="4"/>
      <c r="K27" s="4"/>
    </row>
    <row r="28" spans="2:11" x14ac:dyDescent="0.3">
      <c r="B28" s="22"/>
      <c r="C28" s="15">
        <v>26</v>
      </c>
      <c r="F28" s="10"/>
      <c r="H28" s="4"/>
      <c r="K28" s="4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CCF7-3850-4D4C-9EEE-721CB5A0FF1B}">
  <sheetPr>
    <pageSetUpPr fitToPage="1"/>
  </sheetPr>
  <dimension ref="B1:K32"/>
  <sheetViews>
    <sheetView topLeftCell="A15" workbookViewId="0">
      <selection activeCell="G17" sqref="G1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69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54</v>
      </c>
      <c r="F3" s="10"/>
      <c r="G3">
        <v>8</v>
      </c>
      <c r="H3" s="4">
        <f>PRODUCT(G3,20)</f>
        <v>160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53</v>
      </c>
      <c r="F4" s="10"/>
      <c r="G4">
        <v>4</v>
      </c>
      <c r="H4" s="4">
        <f t="shared" ref="H4:H20" si="0">PRODUCT(G4,20)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51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71</v>
      </c>
      <c r="F6" s="10"/>
      <c r="G6">
        <v>3</v>
      </c>
      <c r="H6" s="4">
        <f t="shared" si="0"/>
        <v>60</v>
      </c>
      <c r="I6" s="30"/>
      <c r="J6" s="31"/>
      <c r="K6" s="32"/>
    </row>
    <row r="7" spans="2:11" x14ac:dyDescent="0.3">
      <c r="B7" s="22"/>
      <c r="C7" s="15">
        <v>5</v>
      </c>
      <c r="D7" t="s">
        <v>72</v>
      </c>
      <c r="F7" s="10"/>
      <c r="G7">
        <v>3</v>
      </c>
      <c r="H7" s="4">
        <f t="shared" si="0"/>
        <v>60</v>
      </c>
      <c r="I7" s="30"/>
      <c r="J7" s="31"/>
      <c r="K7" s="32"/>
    </row>
    <row r="8" spans="2:11" x14ac:dyDescent="0.3">
      <c r="B8" s="22"/>
      <c r="C8" s="15">
        <v>6</v>
      </c>
      <c r="D8" t="s">
        <v>55</v>
      </c>
      <c r="F8" s="10"/>
      <c r="G8">
        <v>2.8</v>
      </c>
      <c r="H8" s="4">
        <f t="shared" si="0"/>
        <v>56</v>
      </c>
      <c r="I8" s="30"/>
      <c r="J8" s="31"/>
      <c r="K8" s="32"/>
    </row>
    <row r="9" spans="2:11" x14ac:dyDescent="0.3">
      <c r="B9" s="22"/>
      <c r="C9" s="15">
        <v>7</v>
      </c>
      <c r="D9" t="s">
        <v>73</v>
      </c>
      <c r="F9" s="10"/>
      <c r="G9">
        <v>2.8</v>
      </c>
      <c r="H9" s="4">
        <f t="shared" si="0"/>
        <v>56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47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48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13</v>
      </c>
      <c r="F12" s="10"/>
      <c r="G12">
        <v>4</v>
      </c>
      <c r="H12" s="4">
        <f t="shared" si="0"/>
        <v>80</v>
      </c>
      <c r="I12" s="27" t="s">
        <v>74</v>
      </c>
      <c r="J12" s="28"/>
      <c r="K12" s="29"/>
    </row>
    <row r="13" spans="2:11" x14ac:dyDescent="0.3">
      <c r="B13" s="22"/>
      <c r="C13" s="15">
        <v>11</v>
      </c>
      <c r="D13" t="s">
        <v>14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75</v>
      </c>
      <c r="F14" s="10"/>
      <c r="G14">
        <v>6</v>
      </c>
      <c r="H14" s="4">
        <f t="shared" si="0"/>
        <v>120</v>
      </c>
      <c r="I14" s="30"/>
      <c r="J14" s="31"/>
      <c r="K14" s="32"/>
    </row>
    <row r="15" spans="2:11" x14ac:dyDescent="0.3">
      <c r="B15" s="22"/>
      <c r="C15" s="15">
        <v>13</v>
      </c>
      <c r="D15" t="s">
        <v>76</v>
      </c>
      <c r="F15" s="10"/>
      <c r="G15">
        <v>6</v>
      </c>
      <c r="H15" s="4">
        <f t="shared" si="0"/>
        <v>120</v>
      </c>
      <c r="I15" s="30"/>
      <c r="J15" s="31"/>
      <c r="K15" s="32"/>
    </row>
    <row r="16" spans="2:11" x14ac:dyDescent="0.3">
      <c r="B16" s="22"/>
      <c r="C16" s="15">
        <v>14</v>
      </c>
      <c r="D16" t="s">
        <v>77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78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79</v>
      </c>
      <c r="E18" t="s">
        <v>66</v>
      </c>
      <c r="F18" s="10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80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81</v>
      </c>
      <c r="F20" s="10"/>
      <c r="G20">
        <v>3</v>
      </c>
      <c r="H20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67.599999999999994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1352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1352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7CE8-F7E9-4C51-9794-9AA443D10C76}">
  <sheetPr>
    <pageSetUpPr fitToPage="1"/>
  </sheetPr>
  <dimension ref="B1:K32"/>
  <sheetViews>
    <sheetView workbookViewId="0">
      <selection activeCell="N25" sqref="N2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84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85</v>
      </c>
      <c r="F3" s="10"/>
      <c r="G3">
        <v>11</v>
      </c>
      <c r="H3" s="4">
        <f>PRODUCT(G3,30)</f>
        <v>330</v>
      </c>
      <c r="I3" s="27" t="s">
        <v>86</v>
      </c>
      <c r="J3" s="28"/>
      <c r="K3" s="29"/>
    </row>
    <row r="4" spans="2:11" x14ac:dyDescent="0.3">
      <c r="B4" s="22"/>
      <c r="C4" s="15">
        <v>2</v>
      </c>
      <c r="D4" t="s">
        <v>87</v>
      </c>
      <c r="F4" s="10"/>
      <c r="G4">
        <v>7</v>
      </c>
      <c r="H4" s="4">
        <f t="shared" ref="H4:H15" si="0">PRODUCT(G4,30)</f>
        <v>210</v>
      </c>
      <c r="I4" s="30"/>
      <c r="J4" s="31"/>
      <c r="K4" s="32"/>
    </row>
    <row r="5" spans="2:11" x14ac:dyDescent="0.3">
      <c r="B5" s="22"/>
      <c r="C5" s="15">
        <v>3</v>
      </c>
      <c r="D5" t="s">
        <v>19</v>
      </c>
      <c r="F5" s="10"/>
      <c r="G5">
        <v>7</v>
      </c>
      <c r="H5" s="4">
        <f t="shared" si="0"/>
        <v>210</v>
      </c>
      <c r="I5" s="30"/>
      <c r="J5" s="31"/>
      <c r="K5" s="32"/>
    </row>
    <row r="6" spans="2:11" x14ac:dyDescent="0.3">
      <c r="B6" s="22"/>
      <c r="C6" s="15">
        <v>4</v>
      </c>
      <c r="D6" t="s">
        <v>11</v>
      </c>
      <c r="F6" s="10"/>
      <c r="G6">
        <v>7</v>
      </c>
      <c r="H6" s="4">
        <f>PRODUCT(G6,30)</f>
        <v>210</v>
      </c>
      <c r="I6" s="30"/>
      <c r="J6" s="31"/>
      <c r="K6" s="32"/>
    </row>
    <row r="7" spans="2:11" x14ac:dyDescent="0.3">
      <c r="B7" s="22"/>
      <c r="C7" s="15">
        <v>5</v>
      </c>
      <c r="D7" t="s">
        <v>88</v>
      </c>
      <c r="F7" s="10"/>
      <c r="G7">
        <v>3</v>
      </c>
      <c r="H7" s="4">
        <f t="shared" si="0"/>
        <v>90</v>
      </c>
      <c r="I7" s="30"/>
      <c r="J7" s="31"/>
      <c r="K7" s="32"/>
    </row>
    <row r="8" spans="2:11" x14ac:dyDescent="0.3">
      <c r="B8" s="22"/>
      <c r="C8" s="15">
        <v>6</v>
      </c>
      <c r="D8" t="s">
        <v>42</v>
      </c>
      <c r="F8" s="10"/>
      <c r="G8">
        <v>3</v>
      </c>
      <c r="H8" s="4">
        <f t="shared" si="0"/>
        <v>90</v>
      </c>
      <c r="I8" s="30"/>
      <c r="J8" s="31"/>
      <c r="K8" s="32"/>
    </row>
    <row r="9" spans="2:11" x14ac:dyDescent="0.3">
      <c r="B9" s="22"/>
      <c r="C9" s="15">
        <v>7</v>
      </c>
      <c r="D9" t="s">
        <v>39</v>
      </c>
      <c r="F9" s="10"/>
      <c r="G9">
        <v>3</v>
      </c>
      <c r="H9" s="4">
        <f t="shared" si="0"/>
        <v>90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38</v>
      </c>
      <c r="F10" s="10"/>
      <c r="G10">
        <v>3</v>
      </c>
      <c r="H10" s="4">
        <f t="shared" si="0"/>
        <v>90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89</v>
      </c>
      <c r="F11" s="10"/>
      <c r="G11">
        <v>1.5</v>
      </c>
      <c r="H11" s="4">
        <f t="shared" si="0"/>
        <v>45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54</v>
      </c>
      <c r="F12" s="10"/>
      <c r="G12">
        <v>3</v>
      </c>
      <c r="H12" s="4">
        <f t="shared" si="0"/>
        <v>90</v>
      </c>
      <c r="I12" s="27" t="s">
        <v>90</v>
      </c>
      <c r="J12" s="28"/>
      <c r="K12" s="29"/>
    </row>
    <row r="13" spans="2:11" x14ac:dyDescent="0.3">
      <c r="B13" s="22"/>
      <c r="C13" s="15">
        <v>11</v>
      </c>
      <c r="D13" t="s">
        <v>53</v>
      </c>
      <c r="F13" s="10"/>
      <c r="G13">
        <v>3</v>
      </c>
      <c r="H13" s="4">
        <f t="shared" si="0"/>
        <v>90</v>
      </c>
      <c r="I13" s="30"/>
      <c r="J13" s="31"/>
      <c r="K13" s="32"/>
    </row>
    <row r="14" spans="2:11" x14ac:dyDescent="0.3">
      <c r="B14" s="22"/>
      <c r="C14" s="15">
        <v>12</v>
      </c>
      <c r="D14" t="s">
        <v>58</v>
      </c>
      <c r="F14" s="10"/>
      <c r="G14">
        <v>3</v>
      </c>
      <c r="H14" s="4">
        <f t="shared" si="0"/>
        <v>90</v>
      </c>
      <c r="I14" s="30"/>
      <c r="J14" s="31"/>
      <c r="K14" s="32"/>
    </row>
    <row r="15" spans="2:11" x14ac:dyDescent="0.3">
      <c r="B15" s="22"/>
      <c r="C15" s="15">
        <v>13</v>
      </c>
      <c r="D15" t="s">
        <v>48</v>
      </c>
      <c r="F15" s="10"/>
      <c r="G15">
        <v>3</v>
      </c>
      <c r="H15" s="4">
        <f t="shared" si="0"/>
        <v>90</v>
      </c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I20" s="17" t="s">
        <v>23</v>
      </c>
      <c r="J20" s="2">
        <v>30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60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90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57.5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1725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5400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1725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58E3-EDCE-4A12-ADA6-F705EE7B8C1A}">
  <sheetPr>
    <pageSetUpPr fitToPage="1"/>
  </sheetPr>
  <dimension ref="B1:K32"/>
  <sheetViews>
    <sheetView workbookViewId="0">
      <selection activeCell="E10" sqref="E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91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12</v>
      </c>
      <c r="H3" s="4">
        <f>PRODUCT(G3,20)</f>
        <v>240</v>
      </c>
      <c r="I3" s="27" t="s">
        <v>92</v>
      </c>
      <c r="J3" s="28"/>
      <c r="K3" s="29"/>
    </row>
    <row r="4" spans="2:11" x14ac:dyDescent="0.3">
      <c r="B4" s="22"/>
      <c r="C4" s="15">
        <v>2</v>
      </c>
      <c r="D4" t="s">
        <v>93</v>
      </c>
      <c r="F4" s="10"/>
      <c r="G4">
        <v>8</v>
      </c>
      <c r="H4" s="4">
        <f t="shared" ref="H4:H18" si="0">PRODUCT(G4,20)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94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19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96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97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98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99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100</v>
      </c>
      <c r="F12" s="10"/>
      <c r="G12">
        <v>2</v>
      </c>
      <c r="H12" s="4">
        <f t="shared" si="0"/>
        <v>40</v>
      </c>
      <c r="I12" s="27" t="s">
        <v>101</v>
      </c>
      <c r="J12" s="28"/>
      <c r="K12" s="29"/>
    </row>
    <row r="13" spans="2:11" x14ac:dyDescent="0.3">
      <c r="B13" s="22"/>
      <c r="C13" s="15">
        <v>11</v>
      </c>
      <c r="D13" t="s">
        <v>102</v>
      </c>
      <c r="F13" s="10"/>
      <c r="G13">
        <v>3</v>
      </c>
      <c r="H13" s="4">
        <f t="shared" si="0"/>
        <v>60</v>
      </c>
      <c r="I13" s="30"/>
      <c r="J13" s="31"/>
      <c r="K13" s="32"/>
    </row>
    <row r="14" spans="2:11" x14ac:dyDescent="0.3">
      <c r="B14" s="22"/>
      <c r="C14" s="15">
        <v>12</v>
      </c>
      <c r="D14" t="s">
        <v>103</v>
      </c>
      <c r="F14" s="10"/>
      <c r="G14">
        <v>3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104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D16" t="s">
        <v>105</v>
      </c>
      <c r="F16" s="10"/>
      <c r="G16">
        <v>6</v>
      </c>
      <c r="H16" s="4">
        <f t="shared" si="0"/>
        <v>120</v>
      </c>
      <c r="I16" s="30"/>
      <c r="J16" s="31"/>
      <c r="K16" s="32"/>
    </row>
    <row r="17" spans="2:11" x14ac:dyDescent="0.3">
      <c r="B17" s="22"/>
      <c r="C17" s="15">
        <v>15</v>
      </c>
      <c r="D17" t="s">
        <v>58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106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B393-C16B-4870-AAE0-A6049A14EFE7}">
  <sheetPr>
    <pageSetUpPr fitToPage="1"/>
  </sheetPr>
  <dimension ref="B1:K32"/>
  <sheetViews>
    <sheetView workbookViewId="0">
      <selection activeCell="E10" sqref="E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91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12</v>
      </c>
      <c r="H3" s="4">
        <f>PRODUCT(G3,20)</f>
        <v>240</v>
      </c>
      <c r="I3" s="27" t="s">
        <v>134</v>
      </c>
      <c r="J3" s="28"/>
      <c r="K3" s="29"/>
    </row>
    <row r="4" spans="2:11" x14ac:dyDescent="0.3">
      <c r="B4" s="22"/>
      <c r="C4" s="15">
        <v>2</v>
      </c>
      <c r="D4" t="s">
        <v>135</v>
      </c>
      <c r="F4" s="10"/>
      <c r="G4">
        <v>8</v>
      </c>
      <c r="H4" s="4">
        <f t="shared" ref="H4:H18" si="0">PRODUCT(G4,20)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93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19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96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136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138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53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164</v>
      </c>
      <c r="F12" s="10"/>
      <c r="G12">
        <v>4</v>
      </c>
      <c r="H12" s="4">
        <f t="shared" si="0"/>
        <v>80</v>
      </c>
      <c r="I12" s="27" t="s">
        <v>177</v>
      </c>
      <c r="J12" s="28"/>
      <c r="K12" s="29"/>
    </row>
    <row r="13" spans="2:11" x14ac:dyDescent="0.3">
      <c r="B13" s="22"/>
      <c r="C13" s="15">
        <v>11</v>
      </c>
      <c r="D13" t="s">
        <v>176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139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140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68</v>
      </c>
      <c r="F16" s="10"/>
      <c r="G16">
        <v>3.75</v>
      </c>
      <c r="H16" s="4">
        <f t="shared" si="0"/>
        <v>75</v>
      </c>
      <c r="I16" s="30"/>
      <c r="J16" s="31"/>
      <c r="K16" s="32"/>
    </row>
    <row r="17" spans="2:11" x14ac:dyDescent="0.3">
      <c r="B17" s="22"/>
      <c r="C17" s="15">
        <v>15</v>
      </c>
      <c r="D17" t="s">
        <v>76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102</v>
      </c>
      <c r="F18" s="10"/>
      <c r="G18">
        <v>2.8</v>
      </c>
      <c r="H18" s="4">
        <f t="shared" si="0"/>
        <v>56</v>
      </c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82.55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1651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1651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A187-87D0-4A64-9AA4-17B122506627}">
  <sheetPr>
    <pageSetUpPr fitToPage="1"/>
  </sheetPr>
  <dimension ref="B1:Q32"/>
  <sheetViews>
    <sheetView workbookViewId="0">
      <selection activeCell="S24" sqref="S2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141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131</v>
      </c>
      <c r="F3" s="10"/>
      <c r="G3">
        <v>12</v>
      </c>
      <c r="H3" s="4">
        <f>PRODUCT(G3,5)</f>
        <v>60</v>
      </c>
      <c r="I3" s="27"/>
      <c r="J3" s="28"/>
      <c r="K3" s="29"/>
    </row>
    <row r="4" spans="2:17" x14ac:dyDescent="0.3">
      <c r="B4" s="22"/>
      <c r="C4" s="15">
        <v>2</v>
      </c>
      <c r="D4" t="s">
        <v>58</v>
      </c>
      <c r="F4" s="10"/>
      <c r="G4">
        <v>6</v>
      </c>
      <c r="H4" s="4">
        <f t="shared" ref="H4:H15" si="0">PRODUCT(G4,5)</f>
        <v>30</v>
      </c>
      <c r="I4" s="30"/>
      <c r="J4" s="31"/>
      <c r="K4" s="32"/>
    </row>
    <row r="5" spans="2:17" x14ac:dyDescent="0.3">
      <c r="B5" s="22"/>
      <c r="C5" s="15">
        <v>3</v>
      </c>
      <c r="D5" t="s">
        <v>108</v>
      </c>
      <c r="F5" s="10"/>
      <c r="G5">
        <v>4</v>
      </c>
      <c r="H5" s="4">
        <f t="shared" si="0"/>
        <v>20</v>
      </c>
      <c r="I5" s="30"/>
      <c r="J5" s="31"/>
      <c r="K5" s="32"/>
    </row>
    <row r="6" spans="2:17" x14ac:dyDescent="0.3">
      <c r="B6" s="22"/>
      <c r="C6" s="15">
        <v>4</v>
      </c>
      <c r="D6" t="s">
        <v>109</v>
      </c>
      <c r="F6" s="10"/>
      <c r="G6">
        <v>4</v>
      </c>
      <c r="H6" s="4">
        <f t="shared" si="0"/>
        <v>20</v>
      </c>
      <c r="I6" s="30"/>
      <c r="J6" s="31"/>
      <c r="K6" s="32"/>
    </row>
    <row r="7" spans="2:17" x14ac:dyDescent="0.3">
      <c r="B7" s="22"/>
      <c r="C7" s="15">
        <v>5</v>
      </c>
      <c r="D7" t="s">
        <v>45</v>
      </c>
      <c r="F7" s="10"/>
      <c r="G7">
        <v>6</v>
      </c>
      <c r="H7" s="4">
        <f t="shared" si="0"/>
        <v>30</v>
      </c>
      <c r="I7" s="30"/>
      <c r="J7" s="31"/>
      <c r="K7" s="32"/>
    </row>
    <row r="8" spans="2:17" x14ac:dyDescent="0.3">
      <c r="B8" s="22"/>
      <c r="C8" s="15">
        <v>6</v>
      </c>
      <c r="D8" t="s">
        <v>47</v>
      </c>
      <c r="F8" s="10"/>
      <c r="G8">
        <v>2</v>
      </c>
      <c r="H8" s="4">
        <f t="shared" si="0"/>
        <v>10</v>
      </c>
      <c r="I8" s="30"/>
      <c r="J8" s="31"/>
      <c r="K8" s="32"/>
    </row>
    <row r="9" spans="2:17" x14ac:dyDescent="0.3">
      <c r="B9" s="22"/>
      <c r="C9" s="15">
        <v>7</v>
      </c>
      <c r="D9" t="s">
        <v>128</v>
      </c>
      <c r="F9" s="10"/>
      <c r="G9">
        <v>7</v>
      </c>
      <c r="H9" s="4">
        <f t="shared" si="0"/>
        <v>35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142</v>
      </c>
      <c r="F10" s="10"/>
      <c r="G10">
        <v>15</v>
      </c>
      <c r="H10" s="4">
        <f t="shared" si="0"/>
        <v>75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137</v>
      </c>
      <c r="F11" s="10"/>
      <c r="G11">
        <v>4</v>
      </c>
      <c r="H11" s="4">
        <f t="shared" si="0"/>
        <v>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41</v>
      </c>
      <c r="F12" s="10"/>
      <c r="G12">
        <v>4</v>
      </c>
      <c r="H12" s="4">
        <f t="shared" si="0"/>
        <v>20</v>
      </c>
      <c r="I12" s="27"/>
      <c r="J12" s="28"/>
      <c r="K12" s="29"/>
    </row>
    <row r="13" spans="2:17" x14ac:dyDescent="0.3">
      <c r="B13" s="22"/>
      <c r="C13" s="15">
        <v>11</v>
      </c>
      <c r="D13" t="s">
        <v>143</v>
      </c>
      <c r="F13" s="10"/>
      <c r="G13">
        <v>4</v>
      </c>
      <c r="H13" s="4">
        <f t="shared" si="0"/>
        <v>20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130</v>
      </c>
      <c r="F14" s="10"/>
      <c r="G14">
        <v>4</v>
      </c>
      <c r="H14" s="4">
        <f t="shared" si="0"/>
        <v>20</v>
      </c>
      <c r="I14" s="30"/>
      <c r="J14" s="31"/>
      <c r="K14" s="32"/>
    </row>
    <row r="15" spans="2:17" x14ac:dyDescent="0.3">
      <c r="B15" s="22"/>
      <c r="C15" s="15">
        <v>13</v>
      </c>
      <c r="D15" t="s">
        <v>144</v>
      </c>
      <c r="F15" s="10"/>
      <c r="G15">
        <v>4</v>
      </c>
      <c r="H15" s="4">
        <f t="shared" si="0"/>
        <v>20</v>
      </c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3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5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10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380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380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906C-6DB2-4182-8E70-EA48AC381E54}">
  <sheetPr>
    <pageSetUpPr fitToPage="1"/>
  </sheetPr>
  <dimension ref="B1:K32"/>
  <sheetViews>
    <sheetView workbookViewId="0">
      <selection activeCell="S24" sqref="S2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145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75</v>
      </c>
      <c r="F3" s="10"/>
      <c r="G3">
        <v>10</v>
      </c>
      <c r="H3" s="4">
        <f>PRODUCT(G3,20)</f>
        <v>200</v>
      </c>
      <c r="I3" s="27"/>
      <c r="J3" s="28"/>
      <c r="K3" s="29"/>
    </row>
    <row r="4" spans="2:11" x14ac:dyDescent="0.3">
      <c r="B4" s="22"/>
      <c r="C4" s="15">
        <v>2</v>
      </c>
      <c r="D4" t="s">
        <v>12</v>
      </c>
      <c r="F4" s="10"/>
      <c r="G4">
        <v>5</v>
      </c>
      <c r="H4" s="4">
        <f t="shared" ref="H4:H11" si="0">PRODUCT(G4,20)</f>
        <v>100</v>
      </c>
      <c r="I4" s="30"/>
      <c r="J4" s="31"/>
      <c r="K4" s="32"/>
    </row>
    <row r="5" spans="2:11" x14ac:dyDescent="0.3">
      <c r="B5" s="22"/>
      <c r="C5" s="15">
        <v>3</v>
      </c>
      <c r="D5" t="s">
        <v>146</v>
      </c>
      <c r="F5" s="10"/>
      <c r="G5">
        <v>5</v>
      </c>
      <c r="H5" s="4">
        <f t="shared" si="0"/>
        <v>100</v>
      </c>
      <c r="I5" s="30"/>
      <c r="J5" s="31"/>
      <c r="K5" s="32"/>
    </row>
    <row r="6" spans="2:11" x14ac:dyDescent="0.3">
      <c r="B6" s="22"/>
      <c r="C6" s="15">
        <v>4</v>
      </c>
      <c r="D6" t="s">
        <v>13</v>
      </c>
      <c r="F6" s="10"/>
      <c r="G6">
        <v>5</v>
      </c>
      <c r="H6" s="4">
        <f t="shared" si="0"/>
        <v>100</v>
      </c>
      <c r="I6" s="30"/>
      <c r="J6" s="31"/>
      <c r="K6" s="32"/>
    </row>
    <row r="7" spans="2:11" x14ac:dyDescent="0.3">
      <c r="B7" s="22"/>
      <c r="C7" s="15">
        <v>5</v>
      </c>
      <c r="D7" t="s">
        <v>14</v>
      </c>
      <c r="F7" s="10"/>
      <c r="G7">
        <v>5</v>
      </c>
      <c r="H7" s="4">
        <f t="shared" si="0"/>
        <v>100</v>
      </c>
      <c r="I7" s="30"/>
      <c r="J7" s="31"/>
      <c r="K7" s="32"/>
    </row>
    <row r="8" spans="2:11" x14ac:dyDescent="0.3">
      <c r="B8" s="22"/>
      <c r="C8" s="15">
        <v>6</v>
      </c>
      <c r="D8" t="s">
        <v>100</v>
      </c>
      <c r="F8" s="10"/>
      <c r="G8">
        <v>3</v>
      </c>
      <c r="H8" s="4">
        <f t="shared" si="0"/>
        <v>60</v>
      </c>
      <c r="I8" s="30"/>
      <c r="J8" s="31"/>
      <c r="K8" s="32"/>
    </row>
    <row r="9" spans="2:11" x14ac:dyDescent="0.3">
      <c r="B9" s="22"/>
      <c r="C9" s="15">
        <v>7</v>
      </c>
      <c r="D9" t="s">
        <v>47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48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147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48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91A4-39A1-4E0F-BFB2-7EF7B0BEDC72}">
  <sheetPr>
    <pageSetUpPr fitToPage="1"/>
  </sheetPr>
  <dimension ref="B1:Q32"/>
  <sheetViews>
    <sheetView workbookViewId="0">
      <selection activeCell="N15" sqref="N1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148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12</v>
      </c>
      <c r="F3" s="10"/>
      <c r="G3">
        <v>3</v>
      </c>
      <c r="H3" s="4">
        <f>PRODUCT(G3,15)</f>
        <v>45</v>
      </c>
      <c r="I3" s="27"/>
      <c r="J3" s="28"/>
      <c r="K3" s="29"/>
    </row>
    <row r="4" spans="2:17" x14ac:dyDescent="0.3">
      <c r="B4" s="22"/>
      <c r="C4" s="15">
        <v>2</v>
      </c>
      <c r="D4" t="s">
        <v>135</v>
      </c>
      <c r="F4" s="10"/>
      <c r="G4">
        <v>3</v>
      </c>
      <c r="H4" s="4">
        <f t="shared" ref="H4:H19" si="0">PRODUCT(G4,15)</f>
        <v>45</v>
      </c>
      <c r="I4" s="30"/>
      <c r="J4" s="31"/>
      <c r="K4" s="32"/>
    </row>
    <row r="5" spans="2:17" x14ac:dyDescent="0.3">
      <c r="B5" s="22"/>
      <c r="C5" s="15">
        <v>3</v>
      </c>
      <c r="D5" t="s">
        <v>93</v>
      </c>
      <c r="F5" s="10"/>
      <c r="G5">
        <v>3</v>
      </c>
      <c r="H5" s="4">
        <f t="shared" si="0"/>
        <v>45</v>
      </c>
      <c r="I5" s="30"/>
      <c r="J5" s="31"/>
      <c r="K5" s="32"/>
    </row>
    <row r="6" spans="2:17" x14ac:dyDescent="0.3">
      <c r="B6" s="22"/>
      <c r="C6" s="15">
        <v>4</v>
      </c>
      <c r="D6" t="s">
        <v>19</v>
      </c>
      <c r="F6" s="10"/>
      <c r="G6">
        <v>2</v>
      </c>
      <c r="H6" s="4">
        <f t="shared" si="0"/>
        <v>30</v>
      </c>
      <c r="I6" s="30"/>
      <c r="J6" s="31"/>
      <c r="K6" s="32"/>
    </row>
    <row r="7" spans="2:17" x14ac:dyDescent="0.3">
      <c r="B7" s="22"/>
      <c r="C7" s="15">
        <v>5</v>
      </c>
      <c r="D7" t="s">
        <v>96</v>
      </c>
      <c r="F7" s="10"/>
      <c r="G7">
        <v>2</v>
      </c>
      <c r="H7" s="4">
        <f t="shared" si="0"/>
        <v>30</v>
      </c>
      <c r="I7" s="30"/>
      <c r="J7" s="31"/>
      <c r="K7" s="32"/>
    </row>
    <row r="8" spans="2:17" x14ac:dyDescent="0.3">
      <c r="B8" s="22"/>
      <c r="C8" s="15">
        <v>6</v>
      </c>
      <c r="D8" t="s">
        <v>87</v>
      </c>
      <c r="F8" s="10"/>
      <c r="G8">
        <v>2</v>
      </c>
      <c r="H8" s="4">
        <f t="shared" si="0"/>
        <v>30</v>
      </c>
      <c r="I8" s="30"/>
      <c r="J8" s="31"/>
      <c r="K8" s="32"/>
    </row>
    <row r="9" spans="2:17" x14ac:dyDescent="0.3">
      <c r="B9" s="22"/>
      <c r="C9" s="15">
        <v>7</v>
      </c>
      <c r="D9" t="s">
        <v>94</v>
      </c>
      <c r="F9" s="10"/>
      <c r="G9">
        <v>3</v>
      </c>
      <c r="H9" s="4">
        <f t="shared" si="0"/>
        <v>45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146</v>
      </c>
      <c r="F10" s="10"/>
      <c r="G10">
        <v>6</v>
      </c>
      <c r="H10" s="4">
        <f t="shared" si="0"/>
        <v>90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</v>
      </c>
      <c r="F11" s="10"/>
      <c r="G11">
        <v>6</v>
      </c>
      <c r="H11" s="4">
        <f t="shared" si="0"/>
        <v>90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75</v>
      </c>
      <c r="F12" s="10"/>
      <c r="G12">
        <v>12</v>
      </c>
      <c r="H12" s="4">
        <f t="shared" si="0"/>
        <v>180</v>
      </c>
      <c r="I12" s="27"/>
      <c r="J12" s="28"/>
      <c r="K12" s="29"/>
    </row>
    <row r="13" spans="2:17" x14ac:dyDescent="0.3">
      <c r="B13" s="22"/>
      <c r="C13" s="15">
        <v>11</v>
      </c>
      <c r="D13" t="s">
        <v>80</v>
      </c>
      <c r="F13" s="10"/>
      <c r="G13">
        <v>4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149</v>
      </c>
      <c r="F14" s="10"/>
      <c r="G14">
        <v>32</v>
      </c>
      <c r="H14" s="4">
        <f t="shared" si="0"/>
        <v>480</v>
      </c>
      <c r="I14" s="30"/>
      <c r="J14" s="31"/>
      <c r="K14" s="32"/>
    </row>
    <row r="15" spans="2:17" x14ac:dyDescent="0.3">
      <c r="B15" s="22"/>
      <c r="C15" s="15">
        <v>13</v>
      </c>
      <c r="D15" t="s">
        <v>150</v>
      </c>
      <c r="F15" s="10"/>
      <c r="G15">
        <v>6</v>
      </c>
      <c r="H15" s="4">
        <f t="shared" si="0"/>
        <v>90</v>
      </c>
      <c r="I15" s="30"/>
      <c r="J15" s="31"/>
      <c r="K15" s="32"/>
    </row>
    <row r="16" spans="2:17" x14ac:dyDescent="0.3">
      <c r="B16" s="22"/>
      <c r="C16" s="15">
        <v>14</v>
      </c>
      <c r="D16" t="s">
        <v>48</v>
      </c>
      <c r="F16" s="10"/>
      <c r="G16">
        <v>6</v>
      </c>
      <c r="H16" s="4">
        <f t="shared" si="0"/>
        <v>90</v>
      </c>
      <c r="I16" s="30"/>
      <c r="J16" s="31"/>
      <c r="K16" s="32"/>
    </row>
    <row r="17" spans="2:11" x14ac:dyDescent="0.3">
      <c r="B17" s="22"/>
      <c r="C17" s="15">
        <v>15</v>
      </c>
      <c r="D17" t="s">
        <v>128</v>
      </c>
      <c r="F17" s="10"/>
      <c r="G17">
        <v>8</v>
      </c>
      <c r="H17" s="4">
        <f t="shared" si="0"/>
        <v>120</v>
      </c>
      <c r="I17" s="30"/>
      <c r="J17" s="31"/>
      <c r="K17" s="32"/>
    </row>
    <row r="18" spans="2:11" x14ac:dyDescent="0.3">
      <c r="B18" s="22"/>
      <c r="C18" s="15">
        <v>16</v>
      </c>
      <c r="D18" t="s">
        <v>68</v>
      </c>
      <c r="F18" s="10"/>
      <c r="G18">
        <v>4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40</v>
      </c>
      <c r="F19" s="10"/>
      <c r="G19">
        <v>4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30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15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60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90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106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1590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1590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1CC0-6D47-4193-A977-AD4B8554A083}">
  <sheetPr>
    <pageSetUpPr fitToPage="1"/>
  </sheetPr>
  <dimension ref="B1:Q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151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152</v>
      </c>
      <c r="F3" s="10"/>
      <c r="G3">
        <v>4</v>
      </c>
      <c r="H3" s="4">
        <f>PRODUCT(G3,20)</f>
        <v>80</v>
      </c>
      <c r="I3" s="27"/>
      <c r="J3" s="28"/>
      <c r="K3" s="29"/>
    </row>
    <row r="4" spans="2:17" x14ac:dyDescent="0.3">
      <c r="B4" s="22"/>
      <c r="C4" s="15">
        <v>2</v>
      </c>
      <c r="D4" t="s">
        <v>75</v>
      </c>
      <c r="F4" s="10"/>
      <c r="G4">
        <v>4</v>
      </c>
      <c r="H4" s="4">
        <f t="shared" ref="H4:H17" si="0">PRODUCT(G4,20)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87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40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13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131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49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48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153</v>
      </c>
      <c r="F12" s="10"/>
      <c r="G12">
        <v>4</v>
      </c>
      <c r="H12" s="4">
        <f t="shared" si="0"/>
        <v>80</v>
      </c>
      <c r="I12" s="27" t="s">
        <v>154</v>
      </c>
      <c r="J12" s="28"/>
      <c r="K12" s="29"/>
    </row>
    <row r="13" spans="2:17" x14ac:dyDescent="0.3">
      <c r="B13" s="22"/>
      <c r="C13" s="15">
        <v>11</v>
      </c>
      <c r="D13" t="s">
        <v>79</v>
      </c>
      <c r="F13" s="10"/>
      <c r="G13">
        <v>2</v>
      </c>
      <c r="H13" s="4">
        <f t="shared" si="0"/>
        <v>40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67</v>
      </c>
      <c r="F14" s="10"/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96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51</v>
      </c>
      <c r="F16" s="10"/>
      <c r="G16">
        <v>10</v>
      </c>
      <c r="H16" s="4">
        <f t="shared" si="0"/>
        <v>200</v>
      </c>
      <c r="I16" s="30"/>
      <c r="J16" s="31"/>
      <c r="K16" s="32"/>
    </row>
    <row r="17" spans="2:11" x14ac:dyDescent="0.3">
      <c r="B17" s="22"/>
      <c r="C17" s="15">
        <v>15</v>
      </c>
      <c r="D17" t="s">
        <v>155</v>
      </c>
      <c r="F17" s="10"/>
      <c r="G17">
        <v>6</v>
      </c>
      <c r="H17" s="4">
        <f t="shared" si="0"/>
        <v>120</v>
      </c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30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1200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1200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A46E-78E6-432C-8D93-582CB07D0BCD}">
  <sheetPr>
    <pageSetUpPr fitToPage="1"/>
  </sheetPr>
  <dimension ref="B1:Q32"/>
  <sheetViews>
    <sheetView workbookViewId="0">
      <selection activeCell="G8" sqref="G8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151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152</v>
      </c>
      <c r="F3" s="10"/>
      <c r="G3">
        <v>4</v>
      </c>
      <c r="H3" s="4">
        <f>PRODUCT(G3,20)</f>
        <v>80</v>
      </c>
      <c r="I3" s="37">
        <v>45357</v>
      </c>
      <c r="J3" s="28"/>
      <c r="K3" s="29"/>
    </row>
    <row r="4" spans="2:17" x14ac:dyDescent="0.3">
      <c r="B4" s="22"/>
      <c r="C4" s="15">
        <v>2</v>
      </c>
      <c r="D4" t="s">
        <v>75</v>
      </c>
      <c r="F4" s="10"/>
      <c r="G4">
        <v>6</v>
      </c>
      <c r="H4" s="4">
        <f t="shared" ref="H4:H18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87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40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13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131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49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48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153</v>
      </c>
      <c r="F12" s="10"/>
      <c r="G12">
        <v>4</v>
      </c>
      <c r="H12" s="4">
        <f t="shared" si="0"/>
        <v>80</v>
      </c>
      <c r="I12" s="27" t="s">
        <v>156</v>
      </c>
      <c r="J12" s="28"/>
      <c r="K12" s="29"/>
    </row>
    <row r="13" spans="2:17" x14ac:dyDescent="0.3">
      <c r="B13" s="22"/>
      <c r="C13" s="15">
        <v>11</v>
      </c>
      <c r="D13" t="s">
        <v>79</v>
      </c>
      <c r="F13" s="10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67</v>
      </c>
      <c r="F14" s="10"/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96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51</v>
      </c>
      <c r="F16" s="10"/>
      <c r="G16">
        <v>8</v>
      </c>
      <c r="H16" s="4">
        <f t="shared" si="0"/>
        <v>160</v>
      </c>
      <c r="I16" s="30"/>
      <c r="J16" s="31"/>
      <c r="K16" s="32"/>
    </row>
    <row r="17" spans="2:11" x14ac:dyDescent="0.3">
      <c r="B17" s="22"/>
      <c r="C17" s="15">
        <v>15</v>
      </c>
      <c r="D17" t="s">
        <v>155</v>
      </c>
      <c r="F17" s="10"/>
      <c r="G17">
        <v>6</v>
      </c>
      <c r="H17" s="4">
        <f t="shared" si="0"/>
        <v>120</v>
      </c>
      <c r="I17" s="30"/>
      <c r="J17" s="31"/>
      <c r="K17" s="32"/>
    </row>
    <row r="18" spans="2:11" x14ac:dyDescent="0.3">
      <c r="B18" s="22"/>
      <c r="C18" s="15">
        <v>16</v>
      </c>
      <c r="D18" t="s">
        <v>128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30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8DBB-019F-45FB-B747-10B081CEF9AB}">
  <sheetPr>
    <pageSetUpPr fitToPage="1"/>
  </sheetPr>
  <dimension ref="B1:Q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157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48</v>
      </c>
      <c r="F3" s="10"/>
      <c r="G3">
        <v>18</v>
      </c>
      <c r="H3" s="4">
        <f>PRODUCT(G3,15)</f>
        <v>270</v>
      </c>
      <c r="I3" s="27"/>
      <c r="J3" s="28"/>
      <c r="K3" s="29"/>
    </row>
    <row r="4" spans="2:17" x14ac:dyDescent="0.3">
      <c r="B4" s="22"/>
      <c r="C4" s="15">
        <v>2</v>
      </c>
      <c r="D4" t="s">
        <v>158</v>
      </c>
      <c r="F4" s="10"/>
      <c r="G4">
        <v>6</v>
      </c>
      <c r="H4" s="4">
        <f>PRODUCT(G4,15)</f>
        <v>90</v>
      </c>
      <c r="I4" s="30"/>
      <c r="J4" s="31"/>
      <c r="K4" s="32"/>
    </row>
    <row r="5" spans="2:17" x14ac:dyDescent="0.3">
      <c r="B5" s="22"/>
      <c r="C5" s="15">
        <v>3</v>
      </c>
      <c r="D5" t="s">
        <v>128</v>
      </c>
      <c r="F5" s="10"/>
      <c r="G5">
        <v>9</v>
      </c>
      <c r="H5" s="4">
        <f>PRODUCT(G5,15)</f>
        <v>135</v>
      </c>
      <c r="I5" s="30"/>
      <c r="J5" s="31"/>
      <c r="K5" s="32"/>
    </row>
    <row r="6" spans="2:17" x14ac:dyDescent="0.3">
      <c r="B6" s="22"/>
      <c r="C6" s="15">
        <v>4</v>
      </c>
      <c r="D6" t="s">
        <v>108</v>
      </c>
      <c r="F6" s="10"/>
      <c r="G6">
        <v>6</v>
      </c>
      <c r="H6" s="4">
        <f>PRODUCT(G6,15)</f>
        <v>90</v>
      </c>
      <c r="I6" s="30"/>
      <c r="J6" s="31"/>
      <c r="K6" s="32"/>
    </row>
    <row r="7" spans="2:17" x14ac:dyDescent="0.3">
      <c r="B7" s="22"/>
      <c r="C7" s="15">
        <v>5</v>
      </c>
      <c r="F7" s="10"/>
      <c r="H7" s="4"/>
      <c r="I7" s="30"/>
      <c r="J7" s="31"/>
      <c r="K7" s="32"/>
    </row>
    <row r="8" spans="2:17" x14ac:dyDescent="0.3">
      <c r="B8" s="22"/>
      <c r="C8" s="15">
        <v>6</v>
      </c>
      <c r="F8" s="10"/>
      <c r="H8" s="4"/>
      <c r="I8" s="30"/>
      <c r="J8" s="31"/>
      <c r="K8" s="32"/>
    </row>
    <row r="9" spans="2:17" x14ac:dyDescent="0.3">
      <c r="B9" s="22"/>
      <c r="C9" s="15">
        <v>7</v>
      </c>
      <c r="F9" s="10"/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F12" s="10"/>
      <c r="H12" s="4"/>
      <c r="I12" s="27" t="s">
        <v>257</v>
      </c>
      <c r="J12" s="28"/>
      <c r="K12" s="29"/>
    </row>
    <row r="13" spans="2:17" x14ac:dyDescent="0.3">
      <c r="B13" s="22"/>
      <c r="C13" s="15">
        <v>11</v>
      </c>
      <c r="F13" s="10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15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39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585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585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AF53-5981-4335-9779-65CABB1BAC5C}">
  <sheetPr>
    <pageSetUpPr fitToPage="1"/>
  </sheetPr>
  <dimension ref="B1:Q32"/>
  <sheetViews>
    <sheetView workbookViewId="0">
      <selection activeCell="I31" sqref="I3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159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48</v>
      </c>
      <c r="F3" s="10"/>
      <c r="G3">
        <v>8</v>
      </c>
      <c r="H3" s="4">
        <f>PRODUCT(G3,20)</f>
        <v>160</v>
      </c>
      <c r="I3" s="27"/>
      <c r="J3" s="28"/>
      <c r="K3" s="29"/>
    </row>
    <row r="4" spans="2:17" x14ac:dyDescent="0.3">
      <c r="B4" s="22"/>
      <c r="C4" s="15">
        <v>2</v>
      </c>
      <c r="D4" t="s">
        <v>160</v>
      </c>
      <c r="F4" s="10"/>
      <c r="G4">
        <v>6</v>
      </c>
      <c r="H4" s="4">
        <f t="shared" ref="H4:H13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47</v>
      </c>
      <c r="F5" s="10"/>
      <c r="G5">
        <v>6</v>
      </c>
      <c r="H5" s="4">
        <v>6</v>
      </c>
      <c r="I5" s="30"/>
      <c r="J5" s="31"/>
      <c r="K5" s="32"/>
    </row>
    <row r="6" spans="2:17" x14ac:dyDescent="0.3">
      <c r="B6" s="22"/>
      <c r="C6" s="15">
        <v>4</v>
      </c>
      <c r="D6" t="s">
        <v>79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58</v>
      </c>
      <c r="F7" s="10"/>
      <c r="G7">
        <v>9</v>
      </c>
      <c r="H7" s="4">
        <f t="shared" si="0"/>
        <v>180</v>
      </c>
      <c r="I7" s="30"/>
      <c r="J7" s="31"/>
      <c r="K7" s="32"/>
    </row>
    <row r="8" spans="2:17" x14ac:dyDescent="0.3">
      <c r="B8" s="22"/>
      <c r="C8" s="15">
        <v>6</v>
      </c>
      <c r="D8" t="s">
        <v>128</v>
      </c>
      <c r="F8" s="10"/>
      <c r="G8">
        <v>8</v>
      </c>
      <c r="H8" s="4">
        <f t="shared" si="0"/>
        <v>160</v>
      </c>
      <c r="I8" s="30"/>
      <c r="J8" s="31"/>
      <c r="K8" s="32"/>
    </row>
    <row r="9" spans="2:17" x14ac:dyDescent="0.3">
      <c r="B9" s="22"/>
      <c r="C9" s="15">
        <v>7</v>
      </c>
      <c r="D9" t="s">
        <v>108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161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162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95</v>
      </c>
      <c r="F12" s="10"/>
      <c r="G12">
        <v>4</v>
      </c>
      <c r="H12" s="4">
        <f t="shared" si="0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76</v>
      </c>
      <c r="F13" s="10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61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1220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1106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0D7E-1F5F-40DB-9A09-B19D8DBED57C}">
  <sheetPr>
    <pageSetUpPr fitToPage="1"/>
  </sheetPr>
  <dimension ref="B1:K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163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55</v>
      </c>
      <c r="F4" s="10"/>
      <c r="G4">
        <v>6</v>
      </c>
      <c r="H4" s="4">
        <f t="shared" ref="H4:H19" si="0">PRODUCT(G4,20)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60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73</v>
      </c>
      <c r="F6" s="10"/>
      <c r="G6">
        <v>3</v>
      </c>
      <c r="H6" s="4">
        <f t="shared" si="0"/>
        <v>60</v>
      </c>
      <c r="I6" s="30"/>
      <c r="J6" s="31"/>
      <c r="K6" s="32"/>
    </row>
    <row r="7" spans="2:11" x14ac:dyDescent="0.3">
      <c r="B7" s="22"/>
      <c r="C7" s="15">
        <v>5</v>
      </c>
      <c r="D7" t="s">
        <v>164</v>
      </c>
      <c r="F7" s="10"/>
      <c r="G7">
        <v>3</v>
      </c>
      <c r="H7" s="4">
        <f t="shared" si="0"/>
        <v>60</v>
      </c>
      <c r="I7" s="30"/>
      <c r="J7" s="31"/>
      <c r="K7" s="32"/>
    </row>
    <row r="8" spans="2:11" x14ac:dyDescent="0.3">
      <c r="B8" s="22"/>
      <c r="C8" s="15">
        <v>6</v>
      </c>
      <c r="D8" t="s">
        <v>62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165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54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53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47</v>
      </c>
      <c r="F12" s="10"/>
      <c r="G12">
        <v>2</v>
      </c>
      <c r="H12" s="4">
        <f t="shared" si="0"/>
        <v>40</v>
      </c>
      <c r="I12" s="27" t="s">
        <v>166</v>
      </c>
      <c r="J12" s="28"/>
      <c r="K12" s="29"/>
    </row>
    <row r="13" spans="2:11" x14ac:dyDescent="0.3">
      <c r="B13" s="22"/>
      <c r="C13" s="15">
        <v>11</v>
      </c>
      <c r="D13" t="s">
        <v>48</v>
      </c>
      <c r="F13" s="10"/>
      <c r="G13">
        <v>3</v>
      </c>
      <c r="H13" s="4">
        <f t="shared" si="0"/>
        <v>60</v>
      </c>
      <c r="I13" s="30"/>
      <c r="J13" s="31"/>
      <c r="K13" s="32"/>
    </row>
    <row r="14" spans="2:11" x14ac:dyDescent="0.3">
      <c r="B14" s="22"/>
      <c r="C14" s="15">
        <v>12</v>
      </c>
      <c r="D14" t="s">
        <v>128</v>
      </c>
      <c r="F14" s="10"/>
      <c r="G14">
        <v>3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13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1" x14ac:dyDescent="0.3">
      <c r="B16" s="22"/>
      <c r="C16" s="15">
        <v>14</v>
      </c>
      <c r="D16" t="s">
        <v>14</v>
      </c>
      <c r="F16" s="10"/>
      <c r="G16">
        <v>3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167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76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77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78</v>
      </c>
      <c r="F20" s="10"/>
      <c r="G20">
        <v>3</v>
      </c>
      <c r="H20" s="4">
        <f>PRODUCT(G20,20)</f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79</v>
      </c>
      <c r="E21" t="s">
        <v>66</v>
      </c>
      <c r="F21" s="10"/>
      <c r="G21">
        <v>2</v>
      </c>
      <c r="H21" s="4">
        <f>PRODUCT(G21,20)</f>
        <v>40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DBE7-2AE9-42BB-87CF-5DD444E08099}">
  <sheetPr>
    <pageSetUpPr fitToPage="1"/>
  </sheetPr>
  <dimension ref="B1:K32"/>
  <sheetViews>
    <sheetView workbookViewId="0">
      <selection activeCell="G9" sqref="G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168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58</v>
      </c>
      <c r="F3" s="10"/>
      <c r="G3">
        <v>9</v>
      </c>
      <c r="H3" s="4">
        <f t="shared" ref="H3:H9" si="0">PRODUCT(G3,40)</f>
        <v>360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169</v>
      </c>
      <c r="F4" s="10"/>
      <c r="G4">
        <v>2</v>
      </c>
      <c r="H4" s="4">
        <f t="shared" si="0"/>
        <v>80</v>
      </c>
      <c r="I4" s="30"/>
      <c r="J4" s="31"/>
      <c r="K4" s="32"/>
    </row>
    <row r="5" spans="2:11" x14ac:dyDescent="0.3">
      <c r="B5" s="22"/>
      <c r="C5" s="15">
        <v>3</v>
      </c>
      <c r="D5" t="s">
        <v>79</v>
      </c>
      <c r="F5" s="10"/>
      <c r="G5">
        <v>9</v>
      </c>
      <c r="H5" s="4">
        <f t="shared" si="0"/>
        <v>360</v>
      </c>
      <c r="I5" s="30"/>
      <c r="J5" s="31"/>
      <c r="K5" s="32"/>
    </row>
    <row r="6" spans="2:11" x14ac:dyDescent="0.3">
      <c r="B6" s="22"/>
      <c r="C6" s="15">
        <v>4</v>
      </c>
      <c r="D6" t="s">
        <v>77</v>
      </c>
      <c r="F6" s="10"/>
      <c r="G6">
        <v>6</v>
      </c>
      <c r="H6" s="4">
        <f t="shared" si="0"/>
        <v>240</v>
      </c>
      <c r="I6" s="30"/>
      <c r="J6" s="31"/>
      <c r="K6" s="32"/>
    </row>
    <row r="7" spans="2:11" x14ac:dyDescent="0.3">
      <c r="B7" s="22"/>
      <c r="C7" s="15">
        <v>5</v>
      </c>
      <c r="D7" t="s">
        <v>138</v>
      </c>
      <c r="F7" s="10"/>
      <c r="G7">
        <v>4</v>
      </c>
      <c r="H7" s="4">
        <f t="shared" si="0"/>
        <v>160</v>
      </c>
      <c r="I7" s="30"/>
      <c r="J7" s="31"/>
      <c r="K7" s="32"/>
    </row>
    <row r="8" spans="2:11" x14ac:dyDescent="0.3">
      <c r="B8" s="22"/>
      <c r="C8" s="15">
        <v>6</v>
      </c>
      <c r="D8" t="s">
        <v>76</v>
      </c>
      <c r="F8" s="10"/>
      <c r="G8">
        <v>4</v>
      </c>
      <c r="H8" s="4">
        <f t="shared" si="0"/>
        <v>160</v>
      </c>
      <c r="I8" s="30"/>
      <c r="J8" s="31"/>
      <c r="K8" s="32"/>
    </row>
    <row r="9" spans="2:11" x14ac:dyDescent="0.3">
      <c r="B9" s="22"/>
      <c r="C9" s="15">
        <v>7</v>
      </c>
      <c r="D9" t="s">
        <v>136</v>
      </c>
      <c r="F9" s="10"/>
      <c r="G9">
        <v>4</v>
      </c>
      <c r="H9" s="4">
        <f t="shared" si="0"/>
        <v>160</v>
      </c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30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40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90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38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88B4-BAD2-4F01-A3D7-AD8EFA44262C}">
  <sheetPr>
    <pageSetUpPr fitToPage="1"/>
  </sheetPr>
  <dimension ref="B1:K32"/>
  <sheetViews>
    <sheetView workbookViewId="0">
      <selection activeCell="D23" sqref="D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170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100</v>
      </c>
      <c r="F3" s="10"/>
      <c r="G3">
        <v>6</v>
      </c>
      <c r="H3" s="4">
        <f>PRODUCT(G3,20)</f>
        <v>120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167</v>
      </c>
      <c r="F4" s="10"/>
      <c r="G4">
        <v>6</v>
      </c>
      <c r="H4" s="4">
        <f>PRODUCT(G4,20)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171</v>
      </c>
      <c r="F5" s="10"/>
      <c r="G5">
        <v>6</v>
      </c>
      <c r="H5" s="4">
        <f>PRODUCT(G5,20)</f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96</v>
      </c>
      <c r="F6" s="10"/>
      <c r="G6">
        <v>6</v>
      </c>
      <c r="H6" s="4">
        <f>PRODUCT(G6,20)</f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95</v>
      </c>
      <c r="F7" s="10"/>
      <c r="G7">
        <v>6</v>
      </c>
      <c r="H7" s="4">
        <f>PRODUCT(G7,20)</f>
        <v>120</v>
      </c>
      <c r="I7" s="30"/>
      <c r="J7" s="31"/>
      <c r="K7" s="32"/>
    </row>
    <row r="8" spans="2:11" x14ac:dyDescent="0.3">
      <c r="B8" s="22"/>
      <c r="C8" s="15">
        <v>6</v>
      </c>
      <c r="F8" s="10"/>
      <c r="H8" s="4"/>
      <c r="I8" s="30"/>
      <c r="J8" s="31"/>
      <c r="K8" s="32"/>
    </row>
    <row r="9" spans="2:11" x14ac:dyDescent="0.3">
      <c r="B9" s="22"/>
      <c r="C9" s="15">
        <v>7</v>
      </c>
      <c r="F9" s="10"/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30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30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600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600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9B72-7AD6-4DCB-B052-C34B0C95C440}">
  <sheetPr>
    <pageSetUpPr fitToPage="1"/>
  </sheetPr>
  <dimension ref="B1:K32"/>
  <sheetViews>
    <sheetView workbookViewId="0">
      <selection activeCell="M23" sqref="M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172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146</v>
      </c>
      <c r="F3" s="10"/>
      <c r="G3">
        <v>8</v>
      </c>
      <c r="H3" s="4"/>
      <c r="I3" s="27" t="s">
        <v>173</v>
      </c>
      <c r="J3" s="28"/>
      <c r="K3" s="29"/>
    </row>
    <row r="4" spans="2:11" x14ac:dyDescent="0.3">
      <c r="B4" s="22"/>
      <c r="C4" s="15">
        <v>2</v>
      </c>
      <c r="D4" t="s">
        <v>76</v>
      </c>
      <c r="F4" s="10"/>
      <c r="G4">
        <v>6</v>
      </c>
      <c r="H4" s="4"/>
      <c r="I4" s="30"/>
      <c r="J4" s="31"/>
      <c r="K4" s="32"/>
    </row>
    <row r="5" spans="2:11" x14ac:dyDescent="0.3">
      <c r="B5" s="22"/>
      <c r="C5" s="15">
        <v>3</v>
      </c>
      <c r="D5" t="s">
        <v>13</v>
      </c>
      <c r="F5" s="10"/>
      <c r="G5">
        <v>6</v>
      </c>
      <c r="H5" s="4"/>
      <c r="I5" s="30"/>
      <c r="J5" s="31"/>
      <c r="K5" s="32"/>
    </row>
    <row r="6" spans="2:11" x14ac:dyDescent="0.3">
      <c r="B6" s="22"/>
      <c r="C6" s="15">
        <v>4</v>
      </c>
      <c r="D6" t="s">
        <v>14</v>
      </c>
      <c r="F6" s="10"/>
      <c r="G6">
        <v>6</v>
      </c>
      <c r="H6" s="4"/>
      <c r="I6" s="30"/>
      <c r="J6" s="31"/>
      <c r="K6" s="32"/>
    </row>
    <row r="7" spans="2:11" x14ac:dyDescent="0.3">
      <c r="B7" s="22"/>
      <c r="C7" s="15">
        <v>5</v>
      </c>
      <c r="D7" t="s">
        <v>75</v>
      </c>
      <c r="F7" s="10"/>
      <c r="G7">
        <v>6</v>
      </c>
      <c r="H7" s="4"/>
      <c r="I7" s="30"/>
      <c r="J7" s="31"/>
      <c r="K7" s="32"/>
    </row>
    <row r="8" spans="2:11" x14ac:dyDescent="0.3">
      <c r="B8" s="22"/>
      <c r="C8" s="15">
        <v>6</v>
      </c>
      <c r="D8" t="s">
        <v>53</v>
      </c>
      <c r="F8" s="10"/>
      <c r="G8">
        <v>6</v>
      </c>
      <c r="H8" s="4"/>
      <c r="I8" s="30"/>
      <c r="J8" s="31"/>
      <c r="K8" s="32"/>
    </row>
    <row r="9" spans="2:11" x14ac:dyDescent="0.3">
      <c r="B9" s="22"/>
      <c r="C9" s="15">
        <v>7</v>
      </c>
      <c r="D9" t="s">
        <v>135</v>
      </c>
      <c r="F9" s="10"/>
      <c r="G9">
        <v>6</v>
      </c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137</v>
      </c>
      <c r="F10" s="10"/>
      <c r="G10">
        <v>4</v>
      </c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152</v>
      </c>
      <c r="F11" s="10"/>
      <c r="G11">
        <v>6</v>
      </c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87</v>
      </c>
      <c r="F12" s="10"/>
      <c r="G12">
        <v>6</v>
      </c>
      <c r="H12" s="4"/>
      <c r="I12" s="27"/>
      <c r="J12" s="28"/>
      <c r="K12" s="29"/>
    </row>
    <row r="13" spans="2:11" x14ac:dyDescent="0.3">
      <c r="B13" s="22"/>
      <c r="C13" s="15">
        <v>11</v>
      </c>
      <c r="D13" t="s">
        <v>174</v>
      </c>
      <c r="F13" s="10"/>
      <c r="G13">
        <v>4</v>
      </c>
      <c r="H13" s="4"/>
      <c r="I13" s="30"/>
      <c r="J13" s="31"/>
      <c r="K13" s="32"/>
    </row>
    <row r="14" spans="2:11" x14ac:dyDescent="0.3">
      <c r="B14" s="22"/>
      <c r="C14" s="15">
        <v>12</v>
      </c>
      <c r="D14" t="s">
        <v>73</v>
      </c>
      <c r="F14" s="10"/>
      <c r="G14">
        <v>2</v>
      </c>
      <c r="H14" s="4"/>
      <c r="I14" s="30"/>
      <c r="J14" s="31"/>
      <c r="K14" s="32"/>
    </row>
    <row r="15" spans="2:11" x14ac:dyDescent="0.3">
      <c r="B15" s="22"/>
      <c r="C15" s="15">
        <v>13</v>
      </c>
      <c r="D15" t="s">
        <v>47</v>
      </c>
      <c r="F15" s="10"/>
      <c r="G15">
        <v>2</v>
      </c>
      <c r="H15" s="4"/>
      <c r="I15" s="30"/>
      <c r="J15" s="31"/>
      <c r="K15" s="32"/>
    </row>
    <row r="16" spans="2:11" x14ac:dyDescent="0.3">
      <c r="B16" s="22"/>
      <c r="C16" s="15">
        <v>14</v>
      </c>
      <c r="D16" t="s">
        <v>162</v>
      </c>
      <c r="F16" s="10"/>
      <c r="G16">
        <v>4</v>
      </c>
      <c r="H16" s="4"/>
      <c r="I16" s="30"/>
      <c r="J16" s="31"/>
      <c r="K16" s="32"/>
    </row>
    <row r="17" spans="2:11" x14ac:dyDescent="0.3">
      <c r="B17" s="22"/>
      <c r="C17" s="15">
        <v>15</v>
      </c>
      <c r="D17" t="s">
        <v>131</v>
      </c>
      <c r="F17" s="10"/>
      <c r="G17">
        <v>4</v>
      </c>
      <c r="H17" s="4"/>
      <c r="I17" s="30"/>
      <c r="J17" s="31"/>
      <c r="K17" s="32"/>
    </row>
    <row r="18" spans="2:11" x14ac:dyDescent="0.3">
      <c r="B18" s="22"/>
      <c r="C18" s="15">
        <v>16</v>
      </c>
      <c r="D18" t="s">
        <v>51</v>
      </c>
      <c r="F18" s="10"/>
      <c r="G18">
        <v>4</v>
      </c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F19" s="10"/>
      <c r="G19">
        <v>4</v>
      </c>
      <c r="H19" s="4"/>
      <c r="I19" s="30"/>
      <c r="J19" s="31"/>
      <c r="K19" s="32"/>
    </row>
    <row r="20" spans="2:11" x14ac:dyDescent="0.3">
      <c r="B20" s="22"/>
      <c r="C20" s="15">
        <v>18</v>
      </c>
      <c r="D20" t="s">
        <v>48</v>
      </c>
      <c r="F20" s="10"/>
      <c r="G20">
        <v>4</v>
      </c>
      <c r="H20" s="4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147</v>
      </c>
      <c r="F21" s="10"/>
      <c r="G21">
        <v>4</v>
      </c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175</v>
      </c>
      <c r="F22" s="10"/>
      <c r="G22">
        <v>4</v>
      </c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1920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2AE7-8FCF-45FF-8B63-8857686315C2}">
  <sheetPr>
    <pageSetUpPr fitToPage="1"/>
  </sheetPr>
  <dimension ref="B1:K32"/>
  <sheetViews>
    <sheetView workbookViewId="0">
      <selection activeCell="R11" sqref="R1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422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149</v>
      </c>
      <c r="F3" s="10"/>
      <c r="G3">
        <v>32</v>
      </c>
      <c r="H3" s="4">
        <f>PRODUCT(G3,$J$21)</f>
        <v>640</v>
      </c>
      <c r="I3" s="27" t="s">
        <v>421</v>
      </c>
      <c r="J3" s="28"/>
      <c r="K3" s="29"/>
    </row>
    <row r="4" spans="2:11" x14ac:dyDescent="0.3">
      <c r="B4" s="22"/>
      <c r="C4" s="15">
        <v>2</v>
      </c>
      <c r="D4" t="s">
        <v>167</v>
      </c>
      <c r="F4" s="10"/>
      <c r="G4">
        <v>12</v>
      </c>
      <c r="H4" s="4">
        <f t="shared" ref="H4:H10" si="0">PRODUCT(G4,$J$21)</f>
        <v>240</v>
      </c>
      <c r="I4" s="30"/>
      <c r="J4" s="31"/>
      <c r="K4" s="32"/>
    </row>
    <row r="5" spans="2:11" x14ac:dyDescent="0.3">
      <c r="B5" s="22"/>
      <c r="C5" s="15">
        <v>3</v>
      </c>
      <c r="D5" t="s">
        <v>128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100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48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47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423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98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1B33-3BA0-42AB-A384-2341557CB6A0}">
  <sheetPr>
    <pageSetUpPr fitToPage="1"/>
  </sheetPr>
  <dimension ref="B1:Q32"/>
  <sheetViews>
    <sheetView topLeftCell="A12" workbookViewId="0">
      <selection activeCell="F20" sqref="F2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273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72</v>
      </c>
      <c r="F3" s="10"/>
      <c r="G3">
        <v>8</v>
      </c>
      <c r="H3" s="4"/>
      <c r="I3" s="27"/>
      <c r="J3" s="28"/>
      <c r="K3" s="29"/>
    </row>
    <row r="4" spans="2:17" x14ac:dyDescent="0.3">
      <c r="B4" s="22"/>
      <c r="C4" s="15">
        <v>2</v>
      </c>
      <c r="D4" t="s">
        <v>236</v>
      </c>
      <c r="F4" s="10"/>
      <c r="G4">
        <v>6</v>
      </c>
      <c r="H4" s="4"/>
      <c r="I4" s="30"/>
      <c r="J4" s="31"/>
      <c r="K4" s="32"/>
    </row>
    <row r="5" spans="2:17" x14ac:dyDescent="0.3">
      <c r="B5" s="22"/>
      <c r="C5" s="15">
        <v>3</v>
      </c>
      <c r="D5" t="s">
        <v>181</v>
      </c>
      <c r="F5" s="10"/>
      <c r="G5">
        <v>2</v>
      </c>
      <c r="H5" s="4"/>
      <c r="I5" s="30"/>
      <c r="J5" s="31"/>
      <c r="K5" s="32"/>
    </row>
    <row r="6" spans="2:17" x14ac:dyDescent="0.3">
      <c r="B6" s="22"/>
      <c r="C6" s="15">
        <v>4</v>
      </c>
      <c r="D6" t="s">
        <v>264</v>
      </c>
      <c r="F6" s="10"/>
      <c r="G6">
        <v>2</v>
      </c>
      <c r="H6" s="4"/>
      <c r="I6" s="30"/>
      <c r="J6" s="31"/>
      <c r="K6" s="32"/>
    </row>
    <row r="7" spans="2:17" x14ac:dyDescent="0.3">
      <c r="B7" s="22"/>
      <c r="C7" s="15">
        <v>5</v>
      </c>
      <c r="D7" t="s">
        <v>95</v>
      </c>
      <c r="F7" s="10"/>
      <c r="G7">
        <v>4</v>
      </c>
      <c r="H7" s="4"/>
      <c r="I7" s="30"/>
      <c r="J7" s="31"/>
      <c r="K7" s="32"/>
    </row>
    <row r="8" spans="2:17" x14ac:dyDescent="0.3">
      <c r="B8" s="22"/>
      <c r="C8" s="15">
        <v>6</v>
      </c>
      <c r="D8" t="s">
        <v>55</v>
      </c>
      <c r="F8" s="10"/>
      <c r="G8">
        <v>4</v>
      </c>
      <c r="H8" s="4"/>
      <c r="I8" s="30"/>
      <c r="J8" s="31"/>
      <c r="K8" s="32"/>
    </row>
    <row r="9" spans="2:17" x14ac:dyDescent="0.3">
      <c r="B9" s="22"/>
      <c r="C9" s="15">
        <v>7</v>
      </c>
      <c r="D9" t="s">
        <v>152</v>
      </c>
      <c r="F9" s="10"/>
      <c r="G9">
        <v>6</v>
      </c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D10" t="s">
        <v>53</v>
      </c>
      <c r="F10" s="10"/>
      <c r="G10">
        <v>4</v>
      </c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58</v>
      </c>
      <c r="F11" s="10"/>
      <c r="G11">
        <v>4</v>
      </c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45</v>
      </c>
      <c r="F12" s="10"/>
      <c r="G12">
        <v>2</v>
      </c>
      <c r="H12" s="4"/>
      <c r="I12" s="27"/>
      <c r="J12" s="28"/>
      <c r="K12" s="29"/>
    </row>
    <row r="13" spans="2:17" x14ac:dyDescent="0.3">
      <c r="B13" s="22"/>
      <c r="C13" s="15">
        <v>11</v>
      </c>
      <c r="D13" t="s">
        <v>47</v>
      </c>
      <c r="F13" s="10"/>
      <c r="G13">
        <v>2</v>
      </c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48</v>
      </c>
      <c r="F14" s="10"/>
      <c r="G14">
        <v>3</v>
      </c>
      <c r="H14" s="4"/>
      <c r="I14" s="30"/>
      <c r="J14" s="31"/>
      <c r="K14" s="32"/>
    </row>
    <row r="15" spans="2:17" x14ac:dyDescent="0.3">
      <c r="B15" s="22"/>
      <c r="C15" s="15">
        <v>13</v>
      </c>
      <c r="D15" t="s">
        <v>128</v>
      </c>
      <c r="F15" s="10"/>
      <c r="G15">
        <v>2</v>
      </c>
      <c r="H15" s="4"/>
      <c r="I15" s="30"/>
      <c r="J15" s="31"/>
      <c r="K15" s="32"/>
    </row>
    <row r="16" spans="2:17" x14ac:dyDescent="0.3">
      <c r="B16" s="22"/>
      <c r="C16" s="15">
        <v>14</v>
      </c>
      <c r="D16" t="s">
        <v>73</v>
      </c>
      <c r="F16" s="10"/>
      <c r="G16">
        <v>2.8</v>
      </c>
      <c r="H16" s="4"/>
      <c r="I16" s="30"/>
      <c r="J16" s="31"/>
      <c r="K16" s="32"/>
    </row>
    <row r="17" spans="2:11" x14ac:dyDescent="0.3">
      <c r="B17" s="22"/>
      <c r="C17" s="15">
        <v>15</v>
      </c>
      <c r="D17" t="s">
        <v>71</v>
      </c>
      <c r="F17" s="10"/>
      <c r="G17">
        <v>2.8</v>
      </c>
      <c r="H17" s="4"/>
      <c r="I17" s="30"/>
      <c r="J17" s="31"/>
      <c r="K17" s="32"/>
    </row>
    <row r="18" spans="2:11" x14ac:dyDescent="0.3">
      <c r="B18" s="22"/>
      <c r="C18" s="15">
        <v>16</v>
      </c>
      <c r="D18" t="s">
        <v>205</v>
      </c>
      <c r="F18" s="10"/>
      <c r="G18">
        <v>2.8</v>
      </c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13</v>
      </c>
      <c r="F19" s="10"/>
      <c r="G19">
        <v>4</v>
      </c>
      <c r="H19" s="4"/>
      <c r="I19" s="30"/>
      <c r="J19" s="31"/>
      <c r="K19" s="32"/>
    </row>
    <row r="20" spans="2:11" x14ac:dyDescent="0.3">
      <c r="B20" s="22"/>
      <c r="C20" s="15">
        <v>18</v>
      </c>
      <c r="D20" t="s">
        <v>164</v>
      </c>
      <c r="F20" s="10"/>
      <c r="G20">
        <v>6</v>
      </c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67.399999999999991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1347.9999999999998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5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146</vt:i4>
      </vt:variant>
    </vt:vector>
  </HeadingPairs>
  <TitlesOfParts>
    <vt:vector size="146" baseType="lpstr">
      <vt:lpstr>치자시탕 (한진규)</vt:lpstr>
      <vt:lpstr>감량탕 (강영희) (2)</vt:lpstr>
      <vt:lpstr>육울탕 (정숙희) (2)</vt:lpstr>
      <vt:lpstr>귀비탕 (김정순) (2)</vt:lpstr>
      <vt:lpstr>난간전가감 (김준영) (2)</vt:lpstr>
      <vt:lpstr>독활지황탕 (유경희) (2)</vt:lpstr>
      <vt:lpstr>자신통이탕 (김숙자) </vt:lpstr>
      <vt:lpstr>청훈화담탕 (신영우)</vt:lpstr>
      <vt:lpstr>향소산가감 (한연희) (2)</vt:lpstr>
      <vt:lpstr>청훈화담탕 (정치상)</vt:lpstr>
      <vt:lpstr>청간소요산 (유숙경)</vt:lpstr>
      <vt:lpstr>오적산 (심혜림) (2)</vt:lpstr>
      <vt:lpstr>귀비탕 (박지완)</vt:lpstr>
      <vt:lpstr>귀비온담탕 (윤연원 김향란 김복전)</vt:lpstr>
      <vt:lpstr>육울탕 (정숙희)</vt:lpstr>
      <vt:lpstr>육미지황탕 (김귀태, 이대우, 박문재)</vt:lpstr>
      <vt:lpstr>감량탕 (강영희)</vt:lpstr>
      <vt:lpstr>청상보하탕 (오명옥)</vt:lpstr>
      <vt:lpstr>난간전가감 (김준영)</vt:lpstr>
      <vt:lpstr>자감초탕 (한수연) (2)</vt:lpstr>
      <vt:lpstr>팔미지황환 (황태)</vt:lpstr>
      <vt:lpstr>독활지황탕 (유경희)</vt:lpstr>
      <vt:lpstr>생간건비탕 (성치주)</vt:lpstr>
      <vt:lpstr>감비탕(서승현)</vt:lpstr>
      <vt:lpstr>향사육군자탕 (서동석)</vt:lpstr>
      <vt:lpstr>생강사심탕 (김해선) (5)</vt:lpstr>
      <vt:lpstr>귀비탕 (김정순)</vt:lpstr>
      <vt:lpstr>개울화담전 (김일순)</vt:lpstr>
      <vt:lpstr>이기환 (김진수)</vt:lpstr>
      <vt:lpstr>형방사백산가감(한유찬) (2)</vt:lpstr>
      <vt:lpstr>가미대보탕 (강신자) (2)</vt:lpstr>
      <vt:lpstr>사물안신탕 (상비약)</vt:lpstr>
      <vt:lpstr>총명탕 (염경문)</vt:lpstr>
      <vt:lpstr>복령감초탕 합 반하후박탕  (배윤경) (2)</vt:lpstr>
      <vt:lpstr>감비탕-평위산합방 (서승현)</vt:lpstr>
      <vt:lpstr>청화보심탕 (서동석)</vt:lpstr>
      <vt:lpstr>독활기생탕 (김삼선)</vt:lpstr>
      <vt:lpstr>가미십전대보탕 (서원숙) (2)</vt:lpstr>
      <vt:lpstr>복령감초탕 (배윤경)</vt:lpstr>
      <vt:lpstr>시호계지탕가감 (윤재희) (2)</vt:lpstr>
      <vt:lpstr>쌍화탕가감방 (최문갑) (2)</vt:lpstr>
      <vt:lpstr>청심온담탕 (조백경) (2)</vt:lpstr>
      <vt:lpstr>개울화담전 (김삼선) (2)</vt:lpstr>
      <vt:lpstr>향소산가감 (한연희)</vt:lpstr>
      <vt:lpstr>가미대보탕 (강신자) (3)</vt:lpstr>
      <vt:lpstr>생강사심탕 (김해선) (3)</vt:lpstr>
      <vt:lpstr>현부이경탕 가감 (정은선)</vt:lpstr>
      <vt:lpstr>당귀작약산가감 (이수민) (2)</vt:lpstr>
      <vt:lpstr>향사육군자가감 (강미선)</vt:lpstr>
      <vt:lpstr>청심온담탕 (조백경)</vt:lpstr>
      <vt:lpstr>산조인탕 (김선이)</vt:lpstr>
      <vt:lpstr>사물탕합빈소산 (최문갑)</vt:lpstr>
      <vt:lpstr>회수산 (상비약)</vt:lpstr>
      <vt:lpstr>청간소요산 (박혜준2차)</vt:lpstr>
      <vt:lpstr>대함흉탕 (박혜준)</vt:lpstr>
      <vt:lpstr>양화이사탕 (최윤숙)</vt:lpstr>
      <vt:lpstr>향부자팔물탕 합 빈소산 (김임선)</vt:lpstr>
      <vt:lpstr>개울화담전 (김삼선)</vt:lpstr>
      <vt:lpstr>육미지황탕가감 (김운택)</vt:lpstr>
      <vt:lpstr>금수육군전가감(이상각-태희쌤 아버지)</vt:lpstr>
      <vt:lpstr>시호계지탕가감 (윤재희)</vt:lpstr>
      <vt:lpstr>방기황기탕가감 (송정희) (2)</vt:lpstr>
      <vt:lpstr>당귀작약산가감 (이수민)</vt:lpstr>
      <vt:lpstr>대황목단피탕가감 (박혜준)</vt:lpstr>
      <vt:lpstr>천왕보신단가감 (정선희)</vt:lpstr>
      <vt:lpstr>사물안신탕가감 (김일순)</vt:lpstr>
      <vt:lpstr>청심온담탕 (문주원)</vt:lpstr>
      <vt:lpstr>사물합빈소산 (윤연원)</vt:lpstr>
      <vt:lpstr>쌍화탕가감 피로회복방 (상비약)</vt:lpstr>
      <vt:lpstr>생강사심탕 (김해선) (2)</vt:lpstr>
      <vt:lpstr>감사거삼탕 (이태희)</vt:lpstr>
      <vt:lpstr>자감초탕 (한수연)</vt:lpstr>
      <vt:lpstr>청열보혈탕 (김희전)</vt:lpstr>
      <vt:lpstr>계지거작약탕가녹용 (홍리아)</vt:lpstr>
      <vt:lpstr>청심보혈탕 (허옥선)</vt:lpstr>
      <vt:lpstr>사역산가복령계지 (윤진희)</vt:lpstr>
      <vt:lpstr>할흔방 (이귀두)</vt:lpstr>
      <vt:lpstr>삼묘산 (상비약)</vt:lpstr>
      <vt:lpstr>은교산 (상비약)</vt:lpstr>
      <vt:lpstr>자신통이탕가감 (박재은)</vt:lpstr>
      <vt:lpstr>귀비탕가감 (박문재) (2)</vt:lpstr>
      <vt:lpstr>청심온담탕 (심혜림)</vt:lpstr>
      <vt:lpstr>형개연교탕 (상비약)</vt:lpstr>
      <vt:lpstr>삼소음 (상비약)</vt:lpstr>
      <vt:lpstr>삼소음가감방 (강신자)</vt:lpstr>
      <vt:lpstr>계지거작약가영출탕 (홍리아)</vt:lpstr>
      <vt:lpstr>시호가용골모려탕 (여혁제)</vt:lpstr>
      <vt:lpstr>방기황기탕가감 (송정희)</vt:lpstr>
      <vt:lpstr>치자후박탕 (이귀두)</vt:lpstr>
      <vt:lpstr>당귀작약산가감 (이정희)</vt:lpstr>
      <vt:lpstr>금수육군전가감 (이원서)</vt:lpstr>
      <vt:lpstr>개울화담전가감(장영자)</vt:lpstr>
      <vt:lpstr>삼기음가감 (박문재)</vt:lpstr>
      <vt:lpstr>십전대보탕가감 성장방 (한성빈)</vt:lpstr>
      <vt:lpstr>청상보하탕 (김정자)</vt:lpstr>
      <vt:lpstr>도인승기탕 (이의린)</vt:lpstr>
      <vt:lpstr>십전대보탕 (배서준)</vt:lpstr>
      <vt:lpstr>보중익기탕 (지송화) (3)</vt:lpstr>
      <vt:lpstr>영계출감탕 (홍리아)</vt:lpstr>
      <vt:lpstr>생간건비탕 (서상호)</vt:lpstr>
      <vt:lpstr>순기화중탕 (한소미)</vt:lpstr>
      <vt:lpstr>청심온담탕 (박명희) (2)</vt:lpstr>
      <vt:lpstr>가미대보탕 (김해선)</vt:lpstr>
      <vt:lpstr>육미지황탕 가감 (강경성)</vt:lpstr>
      <vt:lpstr>육미지황탕 가감 (정연춘)</vt:lpstr>
      <vt:lpstr>오적산 (서두섭) (2)</vt:lpstr>
      <vt:lpstr>가미개결서경탕 (김해선)</vt:lpstr>
      <vt:lpstr>쌍화탕가감 (서상호)</vt:lpstr>
      <vt:lpstr>가미온담탕+정전가미이진탕 (권태옥)</vt:lpstr>
      <vt:lpstr>당귀지황탕 (정귀자)</vt:lpstr>
      <vt:lpstr>갈근탕 (문승현)</vt:lpstr>
      <vt:lpstr>귀비탕가감 (윤영애)</vt:lpstr>
      <vt:lpstr>귀비탕 (신태균)</vt:lpstr>
      <vt:lpstr>계지탕가황기 (이수연)</vt:lpstr>
      <vt:lpstr>청심온담탕 (김경원)</vt:lpstr>
      <vt:lpstr>육미지황탕 가감 (권정선) (2)</vt:lpstr>
      <vt:lpstr>가미대보탕 (강신자)</vt:lpstr>
      <vt:lpstr>감비탕 (한수연)</vt:lpstr>
      <vt:lpstr>청심온담탕 (박명희)</vt:lpstr>
      <vt:lpstr>계지가작약탕 (지송화)</vt:lpstr>
      <vt:lpstr>감비탕-평위산합방 (류광춘)</vt:lpstr>
      <vt:lpstr>감비탕 (임종녀)</vt:lpstr>
      <vt:lpstr>당귀지황탕 (강정옥)</vt:lpstr>
      <vt:lpstr>오적산 (서두섭)</vt:lpstr>
      <vt:lpstr>당귀작약산 (조은별)</vt:lpstr>
      <vt:lpstr>소함흉탕 (이미영)</vt:lpstr>
      <vt:lpstr>감비탕(이은훈)</vt:lpstr>
      <vt:lpstr>연교패독산</vt:lpstr>
      <vt:lpstr>개울화담전가감(윤순희</vt:lpstr>
      <vt:lpstr>향사평위산+사물탕가감 (김일순)</vt:lpstr>
      <vt:lpstr>형방사백산가감(한유찬)</vt:lpstr>
      <vt:lpstr>육미지황탕 가감 (권정선)</vt:lpstr>
      <vt:lpstr>육미지황탕 가감 (이용재)</vt:lpstr>
      <vt:lpstr>맥문동탕 (김희전)</vt:lpstr>
      <vt:lpstr>쌍화탕 (상비약)</vt:lpstr>
      <vt:lpstr>귀기건중 합 육미 (한승재)</vt:lpstr>
      <vt:lpstr>소요산 (이미영)</vt:lpstr>
      <vt:lpstr>소요산 (이미영2차)</vt:lpstr>
      <vt:lpstr>오수유탕 (한소미)</vt:lpstr>
      <vt:lpstr>생강사심탕 (김해선)</vt:lpstr>
      <vt:lpstr>향사평위산+사물탕가감 (김일순) (2차)</vt:lpstr>
      <vt:lpstr>소함흉탕 (김경자)</vt:lpstr>
      <vt:lpstr>계지복령환 (한수연)</vt:lpstr>
      <vt:lpstr>가미십전대보탕 (서원숙)</vt:lpstr>
      <vt:lpstr>생강사심탕 (김해선) (4)</vt:lpstr>
      <vt:lpstr>곽향정기산 (상비약)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hwata H</dc:creator>
  <cp:keywords/>
  <dc:description/>
  <cp:lastModifiedBy>hwata H</cp:lastModifiedBy>
  <cp:revision/>
  <cp:lastPrinted>2024-09-11T10:03:15Z</cp:lastPrinted>
  <dcterms:created xsi:type="dcterms:W3CDTF">2024-02-08T02:16:30Z</dcterms:created>
  <dcterms:modified xsi:type="dcterms:W3CDTF">2025-02-03T05:15:22Z</dcterms:modified>
  <cp:category/>
  <cp:contentStatus/>
</cp:coreProperties>
</file>