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05" documentId="8_{6EB8DC0A-AB56-415F-A9F3-EA1534264548}" xr6:coauthVersionLast="47" xr6:coauthVersionMax="47" xr10:uidLastSave="{AADDE8F4-3C79-4E09-ABD6-40FB7DA34657}"/>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G10" i="4"/>
  <c r="G11" i="4"/>
  <c r="G12" i="4"/>
  <c r="H12" i="4" s="1"/>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9" i="4"/>
  <c r="I27" i="4"/>
  <c r="L23" i="4"/>
  <c r="I2" i="4"/>
  <c r="I17" i="4"/>
  <c r="I24" i="4"/>
  <c r="I19" i="4"/>
  <c r="I11" i="4"/>
  <c r="I3" i="4"/>
  <c r="H2" i="4"/>
  <c r="H3" i="4"/>
  <c r="I31" i="4"/>
  <c r="I30" i="4"/>
  <c r="H27" i="4"/>
  <c r="I29" i="4"/>
  <c r="H17" i="4"/>
  <c r="I16" i="4"/>
  <c r="I15" i="4"/>
  <c r="I14" i="4"/>
  <c r="H11"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<sst xmlns="http://schemas.openxmlformats.org/spreadsheetml/2006/main" count="582" uniqueCount="422">
  <si>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</si>
  <si>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</si>
  <si>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</si>
  <si>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</si>
  <si>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</si>
  <si>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</si>
  <si>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</si>
  <si>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</si>
  <si>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</si>
  <si>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</si>
  <si>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</si>
  <si>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</si>
  <si>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</si>
  <si>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</si>
  <si>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</si>
  <si>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</si>
  <si>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</si>
  <si>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</si>
  <si>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</si>
  <si>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</si>
  <si>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</si>
  <si>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</si>
  <si>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</si>
  <si>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</si>
  <si>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</si>
  <si>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</si>
  <si>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</si>
  <si>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</si>
  <si>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</si>
  <si>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</si>
  <si>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</si>
  <si>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</si>
  <si>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</si>
  <si>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</si>
  <si>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</si>
  <si>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</si>
  <si>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</si>
  <si>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</si>
  <si>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</si>
  <si>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</si>
  <si>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</si>
  <si>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</si>
  <si>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</si>
  <si>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</si>
  <si>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</si>
  <si>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</si>
  <si>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</si>
  <si>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</si>
  <si>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</si>
  <si>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</si>
  <si>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</si>
  <si>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</si>
  <si>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</si>
  <si>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</si>
  <si>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</si>
  <si>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</si>
  <si>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</si>
  <si>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</si>
  <si>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</si>
  <si>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</si>
  <si>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</si>
  <si>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</si>
  <si>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</si>
  <si>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</si>
  <si>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</si>
  <si>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</si>
  <si>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</si>
  <si>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</si>
  <si>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</si>
  <si>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</si>
  <si>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</si>
  <si>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</si>
  <si>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</si>
  <si>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</si>
  <si>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</si>
  <si>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</si>
  <si>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</si>
  <si>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</si>
  <si>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</si>
  <si>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</si>
  <si>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</si>
  <si>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</si>
  <si>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</si>
  <si>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</si>
  <si>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</si>
  <si>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</si>
  <si>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</si>
  <si>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</si>
  <si>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</si>
  <si>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</si>
  <si>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</si>
  <si>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</si>
  <si>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</si>
  <si>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</si>
  <si>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</si>
  <si>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</si>
  <si>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</si>
  <si>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</si>
  <si>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</si>
  <si>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</si>
  <si>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</si>
  <si>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</si>
  <si>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</si>
  <si>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</si>
  <si>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</si>
  <si>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</si>
  <si>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</si>
  <si>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</si>
  <si>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</si>
  <si>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</si>
  <si>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</si>
  <si>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</si>
  <si>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</si>
  <si>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</si>
  <si>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</si>
  <si>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</si>
  <si>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</si>
  <si>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</si>
  <si>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</si>
  <si>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</si>
  <si>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</si>
  <si>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</si>
  <si>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</si>
  <si>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</si>
  <si>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</si>
  <si>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</si>
  <si>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</si>
  <si>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</si>
  <si>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</si>
  <si>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</si>
  <si>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</si>
  <si>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</si>
  <si>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</si>
  <si>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</si>
  <si>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</si>
  <si>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</si>
  <si>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</si>
  <si>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</si>
  <si>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</si>
  <si>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</si>
  <si>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</si>
  <si>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</si>
  <si>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</si>
  <si>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</si>
  <si>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</si>
  <si>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</si>
  <si>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</si>
  <si>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</si>
  <si>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</si>
  <si>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</si>
  <si>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</si>
  <si>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</si>
  <si>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</si>
  <si>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</si>
  <si>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</si>
  <si>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</si>
  <si>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</si>
  <si>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</si>
  <si>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</si>
  <si>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</si>
  <si>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</si>
  <si>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</si>
  <si>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</si>
  <si>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</si>
  <si>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</si>
  <si>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</si>
  <si>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</si>
  <si>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</si>
  <si>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</si>
  <si>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</si>
  <si>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</si>
  <si>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</si>
  <si>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</si>
  <si>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</si>
  <si>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</si>
  <si>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</si>
  <si>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</si>
  <si>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</si>
  <si>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</si>
  <si>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</si>
  <si>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</si>
  <si>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</si>
  <si>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</si>
  <si>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</si>
  <si>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</si>
  <si>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</si>
  <si>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</si>
  <si>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</si>
  <si>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</si>
  <si>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</si>
  <si>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</si>
  <si>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</si>
  <si>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</si>
  <si>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</si>
  <si>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</si>
  <si>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</si>
  <si>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</si>
  <si>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</si>
  <si>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</si>
  <si>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</si>
  <si>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</si>
  <si>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</si>
  <si>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</si>
  <si>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</si>
  <si>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</si>
  <si>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</si>
  <si>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</si>
  <si>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</si>
  <si>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</si>
  <si>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</si>
  <si>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</si>
  <si>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</si>
  <si>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</si>
  <si>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</si>
  <si>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</si>
  <si>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</si>
  <si>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</si>
  <si>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</si>
  <si>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</si>
  <si>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</si>
  <si>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</si>
  <si>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</si>
  <si>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</si>
  <si>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</si>
  <si>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</si>
  <si>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</si>
  <si>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</si>
  <si>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</si>
  <si>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</si>
  <si>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</si>
  <si>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</si>
  <si>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</si>
  <si>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</si>
  <si>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</si>
  <si>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</si>
  <si>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</si>
  <si>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</si>
  <si>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</si>
  <si>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</si>
  <si>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</si>
  <si>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</si>
  <si>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</si>
  <si>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</si>
  <si>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</si>
  <si>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</si>
  <si>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</si>
  <si>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</si>
  <si>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</si>
  <si>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</si>
  <si>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</si>
  <si>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</si>
  <si>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</si>
  <si>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</si>
  <si>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</si>
  <si>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</si>
  <si>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</si>
  <si>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</si>
  <si>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</si>
  <si>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</si>
  <si>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</si>
  <si>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</si>
  <si>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</si>
  <si>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</si>
  <si>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</si>
  <si>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</si>
  <si>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</si>
  <si>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</si>
  <si>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</si>
  <si>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</si>
  <si>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</si>
  <si>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</si>
  <si>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</si>
  <si>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</si>
  <si>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</si>
  <si>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</si>
  <si>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</si>
  <si>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</si>
  <si>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</si>
  <si>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</si>
  <si>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</si>
  <si>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</si>
  <si>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</si>
  <si>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</si>
  <si>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</si>
  <si>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</si>
  <si>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</si>
  <si>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</si>
  <si>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</si>
  <si>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</si>
  <si>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</si>
  <si>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</si>
  <si>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</si>
  <si>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</si>
  <si>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</si>
  <si>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</si>
  <si>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</si>
  <si>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</si>
  <si>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</si>
  <si>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</si>
  <si>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</si>
  <si>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</si>
  <si>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</si>
  <si>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</si>
  <si>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</si>
  <si>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</si>
  <si>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</si>
  <si>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</si>
  <si>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</si>
  <si>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</si>
  <si>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</si>
  <si>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</si>
  <si>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</si>
  <si>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</si>
  <si>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</si>
  <si>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</si>
  <si>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</si>
  <si>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</si>
  <si>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</si>
  <si>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</si>
  <si>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</si>
  <si>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</si>
  <si>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</si>
  <si>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</si>
  <si>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</si>
  <si>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</si>
  <si>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</si>
  <si>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</si>
  <si>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</si>
  <si>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</si>
  <si>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</si>
  <si>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</si>
  <si>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</si>
  <si>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</si>
  <si>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</si>
  <si>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</si>
  <si>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</si>
  <si>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</si>
  <si>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</si>
  <si>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</si>
  <si>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</si>
  <si>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</si>
  <si>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</si>
  <si>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</si>
  <si>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</si>
  <si>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</si>
  <si>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</si>
  <si>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</si>
  <si>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</si>
  <si>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</si>
  <si>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</si>
  <si>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</si>
  <si>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</si>
  <si>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</si>
  <si>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</si>
  <si>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</si>
  <si>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</si>
  <si>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</si>
  <si>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</si>
  <si>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</si>
  <si>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</si>
  <si>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</si>
  <si>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</si>
  <si>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</si>
  <si>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</si>
  <si>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</si>
  <si>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</si>
  <si>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</si>
  <si>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</si>
  <si>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</si>
  <si>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</si>
  <si>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</si>
  <si>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</si>
  <si>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</si>
  <si>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</si>
  <si>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</si>
  <si>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</si>
  <si>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</si>
  <si>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</si>
  <si>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</si>
  <si>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</si>
  <si>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</si>
  <si>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</si>
  <si>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</si>
  <si>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</si>
  <si>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</si>
  <si>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</si>
  <si>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</si>
  <si>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</si>
  <si>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</si>
  <si>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</si>
  <si>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</si>
  <si>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</si>
  <si>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</si>
  <si>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</si>
  <si>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</si>
  <si>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</si>
  <si>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</si>
  <si>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</si>
  <si>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</si>
  <si>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</si>
  <si>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</si>
  <si>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</si>
  <si>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</si>
  <si>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</si>
  <si>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</si>
  <si>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</si>
  <si>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</si>
  <si>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다온중국거피</t>
    <phoneticPr fontId="5" type="noConversion"/>
  </si>
  <si>
    <t>금은화</t>
    <phoneticPr fontId="5" type="noConversion"/>
  </si>
  <si>
    <t>담두시</t>
    <phoneticPr fontId="5" type="noConversion"/>
  </si>
  <si>
    <t>박하</t>
    <phoneticPr fontId="5" type="noConversion"/>
  </si>
  <si>
    <t>연교</t>
    <phoneticPr fontId="5" type="noConversion"/>
  </si>
  <si>
    <t>우방자</t>
    <phoneticPr fontId="5" type="noConversion"/>
  </si>
  <si>
    <t>죽엽</t>
    <phoneticPr fontId="5" type="noConversion"/>
  </si>
  <si>
    <t>형개</t>
    <phoneticPr fontId="5" type="noConversion"/>
  </si>
  <si>
    <t>길경</t>
    <phoneticPr fontId="5" type="noConversion"/>
  </si>
  <si>
    <t>감초</t>
    <phoneticPr fontId="5" type="noConversion"/>
  </si>
  <si>
    <t>천화분</t>
    <phoneticPr fontId="5" type="noConversion"/>
  </si>
  <si>
    <t>백지</t>
    <phoneticPr fontId="5" type="noConversion"/>
  </si>
  <si>
    <t>은교산</t>
    <phoneticPr fontId="5" type="noConversion"/>
  </si>
  <si>
    <t>상비약</t>
    <phoneticPr fontId="5" type="noConversion"/>
  </si>
  <si>
    <t>은교산 + 천화분, 백지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</si>
</sst>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11" sqref="G1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408</v>
      </c>
      <c r="D2" s="4"/>
      <c r="E2" s="88">
        <v>9</v>
      </c>
      <c r="F2" s="101">
        <f>E2*$L$15</f>
        <v>180</v>
      </c>
      <c r="G2">
        <f>VLOOKUP($C2,약재관리!A:J,10,FALSE)</f>
        <v>44</v>
      </c>
      <c r="H2" s="5">
        <f>G2*E2</f>
        <v>396</v>
      </c>
      <c r="I2" s="90">
        <f>G2*F2</f>
        <v>7920</v>
      </c>
      <c r="K2" s="7" t="s">
        <v>9</v>
      </c>
      <c r="L2" s="151">
        <v>49</v>
      </c>
      <c r="M2" s="152"/>
    </row>
    <row r="3" spans="2:13">
      <c r="B3" s="3">
        <v>2</v>
      </c>
      <c r="C3" t="s">
        <v>409</v>
      </c>
      <c r="D3" s="4"/>
      <c r="E3" s="88">
        <v>5</v>
      </c>
      <c r="F3" s="101">
        <f t="shared" ref="F3:F31" si="0">E3*$L$15</f>
        <v>100</v>
      </c>
      <c r="G3">
        <f>VLOOKUP($C3,약재관리!A:J,10,FALSE)</f>
        <v>13.3</v>
      </c>
      <c r="H3" s="5">
        <f t="shared" ref="H3:H31" si="1">G3*E3</f>
        <v>66.5</v>
      </c>
      <c r="I3" s="6">
        <f t="shared" ref="I3:I31" si="2">G3*F3</f>
        <v>1330</v>
      </c>
      <c r="K3" s="8" t="s">
        <v>10</v>
      </c>
      <c r="L3" s="146" t="s">
        <v>419</v>
      </c>
      <c r="M3" s="147"/>
    </row>
    <row r="4" spans="2:13">
      <c r="B4" s="3">
        <v>3</v>
      </c>
      <c r="C4" t="s">
        <v>410</v>
      </c>
      <c r="D4" s="4"/>
      <c r="E4" s="88">
        <v>6</v>
      </c>
      <c r="F4" s="101">
        <f t="shared" si="0"/>
        <v>120</v>
      </c>
      <c r="G4">
        <f>VLOOKUP($C4,약재관리!A:J,10,FALSE)</f>
        <v>21.8</v>
      </c>
      <c r="H4" s="5">
        <f t="shared" si="1"/>
        <v>130.80000000000001</v>
      </c>
      <c r="I4" s="6">
        <f t="shared" si="2"/>
        <v>2616</v>
      </c>
      <c r="K4" s="8" t="s">
        <v>11</v>
      </c>
      <c r="L4" s="164">
        <v>45622</v>
      </c>
      <c r="M4" s="147"/>
    </row>
    <row r="5" spans="2:13">
      <c r="B5" s="3">
        <v>4</v>
      </c>
      <c r="C5" t="s">
        <v>411</v>
      </c>
      <c r="D5" s="4"/>
      <c r="E5" s="88">
        <v>9</v>
      </c>
      <c r="F5" s="101">
        <f t="shared" si="0"/>
        <v>180</v>
      </c>
      <c r="G5">
        <f>VLOOKUP($C5,약재관리!A:J,10,FALSE)</f>
        <v>28</v>
      </c>
      <c r="H5" s="5">
        <f t="shared" si="1"/>
        <v>252</v>
      </c>
      <c r="I5" s="6">
        <f t="shared" si="2"/>
        <v>5040</v>
      </c>
      <c r="K5" s="8" t="s">
        <v>12</v>
      </c>
      <c r="L5" s="146" t="s">
        <v>420</v>
      </c>
      <c r="M5" s="147"/>
    </row>
    <row r="6" spans="2:13">
      <c r="B6" s="3">
        <v>5</v>
      </c>
      <c r="C6" t="s">
        <v>412</v>
      </c>
      <c r="D6" s="4"/>
      <c r="E6" s="88">
        <v>9</v>
      </c>
      <c r="F6" s="101">
        <f t="shared" si="0"/>
        <v>180</v>
      </c>
      <c r="G6">
        <f>VLOOKUP($C6,약재관리!A:J,10,FALSE)</f>
        <v>14.2</v>
      </c>
      <c r="H6" s="5">
        <f t="shared" si="1"/>
        <v>127.8</v>
      </c>
      <c r="I6" s="6">
        <f t="shared" si="2"/>
        <v>2556</v>
      </c>
      <c r="K6" s="8" t="s">
        <v>13</v>
      </c>
      <c r="L6" s="146"/>
      <c r="M6" s="147"/>
    </row>
    <row r="7" spans="2:13" ht="17.25" thickBot="1">
      <c r="B7" s="3">
        <v>6</v>
      </c>
      <c r="C7" t="s">
        <v>413</v>
      </c>
      <c r="D7" s="4"/>
      <c r="E7" s="88">
        <v>4</v>
      </c>
      <c r="F7" s="101">
        <f t="shared" si="0"/>
        <v>80</v>
      </c>
      <c r="G7">
        <f>VLOOKUP($C7,약재관리!A:J,10,FALSE)</f>
        <v>7.5</v>
      </c>
      <c r="H7" s="5">
        <f t="shared" si="1"/>
        <v>30</v>
      </c>
      <c r="I7" s="6">
        <f t="shared" si="2"/>
        <v>600</v>
      </c>
      <c r="K7" s="8" t="s">
        <v>14</v>
      </c>
      <c r="L7" s="153"/>
      <c r="M7" s="154"/>
    </row>
    <row r="8" spans="2:13" ht="17.25" thickBot="1">
      <c r="B8" s="3">
        <v>7</v>
      </c>
      <c r="C8" t="s">
        <v>414</v>
      </c>
      <c r="D8" s="4"/>
      <c r="E8" s="88">
        <v>5</v>
      </c>
      <c r="F8" s="101">
        <f t="shared" si="0"/>
        <v>100</v>
      </c>
      <c r="G8">
        <f>VLOOKUP($C8,약재관리!A:J,10,FALSE)</f>
        <v>19.8</v>
      </c>
      <c r="H8" s="5">
        <f t="shared" si="1"/>
        <v>99</v>
      </c>
      <c r="I8" s="6">
        <f t="shared" si="2"/>
        <v>1980</v>
      </c>
      <c r="K8" s="148" t="s">
        <v>15</v>
      </c>
      <c r="L8" s="149"/>
      <c r="M8" s="150"/>
    </row>
    <row r="9" spans="2:13">
      <c r="B9" s="3">
        <v>8</v>
      </c>
      <c r="C9" t="s">
        <v>415</v>
      </c>
      <c r="D9" s="4"/>
      <c r="E9" s="88">
        <v>6</v>
      </c>
      <c r="F9" s="101">
        <f t="shared" si="0"/>
        <v>120</v>
      </c>
      <c r="G9">
        <f>VLOOKUP($C9,약재관리!A:J,10,FALSE)</f>
        <v>11.2</v>
      </c>
      <c r="H9" s="5">
        <f t="shared" si="1"/>
        <v>67.199999999999989</v>
      </c>
      <c r="I9" s="6">
        <f t="shared" si="2"/>
        <v>1344</v>
      </c>
      <c r="K9" s="155" t="s">
        <v>421</v>
      </c>
      <c r="L9" s="156"/>
      <c r="M9" s="157"/>
    </row>
    <row r="10" spans="2:13">
      <c r="B10" s="3">
        <v>9</v>
      </c>
      <c r="C10" t="s">
        <v>416</v>
      </c>
      <c r="D10" s="4"/>
      <c r="E10" s="88">
        <v>5</v>
      </c>
      <c r="F10" s="101">
        <f t="shared" si="0"/>
        <v>100</v>
      </c>
      <c r="G10">
        <f>VLOOKUP($C10,약재관리!A:J,10,FALSE)</f>
        <v>28.3</v>
      </c>
      <c r="H10" s="5">
        <f t="shared" si="1"/>
        <v>141.5</v>
      </c>
      <c r="I10" s="6">
        <f t="shared" si="2"/>
        <v>2830</v>
      </c>
      <c r="K10" s="158"/>
      <c r="L10" s="159"/>
      <c r="M10" s="160"/>
    </row>
    <row r="11" spans="2:13">
      <c r="B11" s="3">
        <v>10</v>
      </c>
      <c r="C11" t="s">
        <v>417</v>
      </c>
      <c r="D11" s="4"/>
      <c r="E11" s="88">
        <v>4</v>
      </c>
      <c r="F11" s="101">
        <f t="shared" si="0"/>
        <v>80</v>
      </c>
      <c r="G11">
        <f>VLOOKUP($C11,약재관리!A:J,10,FALSE)</f>
        <v>22.6</v>
      </c>
      <c r="H11" s="5">
        <f t="shared" si="1"/>
        <v>90.4</v>
      </c>
      <c r="I11" s="6">
        <f t="shared" si="2"/>
        <v>1808</v>
      </c>
      <c r="K11" s="158"/>
      <c r="L11" s="159"/>
      <c r="M11" s="160"/>
    </row>
    <row r="12" spans="2:13">
      <c r="B12" s="3">
        <v>11</v>
      </c>
      <c r="C12" t="s">
        <v>418</v>
      </c>
      <c r="D12" s="4"/>
      <c r="E12" s="88">
        <v>4</v>
      </c>
      <c r="F12" s="101">
        <f t="shared" si="0"/>
        <v>80</v>
      </c>
      <c r="G12">
        <f>VLOOKUP($C12,약재관리!A:J,10,FALSE)</f>
        <v>26.4</v>
      </c>
      <c r="H12" s="5">
        <f t="shared" si="1"/>
        <v>105.6</v>
      </c>
      <c r="I12" s="6">
        <f t="shared" si="2"/>
        <v>2112</v>
      </c>
      <c r="K12" s="158"/>
      <c r="L12" s="159"/>
      <c r="M12" s="160"/>
    </row>
    <row r="13" spans="2:13" ht="17.25" thickBot="1">
      <c r="B13" s="3">
        <v>12</v>
      </c>
      <c r="D13" s="4"/>
      <c r="F13" s="101"/>
      <c r="H13" s="5"/>
      <c r="I13" s="6"/>
      <c r="K13" s="161"/>
      <c r="L13" s="162"/>
      <c r="M13" s="163"/>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66</v>
      </c>
      <c r="M18" s="10" t="s">
        <v>25</v>
      </c>
    </row>
    <row r="19" spans="2:13">
      <c r="B19" s="3">
        <v>18</v>
      </c>
      <c r="D19" s="4"/>
      <c r="F19" s="101">
        <f t="shared" si="0"/>
        <v>0</v>
      </c>
      <c r="H19" s="5">
        <f t="shared" si="1"/>
        <v>0</v>
      </c>
      <c r="I19" s="6">
        <f t="shared" si="2"/>
        <v>0</v>
      </c>
      <c r="K19" s="91" t="s">
        <v>26</v>
      </c>
      <c r="L19">
        <f>L15*L18</f>
        <v>1320</v>
      </c>
      <c r="M19" s="4" t="s">
        <v>25</v>
      </c>
    </row>
    <row r="20" spans="2:13" ht="17.25" thickBot="1">
      <c r="B20" s="3">
        <v>19</v>
      </c>
      <c r="D20" s="4"/>
      <c r="F20" s="101">
        <f t="shared" si="0"/>
        <v>0</v>
      </c>
      <c r="H20" s="5">
        <f t="shared" si="1"/>
        <v>0</v>
      </c>
      <c r="I20" s="6">
        <f t="shared" si="2"/>
        <v>0</v>
      </c>
      <c r="K20" s="14" t="s">
        <v>27</v>
      </c>
      <c r="L20" s="11">
        <f>L16*L17+L19</f>
        <v>5820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1320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1506.8</v>
      </c>
      <c r="M30" s="4" t="s">
        <v>386</v>
      </c>
    </row>
    <row r="31" spans="2:13" ht="17.25" thickBot="1">
      <c r="B31" s="13">
        <v>30</v>
      </c>
      <c r="C31" s="14"/>
      <c r="D31" s="12"/>
      <c r="E31" s="95"/>
      <c r="F31" s="102">
        <f t="shared" si="0"/>
        <v>0</v>
      </c>
      <c r="G31" s="14"/>
      <c r="H31" s="15">
        <f t="shared" si="1"/>
        <v>0</v>
      </c>
      <c r="I31" s="16">
        <f t="shared" si="2"/>
        <v>0</v>
      </c>
      <c r="K31" s="14" t="s">
        <v>385</v>
      </c>
      <c r="L31" s="15">
        <f>SUM(I2:I31)</f>
        <v>30136</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1" zoomScaleNormal="100" workbookViewId="0">
      <selection activeCell="J129" sqref="J12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15900</v>
      </c>
      <c r="D46" s="36">
        <v>19000</v>
      </c>
      <c r="E46" s="37">
        <v>23100</v>
      </c>
      <c r="F46" s="115">
        <f t="shared" si="8"/>
        <v>0</v>
      </c>
      <c r="G46" s="44">
        <f t="shared" si="9"/>
        <v>31.8</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J128" s="40">
        <v>14.2</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v>15500</v>
      </c>
      <c r="F135" s="115">
        <f t="shared" si="26"/>
        <v>0</v>
      </c>
      <c r="G135" s="38">
        <f>C135/500</f>
        <v>27.6</v>
      </c>
      <c r="H135" s="38">
        <f t="shared" si="25"/>
        <v>29.166666666666668</v>
      </c>
      <c r="I135" s="39">
        <f t="shared" si="24"/>
        <v>25.833333333333332</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4000</v>
      </c>
      <c r="D177" s="36">
        <v>5800</v>
      </c>
      <c r="E177" s="37">
        <v>4400</v>
      </c>
      <c r="F177" s="115">
        <f t="shared" si="30"/>
        <v>0</v>
      </c>
      <c r="G177" s="38">
        <f t="shared" si="31"/>
        <v>8</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12500</v>
      </c>
      <c r="D182" s="49">
        <v>7500</v>
      </c>
      <c r="E182" s="50">
        <v>12800</v>
      </c>
      <c r="F182" s="73">
        <f t="shared" si="30"/>
        <v>21.6</v>
      </c>
      <c r="G182" s="51">
        <f t="shared" si="31"/>
        <v>25</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48">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84800</v>
      </c>
      <c r="F202" s="115">
        <f t="shared" si="33"/>
        <v>0</v>
      </c>
      <c r="G202" s="38">
        <f t="shared" si="36"/>
        <v>136.80000000000001</v>
      </c>
      <c r="H202" s="44">
        <f t="shared" si="38"/>
        <v>113.33333333333333</v>
      </c>
      <c r="I202" s="39">
        <f t="shared" si="37"/>
        <v>141.33333333333334</v>
      </c>
      <c r="J202" s="40">
        <v>136.69999999999999</v>
      </c>
      <c r="K202" s="41"/>
      <c r="L202" s="42" t="s">
        <v>369</v>
      </c>
      <c r="M202" s="58" t="s">
        <v>370</v>
      </c>
      <c r="N202" s="43" t="s">
        <v>371</v>
      </c>
    </row>
    <row r="203" spans="1:14" ht="15" customHeight="1">
      <c r="A203" s="120" t="s">
        <v>372</v>
      </c>
      <c r="B203" s="125"/>
      <c r="C203" s="36">
        <v>13500</v>
      </c>
      <c r="D203" s="36">
        <v>9500</v>
      </c>
      <c r="E203" s="37">
        <v>16600</v>
      </c>
      <c r="F203" s="115">
        <f t="shared" si="33"/>
        <v>0</v>
      </c>
      <c r="G203" s="38">
        <f t="shared" si="36"/>
        <v>27</v>
      </c>
      <c r="H203" s="38">
        <f t="shared" si="38"/>
        <v>15.833333333333334</v>
      </c>
      <c r="I203" s="39">
        <f t="shared" si="37"/>
        <v>27.666666666666668</v>
      </c>
      <c r="J203" s="40">
        <v>27.7</v>
      </c>
      <c r="K203" s="41"/>
      <c r="L203" s="42" t="s">
        <v>407</v>
      </c>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2024-11-26T01:54:15Z</dcterms:modified>
</cp:coreProperties>
</file>