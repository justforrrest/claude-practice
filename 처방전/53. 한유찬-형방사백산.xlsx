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02" documentId="8_{6EB8DC0A-AB56-415F-A9F3-EA1534264548}" xr6:coauthVersionLast="47" xr6:coauthVersionMax="47" xr10:uidLastSave="{13E8ED3E-7A65-438F-B082-FC11680ADAC2}"/>
  <bookViews>
    <workbookView xWindow="-120" yWindow="-120" windowWidth="29040" windowHeight="15720" xr2:uid="{8B9F1886-173A-4475-B0CF-D9F36CE30773}"/>
  </bookViews>
  <sheets>
    <sheet name="온담탕가감(4)" sheetId="13" r:id="rId1"/>
    <sheet name="온담탕가감(3)" sheetId="12" r:id="rId2"/>
    <sheet name="온담탕가감 (2)" sheetId="10" r:id="rId3"/>
    <sheet name="온담탕가감" sheetId="9" r:id="rId4"/>
    <sheet name="시용모 (2)" sheetId="8" r:id="rId5"/>
    <sheet name="시용모" sheetId="5" r:id="rId6"/>
    <sheet name="형방사백산가감" sheetId="4" r:id="rId7"/>
    <sheet name="약재관리" sheetId="3"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3" l="1"/>
  <c r="H15" i="13" s="1"/>
  <c r="G13" i="13"/>
  <c r="G14" i="13"/>
  <c r="H16" i="13"/>
  <c r="H31" i="13"/>
  <c r="F31" i="13"/>
  <c r="I31" i="13" s="1"/>
  <c r="H30" i="13"/>
  <c r="F30" i="13"/>
  <c r="I30" i="13" s="1"/>
  <c r="H29" i="13"/>
  <c r="F29" i="13"/>
  <c r="I29" i="13" s="1"/>
  <c r="I28" i="13"/>
  <c r="H28" i="13"/>
  <c r="F28" i="13"/>
  <c r="H27" i="13"/>
  <c r="F27" i="13"/>
  <c r="I27" i="13" s="1"/>
  <c r="H26" i="13"/>
  <c r="F26" i="13"/>
  <c r="I26" i="13" s="1"/>
  <c r="H25" i="13"/>
  <c r="F25" i="13"/>
  <c r="I25" i="13" s="1"/>
  <c r="I24" i="13"/>
  <c r="H24" i="13"/>
  <c r="F24" i="13"/>
  <c r="H23" i="13"/>
  <c r="F23" i="13"/>
  <c r="I23" i="13" s="1"/>
  <c r="H22" i="13"/>
  <c r="F22" i="13"/>
  <c r="I22" i="13" s="1"/>
  <c r="H21" i="13"/>
  <c r="F21" i="13"/>
  <c r="I21" i="13" s="1"/>
  <c r="H20" i="13"/>
  <c r="F20" i="13"/>
  <c r="I20" i="13" s="1"/>
  <c r="H19" i="13"/>
  <c r="F19" i="13"/>
  <c r="I19" i="13" s="1"/>
  <c r="L18" i="13"/>
  <c r="L19" i="13" s="1"/>
  <c r="L20" i="13" s="1"/>
  <c r="J18" i="13"/>
  <c r="I18" i="13"/>
  <c r="H18" i="13"/>
  <c r="F18" i="13"/>
  <c r="H17" i="13"/>
  <c r="F17" i="13"/>
  <c r="J17" i="13" s="1"/>
  <c r="F16" i="13"/>
  <c r="J16" i="13" s="1"/>
  <c r="F15" i="13"/>
  <c r="J15" i="13" s="1"/>
  <c r="F14" i="13"/>
  <c r="J14" i="13" s="1"/>
  <c r="F13" i="13"/>
  <c r="J13" i="13" s="1"/>
  <c r="J12" i="13"/>
  <c r="G12" i="13"/>
  <c r="I12" i="13" s="1"/>
  <c r="F12" i="13"/>
  <c r="J11" i="13"/>
  <c r="G11" i="13"/>
  <c r="I11" i="13" s="1"/>
  <c r="F11" i="13"/>
  <c r="J10" i="13"/>
  <c r="G10" i="13"/>
  <c r="I10" i="13" s="1"/>
  <c r="F10" i="13"/>
  <c r="J9" i="13"/>
  <c r="G9" i="13"/>
  <c r="H9" i="13" s="1"/>
  <c r="F9" i="13"/>
  <c r="G8" i="13"/>
  <c r="H8" i="13" s="1"/>
  <c r="F8" i="13"/>
  <c r="J8" i="13" s="1"/>
  <c r="J7" i="13"/>
  <c r="G7" i="13"/>
  <c r="I7" i="13" s="1"/>
  <c r="F7" i="13"/>
  <c r="G6" i="13"/>
  <c r="I6" i="13" s="1"/>
  <c r="F6" i="13"/>
  <c r="J6" i="13" s="1"/>
  <c r="J5" i="13"/>
  <c r="G5" i="13"/>
  <c r="I5" i="13" s="1"/>
  <c r="F5" i="13"/>
  <c r="G4" i="13"/>
  <c r="I4" i="13" s="1"/>
  <c r="F4" i="13"/>
  <c r="J4" i="13" s="1"/>
  <c r="G3" i="13"/>
  <c r="H3" i="13" s="1"/>
  <c r="F3" i="13"/>
  <c r="J3" i="13" s="1"/>
  <c r="J2" i="13"/>
  <c r="G2" i="13"/>
  <c r="I2" i="13" s="1"/>
  <c r="F2" i="13"/>
  <c r="G13" i="12"/>
  <c r="H13" i="12" s="1"/>
  <c r="G14" i="12"/>
  <c r="H31" i="12"/>
  <c r="F31" i="12"/>
  <c r="I31" i="12" s="1"/>
  <c r="H30" i="12"/>
  <c r="F30" i="12"/>
  <c r="I30" i="12" s="1"/>
  <c r="H29" i="12"/>
  <c r="F29" i="12"/>
  <c r="I29" i="12" s="1"/>
  <c r="H28" i="12"/>
  <c r="F28" i="12"/>
  <c r="I28" i="12" s="1"/>
  <c r="H27" i="12"/>
  <c r="F27" i="12"/>
  <c r="I27" i="12" s="1"/>
  <c r="H26" i="12"/>
  <c r="F26" i="12"/>
  <c r="I26" i="12" s="1"/>
  <c r="H25" i="12"/>
  <c r="F25" i="12"/>
  <c r="I25" i="12" s="1"/>
  <c r="H24" i="12"/>
  <c r="F24" i="12"/>
  <c r="I24" i="12" s="1"/>
  <c r="H23" i="12"/>
  <c r="F23" i="12"/>
  <c r="I23" i="12" s="1"/>
  <c r="H22" i="12"/>
  <c r="F22" i="12"/>
  <c r="I22" i="12" s="1"/>
  <c r="H21" i="12"/>
  <c r="F21" i="12"/>
  <c r="I21" i="12" s="1"/>
  <c r="H20" i="12"/>
  <c r="F20" i="12"/>
  <c r="I20" i="12" s="1"/>
  <c r="H19" i="12"/>
  <c r="F19" i="12"/>
  <c r="I19" i="12" s="1"/>
  <c r="L18" i="12"/>
  <c r="L19" i="12" s="1"/>
  <c r="L20" i="12" s="1"/>
  <c r="H18" i="12"/>
  <c r="F18" i="12"/>
  <c r="I18" i="12" s="1"/>
  <c r="I17" i="12"/>
  <c r="F17" i="12"/>
  <c r="J17" i="12" s="1"/>
  <c r="H16" i="12"/>
  <c r="F16" i="12"/>
  <c r="J16" i="12" s="1"/>
  <c r="F15" i="12"/>
  <c r="J15" i="12" s="1"/>
  <c r="F14" i="12"/>
  <c r="J14" i="12" s="1"/>
  <c r="F13" i="12"/>
  <c r="J13" i="12" s="1"/>
  <c r="G12" i="12"/>
  <c r="H12" i="12" s="1"/>
  <c r="F12" i="12"/>
  <c r="J12" i="12" s="1"/>
  <c r="G11" i="12"/>
  <c r="H11" i="12" s="1"/>
  <c r="F11" i="12"/>
  <c r="J11" i="12" s="1"/>
  <c r="J10" i="12"/>
  <c r="G10" i="12"/>
  <c r="I10" i="12" s="1"/>
  <c r="F10" i="12"/>
  <c r="G9" i="12"/>
  <c r="H9" i="12" s="1"/>
  <c r="F9" i="12"/>
  <c r="J9" i="12" s="1"/>
  <c r="G8" i="12"/>
  <c r="H8" i="12" s="1"/>
  <c r="F8" i="12"/>
  <c r="J8" i="12" s="1"/>
  <c r="G7" i="12"/>
  <c r="H7" i="12" s="1"/>
  <c r="F7" i="12"/>
  <c r="J7" i="12" s="1"/>
  <c r="G6" i="12"/>
  <c r="F6" i="12"/>
  <c r="J6" i="12" s="1"/>
  <c r="G5" i="12"/>
  <c r="F5" i="12"/>
  <c r="J5" i="12" s="1"/>
  <c r="G4" i="12"/>
  <c r="H4" i="12" s="1"/>
  <c r="F4" i="12"/>
  <c r="J4" i="12" s="1"/>
  <c r="G3" i="12"/>
  <c r="F3" i="12"/>
  <c r="J3" i="12" s="1"/>
  <c r="G2" i="12"/>
  <c r="F2" i="12"/>
  <c r="H5" i="13" l="1"/>
  <c r="I15" i="13"/>
  <c r="I14" i="13"/>
  <c r="I13" i="13"/>
  <c r="L23" i="13"/>
  <c r="I3" i="13"/>
  <c r="I8" i="13"/>
  <c r="H13" i="13"/>
  <c r="H10" i="13"/>
  <c r="H6" i="13"/>
  <c r="H11" i="13"/>
  <c r="I16" i="13"/>
  <c r="H4" i="13"/>
  <c r="I9" i="13"/>
  <c r="H14" i="13"/>
  <c r="H2" i="13"/>
  <c r="H7" i="13"/>
  <c r="I17" i="13"/>
  <c r="H12" i="13"/>
  <c r="H10" i="12"/>
  <c r="I6" i="12"/>
  <c r="I2" i="12"/>
  <c r="J18" i="12"/>
  <c r="I7" i="12"/>
  <c r="I11" i="12"/>
  <c r="L23" i="12"/>
  <c r="I3" i="12"/>
  <c r="I12" i="12"/>
  <c r="I15" i="12"/>
  <c r="I5" i="12"/>
  <c r="I14" i="12"/>
  <c r="I13" i="12"/>
  <c r="I8" i="12"/>
  <c r="H6" i="12"/>
  <c r="I16" i="12"/>
  <c r="I9" i="12"/>
  <c r="H14" i="12"/>
  <c r="I4" i="12"/>
  <c r="H2" i="12"/>
  <c r="J2" i="12"/>
  <c r="H5" i="12"/>
  <c r="H17" i="12"/>
  <c r="H15" i="12"/>
  <c r="H3" i="12"/>
  <c r="L31" i="13" l="1"/>
  <c r="L30" i="13"/>
  <c r="L30" i="12"/>
  <c r="L31" i="12"/>
  <c r="H31" i="10" l="1"/>
  <c r="F31" i="10"/>
  <c r="I31" i="10" s="1"/>
  <c r="H30" i="10"/>
  <c r="F30" i="10"/>
  <c r="I30" i="10" s="1"/>
  <c r="H29" i="10"/>
  <c r="F29" i="10"/>
  <c r="I29" i="10" s="1"/>
  <c r="H28" i="10"/>
  <c r="F28" i="10"/>
  <c r="I28" i="10" s="1"/>
  <c r="H27" i="10"/>
  <c r="F27" i="10"/>
  <c r="I27" i="10" s="1"/>
  <c r="H26" i="10"/>
  <c r="F26" i="10"/>
  <c r="I26" i="10" s="1"/>
  <c r="H25" i="10"/>
  <c r="F25" i="10"/>
  <c r="I25" i="10" s="1"/>
  <c r="H24" i="10"/>
  <c r="F24" i="10"/>
  <c r="I24" i="10" s="1"/>
  <c r="H23" i="10"/>
  <c r="F23" i="10"/>
  <c r="I23" i="10" s="1"/>
  <c r="H22" i="10"/>
  <c r="F22" i="10"/>
  <c r="I22" i="10" s="1"/>
  <c r="H21" i="10"/>
  <c r="F21" i="10"/>
  <c r="I21" i="10" s="1"/>
  <c r="H20" i="10"/>
  <c r="F20" i="10"/>
  <c r="I20" i="10" s="1"/>
  <c r="H19" i="10"/>
  <c r="F19" i="10"/>
  <c r="I19" i="10" s="1"/>
  <c r="L18" i="10"/>
  <c r="L19" i="10" s="1"/>
  <c r="L20" i="10" s="1"/>
  <c r="H18" i="10"/>
  <c r="F18" i="10"/>
  <c r="I18" i="10" s="1"/>
  <c r="H17" i="10"/>
  <c r="F17" i="10"/>
  <c r="I17" i="10" s="1"/>
  <c r="H16" i="10"/>
  <c r="F16" i="10"/>
  <c r="I16" i="10" s="1"/>
  <c r="H15" i="10"/>
  <c r="F15" i="10"/>
  <c r="I15" i="10" s="1"/>
  <c r="H14" i="10"/>
  <c r="F14" i="10"/>
  <c r="I14" i="10" s="1"/>
  <c r="I13" i="10"/>
  <c r="H13" i="10"/>
  <c r="F13" i="10"/>
  <c r="G12" i="10"/>
  <c r="F12" i="10"/>
  <c r="G11" i="10"/>
  <c r="F11" i="10"/>
  <c r="G10" i="10"/>
  <c r="F10" i="10"/>
  <c r="G9" i="10"/>
  <c r="F9" i="10"/>
  <c r="G8" i="10"/>
  <c r="F8" i="10"/>
  <c r="G7" i="10"/>
  <c r="F7" i="10"/>
  <c r="H6" i="10"/>
  <c r="F6" i="10"/>
  <c r="I6" i="10" s="1"/>
  <c r="G5" i="10"/>
  <c r="F5" i="10"/>
  <c r="G4" i="10"/>
  <c r="F4" i="10"/>
  <c r="G3" i="10"/>
  <c r="F3" i="10"/>
  <c r="G2" i="10"/>
  <c r="F2" i="10"/>
  <c r="L23" i="10" s="1"/>
  <c r="G12" i="9"/>
  <c r="H12" i="9" s="1"/>
  <c r="H31" i="9"/>
  <c r="F31" i="9"/>
  <c r="I31" i="9" s="1"/>
  <c r="H30" i="9"/>
  <c r="F30" i="9"/>
  <c r="I30" i="9" s="1"/>
  <c r="H29" i="9"/>
  <c r="F29" i="9"/>
  <c r="I29" i="9" s="1"/>
  <c r="I28" i="9"/>
  <c r="H28" i="9"/>
  <c r="F28" i="9"/>
  <c r="H27" i="9"/>
  <c r="F27" i="9"/>
  <c r="I27" i="9" s="1"/>
  <c r="H26" i="9"/>
  <c r="F26" i="9"/>
  <c r="I26" i="9" s="1"/>
  <c r="H25" i="9"/>
  <c r="F25" i="9"/>
  <c r="I25" i="9" s="1"/>
  <c r="H24" i="9"/>
  <c r="F24" i="9"/>
  <c r="I24" i="9" s="1"/>
  <c r="H23" i="9"/>
  <c r="F23" i="9"/>
  <c r="I23" i="9" s="1"/>
  <c r="H22" i="9"/>
  <c r="F22" i="9"/>
  <c r="I22" i="9" s="1"/>
  <c r="H21" i="9"/>
  <c r="F21" i="9"/>
  <c r="I21" i="9" s="1"/>
  <c r="H20" i="9"/>
  <c r="F20" i="9"/>
  <c r="I20" i="9" s="1"/>
  <c r="H19" i="9"/>
  <c r="F19" i="9"/>
  <c r="I19" i="9" s="1"/>
  <c r="L18" i="9"/>
  <c r="L19" i="9" s="1"/>
  <c r="L20" i="9" s="1"/>
  <c r="H18" i="9"/>
  <c r="F18" i="9"/>
  <c r="I18" i="9" s="1"/>
  <c r="H17" i="9"/>
  <c r="F17" i="9"/>
  <c r="I17" i="9" s="1"/>
  <c r="H16" i="9"/>
  <c r="F16" i="9"/>
  <c r="I16" i="9" s="1"/>
  <c r="H15" i="9"/>
  <c r="F15" i="9"/>
  <c r="I15" i="9" s="1"/>
  <c r="H14" i="9"/>
  <c r="F14" i="9"/>
  <c r="I14" i="9" s="1"/>
  <c r="H13" i="9"/>
  <c r="F13" i="9"/>
  <c r="I13" i="9" s="1"/>
  <c r="F12" i="9"/>
  <c r="G11" i="9"/>
  <c r="F11" i="9"/>
  <c r="G10" i="9"/>
  <c r="F10" i="9"/>
  <c r="G9" i="9"/>
  <c r="F9" i="9"/>
  <c r="G8" i="9"/>
  <c r="F8" i="9"/>
  <c r="G7" i="9"/>
  <c r="F7" i="9"/>
  <c r="F6" i="9"/>
  <c r="G5" i="9"/>
  <c r="F5" i="9"/>
  <c r="G4" i="9"/>
  <c r="F4" i="9"/>
  <c r="G3" i="9"/>
  <c r="F3" i="9"/>
  <c r="G2" i="9"/>
  <c r="F2" i="9"/>
  <c r="H31" i="8"/>
  <c r="F31" i="8"/>
  <c r="I31" i="8" s="1"/>
  <c r="H30" i="8"/>
  <c r="F30" i="8"/>
  <c r="I30" i="8" s="1"/>
  <c r="H29" i="8"/>
  <c r="F29" i="8"/>
  <c r="I29" i="8" s="1"/>
  <c r="I28" i="8"/>
  <c r="H28" i="8"/>
  <c r="F28" i="8"/>
  <c r="H27" i="8"/>
  <c r="F27" i="8"/>
  <c r="I27" i="8" s="1"/>
  <c r="H26" i="8"/>
  <c r="F26" i="8"/>
  <c r="I26" i="8" s="1"/>
  <c r="H25" i="8"/>
  <c r="F25" i="8"/>
  <c r="I25" i="8" s="1"/>
  <c r="I24" i="8"/>
  <c r="H24" i="8"/>
  <c r="F24" i="8"/>
  <c r="H23" i="8"/>
  <c r="F23" i="8"/>
  <c r="I23" i="8" s="1"/>
  <c r="H22" i="8"/>
  <c r="F22" i="8"/>
  <c r="I22" i="8" s="1"/>
  <c r="H21" i="8"/>
  <c r="F21" i="8"/>
  <c r="I21" i="8" s="1"/>
  <c r="H20" i="8"/>
  <c r="F20" i="8"/>
  <c r="I20" i="8" s="1"/>
  <c r="H19" i="8"/>
  <c r="F19" i="8"/>
  <c r="I19" i="8" s="1"/>
  <c r="L18" i="8"/>
  <c r="L19" i="8" s="1"/>
  <c r="L20" i="8" s="1"/>
  <c r="H18" i="8"/>
  <c r="F18" i="8"/>
  <c r="I18" i="8" s="1"/>
  <c r="H17" i="8"/>
  <c r="F17" i="8"/>
  <c r="I17" i="8" s="1"/>
  <c r="H16" i="8"/>
  <c r="F16" i="8"/>
  <c r="I16" i="8" s="1"/>
  <c r="H15" i="8"/>
  <c r="F15" i="8"/>
  <c r="I15" i="8" s="1"/>
  <c r="H14" i="8"/>
  <c r="F14" i="8"/>
  <c r="I14" i="8" s="1"/>
  <c r="H13" i="8"/>
  <c r="F13" i="8"/>
  <c r="I13" i="8" s="1"/>
  <c r="H12" i="8"/>
  <c r="F12" i="8"/>
  <c r="I12" i="8" s="1"/>
  <c r="G11" i="8"/>
  <c r="I11" i="8" s="1"/>
  <c r="F11" i="8"/>
  <c r="G10" i="8"/>
  <c r="I10" i="8" s="1"/>
  <c r="F10" i="8"/>
  <c r="G9" i="8"/>
  <c r="I9" i="8" s="1"/>
  <c r="F9" i="8"/>
  <c r="G8" i="8"/>
  <c r="I8" i="8" s="1"/>
  <c r="F8" i="8"/>
  <c r="G7" i="8"/>
  <c r="H7" i="8" s="1"/>
  <c r="F7" i="8"/>
  <c r="G6" i="8"/>
  <c r="I6" i="8" s="1"/>
  <c r="F6" i="8"/>
  <c r="G5" i="8"/>
  <c r="I5" i="8" s="1"/>
  <c r="F5" i="8"/>
  <c r="G4" i="8"/>
  <c r="I4" i="8" s="1"/>
  <c r="F4" i="8"/>
  <c r="G3" i="8"/>
  <c r="I3" i="8" s="1"/>
  <c r="F3" i="8"/>
  <c r="G2" i="8"/>
  <c r="I2" i="8" s="1"/>
  <c r="F2" i="8"/>
  <c r="L23" i="8" s="1"/>
  <c r="H31" i="5"/>
  <c r="F31" i="5"/>
  <c r="I31" i="5" s="1"/>
  <c r="H30" i="5"/>
  <c r="F30" i="5"/>
  <c r="I30" i="5" s="1"/>
  <c r="H29" i="5"/>
  <c r="F29" i="5"/>
  <c r="I29" i="5" s="1"/>
  <c r="H28" i="5"/>
  <c r="F28" i="5"/>
  <c r="I28" i="5" s="1"/>
  <c r="H27" i="5"/>
  <c r="F27" i="5"/>
  <c r="I27" i="5" s="1"/>
  <c r="H26" i="5"/>
  <c r="F26" i="5"/>
  <c r="I26" i="5" s="1"/>
  <c r="H25" i="5"/>
  <c r="F25" i="5"/>
  <c r="I25" i="5" s="1"/>
  <c r="H24" i="5"/>
  <c r="F24" i="5"/>
  <c r="I24" i="5" s="1"/>
  <c r="H23" i="5"/>
  <c r="F23" i="5"/>
  <c r="I23" i="5" s="1"/>
  <c r="H22" i="5"/>
  <c r="F22" i="5"/>
  <c r="I22" i="5" s="1"/>
  <c r="H21" i="5"/>
  <c r="F21" i="5"/>
  <c r="I21" i="5" s="1"/>
  <c r="I20" i="5"/>
  <c r="H20" i="5"/>
  <c r="F20" i="5"/>
  <c r="H19" i="5"/>
  <c r="F19" i="5"/>
  <c r="I19" i="5" s="1"/>
  <c r="L18" i="5"/>
  <c r="L19" i="5" s="1"/>
  <c r="L20" i="5" s="1"/>
  <c r="H18" i="5"/>
  <c r="F18" i="5"/>
  <c r="I18" i="5" s="1"/>
  <c r="H17" i="5"/>
  <c r="F17" i="5"/>
  <c r="I17" i="5" s="1"/>
  <c r="H16" i="5"/>
  <c r="F16" i="5"/>
  <c r="I16" i="5" s="1"/>
  <c r="H15" i="5"/>
  <c r="F15" i="5"/>
  <c r="I15" i="5" s="1"/>
  <c r="H14" i="5"/>
  <c r="F14" i="5"/>
  <c r="I14" i="5" s="1"/>
  <c r="H13" i="5"/>
  <c r="F13" i="5"/>
  <c r="I13" i="5" s="1"/>
  <c r="F12" i="5"/>
  <c r="I12" i="5" s="1"/>
  <c r="G11" i="5"/>
  <c r="F11" i="5"/>
  <c r="G10" i="5"/>
  <c r="F10" i="5"/>
  <c r="G9" i="5"/>
  <c r="F9" i="5"/>
  <c r="G8" i="5"/>
  <c r="F8" i="5"/>
  <c r="G7" i="5"/>
  <c r="F7" i="5"/>
  <c r="G6" i="5"/>
  <c r="F6" i="5"/>
  <c r="G5" i="5"/>
  <c r="F5" i="5"/>
  <c r="G4" i="5"/>
  <c r="F4" i="5"/>
  <c r="G3" i="5"/>
  <c r="F3" i="5"/>
  <c r="G2" i="5"/>
  <c r="F2" i="5"/>
  <c r="I26" i="3"/>
  <c r="H26" i="3"/>
  <c r="G26" i="3"/>
  <c r="F26" i="3"/>
  <c r="G2" i="4"/>
  <c r="I174" i="3"/>
  <c r="G40" i="3"/>
  <c r="I12" i="10" l="1"/>
  <c r="H12" i="10"/>
  <c r="H11" i="10"/>
  <c r="I11" i="10"/>
  <c r="I10" i="10"/>
  <c r="H10" i="10"/>
  <c r="H9" i="10"/>
  <c r="I9" i="10"/>
  <c r="H8" i="10"/>
  <c r="I8" i="10"/>
  <c r="I7" i="10"/>
  <c r="H7" i="10"/>
  <c r="I5" i="10"/>
  <c r="H5" i="10"/>
  <c r="H4" i="10"/>
  <c r="I4" i="10"/>
  <c r="I3" i="10"/>
  <c r="H3" i="10"/>
  <c r="H2" i="10"/>
  <c r="L30" i="10" s="1"/>
  <c r="I2" i="10"/>
  <c r="L31" i="10" s="1"/>
  <c r="I12" i="9"/>
  <c r="I10" i="9"/>
  <c r="I9" i="9"/>
  <c r="I4" i="9"/>
  <c r="I3" i="9"/>
  <c r="I6" i="9"/>
  <c r="I11" i="9"/>
  <c r="I7" i="9"/>
  <c r="I2" i="9"/>
  <c r="I8" i="9"/>
  <c r="L23" i="9"/>
  <c r="I5" i="9"/>
  <c r="H5" i="9"/>
  <c r="H8" i="9"/>
  <c r="H11" i="9"/>
  <c r="H2" i="9"/>
  <c r="H4" i="9"/>
  <c r="H7" i="9"/>
  <c r="H10" i="9"/>
  <c r="H3" i="9"/>
  <c r="H6" i="9"/>
  <c r="H9" i="9"/>
  <c r="H4" i="8"/>
  <c r="H10" i="8"/>
  <c r="I7" i="8"/>
  <c r="L31" i="8" s="1"/>
  <c r="H11" i="8"/>
  <c r="H2" i="8"/>
  <c r="H8" i="8"/>
  <c r="H5" i="8"/>
  <c r="H3" i="8"/>
  <c r="H6" i="8"/>
  <c r="H9" i="8"/>
  <c r="I11" i="5"/>
  <c r="I10" i="5"/>
  <c r="I9" i="5"/>
  <c r="I8" i="5"/>
  <c r="I7" i="5"/>
  <c r="I6" i="5"/>
  <c r="I5" i="5"/>
  <c r="I4" i="5"/>
  <c r="I3" i="5"/>
  <c r="I2" i="5"/>
  <c r="L31" i="5" s="1"/>
  <c r="L23" i="5"/>
  <c r="H4" i="5"/>
  <c r="H7" i="5"/>
  <c r="H10" i="5"/>
  <c r="H2" i="5"/>
  <c r="H5" i="5"/>
  <c r="H8" i="5"/>
  <c r="H11" i="5"/>
  <c r="H6" i="5"/>
  <c r="H12" i="5"/>
  <c r="H3" i="5"/>
  <c r="H9" i="5"/>
  <c r="I63" i="3"/>
  <c r="G121" i="3"/>
  <c r="I121" i="3"/>
  <c r="H121" i="3"/>
  <c r="F121" i="3"/>
  <c r="F2" i="4"/>
  <c r="I52" i="3"/>
  <c r="H52" i="3"/>
  <c r="G52" i="3"/>
  <c r="F52" i="3"/>
  <c r="L31" i="9" l="1"/>
  <c r="L30" i="9"/>
  <c r="L30" i="8"/>
  <c r="L30" i="5"/>
  <c r="G3" i="4"/>
  <c r="G4" i="4"/>
  <c r="H4" i="4" s="1"/>
  <c r="G5" i="4"/>
  <c r="H5" i="4" s="1"/>
  <c r="G6" i="4"/>
  <c r="H6" i="4" s="1"/>
  <c r="G7" i="4"/>
  <c r="H7" i="4" s="1"/>
  <c r="G8" i="4"/>
  <c r="H8" i="4" s="1"/>
  <c r="G9" i="4"/>
  <c r="G10" i="4"/>
  <c r="G11" i="4"/>
  <c r="G12" i="4"/>
  <c r="H12" i="4" s="1"/>
  <c r="H13" i="4"/>
  <c r="H14" i="4"/>
  <c r="H15" i="4"/>
  <c r="H16" i="4"/>
  <c r="H20" i="4"/>
  <c r="H21" i="4"/>
  <c r="H22" i="4"/>
  <c r="H23"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5" i="4" l="1"/>
  <c r="I18" i="4"/>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<sst xmlns="http://schemas.openxmlformats.org/spreadsheetml/2006/main" count="951" uniqueCount="445">
  <si>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</si>
  <si>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</si>
  <si>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</si>
  <si>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</si>
  <si>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</si>
  <si>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</si>
  <si>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</si>
  <si>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</si>
  <si>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</si>
  <si>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</si>
  <si>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</si>
  <si>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</si>
  <si>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</si>
  <si>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</si>
  <si>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</si>
  <si>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</si>
  <si>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</si>
  <si>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</si>
  <si>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</si>
  <si>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</si>
  <si>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</si>
  <si>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</si>
  <si>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</si>
  <si>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</si>
  <si>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</si>
  <si>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</si>
  <si>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</si>
  <si>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</si>
  <si>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</si>
  <si>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</si>
  <si>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</si>
  <si>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</si>
  <si>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</si>
  <si>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</si>
  <si>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</si>
  <si>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</si>
  <si>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</si>
  <si>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</si>
  <si>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</si>
  <si>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</si>
  <si>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</si>
  <si>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</si>
  <si>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</si>
  <si>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</si>
  <si>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</si>
  <si>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</si>
  <si>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</si>
  <si>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</si>
  <si>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</si>
  <si>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</si>
  <si>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</si>
  <si>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</si>
  <si>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</si>
  <si>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</si>
  <si>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</si>
  <si>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</si>
  <si>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</si>
  <si>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</si>
  <si>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</si>
  <si>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</si>
  <si>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</si>
  <si>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</si>
  <si>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</si>
  <si>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</si>
  <si>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</si>
  <si>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</si>
  <si>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</si>
  <si>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</si>
  <si>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</si>
  <si>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</si>
  <si>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</si>
  <si>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</si>
  <si>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</si>
  <si>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</si>
  <si>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</si>
  <si>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</si>
  <si>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</si>
  <si>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</si>
  <si>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</si>
  <si>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</si>
  <si>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</si>
  <si>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</si>
  <si>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</si>
  <si>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</si>
  <si>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</si>
  <si>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</si>
  <si>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</si>
  <si>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</si>
  <si>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</si>
  <si>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</si>
  <si>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</si>
  <si>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</si>
  <si>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</si>
  <si>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</si>
  <si>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</si>
  <si>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</si>
  <si>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</si>
  <si>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</si>
  <si>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</si>
  <si>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</si>
  <si>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</si>
  <si>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</si>
  <si>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</si>
  <si>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</si>
  <si>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</si>
  <si>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</si>
  <si>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</si>
  <si>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</si>
  <si>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</si>
  <si>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</si>
  <si>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</si>
  <si>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</si>
  <si>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</si>
  <si>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</si>
  <si>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</si>
  <si>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</si>
  <si>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</si>
  <si>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</si>
  <si>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</si>
  <si>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</si>
  <si>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</si>
  <si>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</si>
  <si>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</si>
  <si>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</si>
  <si>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</si>
  <si>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</si>
  <si>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</si>
  <si>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</si>
  <si>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</si>
  <si>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</si>
  <si>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</si>
  <si>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</si>
  <si>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</si>
  <si>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</si>
  <si>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</si>
  <si>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</si>
  <si>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</si>
  <si>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</si>
  <si>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</si>
  <si>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</si>
  <si>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</si>
  <si>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</si>
  <si>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</si>
  <si>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</si>
  <si>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</si>
  <si>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</si>
  <si>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</si>
  <si>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</si>
  <si>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</si>
  <si>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</si>
  <si>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</si>
  <si>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</si>
  <si>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</si>
  <si>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</si>
  <si>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</si>
  <si>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</si>
  <si>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</si>
  <si>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</si>
  <si>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</si>
  <si>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</si>
  <si>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</si>
  <si>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</si>
  <si>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</si>
  <si>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</si>
  <si>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</si>
  <si>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</si>
  <si>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</si>
  <si>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</si>
  <si>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</si>
  <si>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</si>
  <si>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</si>
  <si>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</si>
  <si>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</si>
  <si>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</si>
  <si>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</si>
  <si>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</si>
  <si>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</si>
  <si>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</si>
  <si>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</si>
  <si>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</si>
  <si>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</si>
  <si>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</si>
  <si>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</si>
  <si>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</si>
  <si>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</si>
  <si>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</si>
  <si>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</si>
  <si>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</si>
  <si>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</si>
  <si>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</si>
  <si>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</si>
  <si>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</si>
  <si>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</si>
  <si>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</si>
  <si>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</si>
  <si>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</si>
  <si>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</si>
  <si>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</si>
  <si>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</si>
  <si>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</si>
  <si>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</si>
  <si>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</si>
  <si>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</si>
  <si>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</si>
  <si>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</si>
  <si>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</si>
  <si>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</si>
  <si>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</si>
  <si>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</si>
  <si>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</si>
  <si>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</si>
  <si>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</si>
  <si>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</si>
  <si>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</si>
  <si>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</si>
  <si>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</si>
  <si>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</si>
  <si>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</si>
  <si>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</si>
  <si>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</si>
  <si>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</si>
  <si>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</si>
  <si>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</si>
  <si>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</si>
  <si>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</si>
  <si>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</si>
  <si>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</si>
  <si>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</si>
  <si>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</si>
  <si>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</si>
  <si>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</si>
  <si>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</si>
  <si>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</si>
  <si>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</si>
  <si>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</si>
  <si>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</si>
  <si>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</si>
  <si>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</si>
  <si>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</si>
  <si>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</si>
  <si>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</si>
  <si>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</si>
  <si>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</si>
  <si>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</si>
  <si>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</si>
  <si>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</si>
  <si>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</si>
  <si>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</si>
  <si>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</si>
  <si>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</si>
  <si>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</si>
  <si>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</si>
  <si>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</si>
  <si>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</si>
  <si>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</si>
  <si>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</si>
  <si>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</si>
  <si>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</si>
  <si>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</si>
  <si>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</si>
  <si>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</si>
  <si>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</si>
  <si>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</si>
  <si>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</si>
  <si>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</si>
  <si>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</si>
  <si>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</si>
  <si>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</si>
  <si>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</si>
  <si>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</si>
  <si>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</si>
  <si>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</si>
  <si>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</si>
  <si>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</si>
  <si>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</si>
  <si>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</si>
  <si>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</si>
  <si>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</si>
  <si>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</si>
  <si>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</si>
  <si>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</si>
  <si>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</si>
  <si>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</si>
  <si>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</si>
  <si>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</si>
  <si>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</si>
  <si>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</si>
  <si>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</si>
  <si>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</si>
  <si>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</si>
  <si>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</si>
  <si>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</si>
  <si>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</si>
  <si>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</si>
  <si>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</si>
  <si>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</si>
  <si>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</si>
  <si>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</si>
  <si>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</si>
  <si>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</si>
  <si>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</si>
  <si>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</si>
  <si>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</si>
  <si>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</si>
  <si>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</si>
  <si>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</si>
  <si>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</si>
  <si>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</si>
  <si>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</si>
  <si>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</si>
  <si>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</si>
  <si>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</si>
  <si>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</si>
  <si>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</si>
  <si>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</si>
  <si>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</si>
  <si>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</si>
  <si>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</si>
  <si>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</si>
  <si>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</si>
  <si>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</si>
  <si>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</si>
  <si>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</si>
  <si>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</si>
  <si>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</si>
  <si>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</si>
  <si>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</si>
  <si>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</si>
  <si>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</si>
  <si>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</si>
  <si>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</si>
  <si>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</si>
  <si>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</si>
  <si>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</si>
  <si>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</si>
  <si>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</si>
  <si>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</si>
  <si>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</si>
  <si>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</si>
  <si>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</si>
  <si>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</si>
  <si>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</si>
  <si>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</si>
  <si>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</si>
  <si>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</si>
  <si>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</si>
  <si>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</si>
  <si>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</si>
  <si>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</si>
  <si>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</si>
  <si>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</si>
  <si>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</si>
  <si>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</si>
  <si>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</si>
  <si>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</si>
  <si>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</si>
  <si>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</si>
  <si>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</si>
  <si>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</si>
  <si>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</si>
  <si>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</si>
  <si>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</si>
  <si>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</si>
  <si>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</si>
  <si>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</si>
  <si>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</si>
  <si>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</si>
  <si>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</si>
  <si>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</si>
  <si>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</si>
  <si>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</si>
  <si>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</si>
  <si>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</si>
  <si>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</si>
  <si>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</si>
  <si>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</si>
  <si>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</si>
  <si>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</si>
  <si>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</si>
  <si>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</si>
  <si>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</si>
  <si>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</si>
  <si>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</si>
  <si>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</si>
  <si>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</si>
  <si>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</si>
  <si>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</si>
  <si>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</si>
  <si>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</si>
  <si>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</si>
  <si>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</si>
  <si>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</si>
  <si>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</si>
  <si>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</si>
  <si>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</si>
  <si>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</si>
  <si>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</si>
  <si>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</si>
  <si>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</si>
  <si>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</si>
  <si>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</si>
  <si>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</si>
  <si>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</si>
  <si>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</si>
  <si>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</si>
  <si>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</si>
  <si>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</si>
  <si>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생지황</t>
    <phoneticPr fontId="5" type="noConversion"/>
  </si>
  <si>
    <t>복령</t>
    <phoneticPr fontId="5" type="noConversion"/>
  </si>
  <si>
    <t>석고</t>
    <phoneticPr fontId="5" type="noConversion"/>
  </si>
  <si>
    <t>지모</t>
    <phoneticPr fontId="5" type="noConversion"/>
  </si>
  <si>
    <t>형개</t>
    <phoneticPr fontId="5" type="noConversion"/>
  </si>
  <si>
    <t>택사1</t>
    <phoneticPr fontId="5" type="noConversion"/>
  </si>
  <si>
    <t>강활1</t>
    <phoneticPr fontId="5" type="noConversion"/>
  </si>
  <si>
    <t>방풍1</t>
    <phoneticPr fontId="5" type="noConversion"/>
  </si>
  <si>
    <t>맥문동</t>
    <phoneticPr fontId="5" type="noConversion"/>
  </si>
  <si>
    <t>석창포</t>
    <phoneticPr fontId="5" type="noConversion"/>
  </si>
  <si>
    <t>형방사백산</t>
    <phoneticPr fontId="5" type="noConversion"/>
  </si>
  <si>
    <t>한유찬</t>
    <phoneticPr fontId="5" type="noConversion"/>
  </si>
  <si>
    <t>M</t>
    <phoneticPr fontId="5" type="noConversion"/>
  </si>
  <si>
    <t>죽여1</t>
    <phoneticPr fontId="5" type="noConversion"/>
  </si>
  <si>
    <t>반하</t>
    <phoneticPr fontId="5" type="noConversion"/>
  </si>
  <si>
    <t>대추</t>
    <phoneticPr fontId="5" type="noConversion"/>
  </si>
  <si>
    <t>황금</t>
    <phoneticPr fontId="5" type="noConversion"/>
  </si>
  <si>
    <t>인삼</t>
    <phoneticPr fontId="5" type="noConversion"/>
  </si>
  <si>
    <t>육계</t>
    <phoneticPr fontId="5" type="noConversion"/>
  </si>
  <si>
    <t>용골</t>
    <phoneticPr fontId="5" type="noConversion"/>
  </si>
  <si>
    <t>모려</t>
    <phoneticPr fontId="5" type="noConversion"/>
  </si>
  <si>
    <t>생강</t>
    <phoneticPr fontId="5" type="noConversion"/>
  </si>
  <si>
    <t>시호1</t>
    <phoneticPr fontId="5" type="noConversion"/>
  </si>
  <si>
    <t>시호가용골모려탕</t>
    <phoneticPr fontId="5" type="noConversion"/>
  </si>
  <si>
    <t>시용모 원방 * 0.8</t>
    <phoneticPr fontId="5" type="noConversion"/>
  </si>
  <si>
    <t>당삼</t>
    <phoneticPr fontId="5" type="noConversion"/>
  </si>
  <si>
    <t>합환피</t>
    <phoneticPr fontId="5" type="noConversion"/>
  </si>
  <si>
    <t>남성</t>
    <phoneticPr fontId="5" type="noConversion"/>
  </si>
  <si>
    <t>백강잠</t>
    <phoneticPr fontId="5" type="noConversion"/>
  </si>
  <si>
    <t>감초</t>
    <phoneticPr fontId="5" type="noConversion"/>
  </si>
  <si>
    <t>진피1</t>
    <phoneticPr fontId="5" type="noConversion"/>
  </si>
  <si>
    <t>강황</t>
    <phoneticPr fontId="5" type="noConversion"/>
  </si>
  <si>
    <t>거풍강음탕</t>
    <phoneticPr fontId="5" type="noConversion"/>
  </si>
  <si>
    <t>울금</t>
    <phoneticPr fontId="5" type="noConversion"/>
  </si>
  <si>
    <t>1일당</t>
    <phoneticPr fontId="5" type="noConversion"/>
  </si>
  <si>
    <t>거풍강음탕 + 석고 석창포</t>
    <phoneticPr fontId="5" type="noConversion"/>
  </si>
  <si>
    <t>진피2</t>
    <phoneticPr fontId="5" type="noConversion"/>
  </si>
  <si>
    <t>거풍강음탕 + 시호 맥문동 생강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</si>
</sst>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FB3AE-25EC-434B-B48A-CF68472FD92A}">
  <sheetPr>
    <pageSetUpPr fitToPage="1"/>
  </sheetPr>
  <dimension ref="B1:M31"/>
  <sheetViews>
    <sheetView tabSelected="1" workbookViewId="0">
      <selection activeCell="V3" sqref="V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6" t="s">
        <v>441</v>
      </c>
      <c r="K1" s="150" t="s">
        <v>8</v>
      </c>
      <c r="L1" s="151"/>
      <c r="M1" s="152"/>
    </row>
    <row r="2" spans="2:13">
      <c r="B2" s="3">
        <v>1</v>
      </c>
      <c r="C2" t="s">
        <v>426</v>
      </c>
      <c r="D2" s="4"/>
      <c r="E2" s="88">
        <v>20</v>
      </c>
      <c r="F2" s="147">
        <f>E2*$L$15</f>
        <v>300</v>
      </c>
      <c r="G2">
        <f>VLOOKUP($C2,[1]약재관리!$A:$J,10,FALSE)</f>
        <v>14</v>
      </c>
      <c r="H2" s="5">
        <f>G2*E2</f>
        <v>280</v>
      </c>
      <c r="I2" s="6">
        <f t="shared" ref="I2:I31" si="0">G2*F2</f>
        <v>4200</v>
      </c>
      <c r="J2" s="103">
        <f>F2/$L$14</f>
        <v>20</v>
      </c>
      <c r="K2" s="7" t="s">
        <v>9</v>
      </c>
      <c r="L2" s="162">
        <v>53</v>
      </c>
      <c r="M2" s="163"/>
    </row>
    <row r="3" spans="2:13">
      <c r="B3" s="3">
        <v>2</v>
      </c>
      <c r="C3" t="s">
        <v>427</v>
      </c>
      <c r="D3" s="4"/>
      <c r="E3" s="88">
        <v>20</v>
      </c>
      <c r="F3" s="101">
        <f t="shared" ref="F3:F31" si="1">E3*$L$15</f>
        <v>300</v>
      </c>
      <c r="G3">
        <f>VLOOKUP($C3,[1]약재관리!$A:$J,10,FALSE)</f>
        <v>8</v>
      </c>
      <c r="H3" s="5">
        <f t="shared" ref="H3:H31" si="2">G3*E3</f>
        <v>160</v>
      </c>
      <c r="I3" s="6">
        <f t="shared" si="0"/>
        <v>2400</v>
      </c>
      <c r="J3" s="103">
        <f t="shared" ref="J3:J18" si="3">F3/$L$14</f>
        <v>20</v>
      </c>
      <c r="K3" s="8" t="s">
        <v>10</v>
      </c>
      <c r="L3" s="164" t="s">
        <v>439</v>
      </c>
      <c r="M3" s="165"/>
    </row>
    <row r="4" spans="2:13">
      <c r="B4" s="3">
        <v>3</v>
      </c>
      <c r="C4" t="s">
        <v>443</v>
      </c>
      <c r="D4" s="4"/>
      <c r="E4" s="88">
        <v>15</v>
      </c>
      <c r="F4" s="101">
        <f t="shared" si="1"/>
        <v>225</v>
      </c>
      <c r="G4">
        <f>VLOOKUP($C4,[1]약재관리!$A:$J,10,FALSE)</f>
        <v>68.3</v>
      </c>
      <c r="H4" s="5">
        <f t="shared" si="2"/>
        <v>1024.5</v>
      </c>
      <c r="I4" s="6">
        <f t="shared" si="0"/>
        <v>15367.5</v>
      </c>
      <c r="J4" s="103">
        <f t="shared" si="3"/>
        <v>15</v>
      </c>
      <c r="K4" s="8" t="s">
        <v>11</v>
      </c>
      <c r="L4" s="166">
        <v>46098</v>
      </c>
      <c r="M4" s="165"/>
    </row>
    <row r="5" spans="2:13">
      <c r="B5" s="3">
        <v>4</v>
      </c>
      <c r="C5" t="s">
        <v>408</v>
      </c>
      <c r="D5" s="4"/>
      <c r="E5" s="88">
        <v>10</v>
      </c>
      <c r="F5" s="101">
        <f t="shared" si="1"/>
        <v>150</v>
      </c>
      <c r="G5">
        <f>VLOOKUP($C5,[1]약재관리!$A:$J,10,FALSE)</f>
        <v>8.6999999999999993</v>
      </c>
      <c r="H5" s="5">
        <f t="shared" si="2"/>
        <v>87</v>
      </c>
      <c r="I5" s="6">
        <f t="shared" si="0"/>
        <v>1305</v>
      </c>
      <c r="J5" s="103">
        <f t="shared" si="3"/>
        <v>10</v>
      </c>
      <c r="K5" s="8" t="s">
        <v>12</v>
      </c>
      <c r="L5" s="164" t="s">
        <v>418</v>
      </c>
      <c r="M5" s="165"/>
    </row>
    <row r="6" spans="2:13">
      <c r="B6" s="3">
        <v>5</v>
      </c>
      <c r="C6" t="s">
        <v>433</v>
      </c>
      <c r="D6" s="4"/>
      <c r="E6" s="88">
        <v>10</v>
      </c>
      <c r="F6" s="101">
        <f t="shared" si="1"/>
        <v>150</v>
      </c>
      <c r="G6">
        <f>VLOOKUP($C6,[1]약재관리!$A:$J,10,FALSE)</f>
        <v>18.2</v>
      </c>
      <c r="H6" s="5">
        <f t="shared" si="2"/>
        <v>182</v>
      </c>
      <c r="I6" s="6">
        <f t="shared" si="0"/>
        <v>2730</v>
      </c>
      <c r="J6" s="103">
        <f t="shared" si="3"/>
        <v>10</v>
      </c>
      <c r="K6" s="8" t="s">
        <v>13</v>
      </c>
      <c r="L6" s="164">
        <v>11</v>
      </c>
      <c r="M6" s="165"/>
    </row>
    <row r="7" spans="2:13" ht="17.25" thickBot="1">
      <c r="B7" s="3">
        <v>6</v>
      </c>
      <c r="C7" t="s">
        <v>421</v>
      </c>
      <c r="D7" s="4"/>
      <c r="E7" s="88">
        <v>8</v>
      </c>
      <c r="F7" s="101">
        <f t="shared" si="1"/>
        <v>120</v>
      </c>
      <c r="G7">
        <f>VLOOKUP($C7,[1]약재관리!$A:$J,10,FALSE)</f>
        <v>41</v>
      </c>
      <c r="H7" s="5">
        <f t="shared" si="2"/>
        <v>328</v>
      </c>
      <c r="I7" s="6">
        <f t="shared" si="0"/>
        <v>4920</v>
      </c>
      <c r="J7" s="103">
        <f t="shared" si="3"/>
        <v>8</v>
      </c>
      <c r="K7" s="8" t="s">
        <v>14</v>
      </c>
      <c r="L7" s="148" t="s">
        <v>419</v>
      </c>
      <c r="M7" s="149"/>
    </row>
    <row r="8" spans="2:13" ht="17.25" thickBot="1">
      <c r="B8" s="3">
        <v>7</v>
      </c>
      <c r="C8" t="s">
        <v>434</v>
      </c>
      <c r="D8" s="4"/>
      <c r="E8" s="88">
        <v>2.5</v>
      </c>
      <c r="F8" s="101">
        <f t="shared" si="1"/>
        <v>37.5</v>
      </c>
      <c r="G8" t="e">
        <f>VLOOKUP($C8,[1]약재관리!$A:$J,10,FALSE)</f>
        <v>#N/A</v>
      </c>
      <c r="H8" s="5" t="e">
        <f t="shared" si="2"/>
        <v>#N/A</v>
      </c>
      <c r="I8" s="6" t="e">
        <f t="shared" si="0"/>
        <v>#N/A</v>
      </c>
      <c r="J8" s="103">
        <f t="shared" si="3"/>
        <v>2.5</v>
      </c>
      <c r="K8" s="150" t="s">
        <v>15</v>
      </c>
      <c r="L8" s="151"/>
      <c r="M8" s="152"/>
    </row>
    <row r="9" spans="2:13">
      <c r="B9" s="3">
        <v>8</v>
      </c>
      <c r="C9" t="s">
        <v>420</v>
      </c>
      <c r="D9" s="4"/>
      <c r="E9" s="88">
        <v>5</v>
      </c>
      <c r="F9" s="101">
        <f t="shared" si="1"/>
        <v>75</v>
      </c>
      <c r="G9">
        <f>VLOOKUP($C9,[1]약재관리!$A:$J,10,FALSE)</f>
        <v>15.4</v>
      </c>
      <c r="H9" s="5">
        <f t="shared" si="2"/>
        <v>77</v>
      </c>
      <c r="I9" s="6">
        <f t="shared" si="0"/>
        <v>1155</v>
      </c>
      <c r="J9" s="103">
        <f t="shared" si="3"/>
        <v>5</v>
      </c>
      <c r="K9" s="153" t="s">
        <v>444</v>
      </c>
      <c r="L9" s="154"/>
      <c r="M9" s="155"/>
    </row>
    <row r="10" spans="2:13">
      <c r="B10" s="3">
        <v>9</v>
      </c>
      <c r="C10" t="s">
        <v>440</v>
      </c>
      <c r="D10" s="4"/>
      <c r="E10" s="88">
        <v>5</v>
      </c>
      <c r="F10" s="101">
        <f t="shared" si="1"/>
        <v>75</v>
      </c>
      <c r="G10">
        <f>VLOOKUP($C10,[1]약재관리!$A:$J,10,FALSE)</f>
        <v>11.2</v>
      </c>
      <c r="H10" s="5">
        <f t="shared" si="2"/>
        <v>56</v>
      </c>
      <c r="I10" s="6">
        <f t="shared" si="0"/>
        <v>840</v>
      </c>
      <c r="J10" s="103">
        <f t="shared" si="3"/>
        <v>5</v>
      </c>
      <c r="K10" s="156"/>
      <c r="L10" s="157"/>
      <c r="M10" s="158"/>
    </row>
    <row r="11" spans="2:13">
      <c r="B11" s="3">
        <v>10</v>
      </c>
      <c r="C11" t="s">
        <v>435</v>
      </c>
      <c r="D11" s="4"/>
      <c r="E11" s="88">
        <v>5</v>
      </c>
      <c r="F11" s="101">
        <f t="shared" si="1"/>
        <v>75</v>
      </c>
      <c r="G11">
        <f>VLOOKUP($C11,[1]약재관리!$A:$J,10,FALSE)</f>
        <v>33</v>
      </c>
      <c r="H11" s="5">
        <f t="shared" si="2"/>
        <v>165</v>
      </c>
      <c r="I11" s="6">
        <f t="shared" si="0"/>
        <v>2475</v>
      </c>
      <c r="J11" s="103">
        <f t="shared" si="3"/>
        <v>5</v>
      </c>
      <c r="K11" s="156"/>
      <c r="L11" s="157"/>
      <c r="M11" s="158"/>
    </row>
    <row r="12" spans="2:13">
      <c r="B12" s="3">
        <v>11</v>
      </c>
      <c r="C12" t="s">
        <v>436</v>
      </c>
      <c r="D12" s="4"/>
      <c r="E12" s="88">
        <v>5</v>
      </c>
      <c r="F12" s="101">
        <f t="shared" si="1"/>
        <v>75</v>
      </c>
      <c r="G12">
        <f>VLOOKUP($C12,[1]약재관리!$A:$J,10,FALSE)</f>
        <v>30</v>
      </c>
      <c r="H12" s="5">
        <f t="shared" si="2"/>
        <v>150</v>
      </c>
      <c r="I12" s="6">
        <f t="shared" si="0"/>
        <v>2250</v>
      </c>
      <c r="J12" s="103">
        <f t="shared" si="3"/>
        <v>5</v>
      </c>
      <c r="K12" s="156"/>
      <c r="L12" s="157"/>
      <c r="M12" s="158"/>
    </row>
    <row r="13" spans="2:13" ht="17.25" thickBot="1">
      <c r="B13" s="3">
        <v>12</v>
      </c>
      <c r="C13" t="s">
        <v>415</v>
      </c>
      <c r="D13" s="4"/>
      <c r="E13" s="88">
        <v>4</v>
      </c>
      <c r="F13" s="101">
        <f t="shared" si="1"/>
        <v>60</v>
      </c>
      <c r="G13">
        <f>VLOOKUP($C13,[1]약재관리!$A:$J,10,FALSE)</f>
        <v>39.200000000000003</v>
      </c>
      <c r="H13" s="5">
        <f t="shared" si="2"/>
        <v>156.80000000000001</v>
      </c>
      <c r="I13" s="6">
        <f t="shared" si="0"/>
        <v>2352</v>
      </c>
      <c r="J13" s="103">
        <f t="shared" si="3"/>
        <v>4</v>
      </c>
      <c r="K13" s="159"/>
      <c r="L13" s="160"/>
      <c r="M13" s="161"/>
    </row>
    <row r="14" spans="2:13">
      <c r="B14" s="3">
        <v>13</v>
      </c>
      <c r="C14" t="s">
        <v>429</v>
      </c>
      <c r="D14" s="4"/>
      <c r="E14" s="88">
        <v>4</v>
      </c>
      <c r="F14" s="101">
        <f t="shared" si="1"/>
        <v>60</v>
      </c>
      <c r="G14">
        <f>VLOOKUP($C14,[1]약재관리!$A:$J,10,FALSE)</f>
        <v>74.8</v>
      </c>
      <c r="H14" s="5">
        <f>G14*E14</f>
        <v>299.2</v>
      </c>
      <c r="I14" s="6">
        <f>G14*F14</f>
        <v>4488</v>
      </c>
      <c r="J14" s="103">
        <f t="shared" si="3"/>
        <v>4</v>
      </c>
      <c r="K14" s="92" t="s">
        <v>16</v>
      </c>
      <c r="L14" s="9">
        <v>15</v>
      </c>
      <c r="M14" s="10" t="s">
        <v>17</v>
      </c>
    </row>
    <row r="15" spans="2:13">
      <c r="B15" s="3">
        <v>14</v>
      </c>
      <c r="C15" t="s">
        <v>428</v>
      </c>
      <c r="D15" s="4"/>
      <c r="E15" s="88">
        <v>3</v>
      </c>
      <c r="F15" s="101">
        <f t="shared" si="1"/>
        <v>45</v>
      </c>
      <c r="G15">
        <f>VLOOKUP($C15,[1]약재관리!$A:$J,10,FALSE)</f>
        <v>20</v>
      </c>
      <c r="H15" s="5">
        <f>G15*E15</f>
        <v>60</v>
      </c>
      <c r="I15" s="6">
        <f>G15*F15</f>
        <v>900</v>
      </c>
      <c r="J15" s="103">
        <f t="shared" si="3"/>
        <v>3</v>
      </c>
      <c r="K15" s="91" t="s">
        <v>18</v>
      </c>
      <c r="L15">
        <v>15</v>
      </c>
      <c r="M15" s="4" t="s">
        <v>19</v>
      </c>
    </row>
    <row r="16" spans="2:13">
      <c r="B16" s="3">
        <v>15</v>
      </c>
      <c r="D16" s="4"/>
      <c r="F16" s="101">
        <f t="shared" si="1"/>
        <v>0</v>
      </c>
      <c r="H16" s="5">
        <f t="shared" si="2"/>
        <v>0</v>
      </c>
      <c r="I16" s="6">
        <f t="shared" si="0"/>
        <v>0</v>
      </c>
      <c r="J16" s="103">
        <f t="shared" si="3"/>
        <v>0</v>
      </c>
      <c r="K16" s="91" t="s">
        <v>20</v>
      </c>
      <c r="L16">
        <v>30</v>
      </c>
      <c r="M16" s="4" t="s">
        <v>21</v>
      </c>
    </row>
    <row r="17" spans="2:13" ht="17.25" thickBot="1">
      <c r="B17" s="3">
        <v>16</v>
      </c>
      <c r="D17" s="4"/>
      <c r="F17" s="101">
        <f t="shared" si="1"/>
        <v>0</v>
      </c>
      <c r="H17" s="5">
        <f t="shared" si="2"/>
        <v>0</v>
      </c>
      <c r="I17" s="6">
        <f t="shared" si="0"/>
        <v>0</v>
      </c>
      <c r="J17" s="103">
        <f t="shared" si="3"/>
        <v>0</v>
      </c>
      <c r="K17" s="14" t="s">
        <v>22</v>
      </c>
      <c r="L17" s="11">
        <v>100</v>
      </c>
      <c r="M17" s="12" t="s">
        <v>23</v>
      </c>
    </row>
    <row r="18" spans="2:13">
      <c r="B18" s="3">
        <v>17</v>
      </c>
      <c r="D18" s="4"/>
      <c r="F18" s="101">
        <f t="shared" si="1"/>
        <v>0</v>
      </c>
      <c r="H18" s="5">
        <f t="shared" si="2"/>
        <v>0</v>
      </c>
      <c r="I18" s="6">
        <f t="shared" si="0"/>
        <v>0</v>
      </c>
      <c r="J18" s="103">
        <f t="shared" si="3"/>
        <v>0</v>
      </c>
      <c r="K18" s="92" t="s">
        <v>24</v>
      </c>
      <c r="L18" s="9">
        <f>SUM(E2:E31)</f>
        <v>116.5</v>
      </c>
      <c r="M18" s="10" t="s">
        <v>25</v>
      </c>
    </row>
    <row r="19" spans="2:13">
      <c r="B19" s="3">
        <v>18</v>
      </c>
      <c r="D19" s="4"/>
      <c r="F19" s="101">
        <f t="shared" si="1"/>
        <v>0</v>
      </c>
      <c r="H19" s="5">
        <f t="shared" si="2"/>
        <v>0</v>
      </c>
      <c r="I19" s="6">
        <f t="shared" si="0"/>
        <v>0</v>
      </c>
      <c r="K19" s="91" t="s">
        <v>26</v>
      </c>
      <c r="L19">
        <f>L15*L18</f>
        <v>1747.5</v>
      </c>
      <c r="M19" s="4" t="s">
        <v>25</v>
      </c>
    </row>
    <row r="20" spans="2:13" ht="17.25" thickBot="1">
      <c r="B20" s="3">
        <v>19</v>
      </c>
      <c r="D20" s="4"/>
      <c r="F20" s="101">
        <f t="shared" si="1"/>
        <v>0</v>
      </c>
      <c r="H20" s="5">
        <f t="shared" si="2"/>
        <v>0</v>
      </c>
      <c r="I20" s="6">
        <f t="shared" si="0"/>
        <v>0</v>
      </c>
      <c r="K20" s="14" t="s">
        <v>27</v>
      </c>
      <c r="L20" s="11">
        <f>L16*L17+L19</f>
        <v>4747.5</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0" t="s">
        <v>388</v>
      </c>
      <c r="L22" s="151"/>
      <c r="M22" s="152"/>
    </row>
    <row r="23" spans="2:13">
      <c r="B23" s="3">
        <v>22</v>
      </c>
      <c r="D23" s="4"/>
      <c r="F23" s="101">
        <f t="shared" si="1"/>
        <v>0</v>
      </c>
      <c r="H23" s="5">
        <f t="shared" si="2"/>
        <v>0</v>
      </c>
      <c r="I23" s="6">
        <f t="shared" si="0"/>
        <v>0</v>
      </c>
      <c r="K23" s="91" t="s">
        <v>382</v>
      </c>
      <c r="L23">
        <f>SUM(F2:F31)</f>
        <v>1747.5</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0" t="s">
        <v>387</v>
      </c>
      <c r="L29" s="151"/>
      <c r="M29" s="152"/>
    </row>
    <row r="30" spans="2:13">
      <c r="B30" s="3">
        <v>29</v>
      </c>
      <c r="D30" s="4"/>
      <c r="F30" s="101">
        <f t="shared" si="1"/>
        <v>0</v>
      </c>
      <c r="H30" s="5">
        <f t="shared" si="2"/>
        <v>0</v>
      </c>
      <c r="I30" s="6">
        <f t="shared" si="0"/>
        <v>0</v>
      </c>
      <c r="K30" s="91" t="s">
        <v>28</v>
      </c>
      <c r="L30" s="5" t="e">
        <f>SUM(H2:H31)</f>
        <v>#N/A</v>
      </c>
      <c r="M30" s="4" t="s">
        <v>386</v>
      </c>
    </row>
    <row r="31" spans="2:13" ht="17.25" thickBot="1">
      <c r="B31" s="13">
        <v>30</v>
      </c>
      <c r="C31" s="14"/>
      <c r="D31" s="12"/>
      <c r="E31" s="95"/>
      <c r="F31" s="102">
        <f t="shared" si="1"/>
        <v>0</v>
      </c>
      <c r="G31" s="11"/>
      <c r="H31" s="15">
        <f t="shared" si="2"/>
        <v>0</v>
      </c>
      <c r="I31" s="16">
        <f t="shared" si="0"/>
        <v>0</v>
      </c>
      <c r="K31" s="14" t="s">
        <v>385</v>
      </c>
      <c r="L31" s="15" t="e">
        <f>SUM(I2:I31)</f>
        <v>#N/A</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4C39-0DEF-4C57-A0E4-9318C6B84B50}">
  <sheetPr>
    <pageSetUpPr fitToPage="1"/>
  </sheetPr>
  <dimension ref="B1:M31"/>
  <sheetViews>
    <sheetView workbookViewId="0">
      <selection activeCell="E15" sqref="E1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6" t="s">
        <v>441</v>
      </c>
      <c r="K1" s="150" t="s">
        <v>8</v>
      </c>
      <c r="L1" s="151"/>
      <c r="M1" s="152"/>
    </row>
    <row r="2" spans="2:13">
      <c r="B2" s="3">
        <v>1</v>
      </c>
      <c r="C2" t="s">
        <v>426</v>
      </c>
      <c r="D2" s="4"/>
      <c r="E2" s="88">
        <v>20</v>
      </c>
      <c r="F2" s="147">
        <f>E2*$L$15</f>
        <v>300</v>
      </c>
      <c r="G2">
        <f>VLOOKUP($C2,[1]약재관리!$A:$J,10,FALSE)</f>
        <v>14</v>
      </c>
      <c r="H2" s="5">
        <f>G2*E2</f>
        <v>280</v>
      </c>
      <c r="I2" s="6">
        <f t="shared" ref="I2:I31" si="0">G2*F2</f>
        <v>4200</v>
      </c>
      <c r="J2" s="103">
        <f>F2/$L$14</f>
        <v>20</v>
      </c>
      <c r="K2" s="7" t="s">
        <v>9</v>
      </c>
      <c r="L2" s="162">
        <v>53</v>
      </c>
      <c r="M2" s="163"/>
    </row>
    <row r="3" spans="2:13">
      <c r="B3" s="3">
        <v>2</v>
      </c>
      <c r="C3" t="s">
        <v>427</v>
      </c>
      <c r="D3" s="4"/>
      <c r="E3" s="88">
        <v>20</v>
      </c>
      <c r="F3" s="101">
        <f t="shared" ref="F3:F31" si="1">E3*$L$15</f>
        <v>300</v>
      </c>
      <c r="G3">
        <f>VLOOKUP($C3,[1]약재관리!$A:$J,10,FALSE)</f>
        <v>8</v>
      </c>
      <c r="H3" s="5">
        <f t="shared" ref="H3:H31" si="2">G3*E3</f>
        <v>160</v>
      </c>
      <c r="I3" s="6">
        <f t="shared" si="0"/>
        <v>2400</v>
      </c>
      <c r="J3" s="103">
        <f t="shared" ref="J3:J18" si="3">F3/$L$14</f>
        <v>20</v>
      </c>
      <c r="K3" s="8" t="s">
        <v>10</v>
      </c>
      <c r="L3" s="164" t="s">
        <v>439</v>
      </c>
      <c r="M3" s="165"/>
    </row>
    <row r="4" spans="2:13">
      <c r="B4" s="3">
        <v>3</v>
      </c>
      <c r="C4" t="s">
        <v>437</v>
      </c>
      <c r="D4" s="4"/>
      <c r="E4" s="88">
        <v>15</v>
      </c>
      <c r="F4" s="101">
        <f t="shared" si="1"/>
        <v>225</v>
      </c>
      <c r="G4">
        <f>VLOOKUP($C4,[1]약재관리!$A:$J,10,FALSE)</f>
        <v>17.600000000000001</v>
      </c>
      <c r="H4" s="5">
        <f t="shared" si="2"/>
        <v>264</v>
      </c>
      <c r="I4" s="6">
        <f t="shared" si="0"/>
        <v>3960.0000000000005</v>
      </c>
      <c r="J4" s="103">
        <f t="shared" si="3"/>
        <v>15</v>
      </c>
      <c r="K4" s="8" t="s">
        <v>11</v>
      </c>
      <c r="L4" s="166">
        <v>46078</v>
      </c>
      <c r="M4" s="165"/>
    </row>
    <row r="5" spans="2:13">
      <c r="B5" s="3">
        <v>4</v>
      </c>
      <c r="C5" t="s">
        <v>408</v>
      </c>
      <c r="D5" s="4"/>
      <c r="E5" s="88">
        <v>10</v>
      </c>
      <c r="F5" s="101">
        <f t="shared" si="1"/>
        <v>150</v>
      </c>
      <c r="G5">
        <f>VLOOKUP($C5,[1]약재관리!$A:$J,10,FALSE)</f>
        <v>8.6999999999999993</v>
      </c>
      <c r="H5" s="5">
        <f t="shared" si="2"/>
        <v>87</v>
      </c>
      <c r="I5" s="6">
        <f t="shared" si="0"/>
        <v>1305</v>
      </c>
      <c r="J5" s="103">
        <f t="shared" si="3"/>
        <v>10</v>
      </c>
      <c r="K5" s="8" t="s">
        <v>12</v>
      </c>
      <c r="L5" s="164" t="s">
        <v>418</v>
      </c>
      <c r="M5" s="165"/>
    </row>
    <row r="6" spans="2:13">
      <c r="B6" s="3">
        <v>5</v>
      </c>
      <c r="C6" t="s">
        <v>433</v>
      </c>
      <c r="D6" s="4"/>
      <c r="E6" s="88">
        <v>10</v>
      </c>
      <c r="F6" s="101">
        <f t="shared" si="1"/>
        <v>150</v>
      </c>
      <c r="G6">
        <f>VLOOKUP($C6,[1]약재관리!$A:$J,10,FALSE)</f>
        <v>18.2</v>
      </c>
      <c r="H6" s="5">
        <f t="shared" si="2"/>
        <v>182</v>
      </c>
      <c r="I6" s="6">
        <f t="shared" si="0"/>
        <v>2730</v>
      </c>
      <c r="J6" s="103">
        <f t="shared" si="3"/>
        <v>10</v>
      </c>
      <c r="K6" s="8" t="s">
        <v>13</v>
      </c>
      <c r="L6" s="164">
        <v>11</v>
      </c>
      <c r="M6" s="165"/>
    </row>
    <row r="7" spans="2:13" ht="17.25" thickBot="1">
      <c r="B7" s="3">
        <v>6</v>
      </c>
      <c r="C7" t="s">
        <v>421</v>
      </c>
      <c r="D7" s="4"/>
      <c r="E7" s="88">
        <v>8</v>
      </c>
      <c r="F7" s="101">
        <f t="shared" si="1"/>
        <v>120</v>
      </c>
      <c r="G7">
        <f>VLOOKUP($C7,[1]약재관리!$A:$J,10,FALSE)</f>
        <v>41</v>
      </c>
      <c r="H7" s="5">
        <f t="shared" si="2"/>
        <v>328</v>
      </c>
      <c r="I7" s="6">
        <f t="shared" si="0"/>
        <v>4920</v>
      </c>
      <c r="J7" s="103">
        <f t="shared" si="3"/>
        <v>8</v>
      </c>
      <c r="K7" s="8" t="s">
        <v>14</v>
      </c>
      <c r="L7" s="148" t="s">
        <v>419</v>
      </c>
      <c r="M7" s="149"/>
    </row>
    <row r="8" spans="2:13" ht="17.25" thickBot="1">
      <c r="B8" s="3">
        <v>7</v>
      </c>
      <c r="C8" t="s">
        <v>434</v>
      </c>
      <c r="D8" s="4"/>
      <c r="E8" s="88">
        <v>5</v>
      </c>
      <c r="F8" s="101">
        <f t="shared" si="1"/>
        <v>75</v>
      </c>
      <c r="G8" t="e">
        <f>VLOOKUP($C8,[1]약재관리!$A:$J,10,FALSE)</f>
        <v>#N/A</v>
      </c>
      <c r="H8" s="5" t="e">
        <f t="shared" si="2"/>
        <v>#N/A</v>
      </c>
      <c r="I8" s="6" t="e">
        <f t="shared" si="0"/>
        <v>#N/A</v>
      </c>
      <c r="J8" s="103">
        <f t="shared" si="3"/>
        <v>5</v>
      </c>
      <c r="K8" s="150" t="s">
        <v>15</v>
      </c>
      <c r="L8" s="151"/>
      <c r="M8" s="152"/>
    </row>
    <row r="9" spans="2:13">
      <c r="B9" s="3">
        <v>8</v>
      </c>
      <c r="C9" t="s">
        <v>420</v>
      </c>
      <c r="D9" s="4"/>
      <c r="E9" s="88">
        <v>5</v>
      </c>
      <c r="F9" s="101">
        <f t="shared" si="1"/>
        <v>75</v>
      </c>
      <c r="G9">
        <f>VLOOKUP($C9,[1]약재관리!$A:$J,10,FALSE)</f>
        <v>15.4</v>
      </c>
      <c r="H9" s="5">
        <f t="shared" si="2"/>
        <v>77</v>
      </c>
      <c r="I9" s="6">
        <f t="shared" si="0"/>
        <v>1155</v>
      </c>
      <c r="J9" s="103">
        <f t="shared" si="3"/>
        <v>5</v>
      </c>
      <c r="K9" s="153" t="s">
        <v>442</v>
      </c>
      <c r="L9" s="154"/>
      <c r="M9" s="155"/>
    </row>
    <row r="10" spans="2:13">
      <c r="B10" s="3">
        <v>9</v>
      </c>
      <c r="C10" t="s">
        <v>440</v>
      </c>
      <c r="D10" s="4"/>
      <c r="E10" s="88">
        <v>5</v>
      </c>
      <c r="F10" s="101">
        <f t="shared" si="1"/>
        <v>75</v>
      </c>
      <c r="G10">
        <f>VLOOKUP($C10,[1]약재관리!$A:$J,10,FALSE)</f>
        <v>11.2</v>
      </c>
      <c r="H10" s="5">
        <f t="shared" si="2"/>
        <v>56</v>
      </c>
      <c r="I10" s="6">
        <f t="shared" si="0"/>
        <v>840</v>
      </c>
      <c r="J10" s="103">
        <f t="shared" si="3"/>
        <v>5</v>
      </c>
      <c r="K10" s="156"/>
      <c r="L10" s="157"/>
      <c r="M10" s="158"/>
    </row>
    <row r="11" spans="2:13">
      <c r="B11" s="3">
        <v>10</v>
      </c>
      <c r="C11" t="s">
        <v>435</v>
      </c>
      <c r="D11" s="4"/>
      <c r="E11" s="88">
        <v>5</v>
      </c>
      <c r="F11" s="101">
        <f t="shared" si="1"/>
        <v>75</v>
      </c>
      <c r="G11">
        <f>VLOOKUP($C11,[1]약재관리!$A:$J,10,FALSE)</f>
        <v>33</v>
      </c>
      <c r="H11" s="5">
        <f t="shared" si="2"/>
        <v>165</v>
      </c>
      <c r="I11" s="6">
        <f t="shared" si="0"/>
        <v>2475</v>
      </c>
      <c r="J11" s="103">
        <f t="shared" si="3"/>
        <v>5</v>
      </c>
      <c r="K11" s="156"/>
      <c r="L11" s="157"/>
      <c r="M11" s="158"/>
    </row>
    <row r="12" spans="2:13">
      <c r="B12" s="3">
        <v>11</v>
      </c>
      <c r="C12" t="s">
        <v>436</v>
      </c>
      <c r="D12" s="4"/>
      <c r="E12" s="88">
        <v>5</v>
      </c>
      <c r="F12" s="101">
        <f t="shared" si="1"/>
        <v>75</v>
      </c>
      <c r="G12">
        <f>VLOOKUP($C12,[1]약재관리!$A:$J,10,FALSE)</f>
        <v>30</v>
      </c>
      <c r="H12" s="5">
        <f t="shared" si="2"/>
        <v>150</v>
      </c>
      <c r="I12" s="6">
        <f t="shared" si="0"/>
        <v>2250</v>
      </c>
      <c r="J12" s="103">
        <f t="shared" si="3"/>
        <v>5</v>
      </c>
      <c r="K12" s="156"/>
      <c r="L12" s="157"/>
      <c r="M12" s="158"/>
    </row>
    <row r="13" spans="2:13" ht="17.25" thickBot="1">
      <c r="B13" s="3">
        <v>12</v>
      </c>
      <c r="C13" t="s">
        <v>409</v>
      </c>
      <c r="D13" s="4"/>
      <c r="E13" s="88">
        <v>4</v>
      </c>
      <c r="F13" s="101">
        <f t="shared" si="1"/>
        <v>60</v>
      </c>
      <c r="G13">
        <f>VLOOKUP($C13,[1]약재관리!$A:$J,10,FALSE)</f>
        <v>5.5</v>
      </c>
      <c r="H13" s="5">
        <f t="shared" si="2"/>
        <v>22</v>
      </c>
      <c r="I13" s="6">
        <f t="shared" si="0"/>
        <v>330</v>
      </c>
      <c r="J13" s="103">
        <f t="shared" si="3"/>
        <v>4</v>
      </c>
      <c r="K13" s="159"/>
      <c r="L13" s="160"/>
      <c r="M13" s="161"/>
    </row>
    <row r="14" spans="2:13">
      <c r="B14" s="3">
        <v>13</v>
      </c>
      <c r="C14" t="s">
        <v>416</v>
      </c>
      <c r="D14" s="4"/>
      <c r="E14" s="88">
        <v>4</v>
      </c>
      <c r="F14" s="101">
        <f t="shared" si="1"/>
        <v>60</v>
      </c>
      <c r="G14">
        <f>VLOOKUP($C14,[1]약재관리!$A:$J,10,FALSE)</f>
        <v>31.3</v>
      </c>
      <c r="H14" s="5">
        <f>G14*E14</f>
        <v>125.2</v>
      </c>
      <c r="I14" s="6">
        <f>G14*F14</f>
        <v>1878</v>
      </c>
      <c r="J14" s="103">
        <f t="shared" si="3"/>
        <v>4</v>
      </c>
      <c r="K14" s="92" t="s">
        <v>16</v>
      </c>
      <c r="L14" s="9">
        <v>15</v>
      </c>
      <c r="M14" s="10" t="s">
        <v>17</v>
      </c>
    </row>
    <row r="15" spans="2:13">
      <c r="B15" s="3">
        <v>14</v>
      </c>
      <c r="D15" s="4"/>
      <c r="F15" s="101">
        <f t="shared" si="1"/>
        <v>0</v>
      </c>
      <c r="H15" s="5">
        <f>G15*E15</f>
        <v>0</v>
      </c>
      <c r="I15" s="6">
        <f>G15*F15</f>
        <v>0</v>
      </c>
      <c r="J15" s="103">
        <f t="shared" si="3"/>
        <v>0</v>
      </c>
      <c r="K15" s="91" t="s">
        <v>18</v>
      </c>
      <c r="L15">
        <v>15</v>
      </c>
      <c r="M15" s="4" t="s">
        <v>19</v>
      </c>
    </row>
    <row r="16" spans="2:13">
      <c r="B16" s="3">
        <v>15</v>
      </c>
      <c r="D16" s="4"/>
      <c r="F16" s="101">
        <f t="shared" si="1"/>
        <v>0</v>
      </c>
      <c r="H16" s="5">
        <f t="shared" si="2"/>
        <v>0</v>
      </c>
      <c r="I16" s="6">
        <f t="shared" si="0"/>
        <v>0</v>
      </c>
      <c r="J16" s="103">
        <f t="shared" si="3"/>
        <v>0</v>
      </c>
      <c r="K16" s="91" t="s">
        <v>20</v>
      </c>
      <c r="L16">
        <v>30</v>
      </c>
      <c r="M16" s="4" t="s">
        <v>21</v>
      </c>
    </row>
    <row r="17" spans="2:13" ht="17.25" thickBot="1">
      <c r="B17" s="3">
        <v>16</v>
      </c>
      <c r="D17" s="4"/>
      <c r="F17" s="101">
        <f t="shared" si="1"/>
        <v>0</v>
      </c>
      <c r="H17" s="5">
        <f t="shared" si="2"/>
        <v>0</v>
      </c>
      <c r="I17" s="6">
        <f t="shared" si="0"/>
        <v>0</v>
      </c>
      <c r="J17" s="103">
        <f t="shared" si="3"/>
        <v>0</v>
      </c>
      <c r="K17" s="14" t="s">
        <v>22</v>
      </c>
      <c r="L17" s="11">
        <v>100</v>
      </c>
      <c r="M17" s="12" t="s">
        <v>23</v>
      </c>
    </row>
    <row r="18" spans="2:13">
      <c r="B18" s="3">
        <v>17</v>
      </c>
      <c r="D18" s="4"/>
      <c r="F18" s="101">
        <f t="shared" si="1"/>
        <v>0</v>
      </c>
      <c r="H18" s="5">
        <f t="shared" si="2"/>
        <v>0</v>
      </c>
      <c r="I18" s="6">
        <f t="shared" si="0"/>
        <v>0</v>
      </c>
      <c r="J18" s="103">
        <f t="shared" si="3"/>
        <v>0</v>
      </c>
      <c r="K18" s="92" t="s">
        <v>24</v>
      </c>
      <c r="L18" s="9">
        <f>SUM(E2:E31)</f>
        <v>116</v>
      </c>
      <c r="M18" s="10" t="s">
        <v>25</v>
      </c>
    </row>
    <row r="19" spans="2:13">
      <c r="B19" s="3">
        <v>18</v>
      </c>
      <c r="D19" s="4"/>
      <c r="F19" s="101">
        <f t="shared" si="1"/>
        <v>0</v>
      </c>
      <c r="H19" s="5">
        <f t="shared" si="2"/>
        <v>0</v>
      </c>
      <c r="I19" s="6">
        <f t="shared" si="0"/>
        <v>0</v>
      </c>
      <c r="K19" s="91" t="s">
        <v>26</v>
      </c>
      <c r="L19">
        <f>L15*L18</f>
        <v>1740</v>
      </c>
      <c r="M19" s="4" t="s">
        <v>25</v>
      </c>
    </row>
    <row r="20" spans="2:13" ht="17.25" thickBot="1">
      <c r="B20" s="3">
        <v>19</v>
      </c>
      <c r="D20" s="4"/>
      <c r="F20" s="101">
        <f t="shared" si="1"/>
        <v>0</v>
      </c>
      <c r="H20" s="5">
        <f t="shared" si="2"/>
        <v>0</v>
      </c>
      <c r="I20" s="6">
        <f t="shared" si="0"/>
        <v>0</v>
      </c>
      <c r="K20" s="14" t="s">
        <v>27</v>
      </c>
      <c r="L20" s="11">
        <f>L16*L17+L19</f>
        <v>4740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0" t="s">
        <v>388</v>
      </c>
      <c r="L22" s="151"/>
      <c r="M22" s="152"/>
    </row>
    <row r="23" spans="2:13">
      <c r="B23" s="3">
        <v>22</v>
      </c>
      <c r="D23" s="4"/>
      <c r="F23" s="101">
        <f t="shared" si="1"/>
        <v>0</v>
      </c>
      <c r="H23" s="5">
        <f t="shared" si="2"/>
        <v>0</v>
      </c>
      <c r="I23" s="6">
        <f t="shared" si="0"/>
        <v>0</v>
      </c>
      <c r="K23" s="91" t="s">
        <v>382</v>
      </c>
      <c r="L23">
        <f>SUM(F2:F31)</f>
        <v>1740</v>
      </c>
      <c r="M23" s="4" t="s">
        <v>25</v>
      </c>
    </row>
    <row r="24" spans="2:13">
      <c r="B24" s="3">
        <v>23</v>
      </c>
      <c r="D24" s="4"/>
      <c r="F24" s="101">
        <f t="shared" si="1"/>
        <v>0</v>
      </c>
      <c r="H24" s="5">
        <f t="shared" si="2"/>
        <v>0</v>
      </c>
      <c r="I24" s="6">
        <f t="shared" si="0"/>
        <v>0</v>
      </c>
      <c r="K24" s="91" t="s">
        <v>389</v>
      </c>
      <c r="L24">
        <v>5000</v>
      </c>
      <c r="M24" s="4" t="s">
        <v>23</v>
      </c>
    </row>
    <row r="25" spans="2:13">
      <c r="B25" s="3">
        <v>24</v>
      </c>
      <c r="D25" s="4"/>
      <c r="F25" s="101">
        <f t="shared" si="1"/>
        <v>0</v>
      </c>
      <c r="H25" s="5">
        <f t="shared" si="2"/>
        <v>0</v>
      </c>
      <c r="I25" s="6">
        <f t="shared" si="0"/>
        <v>0</v>
      </c>
      <c r="K25" s="91" t="s">
        <v>28</v>
      </c>
      <c r="L25" s="93" t="s">
        <v>384</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383</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0" t="s">
        <v>387</v>
      </c>
      <c r="L29" s="151"/>
      <c r="M29" s="152"/>
    </row>
    <row r="30" spans="2:13">
      <c r="B30" s="3">
        <v>29</v>
      </c>
      <c r="D30" s="4"/>
      <c r="F30" s="101">
        <f t="shared" si="1"/>
        <v>0</v>
      </c>
      <c r="H30" s="5">
        <f t="shared" si="2"/>
        <v>0</v>
      </c>
      <c r="I30" s="6">
        <f t="shared" si="0"/>
        <v>0</v>
      </c>
      <c r="K30" s="91" t="s">
        <v>28</v>
      </c>
      <c r="L30" s="5" t="e">
        <f>SUM(H2:H31)</f>
        <v>#N/A</v>
      </c>
      <c r="M30" s="4" t="s">
        <v>386</v>
      </c>
    </row>
    <row r="31" spans="2:13" ht="17.25" thickBot="1">
      <c r="B31" s="13">
        <v>30</v>
      </c>
      <c r="C31" s="14"/>
      <c r="D31" s="12"/>
      <c r="E31" s="95"/>
      <c r="F31" s="102">
        <f t="shared" si="1"/>
        <v>0</v>
      </c>
      <c r="G31" s="11"/>
      <c r="H31" s="15">
        <f t="shared" si="2"/>
        <v>0</v>
      </c>
      <c r="I31" s="16">
        <f t="shared" si="0"/>
        <v>0</v>
      </c>
      <c r="K31" s="14" t="s">
        <v>385</v>
      </c>
      <c r="L31" s="15" t="e">
        <f>SUM(I2:I31)</f>
        <v>#N/A</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E6DF-AA84-4C42-99EF-A704414DCA3B}">
  <sheetPr>
    <pageSetUpPr fitToPage="1"/>
  </sheetPr>
  <dimension ref="B1:M31"/>
  <sheetViews>
    <sheetView workbookViewId="0">
      <selection activeCell="C22" sqref="C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426</v>
      </c>
      <c r="D2" s="4"/>
      <c r="E2" s="88">
        <v>15</v>
      </c>
      <c r="F2" s="101">
        <f>E2*$L$15</f>
        <v>225</v>
      </c>
      <c r="G2">
        <f>VLOOKUP($C2,약재관리!A:J,10,FALSE)</f>
        <v>15</v>
      </c>
      <c r="H2" s="5">
        <f>G2*E2</f>
        <v>225</v>
      </c>
      <c r="I2" s="90">
        <f>G2*F2</f>
        <v>3375</v>
      </c>
      <c r="K2" s="7" t="s">
        <v>9</v>
      </c>
      <c r="L2" s="162">
        <v>53</v>
      </c>
      <c r="M2" s="163"/>
    </row>
    <row r="3" spans="2:13">
      <c r="B3" s="3">
        <v>2</v>
      </c>
      <c r="C3" t="s">
        <v>427</v>
      </c>
      <c r="D3" s="4"/>
      <c r="E3" s="88">
        <v>15</v>
      </c>
      <c r="F3" s="101">
        <f t="shared" ref="F3:F31" si="0">E3*$L$15</f>
        <v>225</v>
      </c>
      <c r="G3">
        <f>VLOOKUP($C3,약재관리!A:J,10,FALSE)</f>
        <v>8</v>
      </c>
      <c r="H3" s="5">
        <f t="shared" ref="H3:H31" si="1">G3*E3</f>
        <v>120</v>
      </c>
      <c r="I3" s="6">
        <f t="shared" ref="I3:I31" si="2">G3*F3</f>
        <v>1800</v>
      </c>
      <c r="K3" s="8" t="s">
        <v>10</v>
      </c>
      <c r="L3" s="164" t="s">
        <v>439</v>
      </c>
      <c r="M3" s="165"/>
    </row>
    <row r="4" spans="2:13">
      <c r="B4" s="3">
        <v>3</v>
      </c>
      <c r="C4" t="s">
        <v>437</v>
      </c>
      <c r="D4" s="4"/>
      <c r="E4" s="88">
        <v>15</v>
      </c>
      <c r="F4" s="101">
        <f t="shared" si="0"/>
        <v>225</v>
      </c>
      <c r="G4">
        <f>VLOOKUP($C4,약재관리!A:J,10,FALSE)</f>
        <v>17.600000000000001</v>
      </c>
      <c r="H4" s="5">
        <f t="shared" si="1"/>
        <v>264</v>
      </c>
      <c r="I4" s="6">
        <f t="shared" si="2"/>
        <v>3960.0000000000005</v>
      </c>
      <c r="K4" s="8" t="s">
        <v>11</v>
      </c>
      <c r="L4" s="166">
        <v>46020</v>
      </c>
      <c r="M4" s="165"/>
    </row>
    <row r="5" spans="2:13">
      <c r="B5" s="3">
        <v>4</v>
      </c>
      <c r="C5" t="s">
        <v>408</v>
      </c>
      <c r="D5" s="4"/>
      <c r="E5" s="88">
        <v>15</v>
      </c>
      <c r="F5" s="101">
        <f t="shared" si="0"/>
        <v>225</v>
      </c>
      <c r="G5">
        <f>VLOOKUP($C5,약재관리!A:J,10,FALSE)</f>
        <v>11</v>
      </c>
      <c r="H5" s="5">
        <f t="shared" si="1"/>
        <v>165</v>
      </c>
      <c r="I5" s="6">
        <f t="shared" si="2"/>
        <v>2475</v>
      </c>
      <c r="K5" s="8" t="s">
        <v>12</v>
      </c>
      <c r="L5" s="164" t="s">
        <v>418</v>
      </c>
      <c r="M5" s="165"/>
    </row>
    <row r="6" spans="2:13">
      <c r="B6" s="3">
        <v>5</v>
      </c>
      <c r="C6" t="s">
        <v>433</v>
      </c>
      <c r="D6" s="4"/>
      <c r="E6" s="88">
        <v>15</v>
      </c>
      <c r="F6" s="101">
        <f t="shared" si="0"/>
        <v>225</v>
      </c>
      <c r="G6">
        <v>18.2</v>
      </c>
      <c r="H6" s="5">
        <f t="shared" si="1"/>
        <v>273</v>
      </c>
      <c r="I6" s="6">
        <f t="shared" si="2"/>
        <v>4095</v>
      </c>
      <c r="K6" s="8" t="s">
        <v>13</v>
      </c>
      <c r="L6" s="164">
        <v>11</v>
      </c>
      <c r="M6" s="165"/>
    </row>
    <row r="7" spans="2:13" ht="17.25" thickBot="1">
      <c r="B7" s="3">
        <v>6</v>
      </c>
      <c r="C7" t="s">
        <v>421</v>
      </c>
      <c r="D7" s="4"/>
      <c r="E7" s="88">
        <v>5</v>
      </c>
      <c r="F7" s="101">
        <f t="shared" si="0"/>
        <v>75</v>
      </c>
      <c r="G7">
        <f>VLOOKUP($C7,약재관리!A:J,10,FALSE)</f>
        <v>47</v>
      </c>
      <c r="H7" s="5">
        <f t="shared" si="1"/>
        <v>235</v>
      </c>
      <c r="I7" s="6">
        <f t="shared" si="2"/>
        <v>3525</v>
      </c>
      <c r="K7" s="8" t="s">
        <v>14</v>
      </c>
      <c r="L7" s="148" t="s">
        <v>419</v>
      </c>
      <c r="M7" s="149"/>
    </row>
    <row r="8" spans="2:13" ht="17.25" thickBot="1">
      <c r="B8" s="3">
        <v>7</v>
      </c>
      <c r="C8" t="s">
        <v>434</v>
      </c>
      <c r="D8" s="4"/>
      <c r="E8" s="88">
        <v>5</v>
      </c>
      <c r="F8" s="101">
        <f t="shared" si="0"/>
        <v>75</v>
      </c>
      <c r="G8">
        <f>VLOOKUP($C8,약재관리!A:J,10,FALSE)</f>
        <v>26</v>
      </c>
      <c r="H8" s="5">
        <f t="shared" si="1"/>
        <v>130</v>
      </c>
      <c r="I8" s="6">
        <f t="shared" si="2"/>
        <v>1950</v>
      </c>
      <c r="K8" s="150" t="s">
        <v>15</v>
      </c>
      <c r="L8" s="151"/>
      <c r="M8" s="152"/>
    </row>
    <row r="9" spans="2:13">
      <c r="B9" s="3">
        <v>8</v>
      </c>
      <c r="C9" t="s">
        <v>420</v>
      </c>
      <c r="D9" s="4"/>
      <c r="E9" s="88">
        <v>5</v>
      </c>
      <c r="F9" s="101">
        <f t="shared" si="0"/>
        <v>75</v>
      </c>
      <c r="G9">
        <f>VLOOKUP($C9,약재관리!A:J,10,FALSE)</f>
        <v>15.4</v>
      </c>
      <c r="H9" s="5">
        <f t="shared" si="1"/>
        <v>77</v>
      </c>
      <c r="I9" s="6">
        <f t="shared" si="2"/>
        <v>1155</v>
      </c>
      <c r="K9" s="167"/>
      <c r="L9" s="154"/>
      <c r="M9" s="155"/>
    </row>
    <row r="10" spans="2:13">
      <c r="B10" s="3">
        <v>9</v>
      </c>
      <c r="C10" t="s">
        <v>438</v>
      </c>
      <c r="D10" s="4"/>
      <c r="E10" s="88">
        <v>5</v>
      </c>
      <c r="F10" s="101">
        <f t="shared" si="0"/>
        <v>75</v>
      </c>
      <c r="G10">
        <f>VLOOKUP($C10,약재관리!A:J,10,FALSE)</f>
        <v>8.3000000000000007</v>
      </c>
      <c r="H10" s="5">
        <f t="shared" si="1"/>
        <v>41.5</v>
      </c>
      <c r="I10" s="6">
        <f t="shared" si="2"/>
        <v>622.5</v>
      </c>
      <c r="K10" s="156"/>
      <c r="L10" s="157"/>
      <c r="M10" s="158"/>
    </row>
    <row r="11" spans="2:13">
      <c r="B11" s="3">
        <v>10</v>
      </c>
      <c r="C11" t="s">
        <v>435</v>
      </c>
      <c r="D11" s="4"/>
      <c r="E11" s="88">
        <v>5</v>
      </c>
      <c r="F11" s="101">
        <f t="shared" si="0"/>
        <v>75</v>
      </c>
      <c r="G11">
        <f>VLOOKUP($C11,약재관리!A:J,10,FALSE)</f>
        <v>28</v>
      </c>
      <c r="H11" s="5">
        <f t="shared" si="1"/>
        <v>140</v>
      </c>
      <c r="I11" s="6">
        <f t="shared" si="2"/>
        <v>2100</v>
      </c>
      <c r="K11" s="156"/>
      <c r="L11" s="157"/>
      <c r="M11" s="158"/>
    </row>
    <row r="12" spans="2:13">
      <c r="B12" s="3">
        <v>11</v>
      </c>
      <c r="C12" t="s">
        <v>436</v>
      </c>
      <c r="D12" s="4"/>
      <c r="E12" s="88">
        <v>5</v>
      </c>
      <c r="F12" s="101">
        <f t="shared" si="0"/>
        <v>75</v>
      </c>
      <c r="G12">
        <f>VLOOKUP($C12,약재관리!A:J,10,FALSE)</f>
        <v>28.3</v>
      </c>
      <c r="H12" s="5">
        <f t="shared" si="1"/>
        <v>141.5</v>
      </c>
      <c r="I12" s="6">
        <f t="shared" si="2"/>
        <v>2122.5</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15</v>
      </c>
      <c r="M15" s="4" t="s">
        <v>19</v>
      </c>
    </row>
    <row r="16" spans="2:13">
      <c r="B16" s="3">
        <v>15</v>
      </c>
      <c r="D16" s="4"/>
      <c r="F16" s="101">
        <f t="shared" si="0"/>
        <v>0</v>
      </c>
      <c r="H16" s="5">
        <f t="shared" si="1"/>
        <v>0</v>
      </c>
      <c r="I16" s="6">
        <f t="shared" si="2"/>
        <v>0</v>
      </c>
      <c r="K16" s="91" t="s">
        <v>20</v>
      </c>
      <c r="L16">
        <v>30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105</v>
      </c>
      <c r="M18" s="10" t="s">
        <v>25</v>
      </c>
    </row>
    <row r="19" spans="2:13">
      <c r="B19" s="3">
        <v>18</v>
      </c>
      <c r="D19" s="4"/>
      <c r="F19" s="101">
        <f t="shared" si="0"/>
        <v>0</v>
      </c>
      <c r="H19" s="5">
        <f t="shared" si="1"/>
        <v>0</v>
      </c>
      <c r="I19" s="6">
        <f t="shared" si="2"/>
        <v>0</v>
      </c>
      <c r="K19" s="91" t="s">
        <v>26</v>
      </c>
      <c r="L19">
        <f>L15*L18</f>
        <v>1575</v>
      </c>
      <c r="M19" s="4" t="s">
        <v>25</v>
      </c>
    </row>
    <row r="20" spans="2:13" ht="17.25" thickBot="1">
      <c r="B20" s="3">
        <v>19</v>
      </c>
      <c r="D20" s="4"/>
      <c r="F20" s="101">
        <f t="shared" si="0"/>
        <v>0</v>
      </c>
      <c r="H20" s="5">
        <f t="shared" si="1"/>
        <v>0</v>
      </c>
      <c r="I20" s="6">
        <f t="shared" si="2"/>
        <v>0</v>
      </c>
      <c r="K20" s="14" t="s">
        <v>27</v>
      </c>
      <c r="L20" s="11">
        <f>L16*L17+L19</f>
        <v>4575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1575</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1812</v>
      </c>
      <c r="M30" s="4" t="s">
        <v>386</v>
      </c>
    </row>
    <row r="31" spans="2:13" ht="17.25" thickBot="1">
      <c r="B31" s="13">
        <v>30</v>
      </c>
      <c r="C31" s="14"/>
      <c r="D31" s="12"/>
      <c r="E31" s="95"/>
      <c r="F31" s="102">
        <f t="shared" si="0"/>
        <v>0</v>
      </c>
      <c r="G31" s="14"/>
      <c r="H31" s="15">
        <f t="shared" si="1"/>
        <v>0</v>
      </c>
      <c r="I31" s="16">
        <f t="shared" si="2"/>
        <v>0</v>
      </c>
      <c r="K31" s="14" t="s">
        <v>385</v>
      </c>
      <c r="L31" s="15">
        <f>SUM(I2:I31)</f>
        <v>27180</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DD93A-D88B-4CE2-96FE-64378A74F149}">
  <sheetPr>
    <pageSetUpPr fitToPage="1"/>
  </sheetPr>
  <dimension ref="B1:M31"/>
  <sheetViews>
    <sheetView workbookViewId="0">
      <selection activeCell="S9" sqref="S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426</v>
      </c>
      <c r="D2" s="4"/>
      <c r="E2" s="88">
        <v>15</v>
      </c>
      <c r="F2" s="101">
        <f>E2*$L$15</f>
        <v>225</v>
      </c>
      <c r="G2">
        <f>VLOOKUP($C2,약재관리!A:J,10,FALSE)</f>
        <v>15</v>
      </c>
      <c r="H2" s="5">
        <f>G2*E2</f>
        <v>225</v>
      </c>
      <c r="I2" s="90">
        <f>G2*F2</f>
        <v>3375</v>
      </c>
      <c r="K2" s="7" t="s">
        <v>9</v>
      </c>
      <c r="L2" s="162">
        <v>53</v>
      </c>
      <c r="M2" s="163"/>
    </row>
    <row r="3" spans="2:13">
      <c r="B3" s="3">
        <v>2</v>
      </c>
      <c r="C3" t="s">
        <v>427</v>
      </c>
      <c r="D3" s="4"/>
      <c r="E3" s="88">
        <v>15</v>
      </c>
      <c r="F3" s="101">
        <f t="shared" ref="F3:F31" si="0">E3*$L$15</f>
        <v>225</v>
      </c>
      <c r="G3">
        <f>VLOOKUP($C3,약재관리!A:J,10,FALSE)</f>
        <v>8</v>
      </c>
      <c r="H3" s="5">
        <f t="shared" ref="H3:H31" si="1">G3*E3</f>
        <v>120</v>
      </c>
      <c r="I3" s="6">
        <f t="shared" ref="I3:I31" si="2">G3*F3</f>
        <v>1800</v>
      </c>
      <c r="K3" s="8" t="s">
        <v>10</v>
      </c>
      <c r="L3" s="164" t="s">
        <v>439</v>
      </c>
      <c r="M3" s="165"/>
    </row>
    <row r="4" spans="2:13">
      <c r="B4" s="3">
        <v>3</v>
      </c>
      <c r="C4" t="s">
        <v>437</v>
      </c>
      <c r="D4" s="4"/>
      <c r="E4" s="88">
        <v>15</v>
      </c>
      <c r="F4" s="101">
        <f t="shared" si="0"/>
        <v>225</v>
      </c>
      <c r="G4">
        <f>VLOOKUP($C4,약재관리!A:J,10,FALSE)</f>
        <v>17.600000000000001</v>
      </c>
      <c r="H4" s="5">
        <f t="shared" si="1"/>
        <v>264</v>
      </c>
      <c r="I4" s="6">
        <f t="shared" si="2"/>
        <v>3960.0000000000005</v>
      </c>
      <c r="K4" s="8" t="s">
        <v>11</v>
      </c>
      <c r="L4" s="166">
        <v>46000</v>
      </c>
      <c r="M4" s="165"/>
    </row>
    <row r="5" spans="2:13">
      <c r="B5" s="3">
        <v>4</v>
      </c>
      <c r="C5" t="s">
        <v>408</v>
      </c>
      <c r="D5" s="4"/>
      <c r="E5" s="88">
        <v>15</v>
      </c>
      <c r="F5" s="101">
        <f t="shared" si="0"/>
        <v>225</v>
      </c>
      <c r="G5">
        <f>VLOOKUP($C5,약재관리!A:J,10,FALSE)</f>
        <v>11</v>
      </c>
      <c r="H5" s="5">
        <f t="shared" si="1"/>
        <v>165</v>
      </c>
      <c r="I5" s="6">
        <f t="shared" si="2"/>
        <v>2475</v>
      </c>
      <c r="K5" s="8" t="s">
        <v>12</v>
      </c>
      <c r="L5" s="164" t="s">
        <v>418</v>
      </c>
      <c r="M5" s="165"/>
    </row>
    <row r="6" spans="2:13">
      <c r="B6" s="3">
        <v>5</v>
      </c>
      <c r="C6" t="s">
        <v>433</v>
      </c>
      <c r="D6" s="4"/>
      <c r="E6" s="88">
        <v>15</v>
      </c>
      <c r="F6" s="101">
        <f t="shared" si="0"/>
        <v>225</v>
      </c>
      <c r="G6">
        <v>18.2</v>
      </c>
      <c r="H6" s="5">
        <f t="shared" si="1"/>
        <v>273</v>
      </c>
      <c r="I6" s="6">
        <f t="shared" si="2"/>
        <v>4095</v>
      </c>
      <c r="K6" s="8" t="s">
        <v>13</v>
      </c>
      <c r="L6" s="164">
        <v>11</v>
      </c>
      <c r="M6" s="165"/>
    </row>
    <row r="7" spans="2:13" ht="17.25" thickBot="1">
      <c r="B7" s="3">
        <v>6</v>
      </c>
      <c r="C7" t="s">
        <v>421</v>
      </c>
      <c r="D7" s="4"/>
      <c r="E7" s="88">
        <v>5</v>
      </c>
      <c r="F7" s="101">
        <f t="shared" si="0"/>
        <v>75</v>
      </c>
      <c r="G7">
        <f>VLOOKUP($C7,약재관리!A:J,10,FALSE)</f>
        <v>47</v>
      </c>
      <c r="H7" s="5">
        <f t="shared" si="1"/>
        <v>235</v>
      </c>
      <c r="I7" s="6">
        <f t="shared" si="2"/>
        <v>3525</v>
      </c>
      <c r="K7" s="8" t="s">
        <v>14</v>
      </c>
      <c r="L7" s="148" t="s">
        <v>419</v>
      </c>
      <c r="M7" s="149"/>
    </row>
    <row r="8" spans="2:13" ht="17.25" thickBot="1">
      <c r="B8" s="3">
        <v>7</v>
      </c>
      <c r="C8" t="s">
        <v>434</v>
      </c>
      <c r="D8" s="4"/>
      <c r="E8" s="88">
        <v>5</v>
      </c>
      <c r="F8" s="101">
        <f t="shared" si="0"/>
        <v>75</v>
      </c>
      <c r="G8">
        <f>VLOOKUP($C8,약재관리!A:J,10,FALSE)</f>
        <v>26</v>
      </c>
      <c r="H8" s="5">
        <f t="shared" si="1"/>
        <v>130</v>
      </c>
      <c r="I8" s="6">
        <f t="shared" si="2"/>
        <v>1950</v>
      </c>
      <c r="K8" s="150" t="s">
        <v>15</v>
      </c>
      <c r="L8" s="151"/>
      <c r="M8" s="152"/>
    </row>
    <row r="9" spans="2:13">
      <c r="B9" s="3">
        <v>8</v>
      </c>
      <c r="C9" t="s">
        <v>420</v>
      </c>
      <c r="D9" s="4"/>
      <c r="E9" s="88">
        <v>5</v>
      </c>
      <c r="F9" s="101">
        <f t="shared" si="0"/>
        <v>75</v>
      </c>
      <c r="G9">
        <f>VLOOKUP($C9,약재관리!A:J,10,FALSE)</f>
        <v>15.4</v>
      </c>
      <c r="H9" s="5">
        <f t="shared" si="1"/>
        <v>77</v>
      </c>
      <c r="I9" s="6">
        <f t="shared" si="2"/>
        <v>1155</v>
      </c>
      <c r="K9" s="167"/>
      <c r="L9" s="154"/>
      <c r="M9" s="155"/>
    </row>
    <row r="10" spans="2:13">
      <c r="B10" s="3">
        <v>9</v>
      </c>
      <c r="C10" t="s">
        <v>438</v>
      </c>
      <c r="D10" s="4"/>
      <c r="E10" s="88">
        <v>5</v>
      </c>
      <c r="F10" s="101">
        <f t="shared" si="0"/>
        <v>75</v>
      </c>
      <c r="G10">
        <f>VLOOKUP($C10,약재관리!A:J,10,FALSE)</f>
        <v>8.3000000000000007</v>
      </c>
      <c r="H10" s="5">
        <f t="shared" si="1"/>
        <v>41.5</v>
      </c>
      <c r="I10" s="6">
        <f t="shared" si="2"/>
        <v>622.5</v>
      </c>
      <c r="K10" s="156"/>
      <c r="L10" s="157"/>
      <c r="M10" s="158"/>
    </row>
    <row r="11" spans="2:13">
      <c r="B11" s="3">
        <v>10</v>
      </c>
      <c r="C11" t="s">
        <v>435</v>
      </c>
      <c r="D11" s="4"/>
      <c r="E11" s="88">
        <v>5</v>
      </c>
      <c r="F11" s="101">
        <f t="shared" si="0"/>
        <v>75</v>
      </c>
      <c r="G11">
        <f>VLOOKUP($C11,약재관리!A:J,10,FALSE)</f>
        <v>28</v>
      </c>
      <c r="H11" s="5">
        <f t="shared" si="1"/>
        <v>140</v>
      </c>
      <c r="I11" s="6">
        <f t="shared" si="2"/>
        <v>2100</v>
      </c>
      <c r="K11" s="156"/>
      <c r="L11" s="157"/>
      <c r="M11" s="158"/>
    </row>
    <row r="12" spans="2:13">
      <c r="B12" s="3">
        <v>11</v>
      </c>
      <c r="C12" t="s">
        <v>436</v>
      </c>
      <c r="D12" s="4"/>
      <c r="E12" s="88">
        <v>5</v>
      </c>
      <c r="F12" s="101">
        <f t="shared" si="0"/>
        <v>75</v>
      </c>
      <c r="G12">
        <f>VLOOKUP($C12,약재관리!A:J,10,FALSE)</f>
        <v>28.3</v>
      </c>
      <c r="H12" s="5">
        <f t="shared" si="1"/>
        <v>141.5</v>
      </c>
      <c r="I12" s="6">
        <f t="shared" si="2"/>
        <v>2122.5</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15</v>
      </c>
      <c r="M15" s="4" t="s">
        <v>19</v>
      </c>
    </row>
    <row r="16" spans="2:13">
      <c r="B16" s="3">
        <v>15</v>
      </c>
      <c r="D16" s="4"/>
      <c r="F16" s="101">
        <f t="shared" si="0"/>
        <v>0</v>
      </c>
      <c r="H16" s="5">
        <f t="shared" si="1"/>
        <v>0</v>
      </c>
      <c r="I16" s="6">
        <f t="shared" si="2"/>
        <v>0</v>
      </c>
      <c r="K16" s="91" t="s">
        <v>20</v>
      </c>
      <c r="L16">
        <v>30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105</v>
      </c>
      <c r="M18" s="10" t="s">
        <v>25</v>
      </c>
    </row>
    <row r="19" spans="2:13">
      <c r="B19" s="3">
        <v>18</v>
      </c>
      <c r="D19" s="4"/>
      <c r="F19" s="101">
        <f t="shared" si="0"/>
        <v>0</v>
      </c>
      <c r="H19" s="5">
        <f t="shared" si="1"/>
        <v>0</v>
      </c>
      <c r="I19" s="6">
        <f t="shared" si="2"/>
        <v>0</v>
      </c>
      <c r="K19" s="91" t="s">
        <v>26</v>
      </c>
      <c r="L19">
        <f>L15*L18</f>
        <v>1575</v>
      </c>
      <c r="M19" s="4" t="s">
        <v>25</v>
      </c>
    </row>
    <row r="20" spans="2:13" ht="17.25" thickBot="1">
      <c r="B20" s="3">
        <v>19</v>
      </c>
      <c r="D20" s="4"/>
      <c r="F20" s="101">
        <f t="shared" si="0"/>
        <v>0</v>
      </c>
      <c r="H20" s="5">
        <f t="shared" si="1"/>
        <v>0</v>
      </c>
      <c r="I20" s="6">
        <f t="shared" si="2"/>
        <v>0</v>
      </c>
      <c r="K20" s="14" t="s">
        <v>27</v>
      </c>
      <c r="L20" s="11">
        <f>L16*L17+L19</f>
        <v>4575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1575</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1812</v>
      </c>
      <c r="M30" s="4" t="s">
        <v>386</v>
      </c>
    </row>
    <row r="31" spans="2:13" ht="17.25" thickBot="1">
      <c r="B31" s="13">
        <v>30</v>
      </c>
      <c r="C31" s="14"/>
      <c r="D31" s="12"/>
      <c r="E31" s="95"/>
      <c r="F31" s="102">
        <f t="shared" si="0"/>
        <v>0</v>
      </c>
      <c r="G31" s="14"/>
      <c r="H31" s="15">
        <f t="shared" si="1"/>
        <v>0</v>
      </c>
      <c r="I31" s="16">
        <f t="shared" si="2"/>
        <v>0</v>
      </c>
      <c r="K31" s="14" t="s">
        <v>385</v>
      </c>
      <c r="L31" s="15">
        <f>SUM(I2:I31)</f>
        <v>27180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74CC-8EA6-49BD-AF06-ED4EE3EE69C1}">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429</v>
      </c>
      <c r="D2" s="4"/>
      <c r="E2" s="88">
        <v>12</v>
      </c>
      <c r="F2" s="101">
        <f>E2*$L$15</f>
        <v>144</v>
      </c>
      <c r="G2">
        <f>VLOOKUP($C2,약재관리!A:J,10,FALSE)</f>
        <v>72.7</v>
      </c>
      <c r="H2" s="5">
        <f>G2*E2</f>
        <v>872.40000000000009</v>
      </c>
      <c r="I2" s="90">
        <f>G2*F2</f>
        <v>10468.800000000001</v>
      </c>
      <c r="K2" s="7" t="s">
        <v>9</v>
      </c>
      <c r="L2" s="162">
        <v>53</v>
      </c>
      <c r="M2" s="163"/>
    </row>
    <row r="3" spans="2:13">
      <c r="B3" s="3">
        <v>2</v>
      </c>
      <c r="C3" t="s">
        <v>421</v>
      </c>
      <c r="D3" s="4"/>
      <c r="E3" s="88">
        <v>9</v>
      </c>
      <c r="F3" s="101">
        <f t="shared" ref="F3:F31" si="0">E3*$L$15</f>
        <v>108</v>
      </c>
      <c r="G3">
        <f>VLOOKUP($C3,약재관리!A:J,10,FALSE)</f>
        <v>47</v>
      </c>
      <c r="H3" s="5">
        <f t="shared" ref="H3:H31" si="1">G3*E3</f>
        <v>423</v>
      </c>
      <c r="I3" s="6">
        <f t="shared" ref="I3:I31" si="2">G3*F3</f>
        <v>5076</v>
      </c>
      <c r="K3" s="8" t="s">
        <v>10</v>
      </c>
      <c r="L3" s="164" t="s">
        <v>430</v>
      </c>
      <c r="M3" s="165"/>
    </row>
    <row r="4" spans="2:13">
      <c r="B4" s="3">
        <v>3</v>
      </c>
      <c r="C4" t="s">
        <v>422</v>
      </c>
      <c r="D4" s="4"/>
      <c r="E4" s="88">
        <v>6</v>
      </c>
      <c r="F4" s="101">
        <f t="shared" si="0"/>
        <v>72</v>
      </c>
      <c r="G4">
        <f>VLOOKUP($C4,약재관리!A:J,10,FALSE)</f>
        <v>20.8</v>
      </c>
      <c r="H4" s="5">
        <f t="shared" si="1"/>
        <v>124.80000000000001</v>
      </c>
      <c r="I4" s="6">
        <f t="shared" si="2"/>
        <v>1497.6000000000001</v>
      </c>
      <c r="K4" s="8" t="s">
        <v>11</v>
      </c>
      <c r="L4" s="166">
        <v>45726</v>
      </c>
      <c r="M4" s="165"/>
    </row>
    <row r="5" spans="2:13">
      <c r="B5" s="3">
        <v>4</v>
      </c>
      <c r="C5" t="s">
        <v>423</v>
      </c>
      <c r="D5" s="4"/>
      <c r="E5" s="88">
        <v>5</v>
      </c>
      <c r="F5" s="101">
        <f t="shared" si="0"/>
        <v>60</v>
      </c>
      <c r="G5">
        <f>VLOOKUP($C5,약재관리!A:J,10,FALSE)</f>
        <v>22.5</v>
      </c>
      <c r="H5" s="5">
        <f t="shared" si="1"/>
        <v>112.5</v>
      </c>
      <c r="I5" s="6">
        <f t="shared" si="2"/>
        <v>1350</v>
      </c>
      <c r="K5" s="8" t="s">
        <v>12</v>
      </c>
      <c r="L5" s="164" t="s">
        <v>418</v>
      </c>
      <c r="M5" s="165"/>
    </row>
    <row r="6" spans="2:13">
      <c r="B6" s="3">
        <v>5</v>
      </c>
      <c r="C6" t="s">
        <v>432</v>
      </c>
      <c r="D6" s="4"/>
      <c r="E6" s="88">
        <v>5</v>
      </c>
      <c r="F6" s="101">
        <f t="shared" si="0"/>
        <v>60</v>
      </c>
      <c r="G6">
        <f>VLOOKUP($C6,약재관리!A:J,10,FALSE)</f>
        <v>53.3</v>
      </c>
      <c r="H6" s="5">
        <f t="shared" si="1"/>
        <v>266.5</v>
      </c>
      <c r="I6" s="6">
        <f t="shared" si="2"/>
        <v>3198</v>
      </c>
      <c r="K6" s="8" t="s">
        <v>13</v>
      </c>
      <c r="L6" s="164">
        <v>10</v>
      </c>
      <c r="M6" s="165"/>
    </row>
    <row r="7" spans="2:13" ht="17.25" thickBot="1">
      <c r="B7" s="3">
        <v>6</v>
      </c>
      <c r="C7" t="s">
        <v>425</v>
      </c>
      <c r="D7" s="4"/>
      <c r="E7" s="88">
        <v>5</v>
      </c>
      <c r="F7" s="101">
        <f t="shared" si="0"/>
        <v>60</v>
      </c>
      <c r="G7">
        <f>VLOOKUP($C7,약재관리!A:J,10,FALSE)</f>
        <v>14.8</v>
      </c>
      <c r="H7" s="5">
        <f t="shared" si="1"/>
        <v>74</v>
      </c>
      <c r="I7" s="6">
        <f t="shared" si="2"/>
        <v>888</v>
      </c>
      <c r="K7" s="8" t="s">
        <v>14</v>
      </c>
      <c r="L7" s="148" t="s">
        <v>419</v>
      </c>
      <c r="M7" s="149"/>
    </row>
    <row r="8" spans="2:13" ht="17.25" thickBot="1">
      <c r="B8" s="3">
        <v>7</v>
      </c>
      <c r="C8" t="s">
        <v>408</v>
      </c>
      <c r="D8" s="4"/>
      <c r="E8" s="88">
        <v>5</v>
      </c>
      <c r="F8" s="101">
        <f t="shared" si="0"/>
        <v>60</v>
      </c>
      <c r="G8">
        <f>VLOOKUP($C8,약재관리!A:J,10,FALSE)</f>
        <v>11</v>
      </c>
      <c r="H8" s="5">
        <f t="shared" si="1"/>
        <v>55</v>
      </c>
      <c r="I8" s="6">
        <f t="shared" si="2"/>
        <v>660</v>
      </c>
      <c r="K8" s="150" t="s">
        <v>15</v>
      </c>
      <c r="L8" s="151"/>
      <c r="M8" s="152"/>
    </row>
    <row r="9" spans="2:13">
      <c r="B9" s="3">
        <v>8</v>
      </c>
      <c r="C9" t="s">
        <v>426</v>
      </c>
      <c r="D9" s="4"/>
      <c r="E9" s="88">
        <v>5</v>
      </c>
      <c r="F9" s="101">
        <f t="shared" si="0"/>
        <v>60</v>
      </c>
      <c r="G9">
        <f>VLOOKUP($C9,약재관리!A:J,10,FALSE)</f>
        <v>15</v>
      </c>
      <c r="H9" s="5">
        <f t="shared" si="1"/>
        <v>75</v>
      </c>
      <c r="I9" s="6">
        <f t="shared" si="2"/>
        <v>900</v>
      </c>
      <c r="K9" s="167" t="s">
        <v>431</v>
      </c>
      <c r="L9" s="154"/>
      <c r="M9" s="155"/>
    </row>
    <row r="10" spans="2:13">
      <c r="B10" s="3">
        <v>9</v>
      </c>
      <c r="C10" t="s">
        <v>427</v>
      </c>
      <c r="D10" s="4"/>
      <c r="E10" s="88">
        <v>5</v>
      </c>
      <c r="F10" s="101">
        <f t="shared" si="0"/>
        <v>60</v>
      </c>
      <c r="G10">
        <f>VLOOKUP($C10,약재관리!A:J,10,FALSE)</f>
        <v>8</v>
      </c>
      <c r="H10" s="5">
        <f t="shared" si="1"/>
        <v>40</v>
      </c>
      <c r="I10" s="6">
        <f t="shared" si="2"/>
        <v>480</v>
      </c>
      <c r="K10" s="156"/>
      <c r="L10" s="157"/>
      <c r="M10" s="158"/>
    </row>
    <row r="11" spans="2:13">
      <c r="B11" s="3">
        <v>10</v>
      </c>
      <c r="C11" t="s">
        <v>428</v>
      </c>
      <c r="D11" s="4"/>
      <c r="E11" s="88">
        <v>5</v>
      </c>
      <c r="F11" s="101">
        <f t="shared" si="0"/>
        <v>60</v>
      </c>
      <c r="G11">
        <f>VLOOKUP($C11,약재관리!A:J,10,FALSE)</f>
        <v>15</v>
      </c>
      <c r="H11" s="5">
        <f t="shared" si="1"/>
        <v>75</v>
      </c>
      <c r="I11" s="6">
        <f t="shared" si="2"/>
        <v>900</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12</v>
      </c>
      <c r="M15" s="4" t="s">
        <v>19</v>
      </c>
    </row>
    <row r="16" spans="2:13">
      <c r="B16" s="3">
        <v>15</v>
      </c>
      <c r="D16" s="4"/>
      <c r="F16" s="101">
        <f t="shared" si="0"/>
        <v>0</v>
      </c>
      <c r="H16" s="5">
        <f t="shared" si="1"/>
        <v>0</v>
      </c>
      <c r="I16" s="6">
        <f t="shared" si="2"/>
        <v>0</v>
      </c>
      <c r="K16" s="91" t="s">
        <v>20</v>
      </c>
      <c r="L16">
        <v>30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62</v>
      </c>
      <c r="M18" s="10" t="s">
        <v>25</v>
      </c>
    </row>
    <row r="19" spans="2:13">
      <c r="B19" s="3">
        <v>18</v>
      </c>
      <c r="D19" s="4"/>
      <c r="F19" s="101">
        <f t="shared" si="0"/>
        <v>0</v>
      </c>
      <c r="H19" s="5">
        <f t="shared" si="1"/>
        <v>0</v>
      </c>
      <c r="I19" s="6">
        <f t="shared" si="2"/>
        <v>0</v>
      </c>
      <c r="K19" s="91" t="s">
        <v>26</v>
      </c>
      <c r="L19">
        <f>L15*L18</f>
        <v>744</v>
      </c>
      <c r="M19" s="4" t="s">
        <v>25</v>
      </c>
    </row>
    <row r="20" spans="2:13" ht="17.25" thickBot="1">
      <c r="B20" s="3">
        <v>19</v>
      </c>
      <c r="D20" s="4"/>
      <c r="F20" s="101">
        <f t="shared" si="0"/>
        <v>0</v>
      </c>
      <c r="H20" s="5">
        <f t="shared" si="1"/>
        <v>0</v>
      </c>
      <c r="I20" s="6">
        <f t="shared" si="2"/>
        <v>0</v>
      </c>
      <c r="K20" s="14" t="s">
        <v>27</v>
      </c>
      <c r="L20" s="11">
        <f>L16*L17+L19</f>
        <v>3744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744</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2118.1999999999998</v>
      </c>
      <c r="M30" s="4" t="s">
        <v>386</v>
      </c>
    </row>
    <row r="31" spans="2:13" ht="17.25" thickBot="1">
      <c r="B31" s="13">
        <v>30</v>
      </c>
      <c r="C31" s="14"/>
      <c r="D31" s="12"/>
      <c r="E31" s="95"/>
      <c r="F31" s="102">
        <f t="shared" si="0"/>
        <v>0</v>
      </c>
      <c r="G31" s="14"/>
      <c r="H31" s="15">
        <f t="shared" si="1"/>
        <v>0</v>
      </c>
      <c r="I31" s="16">
        <f t="shared" si="2"/>
        <v>0</v>
      </c>
      <c r="K31" s="14" t="s">
        <v>385</v>
      </c>
      <c r="L31" s="15">
        <f>SUM(I2:I31)</f>
        <v>25418.400000000001</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3D50-9EC0-453C-921E-A3D9BF7AB0C4}">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429</v>
      </c>
      <c r="D2" s="4"/>
      <c r="E2" s="88">
        <v>12</v>
      </c>
      <c r="F2" s="101">
        <f>E2*$L$15</f>
        <v>144</v>
      </c>
      <c r="G2">
        <f>VLOOKUP($C2,약재관리!A:J,10,FALSE)</f>
        <v>72.7</v>
      </c>
      <c r="H2" s="5">
        <f>G2*E2</f>
        <v>872.40000000000009</v>
      </c>
      <c r="I2" s="90">
        <f>G2*F2</f>
        <v>10468.800000000001</v>
      </c>
      <c r="K2" s="7" t="s">
        <v>9</v>
      </c>
      <c r="L2" s="162">
        <v>53</v>
      </c>
      <c r="M2" s="163"/>
    </row>
    <row r="3" spans="2:13">
      <c r="B3" s="3">
        <v>2</v>
      </c>
      <c r="C3" t="s">
        <v>421</v>
      </c>
      <c r="D3" s="4"/>
      <c r="E3" s="88">
        <v>9</v>
      </c>
      <c r="F3" s="101">
        <f t="shared" ref="F3:F31" si="0">E3*$L$15</f>
        <v>108</v>
      </c>
      <c r="G3">
        <f>VLOOKUP($C3,약재관리!A:J,10,FALSE)</f>
        <v>47</v>
      </c>
      <c r="H3" s="5">
        <f t="shared" ref="H3:H31" si="1">G3*E3</f>
        <v>423</v>
      </c>
      <c r="I3" s="6">
        <f t="shared" ref="I3:I31" si="2">G3*F3</f>
        <v>5076</v>
      </c>
      <c r="K3" s="8" t="s">
        <v>10</v>
      </c>
      <c r="L3" s="164" t="s">
        <v>430</v>
      </c>
      <c r="M3" s="165"/>
    </row>
    <row r="4" spans="2:13">
      <c r="B4" s="3">
        <v>3</v>
      </c>
      <c r="C4" t="s">
        <v>422</v>
      </c>
      <c r="D4" s="4"/>
      <c r="E4" s="88">
        <v>6</v>
      </c>
      <c r="F4" s="101">
        <f t="shared" si="0"/>
        <v>72</v>
      </c>
      <c r="G4">
        <f>VLOOKUP($C4,약재관리!A:J,10,FALSE)</f>
        <v>20.8</v>
      </c>
      <c r="H4" s="5">
        <f t="shared" si="1"/>
        <v>124.80000000000001</v>
      </c>
      <c r="I4" s="6">
        <f t="shared" si="2"/>
        <v>1497.6000000000001</v>
      </c>
      <c r="K4" s="8" t="s">
        <v>11</v>
      </c>
      <c r="L4" s="166">
        <v>45709</v>
      </c>
      <c r="M4" s="165"/>
    </row>
    <row r="5" spans="2:13">
      <c r="B5" s="3">
        <v>4</v>
      </c>
      <c r="C5" t="s">
        <v>423</v>
      </c>
      <c r="D5" s="4"/>
      <c r="E5" s="88">
        <v>5</v>
      </c>
      <c r="F5" s="101">
        <f t="shared" si="0"/>
        <v>60</v>
      </c>
      <c r="G5">
        <f>VLOOKUP($C5,약재관리!A:J,10,FALSE)</f>
        <v>22.5</v>
      </c>
      <c r="H5" s="5">
        <f t="shared" si="1"/>
        <v>112.5</v>
      </c>
      <c r="I5" s="6">
        <f t="shared" si="2"/>
        <v>1350</v>
      </c>
      <c r="K5" s="8" t="s">
        <v>12</v>
      </c>
      <c r="L5" s="164" t="s">
        <v>418</v>
      </c>
      <c r="M5" s="165"/>
    </row>
    <row r="6" spans="2:13">
      <c r="B6" s="3">
        <v>5</v>
      </c>
      <c r="C6" t="s">
        <v>424</v>
      </c>
      <c r="D6" s="4"/>
      <c r="E6" s="88">
        <v>5</v>
      </c>
      <c r="F6" s="101">
        <f t="shared" si="0"/>
        <v>60</v>
      </c>
      <c r="G6">
        <f>VLOOKUP($C6,약재관리!A:J,10,FALSE)</f>
        <v>90</v>
      </c>
      <c r="H6" s="5">
        <f t="shared" si="1"/>
        <v>450</v>
      </c>
      <c r="I6" s="6">
        <f t="shared" si="2"/>
        <v>5400</v>
      </c>
      <c r="K6" s="8" t="s">
        <v>13</v>
      </c>
      <c r="L6" s="164">
        <v>10</v>
      </c>
      <c r="M6" s="165"/>
    </row>
    <row r="7" spans="2:13" ht="17.25" thickBot="1">
      <c r="B7" s="3">
        <v>6</v>
      </c>
      <c r="C7" t="s">
        <v>425</v>
      </c>
      <c r="D7" s="4"/>
      <c r="E7" s="88">
        <v>5</v>
      </c>
      <c r="F7" s="101">
        <f t="shared" si="0"/>
        <v>60</v>
      </c>
      <c r="G7">
        <f>VLOOKUP($C7,약재관리!A:J,10,FALSE)</f>
        <v>14.8</v>
      </c>
      <c r="H7" s="5">
        <f t="shared" si="1"/>
        <v>74</v>
      </c>
      <c r="I7" s="6">
        <f t="shared" si="2"/>
        <v>888</v>
      </c>
      <c r="K7" s="8" t="s">
        <v>14</v>
      </c>
      <c r="L7" s="148" t="s">
        <v>419</v>
      </c>
      <c r="M7" s="149"/>
    </row>
    <row r="8" spans="2:13" ht="17.25" thickBot="1">
      <c r="B8" s="3">
        <v>7</v>
      </c>
      <c r="C8" t="s">
        <v>408</v>
      </c>
      <c r="D8" s="4"/>
      <c r="E8" s="88">
        <v>5</v>
      </c>
      <c r="F8" s="101">
        <f t="shared" si="0"/>
        <v>60</v>
      </c>
      <c r="G8">
        <f>VLOOKUP($C8,약재관리!A:J,10,FALSE)</f>
        <v>11</v>
      </c>
      <c r="H8" s="5">
        <f t="shared" si="1"/>
        <v>55</v>
      </c>
      <c r="I8" s="6">
        <f t="shared" si="2"/>
        <v>660</v>
      </c>
      <c r="K8" s="150" t="s">
        <v>15</v>
      </c>
      <c r="L8" s="151"/>
      <c r="M8" s="152"/>
    </row>
    <row r="9" spans="2:13">
      <c r="B9" s="3">
        <v>8</v>
      </c>
      <c r="C9" t="s">
        <v>426</v>
      </c>
      <c r="D9" s="4"/>
      <c r="E9" s="88">
        <v>5</v>
      </c>
      <c r="F9" s="101">
        <f t="shared" si="0"/>
        <v>60</v>
      </c>
      <c r="G9">
        <f>VLOOKUP($C9,약재관리!A:J,10,FALSE)</f>
        <v>15</v>
      </c>
      <c r="H9" s="5">
        <f t="shared" si="1"/>
        <v>75</v>
      </c>
      <c r="I9" s="6">
        <f t="shared" si="2"/>
        <v>900</v>
      </c>
      <c r="K9" s="167" t="s">
        <v>431</v>
      </c>
      <c r="L9" s="154"/>
      <c r="M9" s="155"/>
    </row>
    <row r="10" spans="2:13">
      <c r="B10" s="3">
        <v>9</v>
      </c>
      <c r="C10" t="s">
        <v>427</v>
      </c>
      <c r="D10" s="4"/>
      <c r="E10" s="88">
        <v>5</v>
      </c>
      <c r="F10" s="101">
        <f t="shared" si="0"/>
        <v>60</v>
      </c>
      <c r="G10">
        <f>VLOOKUP($C10,약재관리!A:J,10,FALSE)</f>
        <v>8</v>
      </c>
      <c r="H10" s="5">
        <f t="shared" si="1"/>
        <v>40</v>
      </c>
      <c r="I10" s="6">
        <f t="shared" si="2"/>
        <v>480</v>
      </c>
      <c r="K10" s="156"/>
      <c r="L10" s="157"/>
      <c r="M10" s="158"/>
    </row>
    <row r="11" spans="2:13">
      <c r="B11" s="3">
        <v>10</v>
      </c>
      <c r="C11" t="s">
        <v>428</v>
      </c>
      <c r="D11" s="4"/>
      <c r="E11" s="88">
        <v>5</v>
      </c>
      <c r="F11" s="101">
        <f t="shared" si="0"/>
        <v>60</v>
      </c>
      <c r="G11">
        <f>VLOOKUP($C11,약재관리!A:J,10,FALSE)</f>
        <v>15</v>
      </c>
      <c r="H11" s="5">
        <f t="shared" si="1"/>
        <v>75</v>
      </c>
      <c r="I11" s="6">
        <f t="shared" si="2"/>
        <v>900</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12</v>
      </c>
      <c r="M15" s="4" t="s">
        <v>19</v>
      </c>
    </row>
    <row r="16" spans="2:13">
      <c r="B16" s="3">
        <v>15</v>
      </c>
      <c r="D16" s="4"/>
      <c r="F16" s="101">
        <f t="shared" si="0"/>
        <v>0</v>
      </c>
      <c r="H16" s="5">
        <f t="shared" si="1"/>
        <v>0</v>
      </c>
      <c r="I16" s="6">
        <f t="shared" si="2"/>
        <v>0</v>
      </c>
      <c r="K16" s="91" t="s">
        <v>20</v>
      </c>
      <c r="L16">
        <v>30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62</v>
      </c>
      <c r="M18" s="10" t="s">
        <v>25</v>
      </c>
    </row>
    <row r="19" spans="2:13">
      <c r="B19" s="3">
        <v>18</v>
      </c>
      <c r="D19" s="4"/>
      <c r="F19" s="101">
        <f t="shared" si="0"/>
        <v>0</v>
      </c>
      <c r="H19" s="5">
        <f t="shared" si="1"/>
        <v>0</v>
      </c>
      <c r="I19" s="6">
        <f t="shared" si="2"/>
        <v>0</v>
      </c>
      <c r="K19" s="91" t="s">
        <v>26</v>
      </c>
      <c r="L19">
        <f>L15*L18</f>
        <v>744</v>
      </c>
      <c r="M19" s="4" t="s">
        <v>25</v>
      </c>
    </row>
    <row r="20" spans="2:13" ht="17.25" thickBot="1">
      <c r="B20" s="3">
        <v>19</v>
      </c>
      <c r="D20" s="4"/>
      <c r="F20" s="101">
        <f t="shared" si="0"/>
        <v>0</v>
      </c>
      <c r="H20" s="5">
        <f t="shared" si="1"/>
        <v>0</v>
      </c>
      <c r="I20" s="6">
        <f t="shared" si="2"/>
        <v>0</v>
      </c>
      <c r="K20" s="14" t="s">
        <v>27</v>
      </c>
      <c r="L20" s="11">
        <f>L16*L17+L19</f>
        <v>3744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744</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2301.6999999999998</v>
      </c>
      <c r="M30" s="4" t="s">
        <v>386</v>
      </c>
    </row>
    <row r="31" spans="2:13" ht="17.25" thickBot="1">
      <c r="B31" s="13">
        <v>30</v>
      </c>
      <c r="C31" s="14"/>
      <c r="D31" s="12"/>
      <c r="E31" s="95"/>
      <c r="F31" s="102">
        <f t="shared" si="0"/>
        <v>0</v>
      </c>
      <c r="G31" s="14"/>
      <c r="H31" s="15">
        <f t="shared" si="1"/>
        <v>0</v>
      </c>
      <c r="I31" s="16">
        <f t="shared" si="2"/>
        <v>0</v>
      </c>
      <c r="K31" s="14" t="s">
        <v>385</v>
      </c>
      <c r="L31" s="15">
        <f>SUM(I2:I31)</f>
        <v>27620.400000000001</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407</v>
      </c>
      <c r="D2" s="4"/>
      <c r="E2" s="88">
        <v>12</v>
      </c>
      <c r="F2" s="101">
        <f>E2*$L$15</f>
        <v>360</v>
      </c>
      <c r="G2">
        <f>VLOOKUP($C2,약재관리!A:J,10,FALSE)</f>
        <v>17.399999999999999</v>
      </c>
      <c r="H2" s="5">
        <f>G2*E2</f>
        <v>208.79999999999998</v>
      </c>
      <c r="I2" s="90">
        <f>G2*F2</f>
        <v>6263.9999999999991</v>
      </c>
      <c r="K2" s="7" t="s">
        <v>9</v>
      </c>
      <c r="L2" s="162">
        <v>53</v>
      </c>
      <c r="M2" s="163"/>
    </row>
    <row r="3" spans="2:13">
      <c r="B3" s="3">
        <v>2</v>
      </c>
      <c r="C3" t="s">
        <v>408</v>
      </c>
      <c r="D3" s="4"/>
      <c r="E3" s="88">
        <v>8</v>
      </c>
      <c r="F3" s="101">
        <f t="shared" ref="F3:F31" si="0">E3*$L$15</f>
        <v>240</v>
      </c>
      <c r="G3">
        <f>VLOOKUP($C3,약재관리!A:J,10,FALSE)</f>
        <v>11</v>
      </c>
      <c r="H3" s="5">
        <f t="shared" ref="H3:H31" si="1">G3*E3</f>
        <v>88</v>
      </c>
      <c r="I3" s="6">
        <f t="shared" ref="I3:I31" si="2">G3*F3</f>
        <v>2640</v>
      </c>
      <c r="K3" s="8" t="s">
        <v>10</v>
      </c>
      <c r="L3" s="164" t="s">
        <v>417</v>
      </c>
      <c r="M3" s="165"/>
    </row>
    <row r="4" spans="2:13">
      <c r="B4" s="3">
        <v>3</v>
      </c>
      <c r="C4" t="s">
        <v>412</v>
      </c>
      <c r="D4" s="4"/>
      <c r="E4" s="88">
        <v>8</v>
      </c>
      <c r="F4" s="101">
        <f t="shared" si="0"/>
        <v>240</v>
      </c>
      <c r="G4">
        <f>VLOOKUP($C4,약재관리!A:J,10,FALSE)</f>
        <v>23.7</v>
      </c>
      <c r="H4" s="5">
        <f t="shared" si="1"/>
        <v>189.6</v>
      </c>
      <c r="I4" s="6">
        <f t="shared" si="2"/>
        <v>5688</v>
      </c>
      <c r="K4" s="8" t="s">
        <v>11</v>
      </c>
      <c r="L4" s="166">
        <v>45631</v>
      </c>
      <c r="M4" s="165"/>
    </row>
    <row r="5" spans="2:13">
      <c r="B5" s="3">
        <v>4</v>
      </c>
      <c r="C5" t="s">
        <v>409</v>
      </c>
      <c r="D5" s="4"/>
      <c r="E5" s="88">
        <v>4</v>
      </c>
      <c r="F5" s="101">
        <f t="shared" si="0"/>
        <v>120</v>
      </c>
      <c r="G5">
        <f>VLOOKUP($C5,약재관리!A:J,10,FALSE)</f>
        <v>5.5</v>
      </c>
      <c r="H5" s="5">
        <f t="shared" si="1"/>
        <v>22</v>
      </c>
      <c r="I5" s="6">
        <f t="shared" si="2"/>
        <v>660</v>
      </c>
      <c r="K5" s="8" t="s">
        <v>12</v>
      </c>
      <c r="L5" s="164" t="s">
        <v>418</v>
      </c>
      <c r="M5" s="165"/>
    </row>
    <row r="6" spans="2:13">
      <c r="B6" s="3">
        <v>5</v>
      </c>
      <c r="C6" t="s">
        <v>410</v>
      </c>
      <c r="D6" s="4"/>
      <c r="E6" s="88">
        <v>4</v>
      </c>
      <c r="F6" s="101">
        <f t="shared" si="0"/>
        <v>120</v>
      </c>
      <c r="G6">
        <f>VLOOKUP($C6,약재관리!A:J,10,FALSE)</f>
        <v>16.7</v>
      </c>
      <c r="H6" s="5">
        <f t="shared" si="1"/>
        <v>66.8</v>
      </c>
      <c r="I6" s="6">
        <f t="shared" si="2"/>
        <v>2004</v>
      </c>
      <c r="K6" s="8" t="s">
        <v>13</v>
      </c>
      <c r="L6" s="164">
        <v>10</v>
      </c>
      <c r="M6" s="165"/>
    </row>
    <row r="7" spans="2:13" ht="17.25" thickBot="1">
      <c r="B7" s="3">
        <v>6</v>
      </c>
      <c r="C7" t="s">
        <v>413</v>
      </c>
      <c r="D7" s="4"/>
      <c r="E7" s="88">
        <v>4</v>
      </c>
      <c r="F7" s="101">
        <f t="shared" si="0"/>
        <v>120</v>
      </c>
      <c r="G7">
        <f>VLOOKUP($C7,약재관리!A:J,10,FALSE)</f>
        <v>40</v>
      </c>
      <c r="H7" s="5">
        <f t="shared" si="1"/>
        <v>160</v>
      </c>
      <c r="I7" s="6">
        <f t="shared" si="2"/>
        <v>4800</v>
      </c>
      <c r="K7" s="8" t="s">
        <v>14</v>
      </c>
      <c r="L7" s="148" t="s">
        <v>419</v>
      </c>
      <c r="M7" s="149"/>
    </row>
    <row r="8" spans="2:13" ht="17.25" thickBot="1">
      <c r="B8" s="3">
        <v>7</v>
      </c>
      <c r="C8" t="s">
        <v>411</v>
      </c>
      <c r="D8" s="4"/>
      <c r="E8" s="88">
        <v>4</v>
      </c>
      <c r="F8" s="101">
        <f t="shared" si="0"/>
        <v>120</v>
      </c>
      <c r="G8">
        <f>VLOOKUP($C8,약재관리!A:J,10,FALSE)</f>
        <v>19.8</v>
      </c>
      <c r="H8" s="5">
        <f t="shared" si="1"/>
        <v>79.2</v>
      </c>
      <c r="I8" s="6">
        <f t="shared" si="2"/>
        <v>2376</v>
      </c>
      <c r="K8" s="150" t="s">
        <v>15</v>
      </c>
      <c r="L8" s="151"/>
      <c r="M8" s="152"/>
    </row>
    <row r="9" spans="2:13">
      <c r="B9" s="3">
        <v>8</v>
      </c>
      <c r="C9" t="s">
        <v>414</v>
      </c>
      <c r="D9" s="4"/>
      <c r="E9" s="88">
        <v>4</v>
      </c>
      <c r="F9" s="101">
        <f t="shared" si="0"/>
        <v>120</v>
      </c>
      <c r="G9">
        <f>VLOOKUP($C9,약재관리!A:J,10,FALSE)</f>
        <v>15.7</v>
      </c>
      <c r="H9" s="5">
        <f t="shared" si="1"/>
        <v>62.8</v>
      </c>
      <c r="I9" s="6">
        <f t="shared" si="2"/>
        <v>1884</v>
      </c>
      <c r="K9" s="167"/>
      <c r="L9" s="154"/>
      <c r="M9" s="155"/>
    </row>
    <row r="10" spans="2:13">
      <c r="B10" s="3">
        <v>9</v>
      </c>
      <c r="C10" t="s">
        <v>415</v>
      </c>
      <c r="D10" s="4"/>
      <c r="E10" s="88">
        <v>3</v>
      </c>
      <c r="F10" s="101">
        <f t="shared" si="0"/>
        <v>90</v>
      </c>
      <c r="G10">
        <f>VLOOKUP($C10,약재관리!A:J,10,FALSE)</f>
        <v>44.3</v>
      </c>
      <c r="H10" s="5">
        <f t="shared" si="1"/>
        <v>132.89999999999998</v>
      </c>
      <c r="I10" s="6">
        <f t="shared" si="2"/>
        <v>3986.9999999999995</v>
      </c>
      <c r="K10" s="156"/>
      <c r="L10" s="157"/>
      <c r="M10" s="158"/>
    </row>
    <row r="11" spans="2:13">
      <c r="B11" s="3">
        <v>10</v>
      </c>
      <c r="C11" t="s">
        <v>416</v>
      </c>
      <c r="D11" s="4"/>
      <c r="E11" s="88">
        <v>3</v>
      </c>
      <c r="F11" s="101">
        <f t="shared" si="0"/>
        <v>90</v>
      </c>
      <c r="G11">
        <f>VLOOKUP($C11,약재관리!A:J,10,FALSE)</f>
        <v>31.5</v>
      </c>
      <c r="H11" s="5">
        <f t="shared" si="1"/>
        <v>94.5</v>
      </c>
      <c r="I11" s="6">
        <f t="shared" si="2"/>
        <v>2835</v>
      </c>
      <c r="K11" s="156"/>
      <c r="L11" s="157"/>
      <c r="M11" s="158"/>
    </row>
    <row r="12" spans="2:13">
      <c r="B12" s="3">
        <v>11</v>
      </c>
      <c r="C12" t="s">
        <v>420</v>
      </c>
      <c r="D12" s="4"/>
      <c r="E12" s="88">
        <v>3</v>
      </c>
      <c r="F12" s="101">
        <f t="shared" si="0"/>
        <v>90</v>
      </c>
      <c r="G12">
        <f>VLOOKUP($C12,약재관리!A:J,10,FALSE)</f>
        <v>15.4</v>
      </c>
      <c r="H12" s="5">
        <f t="shared" si="1"/>
        <v>46.2</v>
      </c>
      <c r="I12" s="6">
        <f t="shared" si="2"/>
        <v>1386</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30</v>
      </c>
      <c r="M14" s="10" t="s">
        <v>17</v>
      </c>
    </row>
    <row r="15" spans="2:13">
      <c r="B15" s="3">
        <v>14</v>
      </c>
      <c r="D15" s="4"/>
      <c r="F15" s="101">
        <f t="shared" si="0"/>
        <v>0</v>
      </c>
      <c r="H15" s="5">
        <f t="shared" si="1"/>
        <v>0</v>
      </c>
      <c r="I15" s="6">
        <f t="shared" si="2"/>
        <v>0</v>
      </c>
      <c r="K15" s="91" t="s">
        <v>18</v>
      </c>
      <c r="L15">
        <v>30</v>
      </c>
      <c r="M15" s="4" t="s">
        <v>19</v>
      </c>
    </row>
    <row r="16" spans="2:13">
      <c r="B16" s="3">
        <v>15</v>
      </c>
      <c r="D16" s="4"/>
      <c r="F16" s="101">
        <f t="shared" si="0"/>
        <v>0</v>
      </c>
      <c r="H16" s="5">
        <f t="shared" si="1"/>
        <v>0</v>
      </c>
      <c r="I16" s="6">
        <f t="shared" si="2"/>
        <v>0</v>
      </c>
      <c r="K16" s="91" t="s">
        <v>20</v>
      </c>
      <c r="L16">
        <v>60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57</v>
      </c>
      <c r="M18" s="10" t="s">
        <v>25</v>
      </c>
    </row>
    <row r="19" spans="2:13">
      <c r="B19" s="3">
        <v>18</v>
      </c>
      <c r="D19" s="4"/>
      <c r="F19" s="101">
        <f t="shared" si="0"/>
        <v>0</v>
      </c>
      <c r="H19" s="5">
        <f t="shared" si="1"/>
        <v>0</v>
      </c>
      <c r="I19" s="6">
        <f t="shared" si="2"/>
        <v>0</v>
      </c>
      <c r="K19" s="91" t="s">
        <v>26</v>
      </c>
      <c r="L19">
        <f>L15*L18</f>
        <v>1710</v>
      </c>
      <c r="M19" s="4" t="s">
        <v>25</v>
      </c>
    </row>
    <row r="20" spans="2:13" ht="17.25" thickBot="1">
      <c r="B20" s="3">
        <v>19</v>
      </c>
      <c r="D20" s="4"/>
      <c r="F20" s="101">
        <f t="shared" si="0"/>
        <v>0</v>
      </c>
      <c r="H20" s="5">
        <f t="shared" si="1"/>
        <v>0</v>
      </c>
      <c r="I20" s="6">
        <f t="shared" si="2"/>
        <v>0</v>
      </c>
      <c r="K20" s="14" t="s">
        <v>27</v>
      </c>
      <c r="L20" s="11">
        <f>L16*L17+L19</f>
        <v>7710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388</v>
      </c>
      <c r="L22" s="151"/>
      <c r="M22" s="152"/>
    </row>
    <row r="23" spans="2:13">
      <c r="B23" s="3">
        <v>22</v>
      </c>
      <c r="D23" s="4"/>
      <c r="F23" s="101">
        <f t="shared" si="0"/>
        <v>0</v>
      </c>
      <c r="H23" s="5">
        <f t="shared" si="1"/>
        <v>0</v>
      </c>
      <c r="I23" s="6">
        <f t="shared" si="2"/>
        <v>0</v>
      </c>
      <c r="K23" s="91" t="s">
        <v>382</v>
      </c>
      <c r="L23">
        <f>SUM(F2:F31)</f>
        <v>1710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387</v>
      </c>
      <c r="L29" s="151"/>
      <c r="M29" s="152"/>
    </row>
    <row r="30" spans="2:13">
      <c r="B30" s="3">
        <v>29</v>
      </c>
      <c r="D30" s="4"/>
      <c r="F30" s="101">
        <f t="shared" si="0"/>
        <v>0</v>
      </c>
      <c r="H30" s="5">
        <f t="shared" si="1"/>
        <v>0</v>
      </c>
      <c r="I30" s="6">
        <f t="shared" si="2"/>
        <v>0</v>
      </c>
      <c r="K30" s="91" t="s">
        <v>28</v>
      </c>
      <c r="L30" s="5">
        <f>SUM(H2:H31)</f>
        <v>1150.8</v>
      </c>
      <c r="M30" s="4" t="s">
        <v>386</v>
      </c>
    </row>
    <row r="31" spans="2:13" ht="17.25" thickBot="1">
      <c r="B31" s="13">
        <v>30</v>
      </c>
      <c r="C31" s="14"/>
      <c r="D31" s="12"/>
      <c r="E31" s="95"/>
      <c r="F31" s="102">
        <f t="shared" si="0"/>
        <v>0</v>
      </c>
      <c r="G31" s="14"/>
      <c r="H31" s="15">
        <f t="shared" si="1"/>
        <v>0</v>
      </c>
      <c r="I31" s="16">
        <f t="shared" si="2"/>
        <v>0</v>
      </c>
      <c r="K31" s="14" t="s">
        <v>385</v>
      </c>
      <c r="L31" s="15">
        <f>SUM(I2:I31)</f>
        <v>34524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32" zoomScaleNormal="100" workbookViewId="0">
      <selection activeCell="G54" sqref="G5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온담탕가감(4)</vt:lpstr>
      <vt:lpstr>온담탕가감(3)</vt:lpstr>
      <vt:lpstr>온담탕가감 (2)</vt:lpstr>
      <vt:lpstr>온담탕가감</vt:lpstr>
      <vt:lpstr>시용모 (2)</vt:lpstr>
      <vt:lpstr>시용모</vt:lpstr>
      <vt:lpstr>형방사백산가감</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2026-03-17T03:10:28Z</cp:lastPrinted>
  <dcterms:created xsi:type="dcterms:W3CDTF">2024-09-12T16:35:01Z</dcterms:created>
  <dcterms:modified xsi:type="dcterms:W3CDTF">2026-03-18T10:03:32Z</dcterms:modified>
</cp:coreProperties>
</file>