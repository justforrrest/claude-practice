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63" documentId="8_{6EB8DC0A-AB56-415F-A9F3-EA1534264548}" xr6:coauthVersionLast="47" xr6:coauthVersionMax="47" xr10:uidLastSave="{4BD6DEAA-99DB-4840-8142-720100EE98F4}"/>
  <bookViews>
    <workbookView xWindow="-120" yWindow="-120" windowWidth="29040" windowHeight="15720" xr2:uid="{8B9F1886-173A-4475-B0CF-D9F36CE30773}"/>
  </bookViews>
  <sheets>
    <sheet name="처방전양식" sheetId="4" r:id="rId1"/>
    <sheet name="약재관리"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G4" i="4"/>
  <c r="G5" i="4"/>
  <c r="G6" i="4"/>
  <c r="G7" i="4"/>
  <c r="G8" i="4"/>
  <c r="G9" i="4"/>
  <c r="G10" i="4"/>
  <c r="G11" i="4"/>
  <c r="G12" i="4"/>
  <c r="G13" i="4"/>
  <c r="G14" i="4"/>
  <c r="G15" i="4"/>
  <c r="G16" i="4"/>
  <c r="G17" i="4"/>
  <c r="G18" i="4"/>
  <c r="G19" i="4"/>
  <c r="G20" i="4"/>
  <c r="G2" i="4"/>
  <c r="I205" i="5" l="1"/>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I185" i="5"/>
  <c r="H185" i="5"/>
  <c r="G185" i="5"/>
  <c r="F185" i="5"/>
  <c r="G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G145" i="5"/>
  <c r="F145" i="5"/>
  <c r="I144" i="5"/>
  <c r="H144" i="5"/>
  <c r="G144" i="5"/>
  <c r="F144" i="5"/>
  <c r="I143" i="5"/>
  <c r="H143" i="5"/>
  <c r="G143" i="5"/>
  <c r="F143" i="5"/>
  <c r="I142" i="5"/>
  <c r="H142" i="5"/>
  <c r="G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1" i="4"/>
  <c r="F20" i="4"/>
  <c r="F19" i="4"/>
  <c r="F18" i="4"/>
  <c r="F17" i="4"/>
  <c r="F16" i="4"/>
  <c r="F15" i="4"/>
  <c r="F14" i="4"/>
  <c r="F13" i="4"/>
  <c r="I10" i="4" l="1"/>
  <c r="I9" i="4"/>
  <c r="I18"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tc={446C4B05-598F-4FF5-A6D8-78F2BF9E48C7}</author>
    <author>tc={584CBD92-939A-42CC-989D-ACF0A54EB8B3}</author>
    <author>tc={25F0C0C1-651A-42C7-835D-7700FA409855}</author>
    <author>tc={7FA585B3-F152-4C97-8DA5-FE243285327D}</author>
    <author>tc={8BB0D961-1966-4DCC-BC01-66BFA7D3A4E2}</author>
    <author>tc={F2352FF1-8A55-467D-9527-968E453868D1}</author>
    <author>tc={FC867C0A-6747-42D0-97AD-2970AD31BE30}</author>
    <author>tc={31FEEA8F-733E-4CA8-8EAB-722635E3441A}</author>
    <author>tc={99F81D3B-061D-49F9-BFF2-EA232495FDB1}</author>
    <author>tc={1AD8EA66-C940-4140-8C1C-9CA9CCBE5F9F}</author>
    <author>tc={44349E51-A64F-46F9-81CE-738E92688715}</author>
    <author>tc={E374EFC3-6703-415A-9792-E735B657DD1D}</author>
    <author>tc={0890913F-5A02-447F-8934-4F4172059E9D}</author>
    <author>tc={37D6EE75-75A2-47CA-BD78-4381E2F8315A}</author>
    <author>tc={01856AA3-CC22-475E-B192-F7DEA0E4103B}</author>
    <author>tc={C96B7DA8-0367-48FF-B8D6-E92266108D9C}</author>
    <author>tc={B7B923DA-8ED2-476A-B87B-CDBE45762790}</author>
    <author>tc={CA7E8519-E1AD-4754-A86C-C3F9B2434E3D}</author>
    <author>tc={BBF9A596-38AA-47FC-8D00-781B552BC16E}</author>
    <author>tc={9A55FADF-EA75-4664-A451-2760C758DB89}</author>
    <author>tc={5D32A424-536E-4DEA-A169-96C748911A6C}</author>
    <author>tc={8B0A5454-2EED-4D13-A4F3-89CD1BB73F19}</author>
    <author>tc={6543B571-5EC8-4F3C-8F37-18DF6DEE8B3C}</author>
    <author>tc={31894BE4-186B-4241-9689-F533C319EFC7}</author>
    <author>tc={69FCF37F-EB45-4183-868B-3B0FB93B9CBD}</author>
    <author>tc={E8ECBDD3-329A-4246-AEA1-F37558C5DF1A}</author>
    <author>tc={C2DC2776-C400-4529-AA09-CC0DE5EFC3F7}</author>
    <author>tc={7D49DD82-B1CB-4FDE-95FF-AC9269BD3A0D}</author>
    <author>tc={0C7A4CCA-646E-4449-B268-43AE5CF57980}</author>
    <author>tc={81EE70C5-2757-4E33-A397-F4BE950B94BD}</author>
    <author>tc={A84026F4-06A9-4F0A-97E4-4C6304EAE070}</author>
    <author>tc={15BF62BC-A221-4459-B369-6459784C3F23}</author>
    <author>tc={C1E4E15B-C64F-489D-8669-052A4A0391FE}</author>
    <author>tc={F2BECB58-99F3-4ACB-93DF-2E689B05CE79}</author>
    <author>tc={FAD821D2-DE91-47AB-BC88-6B7748225B11}</author>
    <author>tc={740A9E0B-9005-4747-86CF-A48C242AC08A}</author>
    <author>tc={BD11A44C-A1B7-40C4-87EF-F34760852177}</author>
    <author>tc={4FFCF169-FE41-40CC-BC02-82FF8E335BC7}</author>
    <author>tc={89627B26-70AC-4EEF-BFA2-084051628420}</author>
    <author>tc={1EF0FE80-71B8-4AA0-B606-7547BE3096A8}</author>
    <author>tc={EC748530-D769-4E00-B223-C7F4FE4A7CCE}</author>
    <author>tc={5074F545-6879-4148-9061-D6F03A77939D}</author>
    <author>tc={4B1BEF61-D424-406D-AA3F-BE33A8BD2FB3}</author>
    <author>tc={3694A177-DB6F-4BCD-B407-B9CB145B1DD1}</author>
    <author>tc={06EB8706-11FD-44DD-9F55-43321891DA3D}</author>
    <author>tc={6E8B0C4E-61C4-4829-ACAF-0935B941F908}</author>
    <author>tc={DD72802E-0A79-4EEE-A31A-AD860045D5B0}</author>
    <author>tc={89BB3484-EBB6-455F-AC78-5DD0E6E16C49}</author>
    <author>tc={57D0B750-0154-46E9-8316-295D8FB0986A}</author>
    <author>tc={0B06C687-FB43-4EE1-BB90-94449630F1F0}</author>
    <author>tc={038BA856-59F3-4974-B016-0C7E3D200263}</author>
  </authors>
  <commentList>
    <comment ref="A3" authorId="0" shapeId="0" xr:uid="{446C4B05-598F-4FF5-A6D8-78F2BF9E48C7}">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584CBD92-939A-42CC-989D-ACF0A54EB8B3}">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25F0C0C1-651A-42C7-835D-7700FA409855}">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7FA585B3-F152-4C97-8DA5-FE243285327D}">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8BB0D961-1966-4DCC-BC01-66BFA7D3A4E2}">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F2352FF1-8A55-467D-9527-968E453868D1}">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C867C0A-6747-42D0-97AD-2970AD31BE30}">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31FEEA8F-733E-4CA8-8EAB-722635E3441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99F81D3B-061D-49F9-BFF2-EA232495FDB1}">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1AD8EA66-C940-4140-8C1C-9CA9CCBE5F9F}">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44349E51-A64F-46F9-81CE-738E92688715}">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E374EFC3-6703-415A-9792-E735B657DD1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0890913F-5A02-447F-8934-4F4172059E9D}">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37D6EE75-75A2-47CA-BD78-4381E2F8315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01856AA3-CC22-475E-B192-F7DEA0E4103B}">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96B7DA8-0367-48FF-B8D6-E92266108D9C}">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B7B923DA-8ED2-476A-B87B-CDBE45762790}">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CA7E8519-E1AD-4754-A86C-C3F9B2434E3D}">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BBF9A596-38AA-47FC-8D00-781B552BC16E}">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9A55FADF-EA75-4664-A451-2760C758DB89}">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D32A424-536E-4DEA-A169-96C748911A6C}">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8B0A5454-2EED-4D13-A4F3-89CD1BB73F19}">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6543B571-5EC8-4F3C-8F37-18DF6DEE8B3C}">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31894BE4-186B-4241-9689-F533C319EFC7}">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69FCF37F-EB45-4183-868B-3B0FB93B9CBD}">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E8ECBDD3-329A-4246-AEA1-F37558C5DF1A}">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C2DC2776-C400-4529-AA09-CC0DE5EFC3F7}">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7D49DD82-B1CB-4FDE-95FF-AC9269BD3A0D}">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0C7A4CCA-646E-4449-B268-43AE5CF57980}">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1EE70C5-2757-4E33-A397-F4BE950B94BD}">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84026F4-06A9-4F0A-97E4-4C6304EAE07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15BF62BC-A221-4459-B369-6459784C3F23}">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C1E4E15B-C64F-489D-8669-052A4A0391FE}">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F2BECB58-99F3-4ACB-93DF-2E689B05CE79}">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FAD821D2-DE91-47AB-BC88-6B7748225B11}">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740A9E0B-9005-4747-86CF-A48C242AC08A}">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BD11A44C-A1B7-40C4-87EF-F34760852177}">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4FFCF169-FE41-40CC-BC02-82FF8E335BC7}">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89627B26-70AC-4EEF-BFA2-08405162842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1EF0FE80-71B8-4AA0-B606-7547BE3096A8}">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EC748530-D769-4E00-B223-C7F4FE4A7CCE}">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5074F545-6879-4148-9061-D6F03A77939D}">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4B1BEF61-D424-406D-AA3F-BE33A8BD2FB3}">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3694A177-DB6F-4BCD-B407-B9CB145B1DD1}">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06EB8706-11FD-44DD-9F55-43321891DA3D}">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6E8B0C4E-61C4-4829-ACAF-0935B941F90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DD72802E-0A79-4EEE-A31A-AD860045D5B0}">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89BB3484-EBB6-455F-AC78-5DD0E6E16C49}">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57D0B750-0154-46E9-8316-295D8FB0986A}">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0B06C687-FB43-4EE1-BB90-94449630F1F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038BA856-59F3-4974-B016-0C7E3D200263}">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<sst xmlns="http://schemas.openxmlformats.org/spreadsheetml/2006/main" count="597" uniqueCount="433">
  <si>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</si>
  <si>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</si>
  <si>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</si>
  <si>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</si>
  <si>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</si>
  <si>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</si>
  <si>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</si>
  <si>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</si>
  <si>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</si>
  <si>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</si>
  <si>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</si>
  <si>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</si>
  <si>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</si>
  <si>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</si>
  <si>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</si>
  <si>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</si>
  <si>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</si>
  <si>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</si>
  <si>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</si>
  <si>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</si>
  <si>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</si>
  <si>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</si>
  <si>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</si>
  <si>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</si>
  <si>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</si>
  <si>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</si>
  <si>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</si>
  <si>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</si>
  <si>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</si>
  <si>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</si>
  <si>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</si>
  <si>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</si>
  <si>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</si>
  <si>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</si>
  <si>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</si>
  <si>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</si>
  <si>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</si>
  <si>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</si>
  <si>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</si>
  <si>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</si>
  <si>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</si>
  <si>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</si>
  <si>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</si>
  <si>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</si>
  <si>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</si>
  <si>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</si>
  <si>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</si>
  <si>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</si>
  <si>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</si>
  <si>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</si>
  <si>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</si>
  <si>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</si>
  <si>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</si>
  <si>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</si>
  <si>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</si>
  <si>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</si>
  <si>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</si>
  <si>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</si>
  <si>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</si>
  <si>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</si>
  <si>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</si>
  <si>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</si>
  <si>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</si>
  <si>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</si>
  <si>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</si>
  <si>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</si>
  <si>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</si>
  <si>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</si>
  <si>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</si>
  <si>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</si>
  <si>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</si>
  <si>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</si>
  <si>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</si>
  <si>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</si>
  <si>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</si>
  <si>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</si>
  <si>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</si>
  <si>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</si>
  <si>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</si>
  <si>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</si>
  <si>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</si>
  <si>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</si>
  <si>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</si>
  <si>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</si>
  <si>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</si>
  <si>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</si>
  <si>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</si>
  <si>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</si>
  <si>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</si>
  <si>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</si>
  <si>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</si>
  <si>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</si>
  <si>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</si>
  <si>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</si>
  <si>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</si>
  <si>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</si>
  <si>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</si>
  <si>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</si>
  <si>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</si>
  <si>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</si>
  <si>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</si>
  <si>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</si>
  <si>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</si>
  <si>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</si>
  <si>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</si>
  <si>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</si>
  <si>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</si>
  <si>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</si>
  <si>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</si>
  <si>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</si>
  <si>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</si>
  <si>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</si>
  <si>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</si>
  <si>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</si>
  <si>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</si>
  <si>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</si>
  <si>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</si>
  <si>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</si>
  <si>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</si>
  <si>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</si>
  <si>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</si>
  <si>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</si>
  <si>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</si>
  <si>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</si>
  <si>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</si>
  <si>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</si>
  <si>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</si>
  <si>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</si>
  <si>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</si>
  <si>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</si>
  <si>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</si>
  <si>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</si>
  <si>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</si>
  <si>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</si>
  <si>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</si>
  <si>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</si>
  <si>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</si>
  <si>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</si>
  <si>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</si>
  <si>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</si>
  <si>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</si>
  <si>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</si>
  <si>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</si>
  <si>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</si>
  <si>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</si>
  <si>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</si>
  <si>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</si>
  <si>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</si>
  <si>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</si>
  <si>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</si>
  <si>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</si>
  <si>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</si>
  <si>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</si>
  <si>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</si>
  <si>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</si>
  <si>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</si>
  <si>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</si>
  <si>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</si>
  <si>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</si>
  <si>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</si>
  <si>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</si>
  <si>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</si>
  <si>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</si>
  <si>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</si>
  <si>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</si>
  <si>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</si>
  <si>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</si>
  <si>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</si>
  <si>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</si>
  <si>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</si>
  <si>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</si>
  <si>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</si>
  <si>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</si>
  <si>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</si>
  <si>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</si>
  <si>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</si>
  <si>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</si>
  <si>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</si>
  <si>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</si>
  <si>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</si>
  <si>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</si>
  <si>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</si>
  <si>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</si>
  <si>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</si>
  <si>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</si>
  <si>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</si>
  <si>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</si>
  <si>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</si>
  <si>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</si>
  <si>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</si>
  <si>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</si>
  <si>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</si>
  <si>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</si>
  <si>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</si>
  <si>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</si>
  <si>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</si>
  <si>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</si>
  <si>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</si>
  <si>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</si>
  <si>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</si>
  <si>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</si>
  <si>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</si>
  <si>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</si>
  <si>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</si>
  <si>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</si>
  <si>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</si>
  <si>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</si>
  <si>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</si>
  <si>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</si>
  <si>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</si>
  <si>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</si>
  <si>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</si>
  <si>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</si>
  <si>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</si>
  <si>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</si>
  <si>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</si>
  <si>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</si>
  <si>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</si>
  <si>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</si>
  <si>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</si>
  <si>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</si>
  <si>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</si>
  <si>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</si>
  <si>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</si>
  <si>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</si>
  <si>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</si>
  <si>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</si>
  <si>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</si>
  <si>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</si>
  <si>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</si>
  <si>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</si>
  <si>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</si>
  <si>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</si>
  <si>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</si>
  <si>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</si>
  <si>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</si>
  <si>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</si>
  <si>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</si>
  <si>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</si>
  <si>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</si>
  <si>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</si>
  <si>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</si>
  <si>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</si>
  <si>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</si>
  <si>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</si>
  <si>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</si>
  <si>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</si>
  <si>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</si>
  <si>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</si>
  <si>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</si>
  <si>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</si>
  <si>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</si>
  <si>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</si>
  <si>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</si>
  <si>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</si>
  <si>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</si>
  <si>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</si>
  <si>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</si>
  <si>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</si>
  <si>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</si>
  <si>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</si>
  <si>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</si>
  <si>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</si>
  <si>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</si>
  <si>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</si>
  <si>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</si>
  <si>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</si>
  <si>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</si>
  <si>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</si>
  <si>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</si>
  <si>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</si>
  <si>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</si>
  <si>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</si>
  <si>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</si>
  <si>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</si>
  <si>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</si>
  <si>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</si>
  <si>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</si>
  <si>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</si>
  <si>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</si>
  <si>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</si>
  <si>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</si>
  <si>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</si>
  <si>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</si>
  <si>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</si>
  <si>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</si>
  <si>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</si>
  <si>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</si>
  <si>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</si>
  <si>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</si>
  <si>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</si>
  <si>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</si>
  <si>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</si>
  <si>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</si>
  <si>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</si>
  <si>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</si>
  <si>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</si>
  <si>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</si>
  <si>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</si>
  <si>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</si>
  <si>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</si>
  <si>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</si>
  <si>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</si>
  <si>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</si>
  <si>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</si>
  <si>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</si>
  <si>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</si>
  <si>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</si>
  <si>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</si>
  <si>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</si>
  <si>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</si>
  <si>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</si>
  <si>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</si>
  <si>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</si>
  <si>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</si>
  <si>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</si>
  <si>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</si>
  <si>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</si>
  <si>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</si>
  <si>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</si>
  <si>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</si>
  <si>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</si>
  <si>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</si>
  <si>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</si>
  <si>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</si>
  <si>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</si>
  <si>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</si>
  <si>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</si>
  <si>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</si>
  <si>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</si>
  <si>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</si>
  <si>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</si>
  <si>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</si>
  <si>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</si>
  <si>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</si>
  <si>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</si>
  <si>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</si>
  <si>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</si>
  <si>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</si>
  <si>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</si>
  <si>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</si>
  <si>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</si>
  <si>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</si>
  <si>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</si>
  <si>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</si>
  <si>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</si>
  <si>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</si>
  <si>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</si>
  <si>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</si>
  <si>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</si>
  <si>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</si>
  <si>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</si>
  <si>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</si>
  <si>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</si>
  <si>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</si>
  <si>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</si>
  <si>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</si>
  <si>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</si>
  <si>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</si>
  <si>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</si>
  <si>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</si>
  <si>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</si>
  <si>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</si>
  <si>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</si>
  <si>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</si>
  <si>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</si>
  <si>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</si>
  <si>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</si>
  <si>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</si>
  <si>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</si>
  <si>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</si>
  <si>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</si>
  <si>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</si>
  <si>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</si>
  <si>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</si>
  <si>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</si>
  <si>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</si>
  <si>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</si>
  <si>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</si>
  <si>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</si>
  <si>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</si>
  <si>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</si>
  <si>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</si>
  <si>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</si>
  <si>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</si>
  <si>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</si>
  <si>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</si>
  <si>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</si>
  <si>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</si>
  <si>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</si>
  <si>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</si>
  <si>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</si>
  <si>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</si>
  <si>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</si>
  <si>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</si>
  <si>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</si>
  <si>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</si>
  <si>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</si>
  <si>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</si>
  <si>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</si>
  <si>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</si>
  <si>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</si>
  <si>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</si>
  <si>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</si>
  <si>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</si>
  <si>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</si>
  <si>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</si>
  <si>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반하</t>
    <phoneticPr fontId="5" type="noConversion"/>
  </si>
  <si>
    <t>진피1</t>
    <phoneticPr fontId="5" type="noConversion"/>
  </si>
  <si>
    <t>복령</t>
    <phoneticPr fontId="5" type="noConversion"/>
  </si>
  <si>
    <t>원육</t>
    <phoneticPr fontId="5" type="noConversion"/>
  </si>
  <si>
    <t>인삼</t>
    <phoneticPr fontId="5" type="noConversion"/>
  </si>
  <si>
    <t>황기</t>
    <phoneticPr fontId="5" type="noConversion"/>
  </si>
  <si>
    <t>백출</t>
    <phoneticPr fontId="5" type="noConversion"/>
  </si>
  <si>
    <t>목향</t>
    <phoneticPr fontId="5" type="noConversion"/>
  </si>
  <si>
    <t>감초</t>
    <phoneticPr fontId="5" type="noConversion"/>
  </si>
  <si>
    <t>생강</t>
    <phoneticPr fontId="5" type="noConversion"/>
  </si>
  <si>
    <t>대추</t>
    <phoneticPr fontId="5" type="noConversion"/>
  </si>
  <si>
    <t>죽여1</t>
    <phoneticPr fontId="5" type="noConversion"/>
  </si>
  <si>
    <t>당귀1</t>
    <phoneticPr fontId="5" type="noConversion"/>
  </si>
  <si>
    <t>지각</t>
    <phoneticPr fontId="5" type="noConversion"/>
  </si>
  <si>
    <t>사인</t>
    <phoneticPr fontId="5" type="noConversion"/>
  </si>
  <si>
    <t>향부자</t>
    <phoneticPr fontId="5" type="noConversion"/>
  </si>
  <si>
    <t>맥문동</t>
    <phoneticPr fontId="5" type="noConversion"/>
  </si>
  <si>
    <t>육계</t>
    <phoneticPr fontId="5" type="noConversion"/>
  </si>
  <si>
    <t>귀비온담탕</t>
    <phoneticPr fontId="5" type="noConversion"/>
  </si>
  <si>
    <t>주성숙</t>
    <phoneticPr fontId="5" type="noConversion"/>
  </si>
  <si>
    <t>F</t>
    <phoneticPr fontId="5" type="noConversion"/>
  </si>
  <si>
    <t>천궁1</t>
    <phoneticPr fontId="5" type="noConversion"/>
  </si>
  <si>
    <t>(녹용)</t>
    <phoneticPr fontId="5" type="noConversion"/>
  </si>
  <si>
    <t>(자하거)</t>
    <phoneticPr fontId="5" type="noConversion"/>
  </si>
  <si>
    <t>페루</t>
    <phoneticPr fontId="5" type="noConversion"/>
  </si>
  <si>
    <t>주증</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</si>
</sst>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5">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
      <sz val="9"/>
      <color indexed="81"/>
      <name val="Tahoma"/>
      <family val="2"/>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176" fontId="13" fillId="0" borderId="33" xfId="1" applyNumberFormat="1" applyFont="1" applyFill="1" applyBorder="1" applyAlignment="1">
      <alignment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446C4B05-598F-4FF5-A6D8-78F2BF9E48C7}">
    <text>국산</text>
  </threadedComment>
  <threadedComment ref="A4" dT="2024-09-12T16:16:28.05" personId="{0277103A-E300-412D-B5C0-A5092221214E}" id="{584CBD92-939A-42CC-989D-ACF0A54EB8B3}">
    <text>중국산</text>
  </threadedComment>
  <threadedComment ref="A8" dT="2024-09-12T16:16:48.00" personId="{0277103A-E300-412D-B5C0-A5092221214E}" id="{25F0C0C1-651A-42C7-835D-7700FA409855}">
    <text>남강활</text>
  </threadedComment>
  <threadedComment ref="A9" dT="2024-09-12T16:17:02.12" personId="{0277103A-E300-412D-B5C0-A5092221214E}" id="{7FA585B3-F152-4C97-8DA5-FE243285327D}">
    <text>북강활</text>
  </threadedComment>
  <threadedComment ref="N9" dT="2024-09-12T05:51:52.29" personId="{00000000-0000-0000-0000-000000000000}" id="{8BB0D961-1966-4DCC-BC01-66BFA7D3A4E2}">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F2352FF1-8A55-467D-9527-968E453868D1}">
    <text>배초향(국산)</text>
  </threadedComment>
  <threadedComment ref="A23" dT="2024-09-12T16:17:54.11" personId="{0277103A-E300-412D-B5C0-A5092221214E}" id="{FC867C0A-6747-42D0-97AD-2970AD31BE30}">
    <text>광곽향</text>
  </threadedComment>
  <threadedComment ref="A38" dT="2024-09-12T16:15:45.21" personId="{0277103A-E300-412D-B5C0-A5092221214E}" id="{31FEEA8F-733E-4CA8-8EAB-722635E3441A}">
    <text>일당귀</text>
  </threadedComment>
  <threadedComment ref="A39" dT="2024-09-12T16:15:56.22" personId="{0277103A-E300-412D-B5C0-A5092221214E}" id="{99F81D3B-061D-49F9-BFF2-EA232495FDB1}">
    <text>토당귀, 참당귀</text>
  </threadedComment>
  <threadedComment ref="N44" dT="2024-09-12T05:13:07.78" personId="{00000000-0000-0000-0000-000000000000}" id="{1AD8EA66-C940-4140-8C1C-9CA9CCBE5F9F}">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44349E51-A64F-46F9-81CE-738E92688715}">
    <text>100g</text>
  </threadedComment>
  <threadedComment ref="G53" dT="2024-09-12T04:33:28.57" personId="{00000000-0000-0000-0000-000000000000}" id="{E374EFC3-6703-415A-9792-E735B657DD1D}">
    <text>600g</text>
  </threadedComment>
  <threadedComment ref="N54" dT="2024-09-13T04:58:21.35" personId="{0277103A-E300-412D-B5C0-A5092221214E}" id="{0890913F-5A02-447F-8934-4F4172059E9D}">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37D6EE75-75A2-47CA-BD78-4381E2F8315A}">
    <text>1kg 신흥</text>
  </threadedComment>
  <threadedComment ref="A64" dT="2024-09-12T16:18:16.70" personId="{0277103A-E300-412D-B5C0-A5092221214E}" id="{01856AA3-CC22-475E-B192-F7DEA0E4103B}">
    <text>분방기</text>
  </threadedComment>
  <threadedComment ref="N64" dT="2024-09-12T07:47:29.54" personId="{00000000-0000-0000-0000-000000000000}" id="{C96B7DA8-0367-48FF-B8D6-E92266108D9C}">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B7B923DA-8ED2-476A-B87B-CDBE45762790}">
    <text>청풍등</text>
  </threadedComment>
  <threadedComment ref="A66" dT="2024-09-12T16:18:36.31" personId="{0277103A-E300-412D-B5C0-A5092221214E}" id="{CA7E8519-E1AD-4754-A86C-C3F9B2434E3D}">
    <text>목방기</text>
  </threadedComment>
  <threadedComment ref="A67" dT="2024-09-12T16:18:51.22" personId="{0277103A-E300-412D-B5C0-A5092221214E}" id="{BBF9A596-38AA-47FC-8D00-781B552BC16E}">
    <text>관방풍</text>
  </threadedComment>
  <threadedComment ref="N67" dT="2024-09-12T06:53:13.26" personId="{00000000-0000-0000-0000-000000000000}" id="{9A55FADF-EA75-4664-A451-2760C758DB89}">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D32A424-536E-4DEA-A169-96C748911A6C}">
    <text>식방풍/해방풍</text>
  </threadedComment>
  <threadedComment ref="I75" dT="2024-09-12T04:32:48.49" personId="{00000000-0000-0000-0000-000000000000}" id="{8B0A5454-2EED-4D13-A4F3-89CD1BB73F19}">
    <text>의성, 유피</text>
  </threadedComment>
  <threadedComment ref="N75" dT="2024-09-12T07:43:39.33" personId="{00000000-0000-0000-0000-000000000000}" id="{6543B571-5EC8-4F3C-8F37-18DF6DEE8B3C}">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31894BE4-186B-4241-9689-F533C319EFC7}">
    <text>기원백출</text>
  </threadedComment>
  <threadedComment ref="N80" dT="2024-09-12T06:51:12.26" personId="{00000000-0000-0000-0000-000000000000}" id="{69FCF37F-EB45-4183-868B-3B0FB93B9CBD}">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E8ECBDD3-329A-4246-AEA1-F37558C5DF1A}">
    <text>휴먼허브, 초, 원산조인, 중국</text>
  </threadedComment>
  <threadedComment ref="A111" dT="2024-09-12T16:19:48.44" personId="{0277103A-E300-412D-B5C0-A5092221214E}" id="{C2DC2776-C400-4529-AA09-CC0DE5EFC3F7}">
    <text>북시호</text>
  </threadedComment>
  <threadedComment ref="N111" dT="2024-09-12T07:49:51.15" personId="{00000000-0000-0000-0000-000000000000}" id="{7D49DD82-B1CB-4FDE-95FF-AC9269BD3A0D}">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0C7A4CCA-646E-4449-B268-43AE5CF57980}">
    <text>야생시호</text>
  </threadedComment>
  <threadedComment ref="N112" dT="2024-09-12T07:59:25.73" personId="{00000000-0000-0000-0000-000000000000}" id="{81EE70C5-2757-4E33-A397-F4BE950B94BD}">
    <text>사이코사포닌0.3%이상</text>
  </threadedComment>
  <threadedComment ref="N125" dT="2024-09-12T07:33:39.37" personId="{00000000-0000-0000-0000-000000000000}" id="{A84026F4-06A9-4F0A-97E4-4C6304EAE07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15BF62BC-A221-4459-B369-6459784C3F23}">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C1E4E15B-C64F-489D-8669-052A4A0391FE}">
    <text>주증</text>
  </threadedComment>
  <threadedComment ref="A148" dT="2024-09-12T16:20:20.23" personId="{0277103A-E300-412D-B5C0-A5092221214E}" id="{F2BECB58-99F3-4ACB-93DF-2E689B05CE79}">
    <text>백화전호</text>
  </threadedComment>
  <threadedComment ref="A152" dT="2024-09-12T16:20:31.35" personId="{0277103A-E300-412D-B5C0-A5092221214E}" id="{FAD821D2-DE91-47AB-BC88-6B7748225B11}">
    <text>국산</text>
  </threadedComment>
  <threadedComment ref="A153" dT="2024-09-12T16:20:37.76" personId="{0277103A-E300-412D-B5C0-A5092221214E}" id="{740A9E0B-9005-4747-86CF-A48C242AC08A}">
    <text>중국산</text>
  </threadedComment>
  <threadedComment ref="I159" dT="2024-09-12T04:24:51.64" personId="{00000000-0000-0000-0000-000000000000}" id="{BD11A44C-A1B7-40C4-87EF-F34760852177}">
    <text>중국, 흑지실</text>
  </threadedComment>
  <threadedComment ref="A162" dT="2024-09-12T16:20:55.53" personId="{0277103A-E300-412D-B5C0-A5092221214E}" id="{4FFCF169-FE41-40CC-BC02-82FF8E335BC7}">
    <text>귤피</text>
  </threadedComment>
  <threadedComment ref="A163" dT="2024-09-12T16:21:11.61" personId="{0277103A-E300-412D-B5C0-A5092221214E}" id="{89627B26-70AC-4EEF-BFA2-084051628420}">
    <text>산물진피</text>
  </threadedComment>
  <threadedComment ref="A164" dT="2024-09-12T16:21:01.68" personId="{0277103A-E300-412D-B5C0-A5092221214E}" id="{1EF0FE80-71B8-4AA0-B606-7547BE3096A8}">
    <text>물푸레진피</text>
  </threadedComment>
  <threadedComment ref="A167" dT="2024-09-12T16:21:31.68" personId="{0277103A-E300-412D-B5C0-A5092221214E}" id="{EC748530-D769-4E00-B223-C7F4FE4A7CCE}">
    <text>삽주</text>
  </threadedComment>
  <threadedComment ref="A168" dT="2024-09-12T16:21:25.45" personId="{0277103A-E300-412D-B5C0-A5092221214E}" id="{5074F545-6879-4148-9061-D6F03A77939D}">
    <text>북창출/모창출</text>
  </threadedComment>
  <threadedComment ref="N168" dT="2024-09-12T07:40:54.71" personId="{00000000-0000-0000-0000-000000000000}" id="{4B1BEF61-D424-406D-AA3F-BE33A8BD2FB3}">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0EDD0A39-C408-469C-B7DB-56AD7EFB4F7D}" parentId="{4B1BEF61-D424-406D-AA3F-BE33A8BD2FB3}">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3694A177-DB6F-4BCD-B407-B9CB145B1DD1}">
    <text>일천궁</text>
  </threadedComment>
  <threadedComment ref="N169" dT="2024-09-12T07:24:28.34" personId="{00000000-0000-0000-0000-000000000000}" id="{06EB8706-11FD-44DD-9F55-43321891DA3D}">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6E8B0C4E-61C4-4829-ACAF-0935B941F908}">
    <text>토천궁</text>
  </threadedComment>
  <threadedComment ref="N177" dT="2024-09-12T07:30:41.95" personId="{00000000-0000-0000-0000-000000000000}" id="{DD72802E-0A79-4EEE-A31A-AD860045D5B0}">
    <text xml:space="preserve">- 5〜6월에 스스로 떨어진 유과(幼果)를 수집하고 볕에 말린 것을 “개청피(個靑皮)”라 하며 </text>
  </threadedComment>
  <threadedComment ref="N177" dT="2024-09-12T14:37:59.85" personId="{0277103A-E300-412D-B5C0-A5092221214E}" id="{D11EF4FA-EBA6-40E8-B6E5-79F2B7997F26}" parentId="{DD72802E-0A79-4EEE-A31A-AD860045D5B0}">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89BB3484-EBB6-455F-AC78-5DD0E6E16C49}">
    <text>국산</text>
  </threadedComment>
  <threadedComment ref="A184" dT="2024-09-12T16:22:10.88" personId="{0277103A-E300-412D-B5C0-A5092221214E}" id="{57D0B750-0154-46E9-8316-295D8FB0986A}">
    <text>중국산</text>
  </threadedComment>
  <threadedComment ref="N202" dT="2024-09-12T14:45:25.20" personId="{0277103A-E300-412D-B5C0-A5092221214E}" id="{0B06C687-FB43-4EE1-BB90-94449630F1F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038BA856-59F3-4974-B016-0C7E3D200263}">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G2" sqref="G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407</v>
      </c>
      <c r="D2" s="4"/>
      <c r="E2" s="88">
        <v>6</v>
      </c>
      <c r="F2" s="101">
        <f>E2*$L$15</f>
        <v>120</v>
      </c>
      <c r="G2">
        <f>VLOOKUP($C2,약재관리!A:J,10,FALSE)</f>
        <v>47</v>
      </c>
      <c r="H2" s="5">
        <f>G2*E2</f>
        <v>282</v>
      </c>
      <c r="I2" s="90">
        <f>G2*F2</f>
        <v>5640</v>
      </c>
      <c r="K2" s="7" t="s">
        <v>9</v>
      </c>
      <c r="L2" s="151">
        <v>55</v>
      </c>
      <c r="M2" s="152"/>
    </row>
    <row r="3" spans="2:13">
      <c r="B3" s="3">
        <v>2</v>
      </c>
      <c r="C3" t="s">
        <v>408</v>
      </c>
      <c r="D3" s="4"/>
      <c r="E3" s="88">
        <v>6</v>
      </c>
      <c r="F3" s="101">
        <f t="shared" ref="F3:F31" si="0">E3*$L$15</f>
        <v>120</v>
      </c>
      <c r="G3">
        <f>VLOOKUP($C3,약재관리!A:J,10,FALSE)</f>
        <v>17.600000000000001</v>
      </c>
      <c r="H3" s="5">
        <f t="shared" ref="H3:H31" si="1">G3*E3</f>
        <v>105.60000000000001</v>
      </c>
      <c r="I3" s="6">
        <f t="shared" ref="I3:I31" si="2">G3*F3</f>
        <v>2112</v>
      </c>
      <c r="K3" s="8" t="s">
        <v>10</v>
      </c>
      <c r="L3" s="146" t="s">
        <v>425</v>
      </c>
      <c r="M3" s="147"/>
    </row>
    <row r="4" spans="2:13">
      <c r="B4" s="3">
        <v>3</v>
      </c>
      <c r="C4" t="s">
        <v>409</v>
      </c>
      <c r="D4" s="4"/>
      <c r="E4" s="88">
        <v>6</v>
      </c>
      <c r="F4" s="101">
        <f t="shared" si="0"/>
        <v>120</v>
      </c>
      <c r="G4">
        <f>VLOOKUP($C4,약재관리!A:J,10,FALSE)</f>
        <v>11</v>
      </c>
      <c r="H4" s="5">
        <f t="shared" si="1"/>
        <v>66</v>
      </c>
      <c r="I4" s="6">
        <f t="shared" si="2"/>
        <v>1320</v>
      </c>
      <c r="K4" s="8" t="s">
        <v>11</v>
      </c>
      <c r="L4" s="153">
        <v>45639</v>
      </c>
      <c r="M4" s="147"/>
    </row>
    <row r="5" spans="2:13">
      <c r="B5" s="3">
        <v>4</v>
      </c>
      <c r="C5" t="s">
        <v>420</v>
      </c>
      <c r="D5" s="4"/>
      <c r="E5" s="88">
        <v>4</v>
      </c>
      <c r="F5" s="101">
        <f t="shared" si="0"/>
        <v>80</v>
      </c>
      <c r="G5">
        <f>VLOOKUP($C5,약재관리!A:J,10,FALSE)</f>
        <v>10</v>
      </c>
      <c r="H5" s="5">
        <f t="shared" si="1"/>
        <v>40</v>
      </c>
      <c r="I5" s="6">
        <f t="shared" si="2"/>
        <v>800</v>
      </c>
      <c r="K5" s="8" t="s">
        <v>12</v>
      </c>
      <c r="L5" s="146" t="s">
        <v>426</v>
      </c>
      <c r="M5" s="147"/>
    </row>
    <row r="6" spans="2:13">
      <c r="B6" s="3">
        <v>5</v>
      </c>
      <c r="C6" t="s">
        <v>418</v>
      </c>
      <c r="D6" s="4"/>
      <c r="E6" s="88">
        <v>4</v>
      </c>
      <c r="F6" s="101">
        <f t="shared" si="0"/>
        <v>80</v>
      </c>
      <c r="G6">
        <f>VLOOKUP($C6,약재관리!A:J,10,FALSE)</f>
        <v>15.4</v>
      </c>
      <c r="H6" s="5">
        <f t="shared" si="1"/>
        <v>61.6</v>
      </c>
      <c r="I6" s="6">
        <f t="shared" si="2"/>
        <v>1232</v>
      </c>
      <c r="K6" s="8" t="s">
        <v>13</v>
      </c>
      <c r="L6" s="146">
        <v>66</v>
      </c>
      <c r="M6" s="147"/>
    </row>
    <row r="7" spans="2:13" ht="17.25" thickBot="1">
      <c r="B7" s="3">
        <v>6</v>
      </c>
      <c r="C7" t="s">
        <v>419</v>
      </c>
      <c r="D7" s="4"/>
      <c r="E7" s="88">
        <v>4</v>
      </c>
      <c r="F7" s="101">
        <f t="shared" si="0"/>
        <v>80</v>
      </c>
      <c r="G7">
        <f>VLOOKUP($C7,약재관리!A:J,10,FALSE)</f>
        <v>25</v>
      </c>
      <c r="H7" s="5">
        <f t="shared" si="1"/>
        <v>100</v>
      </c>
      <c r="I7" s="6">
        <f t="shared" si="2"/>
        <v>2000</v>
      </c>
      <c r="K7" s="8" t="s">
        <v>14</v>
      </c>
      <c r="L7" s="154" t="s">
        <v>427</v>
      </c>
      <c r="M7" s="155"/>
    </row>
    <row r="8" spans="2:13" ht="17.25" thickBot="1">
      <c r="B8" s="3">
        <v>7</v>
      </c>
      <c r="C8" t="s">
        <v>410</v>
      </c>
      <c r="D8" s="4"/>
      <c r="E8" s="88">
        <v>8</v>
      </c>
      <c r="F8" s="101">
        <f t="shared" si="0"/>
        <v>160</v>
      </c>
      <c r="G8">
        <f>VLOOKUP($C8,약재관리!A:J,10,FALSE)</f>
        <v>19.2</v>
      </c>
      <c r="H8" s="5">
        <f t="shared" si="1"/>
        <v>153.6</v>
      </c>
      <c r="I8" s="6">
        <f t="shared" si="2"/>
        <v>3072</v>
      </c>
      <c r="K8" s="148" t="s">
        <v>15</v>
      </c>
      <c r="L8" s="149"/>
      <c r="M8" s="150"/>
    </row>
    <row r="9" spans="2:13">
      <c r="B9" s="3">
        <v>8</v>
      </c>
      <c r="C9" t="s">
        <v>422</v>
      </c>
      <c r="D9" s="4"/>
      <c r="E9" s="88">
        <v>8</v>
      </c>
      <c r="F9" s="101">
        <f t="shared" si="0"/>
        <v>160</v>
      </c>
      <c r="G9">
        <f>VLOOKUP($C9,약재관리!A:J,10,FALSE)</f>
        <v>14.7</v>
      </c>
      <c r="H9" s="5">
        <f t="shared" si="1"/>
        <v>117.6</v>
      </c>
      <c r="I9" s="6">
        <f t="shared" si="2"/>
        <v>2352</v>
      </c>
      <c r="K9" s="156"/>
      <c r="L9" s="157"/>
      <c r="M9" s="158"/>
    </row>
    <row r="10" spans="2:13">
      <c r="B10" s="3">
        <v>9</v>
      </c>
      <c r="C10" t="s">
        <v>411</v>
      </c>
      <c r="D10" s="4"/>
      <c r="E10" s="88">
        <v>4</v>
      </c>
      <c r="F10" s="101">
        <f t="shared" si="0"/>
        <v>80</v>
      </c>
      <c r="G10">
        <f>VLOOKUP($C10,약재관리!A:J,10,FALSE)</f>
        <v>90</v>
      </c>
      <c r="H10" s="5">
        <f t="shared" si="1"/>
        <v>360</v>
      </c>
      <c r="I10" s="6">
        <f t="shared" si="2"/>
        <v>7200</v>
      </c>
      <c r="K10" s="159"/>
      <c r="L10" s="160"/>
      <c r="M10" s="161"/>
    </row>
    <row r="11" spans="2:13">
      <c r="B11" s="3">
        <v>10</v>
      </c>
      <c r="C11" t="s">
        <v>412</v>
      </c>
      <c r="D11" s="4"/>
      <c r="E11" s="88">
        <v>4</v>
      </c>
      <c r="F11" s="101">
        <f t="shared" si="0"/>
        <v>80</v>
      </c>
      <c r="G11">
        <f>VLOOKUP($C11,약재관리!A:J,10,FALSE)</f>
        <v>22</v>
      </c>
      <c r="H11" s="5">
        <f t="shared" si="1"/>
        <v>88</v>
      </c>
      <c r="I11" s="6">
        <f t="shared" si="2"/>
        <v>1760</v>
      </c>
      <c r="K11" s="159"/>
      <c r="L11" s="160"/>
      <c r="M11" s="161"/>
    </row>
    <row r="12" spans="2:13">
      <c r="B12" s="3">
        <v>11</v>
      </c>
      <c r="C12" t="s">
        <v>413</v>
      </c>
      <c r="D12" s="4"/>
      <c r="E12" s="88">
        <v>4</v>
      </c>
      <c r="F12" s="101">
        <f t="shared" si="0"/>
        <v>80</v>
      </c>
      <c r="G12">
        <f>VLOOKUP($C12,약재관리!A:J,10,FALSE)</f>
        <v>28</v>
      </c>
      <c r="H12" s="5">
        <f t="shared" si="1"/>
        <v>112</v>
      </c>
      <c r="I12" s="6">
        <f t="shared" si="2"/>
        <v>2240</v>
      </c>
      <c r="K12" s="159"/>
      <c r="L12" s="160"/>
      <c r="M12" s="161"/>
    </row>
    <row r="13" spans="2:13" ht="17.25" thickBot="1">
      <c r="B13" s="3">
        <v>12</v>
      </c>
      <c r="C13" t="s">
        <v>414</v>
      </c>
      <c r="D13" s="4"/>
      <c r="E13" s="88">
        <v>2</v>
      </c>
      <c r="F13" s="101">
        <f t="shared" si="0"/>
        <v>40</v>
      </c>
      <c r="G13">
        <f>VLOOKUP($C13,약재관리!A:J,10,FALSE)</f>
        <v>9.8000000000000007</v>
      </c>
      <c r="H13" s="5">
        <f t="shared" si="1"/>
        <v>19.600000000000001</v>
      </c>
      <c r="I13" s="6">
        <f t="shared" si="2"/>
        <v>392</v>
      </c>
      <c r="K13" s="162"/>
      <c r="L13" s="163"/>
      <c r="M13" s="164"/>
    </row>
    <row r="14" spans="2:13">
      <c r="B14" s="3">
        <v>13</v>
      </c>
      <c r="C14" t="s">
        <v>415</v>
      </c>
      <c r="D14" s="4"/>
      <c r="E14" s="88">
        <v>3</v>
      </c>
      <c r="F14" s="101">
        <f t="shared" si="0"/>
        <v>60</v>
      </c>
      <c r="G14">
        <f>VLOOKUP($C14,약재관리!A:J,10,FALSE)</f>
        <v>28.3</v>
      </c>
      <c r="H14" s="5">
        <f t="shared" si="1"/>
        <v>84.9</v>
      </c>
      <c r="I14" s="6">
        <f t="shared" si="2"/>
        <v>1698</v>
      </c>
      <c r="K14" s="92" t="s">
        <v>16</v>
      </c>
      <c r="L14" s="9">
        <v>15</v>
      </c>
      <c r="M14" s="10" t="s">
        <v>17</v>
      </c>
    </row>
    <row r="15" spans="2:13">
      <c r="B15" s="3">
        <v>14</v>
      </c>
      <c r="C15" t="s">
        <v>416</v>
      </c>
      <c r="D15" s="4"/>
      <c r="E15" s="88">
        <v>5</v>
      </c>
      <c r="F15" s="101">
        <f t="shared" si="0"/>
        <v>100</v>
      </c>
      <c r="G15">
        <f>VLOOKUP($C15,약재관리!A:J,10,FALSE)</f>
        <v>15</v>
      </c>
      <c r="H15" s="5">
        <f t="shared" si="1"/>
        <v>75</v>
      </c>
      <c r="I15" s="6">
        <f t="shared" si="2"/>
        <v>1500</v>
      </c>
      <c r="K15" s="91" t="s">
        <v>18</v>
      </c>
      <c r="L15">
        <v>20</v>
      </c>
      <c r="M15" s="4" t="s">
        <v>19</v>
      </c>
    </row>
    <row r="16" spans="2:13">
      <c r="B16" s="3">
        <v>15</v>
      </c>
      <c r="C16" t="s">
        <v>417</v>
      </c>
      <c r="D16" s="4"/>
      <c r="E16" s="88">
        <v>4</v>
      </c>
      <c r="F16" s="101">
        <f t="shared" si="0"/>
        <v>80</v>
      </c>
      <c r="G16">
        <f>VLOOKUP($C16,약재관리!A:J,10,FALSE)</f>
        <v>20.8</v>
      </c>
      <c r="H16" s="5">
        <f t="shared" si="1"/>
        <v>83.2</v>
      </c>
      <c r="I16" s="6">
        <f t="shared" si="2"/>
        <v>1664</v>
      </c>
      <c r="K16" s="91" t="s">
        <v>20</v>
      </c>
      <c r="L16">
        <v>45</v>
      </c>
      <c r="M16" s="4" t="s">
        <v>21</v>
      </c>
    </row>
    <row r="17" spans="2:13" ht="17.25" thickBot="1">
      <c r="B17" s="3">
        <v>16</v>
      </c>
      <c r="C17" t="s">
        <v>421</v>
      </c>
      <c r="D17" s="4"/>
      <c r="E17" s="88">
        <v>2</v>
      </c>
      <c r="F17" s="101">
        <f t="shared" si="0"/>
        <v>40</v>
      </c>
      <c r="G17">
        <f>VLOOKUP($C17,약재관리!A:J,10,FALSE)</f>
        <v>21.8</v>
      </c>
      <c r="H17" s="5">
        <f t="shared" si="1"/>
        <v>43.6</v>
      </c>
      <c r="I17" s="6">
        <f t="shared" si="2"/>
        <v>872</v>
      </c>
      <c r="K17" s="14" t="s">
        <v>22</v>
      </c>
      <c r="L17" s="11">
        <v>100</v>
      </c>
      <c r="M17" s="12" t="s">
        <v>23</v>
      </c>
    </row>
    <row r="18" spans="2:13">
      <c r="B18" s="3">
        <v>17</v>
      </c>
      <c r="C18" t="s">
        <v>423</v>
      </c>
      <c r="D18" s="4"/>
      <c r="E18" s="88">
        <v>3</v>
      </c>
      <c r="F18" s="101">
        <f t="shared" si="0"/>
        <v>60</v>
      </c>
      <c r="G18">
        <f>VLOOKUP($C18,약재관리!A:J,10,FALSE)</f>
        <v>44.3</v>
      </c>
      <c r="H18" s="5">
        <f t="shared" si="1"/>
        <v>132.89999999999998</v>
      </c>
      <c r="I18" s="6">
        <f t="shared" si="2"/>
        <v>2658</v>
      </c>
      <c r="K18" s="92" t="s">
        <v>24</v>
      </c>
      <c r="L18" s="9">
        <f>SUM(E2:E31)</f>
        <v>84</v>
      </c>
      <c r="M18" s="10" t="s">
        <v>25</v>
      </c>
    </row>
    <row r="19" spans="2:13">
      <c r="B19" s="3">
        <v>18</v>
      </c>
      <c r="C19" t="s">
        <v>424</v>
      </c>
      <c r="D19" s="4"/>
      <c r="E19" s="88">
        <v>3</v>
      </c>
      <c r="F19" s="101">
        <f t="shared" si="0"/>
        <v>60</v>
      </c>
      <c r="G19">
        <f>VLOOKUP($C19,약재관리!A:J,10,FALSE)</f>
        <v>14.8</v>
      </c>
      <c r="H19" s="5">
        <f t="shared" si="1"/>
        <v>44.400000000000006</v>
      </c>
      <c r="I19" s="6">
        <f t="shared" si="2"/>
        <v>888</v>
      </c>
      <c r="K19" s="91" t="s">
        <v>26</v>
      </c>
      <c r="L19">
        <f>L15*L18</f>
        <v>1680</v>
      </c>
      <c r="M19" s="4" t="s">
        <v>25</v>
      </c>
    </row>
    <row r="20" spans="2:13" ht="17.25" thickBot="1">
      <c r="B20" s="3">
        <v>19</v>
      </c>
      <c r="C20" t="s">
        <v>428</v>
      </c>
      <c r="D20" s="4"/>
      <c r="E20" s="88">
        <v>4</v>
      </c>
      <c r="F20" s="101">
        <f t="shared" si="0"/>
        <v>80</v>
      </c>
      <c r="G20">
        <f>VLOOKUP($C20,약재관리!A:J,10,FALSE)</f>
        <v>10.8</v>
      </c>
      <c r="H20" s="5">
        <f t="shared" si="1"/>
        <v>43.2</v>
      </c>
      <c r="I20" s="6">
        <f t="shared" si="2"/>
        <v>864</v>
      </c>
      <c r="K20" s="14" t="s">
        <v>27</v>
      </c>
      <c r="L20" s="11">
        <f>L16*L17+L19</f>
        <v>6180</v>
      </c>
      <c r="M20" s="12" t="s">
        <v>23</v>
      </c>
    </row>
    <row r="21" spans="2:13" ht="17.25" thickBot="1">
      <c r="B21" s="3">
        <v>20</v>
      </c>
      <c r="D21" s="4"/>
      <c r="F21" s="101">
        <f t="shared" si="0"/>
        <v>0</v>
      </c>
      <c r="H21" s="5">
        <f t="shared" si="1"/>
        <v>0</v>
      </c>
      <c r="I21" s="6">
        <f t="shared" si="2"/>
        <v>0</v>
      </c>
      <c r="J21" s="91"/>
      <c r="M21" s="94"/>
    </row>
    <row r="22" spans="2:13" ht="17.25" thickBot="1">
      <c r="B22" s="3">
        <v>21</v>
      </c>
      <c r="C22" t="s">
        <v>429</v>
      </c>
      <c r="D22" s="4"/>
      <c r="F22" s="101">
        <v>80</v>
      </c>
      <c r="H22" s="5">
        <f t="shared" si="1"/>
        <v>0</v>
      </c>
      <c r="I22" s="6">
        <f t="shared" si="2"/>
        <v>0</v>
      </c>
      <c r="K22" s="148" t="s">
        <v>388</v>
      </c>
      <c r="L22" s="149"/>
      <c r="M22" s="150"/>
    </row>
    <row r="23" spans="2:13">
      <c r="B23" s="3">
        <v>22</v>
      </c>
      <c r="C23" t="s">
        <v>430</v>
      </c>
      <c r="D23" s="4"/>
      <c r="F23" s="101">
        <v>30</v>
      </c>
      <c r="H23" s="5">
        <f t="shared" si="1"/>
        <v>0</v>
      </c>
      <c r="I23" s="6">
        <f t="shared" si="2"/>
        <v>0</v>
      </c>
      <c r="K23" s="91" t="s">
        <v>382</v>
      </c>
      <c r="L23">
        <f>SUM(F2:F31)</f>
        <v>1790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2013.2</v>
      </c>
      <c r="M30" s="4" t="s">
        <v>386</v>
      </c>
    </row>
    <row r="31" spans="2:13" ht="17.25" thickBot="1">
      <c r="B31" s="13">
        <v>30</v>
      </c>
      <c r="C31" s="14"/>
      <c r="D31" s="12"/>
      <c r="E31" s="95"/>
      <c r="F31" s="102">
        <f t="shared" si="0"/>
        <v>0</v>
      </c>
      <c r="G31" s="14"/>
      <c r="H31" s="15">
        <f t="shared" si="1"/>
        <v>0</v>
      </c>
      <c r="I31" s="16">
        <f t="shared" si="2"/>
        <v>0</v>
      </c>
      <c r="K31" s="14" t="s">
        <v>385</v>
      </c>
      <c r="L31" s="15">
        <f>SUM(I2:I31)</f>
        <v>40264</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A054E-6509-4FB4-B885-A3549264B919}">
  <dimension ref="A1:N2370"/>
  <sheetViews>
    <sheetView zoomScaleNormal="100" workbookViewId="0">
      <selection activeCell="A3" sqref="A3"/>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45666</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431</v>
      </c>
      <c r="M11" s="47"/>
      <c r="N11" s="43" t="s">
        <v>431</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391</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391</v>
      </c>
      <c r="M22" s="42"/>
      <c r="N22" s="43" t="s">
        <v>392</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393</v>
      </c>
      <c r="L23" s="42" t="s">
        <v>390</v>
      </c>
      <c r="M23" s="42"/>
      <c r="N23" s="43" t="s">
        <v>394</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406</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8000</v>
      </c>
      <c r="F27" s="115">
        <f t="shared" si="2"/>
        <v>29.8</v>
      </c>
      <c r="G27" s="38">
        <f>C27/500</f>
        <v>17.399999999999999</v>
      </c>
      <c r="H27" s="38">
        <f t="shared" si="1"/>
        <v>15</v>
      </c>
      <c r="I27" s="48">
        <f t="shared" si="1"/>
        <v>13.333333333333334</v>
      </c>
      <c r="J27" s="40">
        <v>13.3</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15000</v>
      </c>
      <c r="F38" s="115">
        <f t="shared" si="2"/>
        <v>29.8</v>
      </c>
      <c r="G38" s="38">
        <f>C38/500</f>
        <v>25.4</v>
      </c>
      <c r="H38" s="38">
        <f t="shared" si="4"/>
        <v>25</v>
      </c>
      <c r="I38" s="48">
        <f t="shared" si="3"/>
        <v>25</v>
      </c>
      <c r="J38" s="40">
        <v>25</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402</v>
      </c>
      <c r="M40" s="47"/>
      <c r="N40" s="43" t="s">
        <v>396</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397</v>
      </c>
      <c r="M52" s="42"/>
      <c r="N52" s="43" t="s">
        <v>398</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5900</v>
      </c>
      <c r="F60" s="115">
        <f t="shared" si="6"/>
        <v>0</v>
      </c>
      <c r="G60" s="38">
        <f>C60/600</f>
        <v>10</v>
      </c>
      <c r="H60" s="38">
        <f t="shared" si="7"/>
        <v>11.666666666666666</v>
      </c>
      <c r="I60" s="48">
        <f t="shared" si="7"/>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395</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391</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22000</v>
      </c>
      <c r="F78" s="115">
        <f t="shared" si="6"/>
        <v>0</v>
      </c>
      <c r="G78" s="38">
        <f t="shared" si="6"/>
        <v>28</v>
      </c>
      <c r="H78" s="38">
        <f t="shared" si="8"/>
        <v>0</v>
      </c>
      <c r="I78" s="39">
        <f t="shared" si="8"/>
        <v>36.666666666666664</v>
      </c>
      <c r="J78" s="40">
        <v>28</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380</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381</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9"/>
        <v>0</v>
      </c>
      <c r="G90" s="44">
        <f t="shared" si="9"/>
        <v>7</v>
      </c>
      <c r="H90" s="38">
        <f t="shared" si="8"/>
        <v>7.5</v>
      </c>
      <c r="I90" s="39">
        <f t="shared" si="8"/>
        <v>7.166666666666667</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9"/>
        <v>0</v>
      </c>
      <c r="G110" s="38">
        <f>C110/500</f>
        <v>30.8</v>
      </c>
      <c r="H110" s="38">
        <f t="shared" ref="H110:I112" si="11">D110/600</f>
        <v>0</v>
      </c>
      <c r="I110" s="39">
        <f t="shared" si="11"/>
        <v>34.666666666666664</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6"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371</v>
      </c>
      <c r="M119" s="42"/>
      <c r="N119" s="43" t="s">
        <v>396</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 t="shared" si="13"/>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7700</v>
      </c>
      <c r="D140" s="36">
        <v>10500</v>
      </c>
      <c r="E140" s="37">
        <v>13000</v>
      </c>
      <c r="F140" s="115">
        <f t="shared" si="12"/>
        <v>0</v>
      </c>
      <c r="G140" s="38">
        <f>C140/500</f>
        <v>15.4</v>
      </c>
      <c r="H140" s="38">
        <f t="shared" si="14"/>
        <v>17.5</v>
      </c>
      <c r="I140" s="39">
        <f t="shared" si="14"/>
        <v>21.666666666666668</v>
      </c>
      <c r="J140" s="40">
        <v>15.4</v>
      </c>
      <c r="K140" s="69"/>
      <c r="L140" s="68" t="s">
        <v>273</v>
      </c>
      <c r="M140" s="68"/>
      <c r="N140" s="70" t="s">
        <v>396</v>
      </c>
    </row>
    <row r="141" spans="1:14" ht="15" customHeight="1">
      <c r="A141" s="118" t="s">
        <v>274</v>
      </c>
      <c r="B141" s="125"/>
      <c r="C141" s="36">
        <v>30000</v>
      </c>
      <c r="D141" s="36">
        <v>30000</v>
      </c>
      <c r="E141" s="37">
        <v>62500</v>
      </c>
      <c r="F141" s="115">
        <f t="shared" si="12"/>
        <v>0</v>
      </c>
      <c r="G141" s="44">
        <f>C141/300</f>
        <v>100</v>
      </c>
      <c r="H141" s="38">
        <f>D141/300</f>
        <v>100</v>
      </c>
      <c r="I141" s="39">
        <f t="shared" si="14"/>
        <v>104.16666666666667</v>
      </c>
      <c r="J141" s="40">
        <v>90</v>
      </c>
      <c r="K141" s="69"/>
      <c r="L141" s="57" t="s">
        <v>275</v>
      </c>
      <c r="M141" s="71" t="s">
        <v>276</v>
      </c>
      <c r="N141" s="70" t="s">
        <v>273</v>
      </c>
    </row>
    <row r="142" spans="1:14" ht="15" customHeight="1" thickBot="1">
      <c r="A142" s="129" t="s">
        <v>277</v>
      </c>
      <c r="B142" s="126"/>
      <c r="C142" s="49">
        <v>6000</v>
      </c>
      <c r="D142" s="49">
        <v>7500</v>
      </c>
      <c r="E142" s="50">
        <v>7200</v>
      </c>
      <c r="F142" s="73">
        <f t="shared" si="12"/>
        <v>0</v>
      </c>
      <c r="G142" s="51">
        <f>C142/500</f>
        <v>12</v>
      </c>
      <c r="H142" s="51">
        <f>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D143/600</f>
        <v>14.166666666666666</v>
      </c>
      <c r="I143" s="56">
        <f t="shared" ref="I143:I173" si="15">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si="12"/>
        <v>0</v>
      </c>
      <c r="G144" s="38">
        <f>C144/600</f>
        <v>48.333333333333336</v>
      </c>
      <c r="H144" s="38">
        <f>D144/600</f>
        <v>38.333333333333336</v>
      </c>
      <c r="I144" s="48">
        <f t="shared" si="15"/>
        <v>34.5</v>
      </c>
      <c r="J144" s="40">
        <v>38</v>
      </c>
      <c r="K144" s="41"/>
      <c r="L144" s="42" t="s">
        <v>105</v>
      </c>
      <c r="M144" s="42"/>
      <c r="N144" s="43" t="s">
        <v>398</v>
      </c>
    </row>
    <row r="145" spans="1:14" ht="15" customHeight="1">
      <c r="A145" s="119" t="s">
        <v>280</v>
      </c>
      <c r="B145" s="125"/>
      <c r="C145" s="36">
        <v>22500</v>
      </c>
      <c r="D145" s="36">
        <v>28000</v>
      </c>
      <c r="E145" s="37">
        <v>26900</v>
      </c>
      <c r="F145" s="115">
        <f t="shared" si="12"/>
        <v>0</v>
      </c>
      <c r="G145" s="38">
        <f>C145/500</f>
        <v>45</v>
      </c>
      <c r="H145" s="38">
        <f>D145/600</f>
        <v>46.666666666666664</v>
      </c>
      <c r="I145" s="39">
        <f t="shared" si="15"/>
        <v>44.833333333333336</v>
      </c>
      <c r="J145" s="40">
        <v>46.7</v>
      </c>
      <c r="K145" s="41"/>
      <c r="L145" s="42"/>
      <c r="M145" s="42"/>
      <c r="N145" s="43"/>
    </row>
    <row r="146" spans="1:14" ht="15" customHeight="1">
      <c r="A146" s="119" t="s">
        <v>281</v>
      </c>
      <c r="B146" s="125"/>
      <c r="C146" s="36"/>
      <c r="D146" s="36">
        <v>9000</v>
      </c>
      <c r="E146" s="37"/>
      <c r="F146" s="115">
        <f t="shared" si="12"/>
        <v>0</v>
      </c>
      <c r="G146" s="38">
        <f>C146/500</f>
        <v>0</v>
      </c>
      <c r="H146" s="38">
        <f>D146/600</f>
        <v>15</v>
      </c>
      <c r="I146" s="39">
        <f t="shared" si="15"/>
        <v>0</v>
      </c>
      <c r="J146" s="40">
        <v>15</v>
      </c>
      <c r="K146" s="41"/>
      <c r="L146" s="42"/>
      <c r="M146" s="47"/>
      <c r="N146" s="43"/>
    </row>
    <row r="147" spans="1:14" ht="15" customHeight="1">
      <c r="A147" s="119" t="s">
        <v>282</v>
      </c>
      <c r="B147" s="125"/>
      <c r="C147" s="36">
        <v>20000</v>
      </c>
      <c r="D147" s="36">
        <v>20000</v>
      </c>
      <c r="E147" s="37"/>
      <c r="F147" s="115">
        <f t="shared" ref="F147:G178" si="16">B147/500</f>
        <v>0</v>
      </c>
      <c r="G147" s="38">
        <f>C147/1000</f>
        <v>20</v>
      </c>
      <c r="H147" s="38">
        <f>D147/1000</f>
        <v>20</v>
      </c>
      <c r="I147" s="39">
        <f t="shared" si="15"/>
        <v>0</v>
      </c>
      <c r="J147" s="40">
        <v>20</v>
      </c>
      <c r="K147" s="41"/>
      <c r="L147" s="42" t="s">
        <v>283</v>
      </c>
      <c r="M147" s="47" t="s">
        <v>283</v>
      </c>
      <c r="N147" s="43"/>
    </row>
    <row r="148" spans="1:14" ht="15" customHeight="1">
      <c r="A148" s="119" t="s">
        <v>284</v>
      </c>
      <c r="B148" s="125"/>
      <c r="C148" s="36">
        <v>13400</v>
      </c>
      <c r="D148" s="36">
        <v>16000</v>
      </c>
      <c r="E148" s="37">
        <v>16500</v>
      </c>
      <c r="F148" s="115">
        <f t="shared" si="16"/>
        <v>0</v>
      </c>
      <c r="G148" s="38">
        <f>C148/500</f>
        <v>26.8</v>
      </c>
      <c r="H148" s="38">
        <f t="shared" ref="H148:I183" si="17">D148/600</f>
        <v>26.666666666666668</v>
      </c>
      <c r="I148" s="39">
        <f t="shared" si="15"/>
        <v>27.5</v>
      </c>
      <c r="J148" s="40">
        <v>27.5</v>
      </c>
      <c r="K148" s="41"/>
      <c r="L148" s="42" t="s">
        <v>65</v>
      </c>
      <c r="M148" s="42"/>
      <c r="N148" s="43" t="s">
        <v>285</v>
      </c>
    </row>
    <row r="149" spans="1:14" ht="15" customHeight="1">
      <c r="A149" s="120" t="s">
        <v>286</v>
      </c>
      <c r="B149" s="125"/>
      <c r="C149" s="36"/>
      <c r="D149" s="36"/>
      <c r="E149" s="37"/>
      <c r="F149" s="115">
        <f t="shared" si="16"/>
        <v>0</v>
      </c>
      <c r="G149" s="38">
        <f>C149/500</f>
        <v>0</v>
      </c>
      <c r="H149" s="38">
        <f t="shared" si="17"/>
        <v>0</v>
      </c>
      <c r="I149" s="39">
        <f t="shared" si="15"/>
        <v>0</v>
      </c>
      <c r="K149" s="41"/>
      <c r="L149" s="42"/>
      <c r="M149" s="42"/>
      <c r="N149" s="43"/>
    </row>
    <row r="150" spans="1:14" ht="15" customHeight="1">
      <c r="A150" s="120" t="s">
        <v>287</v>
      </c>
      <c r="B150" s="125"/>
      <c r="C150" s="36"/>
      <c r="D150" s="36"/>
      <c r="E150" s="37"/>
      <c r="F150" s="115">
        <f t="shared" si="16"/>
        <v>0</v>
      </c>
      <c r="G150" s="38">
        <f>C150/500</f>
        <v>0</v>
      </c>
      <c r="H150" s="38">
        <f t="shared" si="17"/>
        <v>0</v>
      </c>
      <c r="I150" s="39">
        <f t="shared" si="15"/>
        <v>0</v>
      </c>
      <c r="K150" s="41"/>
      <c r="L150" s="42"/>
      <c r="M150" s="42"/>
      <c r="N150" s="43"/>
    </row>
    <row r="151" spans="1:14" ht="15" customHeight="1">
      <c r="A151" s="120" t="s">
        <v>288</v>
      </c>
      <c r="B151" s="125"/>
      <c r="C151" s="36">
        <v>8600</v>
      </c>
      <c r="D151" s="36">
        <v>11000</v>
      </c>
      <c r="E151" s="37"/>
      <c r="F151" s="115">
        <f t="shared" si="16"/>
        <v>0</v>
      </c>
      <c r="G151" s="38">
        <f>C151/500</f>
        <v>17.2</v>
      </c>
      <c r="H151" s="38">
        <f t="shared" si="17"/>
        <v>18.333333333333332</v>
      </c>
      <c r="I151" s="39">
        <f t="shared" si="15"/>
        <v>0</v>
      </c>
      <c r="J151" s="40">
        <v>18.3</v>
      </c>
      <c r="K151" s="41"/>
      <c r="L151" s="42"/>
      <c r="M151" s="42"/>
      <c r="N151" s="43"/>
    </row>
    <row r="152" spans="1:14" ht="15" customHeight="1">
      <c r="A152" s="120" t="s">
        <v>289</v>
      </c>
      <c r="B152" s="125"/>
      <c r="C152" s="36">
        <v>7700</v>
      </c>
      <c r="D152" s="36"/>
      <c r="E152" s="37">
        <v>10200</v>
      </c>
      <c r="F152" s="115">
        <f t="shared" si="16"/>
        <v>0</v>
      </c>
      <c r="G152" s="44">
        <f>C152/500</f>
        <v>15.4</v>
      </c>
      <c r="H152" s="38">
        <f t="shared" si="17"/>
        <v>0</v>
      </c>
      <c r="I152" s="39">
        <f t="shared" si="15"/>
        <v>17</v>
      </c>
      <c r="J152" s="40">
        <v>15.4</v>
      </c>
      <c r="K152" s="41"/>
      <c r="L152" s="42" t="s">
        <v>57</v>
      </c>
      <c r="M152" s="42"/>
      <c r="N152" s="43"/>
    </row>
    <row r="153" spans="1:14" ht="15" customHeight="1">
      <c r="A153" s="119" t="s">
        <v>290</v>
      </c>
      <c r="B153" s="125"/>
      <c r="C153" s="36">
        <v>3500</v>
      </c>
      <c r="D153" s="36">
        <v>4500</v>
      </c>
      <c r="E153" s="37"/>
      <c r="F153" s="115">
        <f t="shared" si="16"/>
        <v>0</v>
      </c>
      <c r="G153" s="38">
        <f>C153/600</f>
        <v>5.833333333333333</v>
      </c>
      <c r="H153" s="38">
        <f t="shared" si="17"/>
        <v>7.5</v>
      </c>
      <c r="I153" s="39">
        <f t="shared" si="15"/>
        <v>0</v>
      </c>
      <c r="K153" s="41"/>
      <c r="L153" s="42" t="s">
        <v>49</v>
      </c>
      <c r="M153" s="42"/>
      <c r="N153" s="43"/>
    </row>
    <row r="154" spans="1:14" ht="15" customHeight="1">
      <c r="A154" s="120" t="s">
        <v>291</v>
      </c>
      <c r="B154" s="125"/>
      <c r="C154" s="36">
        <v>4500</v>
      </c>
      <c r="D154" s="36"/>
      <c r="E154" s="37"/>
      <c r="F154" s="115">
        <f t="shared" si="16"/>
        <v>0</v>
      </c>
      <c r="G154" s="38">
        <f>C154/600</f>
        <v>7.5</v>
      </c>
      <c r="H154" s="38">
        <f t="shared" si="17"/>
        <v>0</v>
      </c>
      <c r="I154" s="39">
        <f t="shared" si="15"/>
        <v>0</v>
      </c>
      <c r="J154" s="40">
        <v>7.5</v>
      </c>
      <c r="K154" s="41"/>
      <c r="L154" s="42" t="s">
        <v>292</v>
      </c>
      <c r="M154" s="42"/>
      <c r="N154" s="43"/>
    </row>
    <row r="155" spans="1:14" ht="15" customHeight="1">
      <c r="A155" s="120" t="s">
        <v>293</v>
      </c>
      <c r="B155" s="125"/>
      <c r="C155" s="36">
        <v>4800</v>
      </c>
      <c r="D155" s="36">
        <v>7000</v>
      </c>
      <c r="E155" s="37">
        <v>6000</v>
      </c>
      <c r="F155" s="115">
        <f t="shared" si="16"/>
        <v>0</v>
      </c>
      <c r="G155" s="38">
        <f t="shared" si="16"/>
        <v>9.6</v>
      </c>
      <c r="H155" s="38">
        <f t="shared" si="17"/>
        <v>11.666666666666666</v>
      </c>
      <c r="I155" s="39">
        <f t="shared" si="15"/>
        <v>10</v>
      </c>
      <c r="J155" s="40">
        <v>10</v>
      </c>
      <c r="K155" s="41"/>
      <c r="L155" s="42" t="s">
        <v>76</v>
      </c>
      <c r="M155" s="47" t="s">
        <v>147</v>
      </c>
      <c r="N155" s="43" t="s">
        <v>84</v>
      </c>
    </row>
    <row r="156" spans="1:14" ht="15" customHeight="1">
      <c r="A156" s="120" t="s">
        <v>294</v>
      </c>
      <c r="B156" s="125"/>
      <c r="C156" s="36">
        <v>10600</v>
      </c>
      <c r="D156" s="36">
        <v>14000</v>
      </c>
      <c r="E156" s="37">
        <v>13000</v>
      </c>
      <c r="F156" s="115">
        <f t="shared" si="16"/>
        <v>0</v>
      </c>
      <c r="G156" s="38">
        <f t="shared" si="16"/>
        <v>21.2</v>
      </c>
      <c r="H156" s="38">
        <f t="shared" si="17"/>
        <v>23.333333333333332</v>
      </c>
      <c r="I156" s="48">
        <f t="shared" si="15"/>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16"/>
        <v>0</v>
      </c>
      <c r="G157" s="38">
        <f t="shared" si="16"/>
        <v>15.2</v>
      </c>
      <c r="H157" s="38">
        <f t="shared" si="17"/>
        <v>18.333333333333332</v>
      </c>
      <c r="I157" s="39">
        <f t="shared" si="15"/>
        <v>16.666666666666668</v>
      </c>
      <c r="J157" s="40">
        <v>16.7</v>
      </c>
      <c r="K157" s="41"/>
      <c r="L157" s="42" t="s">
        <v>296</v>
      </c>
      <c r="M157" s="47"/>
      <c r="N157" s="43" t="s">
        <v>189</v>
      </c>
    </row>
    <row r="158" spans="1:14" ht="15" customHeight="1">
      <c r="A158" s="120" t="s">
        <v>297</v>
      </c>
      <c r="B158" s="125"/>
      <c r="C158" s="36"/>
      <c r="D158" s="36"/>
      <c r="E158" s="37"/>
      <c r="F158" s="115">
        <f t="shared" si="16"/>
        <v>0</v>
      </c>
      <c r="G158" s="38">
        <f t="shared" si="16"/>
        <v>0</v>
      </c>
      <c r="H158" s="38">
        <f t="shared" si="17"/>
        <v>0</v>
      </c>
      <c r="I158" s="39">
        <f t="shared" si="15"/>
        <v>0</v>
      </c>
      <c r="K158" s="41"/>
      <c r="L158" s="42"/>
      <c r="M158" s="42"/>
      <c r="N158" s="43"/>
    </row>
    <row r="159" spans="1:14" ht="15" customHeight="1">
      <c r="A159" s="120" t="s">
        <v>298</v>
      </c>
      <c r="B159" s="125"/>
      <c r="C159" s="36">
        <v>10000</v>
      </c>
      <c r="D159" s="36"/>
      <c r="E159" s="37">
        <v>10000</v>
      </c>
      <c r="F159" s="115">
        <f t="shared" si="16"/>
        <v>0</v>
      </c>
      <c r="G159" s="38">
        <f t="shared" si="16"/>
        <v>20</v>
      </c>
      <c r="H159" s="38">
        <f t="shared" si="17"/>
        <v>0</v>
      </c>
      <c r="I159" s="48">
        <f t="shared" si="15"/>
        <v>16.666666666666668</v>
      </c>
      <c r="J159" s="40">
        <v>16.7</v>
      </c>
      <c r="K159" s="41"/>
      <c r="L159" s="42" t="s">
        <v>246</v>
      </c>
      <c r="M159" s="42"/>
      <c r="N159" s="43" t="s">
        <v>299</v>
      </c>
    </row>
    <row r="160" spans="1:14" ht="15" customHeight="1">
      <c r="A160" s="120" t="s">
        <v>300</v>
      </c>
      <c r="B160" s="125"/>
      <c r="C160" s="36"/>
      <c r="D160" s="36"/>
      <c r="E160" s="37"/>
      <c r="F160" s="115">
        <f t="shared" si="16"/>
        <v>0</v>
      </c>
      <c r="G160" s="38">
        <f t="shared" si="16"/>
        <v>0</v>
      </c>
      <c r="H160" s="38">
        <f t="shared" si="17"/>
        <v>0</v>
      </c>
      <c r="I160" s="39">
        <f t="shared" si="15"/>
        <v>0</v>
      </c>
      <c r="K160" s="41"/>
      <c r="L160" s="42"/>
      <c r="M160" s="42"/>
      <c r="N160" s="43"/>
    </row>
    <row r="161" spans="1:14" ht="15" customHeight="1">
      <c r="A161" s="120" t="s">
        <v>301</v>
      </c>
      <c r="B161" s="125"/>
      <c r="C161" s="36">
        <v>9500</v>
      </c>
      <c r="D161" s="36">
        <v>14000</v>
      </c>
      <c r="E161" s="37"/>
      <c r="F161" s="115">
        <f t="shared" si="16"/>
        <v>0</v>
      </c>
      <c r="G161" s="38">
        <f t="shared" si="16"/>
        <v>19</v>
      </c>
      <c r="H161" s="38">
        <f t="shared" si="17"/>
        <v>23.333333333333332</v>
      </c>
      <c r="I161" s="39">
        <f t="shared" si="15"/>
        <v>0</v>
      </c>
      <c r="J161" s="40">
        <v>23.3</v>
      </c>
      <c r="K161" s="41"/>
      <c r="L161" s="42"/>
      <c r="M161" s="42"/>
      <c r="N161" s="43"/>
    </row>
    <row r="162" spans="1:14" ht="15" customHeight="1">
      <c r="A162" s="120" t="s">
        <v>302</v>
      </c>
      <c r="B162" s="125">
        <v>8800</v>
      </c>
      <c r="C162" s="36">
        <v>5100</v>
      </c>
      <c r="D162" s="36">
        <v>5800</v>
      </c>
      <c r="E162" s="37">
        <v>7000</v>
      </c>
      <c r="F162" s="115">
        <f t="shared" si="16"/>
        <v>17.600000000000001</v>
      </c>
      <c r="G162" s="38">
        <f t="shared" si="16"/>
        <v>10.199999999999999</v>
      </c>
      <c r="H162" s="38">
        <f t="shared" si="17"/>
        <v>9.6666666666666661</v>
      </c>
      <c r="I162" s="48">
        <f t="shared" si="15"/>
        <v>11.666666666666666</v>
      </c>
      <c r="J162" s="40">
        <v>17.600000000000001</v>
      </c>
      <c r="K162" s="67"/>
      <c r="L162" s="68" t="s">
        <v>303</v>
      </c>
      <c r="M162" s="58" t="s">
        <v>304</v>
      </c>
      <c r="N162" s="66" t="s">
        <v>305</v>
      </c>
    </row>
    <row r="163" spans="1:14" ht="15" customHeight="1">
      <c r="A163" s="120" t="s">
        <v>306</v>
      </c>
      <c r="B163" s="125">
        <v>22500</v>
      </c>
      <c r="C163" s="36"/>
      <c r="D163" s="36"/>
      <c r="E163" s="37"/>
      <c r="F163" s="115">
        <f t="shared" si="16"/>
        <v>45</v>
      </c>
      <c r="G163" s="38">
        <f t="shared" si="16"/>
        <v>0</v>
      </c>
      <c r="H163" s="38">
        <f t="shared" si="17"/>
        <v>0</v>
      </c>
      <c r="I163" s="39">
        <f t="shared" si="15"/>
        <v>0</v>
      </c>
      <c r="J163" s="40">
        <v>45</v>
      </c>
      <c r="K163" s="41"/>
      <c r="L163" s="42"/>
      <c r="M163" s="42"/>
      <c r="N163" s="43"/>
    </row>
    <row r="164" spans="1:14" ht="15" customHeight="1" thickBot="1">
      <c r="A164" s="122" t="s">
        <v>307</v>
      </c>
      <c r="B164" s="126"/>
      <c r="C164" s="49"/>
      <c r="D164" s="49"/>
      <c r="E164" s="50"/>
      <c r="F164" s="73">
        <f t="shared" si="16"/>
        <v>0</v>
      </c>
      <c r="G164" s="51">
        <f t="shared" si="16"/>
        <v>0</v>
      </c>
      <c r="H164" s="51">
        <f t="shared" si="17"/>
        <v>0</v>
      </c>
      <c r="I164" s="60">
        <f t="shared" si="15"/>
        <v>0</v>
      </c>
      <c r="J164" s="52"/>
      <c r="K164" s="61"/>
      <c r="L164" s="53"/>
      <c r="M164" s="53"/>
      <c r="N164" s="62"/>
    </row>
    <row r="165" spans="1:14" ht="15" customHeight="1">
      <c r="A165" s="132" t="s">
        <v>308</v>
      </c>
      <c r="B165" s="128"/>
      <c r="C165" s="26">
        <v>5300</v>
      </c>
      <c r="D165" s="26">
        <v>14000</v>
      </c>
      <c r="E165" s="27"/>
      <c r="F165" s="28">
        <f t="shared" si="16"/>
        <v>0</v>
      </c>
      <c r="G165" s="29">
        <f t="shared" si="16"/>
        <v>10.6</v>
      </c>
      <c r="H165" s="29">
        <f t="shared" si="17"/>
        <v>23.333333333333332</v>
      </c>
      <c r="I165" s="56">
        <f t="shared" si="15"/>
        <v>0</v>
      </c>
      <c r="J165" s="31">
        <v>23.3</v>
      </c>
      <c r="K165" s="32"/>
      <c r="L165" s="33"/>
      <c r="M165" s="34"/>
      <c r="N165" s="35"/>
    </row>
    <row r="166" spans="1:14" ht="15" customHeight="1">
      <c r="A166" s="121" t="s">
        <v>309</v>
      </c>
      <c r="B166" s="125"/>
      <c r="C166" s="36"/>
      <c r="D166" s="36"/>
      <c r="E166" s="37"/>
      <c r="F166" s="115">
        <f t="shared" si="16"/>
        <v>0</v>
      </c>
      <c r="G166" s="38">
        <f t="shared" si="16"/>
        <v>0</v>
      </c>
      <c r="H166" s="38">
        <f t="shared" si="17"/>
        <v>0</v>
      </c>
      <c r="I166" s="39">
        <f t="shared" si="15"/>
        <v>0</v>
      </c>
      <c r="K166" s="41"/>
      <c r="L166" s="42"/>
      <c r="M166" s="42"/>
      <c r="N166" s="43"/>
    </row>
    <row r="167" spans="1:14" ht="15" customHeight="1">
      <c r="A167" s="121" t="s">
        <v>310</v>
      </c>
      <c r="B167" s="125"/>
      <c r="C167" s="36">
        <v>11000</v>
      </c>
      <c r="D167" s="36"/>
      <c r="E167" s="37">
        <v>16300</v>
      </c>
      <c r="F167" s="115">
        <f t="shared" si="16"/>
        <v>0</v>
      </c>
      <c r="G167" s="72">
        <f t="shared" si="16"/>
        <v>22</v>
      </c>
      <c r="H167" s="38">
        <f t="shared" si="17"/>
        <v>0</v>
      </c>
      <c r="I167" s="165">
        <f t="shared" si="15"/>
        <v>27.166666666666668</v>
      </c>
      <c r="J167" s="40">
        <v>22</v>
      </c>
      <c r="K167" s="41"/>
      <c r="L167" s="57" t="s">
        <v>50</v>
      </c>
      <c r="M167" s="42"/>
      <c r="N167" s="43" t="s">
        <v>84</v>
      </c>
    </row>
    <row r="168" spans="1:14" ht="15" customHeight="1">
      <c r="A168" s="121" t="s">
        <v>314</v>
      </c>
      <c r="B168" s="125">
        <v>31900</v>
      </c>
      <c r="C168" s="36"/>
      <c r="D168" s="36">
        <v>17000</v>
      </c>
      <c r="E168" s="37">
        <v>25800</v>
      </c>
      <c r="F168" s="115">
        <f t="shared" si="16"/>
        <v>63.8</v>
      </c>
      <c r="G168" s="38">
        <f t="shared" si="16"/>
        <v>0</v>
      </c>
      <c r="H168" s="38">
        <f t="shared" si="17"/>
        <v>28.333333333333332</v>
      </c>
      <c r="I168" s="39">
        <f t="shared" si="15"/>
        <v>43</v>
      </c>
      <c r="J168" s="40">
        <v>43</v>
      </c>
      <c r="K168" s="41" t="s">
        <v>311</v>
      </c>
      <c r="L168" s="42"/>
      <c r="M168" s="47" t="s">
        <v>312</v>
      </c>
      <c r="N168" s="66" t="s">
        <v>313</v>
      </c>
    </row>
    <row r="169" spans="1:14" ht="15" customHeight="1">
      <c r="A169" s="121" t="s">
        <v>315</v>
      </c>
      <c r="B169" s="125"/>
      <c r="C169" s="36">
        <v>12000</v>
      </c>
      <c r="D169" s="36">
        <v>14000</v>
      </c>
      <c r="E169" s="37">
        <v>6500</v>
      </c>
      <c r="F169" s="115">
        <f t="shared" si="16"/>
        <v>0</v>
      </c>
      <c r="G169" s="38">
        <f>C169/600</f>
        <v>20</v>
      </c>
      <c r="H169" s="38">
        <f t="shared" si="17"/>
        <v>23.333333333333332</v>
      </c>
      <c r="I169" s="39">
        <f t="shared" si="15"/>
        <v>10.833333333333334</v>
      </c>
      <c r="J169" s="40">
        <v>10.8</v>
      </c>
      <c r="K169" s="41"/>
      <c r="L169" s="42" t="s">
        <v>316</v>
      </c>
      <c r="M169" s="42" t="s">
        <v>152</v>
      </c>
      <c r="N169" s="43" t="s">
        <v>84</v>
      </c>
    </row>
    <row r="170" spans="1:14" ht="15" customHeight="1">
      <c r="A170" s="118" t="s">
        <v>317</v>
      </c>
      <c r="B170" s="125"/>
      <c r="C170" s="36"/>
      <c r="D170" s="36"/>
      <c r="E170" s="37">
        <v>12500</v>
      </c>
      <c r="F170" s="115">
        <f t="shared" si="16"/>
        <v>0</v>
      </c>
      <c r="G170" s="38">
        <f t="shared" si="16"/>
        <v>0</v>
      </c>
      <c r="H170" s="38">
        <f t="shared" si="17"/>
        <v>0</v>
      </c>
      <c r="I170" s="39">
        <f t="shared" si="15"/>
        <v>20.833333333333332</v>
      </c>
      <c r="J170" s="40">
        <v>20.8</v>
      </c>
      <c r="K170" s="41"/>
      <c r="L170" s="42"/>
      <c r="M170" s="42"/>
      <c r="N170" s="43" t="s">
        <v>42</v>
      </c>
    </row>
    <row r="171" spans="1:14" ht="15" customHeight="1">
      <c r="A171" s="121" t="s">
        <v>318</v>
      </c>
      <c r="B171" s="125"/>
      <c r="C171" s="36">
        <v>5800</v>
      </c>
      <c r="D171" s="36"/>
      <c r="E171" s="37"/>
      <c r="F171" s="115">
        <f t="shared" si="16"/>
        <v>0</v>
      </c>
      <c r="G171" s="38">
        <f t="shared" si="16"/>
        <v>11.6</v>
      </c>
      <c r="H171" s="38">
        <f t="shared" si="17"/>
        <v>0</v>
      </c>
      <c r="I171" s="39">
        <f t="shared" si="15"/>
        <v>0</v>
      </c>
      <c r="J171" s="40">
        <v>11.6</v>
      </c>
      <c r="K171" s="41"/>
      <c r="L171" s="42" t="s">
        <v>319</v>
      </c>
      <c r="M171" s="42"/>
      <c r="N171" s="43"/>
    </row>
    <row r="172" spans="1:14" ht="15" customHeight="1">
      <c r="A172" s="121" t="s">
        <v>320</v>
      </c>
      <c r="B172" s="125"/>
      <c r="C172" s="36">
        <v>21900</v>
      </c>
      <c r="D172" s="36">
        <v>24000</v>
      </c>
      <c r="E172" s="37">
        <v>24300</v>
      </c>
      <c r="F172" s="115">
        <f t="shared" si="16"/>
        <v>0</v>
      </c>
      <c r="G172" s="38">
        <f t="shared" si="16"/>
        <v>43.8</v>
      </c>
      <c r="H172" s="38">
        <f t="shared" si="17"/>
        <v>40</v>
      </c>
      <c r="I172" s="39">
        <f t="shared" si="15"/>
        <v>40.5</v>
      </c>
      <c r="J172" s="40">
        <v>40</v>
      </c>
      <c r="K172" s="41"/>
      <c r="L172" s="42" t="s">
        <v>65</v>
      </c>
      <c r="M172" s="47"/>
      <c r="N172" s="43" t="s">
        <v>84</v>
      </c>
    </row>
    <row r="173" spans="1:14" ht="15" customHeight="1">
      <c r="A173" s="121" t="s">
        <v>321</v>
      </c>
      <c r="B173" s="125"/>
      <c r="C173" s="36">
        <v>13800</v>
      </c>
      <c r="D173" s="36"/>
      <c r="E173" s="37">
        <v>17100</v>
      </c>
      <c r="F173" s="115">
        <f t="shared" si="16"/>
        <v>0</v>
      </c>
      <c r="G173" s="38">
        <f t="shared" si="16"/>
        <v>27.6</v>
      </c>
      <c r="H173" s="38">
        <f t="shared" si="17"/>
        <v>0</v>
      </c>
      <c r="I173" s="39">
        <f t="shared" si="15"/>
        <v>28.5</v>
      </c>
      <c r="J173" s="40">
        <v>28.5</v>
      </c>
      <c r="K173" s="41"/>
      <c r="L173" s="42" t="s">
        <v>246</v>
      </c>
      <c r="M173" s="42"/>
      <c r="N173" s="43" t="s">
        <v>322</v>
      </c>
    </row>
    <row r="174" spans="1:14" ht="15" customHeight="1">
      <c r="A174" s="121" t="s">
        <v>403</v>
      </c>
      <c r="B174" s="125"/>
      <c r="C174" s="36">
        <v>11000</v>
      </c>
      <c r="D174" s="36"/>
      <c r="E174" s="37">
        <v>11000</v>
      </c>
      <c r="F174" s="115">
        <f t="shared" si="16"/>
        <v>0</v>
      </c>
      <c r="G174" s="38">
        <f t="shared" si="16"/>
        <v>22</v>
      </c>
      <c r="H174" s="38">
        <f t="shared" si="1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16"/>
        <v>0</v>
      </c>
      <c r="G175" s="38">
        <f t="shared" si="16"/>
        <v>22.6</v>
      </c>
      <c r="H175" s="38">
        <f t="shared" si="17"/>
        <v>0</v>
      </c>
      <c r="I175" s="39">
        <f t="shared" si="17"/>
        <v>23.666666666666668</v>
      </c>
      <c r="J175" s="40">
        <v>22.6</v>
      </c>
      <c r="K175" s="41"/>
      <c r="L175" s="42" t="s">
        <v>42</v>
      </c>
      <c r="M175" s="42"/>
      <c r="N175" s="43" t="s">
        <v>42</v>
      </c>
    </row>
    <row r="176" spans="1:14" ht="15" customHeight="1">
      <c r="A176" s="121" t="s">
        <v>324</v>
      </c>
      <c r="B176" s="125"/>
      <c r="C176" s="36"/>
      <c r="D176" s="36">
        <v>8500</v>
      </c>
      <c r="E176" s="37"/>
      <c r="F176" s="115">
        <f t="shared" si="16"/>
        <v>0</v>
      </c>
      <c r="G176" s="38">
        <f t="shared" si="16"/>
        <v>0</v>
      </c>
      <c r="H176" s="38">
        <f t="shared" si="17"/>
        <v>14.166666666666666</v>
      </c>
      <c r="I176" s="39">
        <f t="shared" si="17"/>
        <v>0</v>
      </c>
      <c r="J176" s="40">
        <v>14.2</v>
      </c>
      <c r="K176" s="41"/>
      <c r="L176" s="42"/>
      <c r="M176" s="42"/>
      <c r="N176" s="43"/>
    </row>
    <row r="177" spans="1:14" ht="15" customHeight="1">
      <c r="A177" s="121" t="s">
        <v>325</v>
      </c>
      <c r="B177" s="125"/>
      <c r="C177" s="36">
        <v>3300</v>
      </c>
      <c r="D177" s="36">
        <v>5800</v>
      </c>
      <c r="E177" s="37">
        <v>4400</v>
      </c>
      <c r="F177" s="115">
        <f t="shared" si="16"/>
        <v>0</v>
      </c>
      <c r="G177" s="38">
        <f t="shared" si="16"/>
        <v>6.6</v>
      </c>
      <c r="H177" s="38">
        <f t="shared" si="17"/>
        <v>9.6666666666666661</v>
      </c>
      <c r="I177" s="39">
        <f t="shared" si="17"/>
        <v>7.333333333333333</v>
      </c>
      <c r="J177" s="40">
        <v>7.3</v>
      </c>
      <c r="K177" s="41"/>
      <c r="L177" s="42"/>
      <c r="M177" s="42" t="s">
        <v>326</v>
      </c>
      <c r="N177" s="43" t="s">
        <v>84</v>
      </c>
    </row>
    <row r="178" spans="1:14" ht="15" customHeight="1">
      <c r="A178" s="121" t="s">
        <v>327</v>
      </c>
      <c r="B178" s="125"/>
      <c r="C178" s="36"/>
      <c r="D178" s="36"/>
      <c r="E178" s="37"/>
      <c r="F178" s="115">
        <f t="shared" si="16"/>
        <v>0</v>
      </c>
      <c r="G178" s="38">
        <f t="shared" si="16"/>
        <v>0</v>
      </c>
      <c r="H178" s="38">
        <f t="shared" si="17"/>
        <v>0</v>
      </c>
      <c r="I178" s="39">
        <f t="shared" si="17"/>
        <v>0</v>
      </c>
      <c r="K178" s="41"/>
      <c r="L178" s="42"/>
      <c r="M178" s="42"/>
      <c r="N178" s="43"/>
    </row>
    <row r="179" spans="1:14" ht="15" customHeight="1">
      <c r="A179" s="121" t="s">
        <v>328</v>
      </c>
      <c r="B179" s="125"/>
      <c r="C179" s="36"/>
      <c r="D179" s="36"/>
      <c r="E179" s="37"/>
      <c r="F179" s="115">
        <f t="shared" ref="F179:G184" si="18">B179/500</f>
        <v>0</v>
      </c>
      <c r="G179" s="38">
        <f t="shared" si="18"/>
        <v>0</v>
      </c>
      <c r="H179" s="38">
        <f t="shared" si="17"/>
        <v>0</v>
      </c>
      <c r="I179" s="39">
        <f t="shared" si="17"/>
        <v>0</v>
      </c>
      <c r="K179" s="41"/>
      <c r="L179" s="42"/>
      <c r="M179" s="42"/>
      <c r="N179" s="43"/>
    </row>
    <row r="180" spans="1:14" ht="15" customHeight="1">
      <c r="A180" s="121" t="s">
        <v>329</v>
      </c>
      <c r="B180" s="125"/>
      <c r="C180" s="36">
        <v>5800</v>
      </c>
      <c r="D180" s="36">
        <v>7000</v>
      </c>
      <c r="E180" s="37"/>
      <c r="F180" s="115">
        <f t="shared" si="18"/>
        <v>0</v>
      </c>
      <c r="G180" s="38">
        <f t="shared" si="18"/>
        <v>11.6</v>
      </c>
      <c r="H180" s="38">
        <f t="shared" si="17"/>
        <v>11.666666666666666</v>
      </c>
      <c r="I180" s="39">
        <f t="shared" si="17"/>
        <v>0</v>
      </c>
      <c r="J180" s="40">
        <v>11.7</v>
      </c>
      <c r="K180" s="41"/>
      <c r="L180" s="42" t="s">
        <v>273</v>
      </c>
      <c r="M180" s="42"/>
      <c r="N180" s="43"/>
    </row>
    <row r="181" spans="1:14" ht="15" customHeight="1">
      <c r="A181" s="121" t="s">
        <v>330</v>
      </c>
      <c r="B181" s="125"/>
      <c r="C181" s="36"/>
      <c r="D181" s="36"/>
      <c r="E181" s="37"/>
      <c r="F181" s="115">
        <f t="shared" si="18"/>
        <v>0</v>
      </c>
      <c r="G181" s="38">
        <f t="shared" si="18"/>
        <v>0</v>
      </c>
      <c r="H181" s="38">
        <f t="shared" si="17"/>
        <v>0</v>
      </c>
      <c r="I181" s="39">
        <f t="shared" si="17"/>
        <v>0</v>
      </c>
      <c r="K181" s="41"/>
      <c r="L181" s="42"/>
      <c r="M181" s="42"/>
      <c r="N181" s="43"/>
    </row>
    <row r="182" spans="1:14" ht="15" customHeight="1" thickBot="1">
      <c r="A182" s="133" t="s">
        <v>331</v>
      </c>
      <c r="B182" s="126">
        <v>10800</v>
      </c>
      <c r="C182" s="49">
        <v>9100</v>
      </c>
      <c r="D182" s="49">
        <v>7500</v>
      </c>
      <c r="E182" s="50">
        <v>12700</v>
      </c>
      <c r="F182" s="73">
        <f t="shared" si="18"/>
        <v>21.6</v>
      </c>
      <c r="G182" s="51">
        <f t="shared" si="18"/>
        <v>18.2</v>
      </c>
      <c r="H182" s="51">
        <f t="shared" si="17"/>
        <v>12.5</v>
      </c>
      <c r="I182" s="60">
        <f t="shared" si="17"/>
        <v>21.166666666666668</v>
      </c>
      <c r="J182" s="52">
        <v>21.3</v>
      </c>
      <c r="K182" s="142"/>
      <c r="L182" s="53" t="s">
        <v>42</v>
      </c>
      <c r="M182" s="54"/>
      <c r="N182" s="62" t="s">
        <v>189</v>
      </c>
    </row>
    <row r="183" spans="1:14" ht="15" customHeight="1">
      <c r="A183" s="134" t="s">
        <v>332</v>
      </c>
      <c r="B183" s="128"/>
      <c r="C183" s="26">
        <v>11800</v>
      </c>
      <c r="D183" s="26">
        <v>15000</v>
      </c>
      <c r="E183" s="27">
        <v>14200</v>
      </c>
      <c r="F183" s="28">
        <f t="shared" si="18"/>
        <v>0</v>
      </c>
      <c r="G183" s="29">
        <f t="shared" si="18"/>
        <v>23.6</v>
      </c>
      <c r="H183" s="29">
        <f t="shared" si="17"/>
        <v>25</v>
      </c>
      <c r="I183" s="56">
        <f t="shared" si="17"/>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18"/>
        <v>11</v>
      </c>
      <c r="H184" s="38"/>
      <c r="I184" s="39"/>
      <c r="J184" s="40">
        <v>11</v>
      </c>
      <c r="K184" s="139"/>
      <c r="L184" s="42" t="s">
        <v>334</v>
      </c>
      <c r="M184" s="135"/>
      <c r="N184" s="145"/>
    </row>
    <row r="185" spans="1:14" ht="15" customHeight="1" thickBot="1">
      <c r="A185" s="122" t="s">
        <v>335</v>
      </c>
      <c r="B185" s="126"/>
      <c r="C185" s="49">
        <v>10000</v>
      </c>
      <c r="D185" s="49">
        <v>10000</v>
      </c>
      <c r="E185" s="50">
        <v>10300</v>
      </c>
      <c r="F185" s="73">
        <f t="shared" ref="F185:G205" si="19">B185/500</f>
        <v>0</v>
      </c>
      <c r="G185" s="51">
        <f t="shared" ref="G185:I193" si="20">C185/600</f>
        <v>16.666666666666668</v>
      </c>
      <c r="H185" s="51">
        <f t="shared" si="20"/>
        <v>16.666666666666668</v>
      </c>
      <c r="I185" s="60">
        <f t="shared" si="20"/>
        <v>17.166666666666668</v>
      </c>
      <c r="J185" s="52"/>
      <c r="K185" s="61"/>
      <c r="L185" s="53" t="s">
        <v>105</v>
      </c>
      <c r="M185" s="54" t="s">
        <v>336</v>
      </c>
      <c r="N185" s="62" t="s">
        <v>432</v>
      </c>
    </row>
    <row r="186" spans="1:14" ht="15" customHeight="1">
      <c r="A186" s="132" t="s">
        <v>337</v>
      </c>
      <c r="B186" s="128"/>
      <c r="C186" s="26">
        <v>4700</v>
      </c>
      <c r="D186" s="26">
        <v>5500</v>
      </c>
      <c r="E186" s="27">
        <v>4700</v>
      </c>
      <c r="F186" s="28">
        <f t="shared" si="19"/>
        <v>0</v>
      </c>
      <c r="G186" s="29">
        <f t="shared" si="20"/>
        <v>7.833333333333333</v>
      </c>
      <c r="H186" s="29">
        <f t="shared" si="20"/>
        <v>9.1666666666666661</v>
      </c>
      <c r="I186" s="56">
        <f t="shared" si="20"/>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19"/>
        <v>0</v>
      </c>
      <c r="G187" s="44">
        <f t="shared" si="20"/>
        <v>35</v>
      </c>
      <c r="H187" s="38">
        <f t="shared" si="20"/>
        <v>42.5</v>
      </c>
      <c r="I187" s="39">
        <f t="shared" si="20"/>
        <v>42.333333333333336</v>
      </c>
      <c r="J187" s="40">
        <v>35</v>
      </c>
      <c r="K187" s="41"/>
      <c r="L187" s="42" t="s">
        <v>342</v>
      </c>
      <c r="M187" s="42"/>
      <c r="N187" s="43" t="s">
        <v>84</v>
      </c>
    </row>
    <row r="188" spans="1:14" ht="15" customHeight="1">
      <c r="A188" s="121" t="s">
        <v>343</v>
      </c>
      <c r="B188" s="125"/>
      <c r="C188" s="36">
        <v>19000</v>
      </c>
      <c r="D188" s="36">
        <v>19200</v>
      </c>
      <c r="E188" s="37">
        <v>19200</v>
      </c>
      <c r="F188" s="115">
        <f t="shared" si="19"/>
        <v>0</v>
      </c>
      <c r="G188" s="38">
        <f>C188/500</f>
        <v>38</v>
      </c>
      <c r="H188" s="38">
        <f t="shared" si="20"/>
        <v>32</v>
      </c>
      <c r="I188" s="39">
        <f t="shared" si="20"/>
        <v>32</v>
      </c>
      <c r="J188" s="40">
        <v>32</v>
      </c>
      <c r="K188" s="41"/>
      <c r="L188" s="42"/>
      <c r="M188" s="42"/>
      <c r="N188" s="43"/>
    </row>
    <row r="189" spans="1:14" ht="15" customHeight="1">
      <c r="A189" s="121" t="s">
        <v>344</v>
      </c>
      <c r="B189" s="125"/>
      <c r="C189" s="36"/>
      <c r="D189" s="36"/>
      <c r="E189" s="37"/>
      <c r="F189" s="115">
        <f t="shared" si="19"/>
        <v>0</v>
      </c>
      <c r="G189" s="38">
        <f>C189/500</f>
        <v>0</v>
      </c>
      <c r="H189" s="38">
        <f t="shared" si="20"/>
        <v>0</v>
      </c>
      <c r="I189" s="39">
        <f t="shared" si="20"/>
        <v>0</v>
      </c>
      <c r="K189" s="41"/>
      <c r="L189" s="42"/>
      <c r="M189" s="42"/>
      <c r="N189" s="43"/>
    </row>
    <row r="190" spans="1:14" ht="15" customHeight="1" thickBot="1">
      <c r="A190" s="133" t="s">
        <v>345</v>
      </c>
      <c r="B190" s="126"/>
      <c r="C190" s="49">
        <v>5200</v>
      </c>
      <c r="D190" s="49"/>
      <c r="E190" s="50">
        <v>5600</v>
      </c>
      <c r="F190" s="73">
        <f t="shared" si="19"/>
        <v>0</v>
      </c>
      <c r="G190" s="59">
        <f>C190/600</f>
        <v>8.6666666666666661</v>
      </c>
      <c r="H190" s="51">
        <f t="shared" si="20"/>
        <v>0</v>
      </c>
      <c r="I190" s="60">
        <f t="shared" si="20"/>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19"/>
        <v>0</v>
      </c>
      <c r="G191" s="29">
        <f t="shared" si="19"/>
        <v>8</v>
      </c>
      <c r="H191" s="29">
        <f t="shared" si="20"/>
        <v>9.1666666666666661</v>
      </c>
      <c r="I191" s="56">
        <f t="shared" si="20"/>
        <v>8.5</v>
      </c>
      <c r="J191" s="31">
        <v>8</v>
      </c>
      <c r="K191" s="32"/>
      <c r="L191" s="33" t="s">
        <v>50</v>
      </c>
      <c r="M191" s="33"/>
      <c r="N191" s="35"/>
    </row>
    <row r="192" spans="1:14" ht="15" customHeight="1">
      <c r="A192" s="120" t="s">
        <v>347</v>
      </c>
      <c r="B192" s="125"/>
      <c r="C192" s="36">
        <v>5900</v>
      </c>
      <c r="D192" s="36">
        <v>6500</v>
      </c>
      <c r="E192" s="37">
        <v>6900</v>
      </c>
      <c r="F192" s="115">
        <f t="shared" si="19"/>
        <v>0</v>
      </c>
      <c r="G192" s="38">
        <f t="shared" si="19"/>
        <v>11.8</v>
      </c>
      <c r="H192" s="38">
        <f t="shared" si="20"/>
        <v>10.833333333333334</v>
      </c>
      <c r="I192" s="39">
        <f t="shared" si="20"/>
        <v>11.5</v>
      </c>
      <c r="J192" s="40">
        <v>12</v>
      </c>
      <c r="K192" s="41"/>
      <c r="L192" s="42"/>
      <c r="M192" s="47" t="s">
        <v>348</v>
      </c>
      <c r="N192" s="43" t="s">
        <v>399</v>
      </c>
    </row>
    <row r="193" spans="1:14" ht="15" customHeight="1">
      <c r="A193" s="120" t="s">
        <v>349</v>
      </c>
      <c r="B193" s="125"/>
      <c r="C193" s="36">
        <v>7200</v>
      </c>
      <c r="D193" s="36">
        <v>9500</v>
      </c>
      <c r="E193" s="37">
        <v>8600</v>
      </c>
      <c r="F193" s="115">
        <f t="shared" si="19"/>
        <v>0</v>
      </c>
      <c r="G193" s="38">
        <f t="shared" si="19"/>
        <v>14.4</v>
      </c>
      <c r="H193" s="38">
        <f t="shared" si="20"/>
        <v>15.833333333333334</v>
      </c>
      <c r="I193" s="98">
        <f t="shared" si="20"/>
        <v>14.333333333333334</v>
      </c>
      <c r="J193" s="40">
        <v>14.7</v>
      </c>
      <c r="K193" s="41"/>
      <c r="L193" s="113" t="s">
        <v>42</v>
      </c>
      <c r="M193" s="47" t="s">
        <v>350</v>
      </c>
      <c r="N193" s="43" t="s">
        <v>42</v>
      </c>
    </row>
    <row r="194" spans="1:14" ht="15" customHeight="1">
      <c r="A194" s="120" t="s">
        <v>351</v>
      </c>
      <c r="B194" s="125"/>
      <c r="C194" s="36"/>
      <c r="D194" s="36"/>
      <c r="E194" s="37">
        <v>39000</v>
      </c>
      <c r="F194" s="115">
        <f t="shared" si="19"/>
        <v>0</v>
      </c>
      <c r="G194" s="38">
        <f t="shared" si="19"/>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19"/>
        <v>0</v>
      </c>
      <c r="G195" s="38">
        <f t="shared" si="19"/>
        <v>24</v>
      </c>
      <c r="H195" s="38">
        <f>D195/600</f>
        <v>10</v>
      </c>
      <c r="I195" s="39">
        <f t="shared" ref="I195:I205" si="21">E195/600</f>
        <v>25.5</v>
      </c>
      <c r="J195" s="40">
        <v>24</v>
      </c>
      <c r="K195" s="41"/>
      <c r="L195" s="42" t="s">
        <v>354</v>
      </c>
      <c r="M195" s="42" t="s">
        <v>253</v>
      </c>
      <c r="N195" s="43" t="s">
        <v>391</v>
      </c>
    </row>
    <row r="196" spans="1:14" ht="15" customHeight="1">
      <c r="A196" s="120" t="s">
        <v>355</v>
      </c>
      <c r="B196" s="125"/>
      <c r="C196" s="36">
        <v>28000</v>
      </c>
      <c r="D196" s="36">
        <v>28000</v>
      </c>
      <c r="E196" s="37">
        <v>34800</v>
      </c>
      <c r="F196" s="115">
        <f t="shared" si="19"/>
        <v>0</v>
      </c>
      <c r="G196" s="38">
        <f>C196/600</f>
        <v>46.666666666666664</v>
      </c>
      <c r="H196" s="38">
        <f>D196/600</f>
        <v>46.666666666666664</v>
      </c>
      <c r="I196" s="39">
        <f t="shared" si="21"/>
        <v>58</v>
      </c>
      <c r="J196" s="40">
        <v>46.7</v>
      </c>
      <c r="K196" s="41"/>
      <c r="L196" s="42"/>
      <c r="M196" s="47"/>
      <c r="N196" s="43"/>
    </row>
    <row r="197" spans="1:14" ht="15" customHeight="1">
      <c r="A197" s="120" t="s">
        <v>356</v>
      </c>
      <c r="B197" s="125"/>
      <c r="C197" s="36">
        <v>9600</v>
      </c>
      <c r="D197" s="36"/>
      <c r="E197" s="37">
        <v>11900</v>
      </c>
      <c r="F197" s="115">
        <f t="shared" si="19"/>
        <v>0</v>
      </c>
      <c r="G197" s="38">
        <f t="shared" si="19"/>
        <v>19.2</v>
      </c>
      <c r="H197" s="38">
        <f>D197/600</f>
        <v>0</v>
      </c>
      <c r="I197" s="39">
        <f t="shared" si="21"/>
        <v>19.833333333333332</v>
      </c>
      <c r="J197" s="40">
        <v>19.8</v>
      </c>
      <c r="K197" s="41"/>
      <c r="L197" s="42" t="s">
        <v>296</v>
      </c>
      <c r="M197" s="42"/>
      <c r="N197" s="43" t="s">
        <v>396</v>
      </c>
    </row>
    <row r="198" spans="1:14" ht="15" customHeight="1">
      <c r="A198" s="120" t="s">
        <v>357</v>
      </c>
      <c r="B198" s="125"/>
      <c r="C198" s="36">
        <v>19500</v>
      </c>
      <c r="D198" s="36">
        <v>30000</v>
      </c>
      <c r="E198" s="37">
        <v>26000</v>
      </c>
      <c r="F198" s="115">
        <f t="shared" si="19"/>
        <v>0</v>
      </c>
      <c r="G198" s="38">
        <f t="shared" si="19"/>
        <v>39</v>
      </c>
      <c r="H198" s="38">
        <f>D198/600</f>
        <v>50</v>
      </c>
      <c r="I198" s="39">
        <f t="shared" si="21"/>
        <v>43.333333333333336</v>
      </c>
      <c r="J198" s="40">
        <v>44.2</v>
      </c>
      <c r="K198" s="41"/>
      <c r="L198" s="42" t="s">
        <v>358</v>
      </c>
      <c r="M198" s="47" t="s">
        <v>359</v>
      </c>
      <c r="N198" s="43" t="s">
        <v>65</v>
      </c>
    </row>
    <row r="199" spans="1:14" ht="15" customHeight="1">
      <c r="A199" s="120" t="s">
        <v>360</v>
      </c>
      <c r="B199" s="125"/>
      <c r="C199" s="36"/>
      <c r="D199" s="36">
        <v>8500</v>
      </c>
      <c r="E199" s="37"/>
      <c r="F199" s="115">
        <f t="shared" si="19"/>
        <v>0</v>
      </c>
      <c r="G199" s="38">
        <f t="shared" si="19"/>
        <v>0</v>
      </c>
      <c r="H199" s="38">
        <f>D199/1000</f>
        <v>8.5</v>
      </c>
      <c r="I199" s="39">
        <f t="shared" si="21"/>
        <v>0</v>
      </c>
      <c r="K199" s="41"/>
      <c r="L199" s="42"/>
      <c r="M199" s="47" t="s">
        <v>361</v>
      </c>
      <c r="N199" s="43"/>
    </row>
    <row r="200" spans="1:14" ht="15" customHeight="1">
      <c r="A200" s="120" t="s">
        <v>362</v>
      </c>
      <c r="B200" s="125"/>
      <c r="C200" s="36">
        <v>9000</v>
      </c>
      <c r="D200" s="36">
        <v>9000</v>
      </c>
      <c r="E200" s="37">
        <v>13500</v>
      </c>
      <c r="F200" s="115">
        <f t="shared" si="19"/>
        <v>0</v>
      </c>
      <c r="G200" s="38">
        <f t="shared" si="19"/>
        <v>18</v>
      </c>
      <c r="H200" s="38">
        <f t="shared" ref="H200:H205" si="22">D200/600</f>
        <v>15</v>
      </c>
      <c r="I200" s="48">
        <f t="shared" si="21"/>
        <v>22.5</v>
      </c>
      <c r="J200" s="40">
        <v>22.5</v>
      </c>
      <c r="K200" s="41"/>
      <c r="L200" s="42"/>
      <c r="M200" s="47"/>
      <c r="N200" s="43" t="s">
        <v>363</v>
      </c>
    </row>
    <row r="201" spans="1:14" ht="15" customHeight="1">
      <c r="A201" s="120" t="s">
        <v>364</v>
      </c>
      <c r="B201" s="125"/>
      <c r="C201" s="36">
        <v>11000</v>
      </c>
      <c r="D201" s="36">
        <v>24000</v>
      </c>
      <c r="E201" s="37">
        <v>14300</v>
      </c>
      <c r="F201" s="115">
        <f t="shared" si="19"/>
        <v>0</v>
      </c>
      <c r="G201" s="44">
        <f t="shared" si="19"/>
        <v>22</v>
      </c>
      <c r="H201" s="38">
        <f t="shared" si="22"/>
        <v>40</v>
      </c>
      <c r="I201" s="48">
        <f t="shared" si="21"/>
        <v>23.833333333333332</v>
      </c>
      <c r="J201" s="40">
        <v>22</v>
      </c>
      <c r="K201" s="41"/>
      <c r="L201" s="113" t="s">
        <v>365</v>
      </c>
      <c r="M201" s="47" t="s">
        <v>366</v>
      </c>
      <c r="N201" s="43" t="s">
        <v>367</v>
      </c>
    </row>
    <row r="202" spans="1:14" ht="15" customHeight="1">
      <c r="A202" s="120" t="s">
        <v>368</v>
      </c>
      <c r="B202" s="125"/>
      <c r="C202" s="36">
        <v>68400</v>
      </c>
      <c r="D202" s="36">
        <v>68000</v>
      </c>
      <c r="E202" s="37">
        <v>84800</v>
      </c>
      <c r="F202" s="115">
        <f t="shared" si="19"/>
        <v>0</v>
      </c>
      <c r="G202" s="38">
        <f t="shared" si="19"/>
        <v>136.80000000000001</v>
      </c>
      <c r="H202" s="44">
        <f t="shared" si="22"/>
        <v>113.33333333333333</v>
      </c>
      <c r="I202" s="39">
        <f t="shared" si="21"/>
        <v>141.33333333333334</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19"/>
        <v>0</v>
      </c>
      <c r="G203" s="38">
        <f t="shared" si="19"/>
        <v>25.6</v>
      </c>
      <c r="H203" s="38">
        <f t="shared" si="22"/>
        <v>15.833333333333334</v>
      </c>
      <c r="I203" s="39">
        <f t="shared" si="21"/>
        <v>27.666666666666668</v>
      </c>
      <c r="J203" s="40">
        <v>27.7</v>
      </c>
      <c r="K203" s="41"/>
      <c r="L203" s="42"/>
      <c r="M203" s="47" t="s">
        <v>373</v>
      </c>
      <c r="N203" s="43" t="s">
        <v>374</v>
      </c>
    </row>
    <row r="204" spans="1:14" ht="15" customHeight="1">
      <c r="A204" s="120" t="s">
        <v>375</v>
      </c>
      <c r="B204" s="125"/>
      <c r="C204" s="36"/>
      <c r="D204" s="36">
        <v>9500</v>
      </c>
      <c r="E204" s="37"/>
      <c r="F204" s="115">
        <f t="shared" si="19"/>
        <v>0</v>
      </c>
      <c r="G204" s="38">
        <f t="shared" si="19"/>
        <v>0</v>
      </c>
      <c r="H204" s="38">
        <f t="shared" si="22"/>
        <v>15.833333333333334</v>
      </c>
      <c r="I204" s="39">
        <f t="shared" si="21"/>
        <v>0</v>
      </c>
      <c r="K204" s="41"/>
      <c r="L204" s="42"/>
      <c r="M204" s="42"/>
      <c r="N204" s="43"/>
    </row>
    <row r="205" spans="1:14" ht="15" customHeight="1" thickBot="1">
      <c r="A205" s="122" t="s">
        <v>376</v>
      </c>
      <c r="B205" s="126"/>
      <c r="C205" s="49">
        <v>4500</v>
      </c>
      <c r="D205" s="49">
        <v>4500</v>
      </c>
      <c r="E205" s="50">
        <v>5400</v>
      </c>
      <c r="F205" s="73">
        <f t="shared" si="19"/>
        <v>0</v>
      </c>
      <c r="G205" s="51">
        <f t="shared" si="19"/>
        <v>9</v>
      </c>
      <c r="H205" s="51">
        <f t="shared" si="22"/>
        <v>7.5</v>
      </c>
      <c r="I205" s="74">
        <f t="shared" si="21"/>
        <v>9</v>
      </c>
      <c r="J205" s="52">
        <v>9</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2024-12-13T00:51:03Z</cp:lastPrinted>
  <dcterms:created xsi:type="dcterms:W3CDTF">2024-09-12T16:35:01Z</dcterms:created>
  <dcterms:modified xsi:type="dcterms:W3CDTF">2025-01-10T07:33:42Z</dcterms:modified>
</cp:coreProperties>
</file>