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93" documentId="8_{6EB8DC0A-AB56-415F-A9F3-EA1534264548}" xr6:coauthVersionLast="47" xr6:coauthVersionMax="47" xr10:uidLastSave="{6B3B2EDF-3C44-4579-B3FC-9AC2740025F1}"/>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6" l="1"/>
  <c r="H18" i="6" s="1"/>
  <c r="G17" i="6"/>
  <c r="G16" i="6"/>
  <c r="G13" i="6"/>
  <c r="G14" i="6"/>
  <c r="G15" i="6"/>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F18" i="6"/>
  <c r="F17" i="6"/>
  <c r="F16" i="6"/>
  <c r="F15" i="6"/>
  <c r="F14" i="6"/>
  <c r="F13" i="6"/>
  <c r="I13" i="6" s="1"/>
  <c r="G12" i="6"/>
  <c r="F12" i="6"/>
  <c r="G11" i="6"/>
  <c r="F11" i="6"/>
  <c r="G10" i="6"/>
  <c r="F10" i="6"/>
  <c r="G9" i="6"/>
  <c r="F9" i="6"/>
  <c r="G8" i="6"/>
  <c r="F8" i="6"/>
  <c r="G7" i="6"/>
  <c r="F7" i="6"/>
  <c r="G6" i="6"/>
  <c r="F6" i="6"/>
  <c r="G5" i="6"/>
  <c r="F5" i="6"/>
  <c r="G4" i="6"/>
  <c r="F4" i="6"/>
  <c r="G3" i="6"/>
  <c r="F3" i="6"/>
  <c r="G2" i="6"/>
  <c r="F2" i="6"/>
  <c r="G2" i="4"/>
  <c r="H57" i="5"/>
  <c r="G15" i="4"/>
  <c r="G16" i="4"/>
  <c r="G17" i="4"/>
  <c r="I86" i="5"/>
  <c r="I53" i="5"/>
  <c r="I54" i="5"/>
  <c r="I127" i="5"/>
  <c r="G142" i="5"/>
  <c r="I145" i="5"/>
  <c r="H145" i="5"/>
  <c r="G145" i="5"/>
  <c r="F145" i="5"/>
  <c r="G171" i="5"/>
  <c r="G3" i="4"/>
  <c r="G4" i="4"/>
  <c r="G5" i="4"/>
  <c r="G6" i="4"/>
  <c r="G7" i="4"/>
  <c r="G8" i="4"/>
  <c r="G9" i="4"/>
  <c r="G10" i="4"/>
  <c r="G11" i="4"/>
  <c r="G12" i="4"/>
  <c r="G13" i="4"/>
  <c r="G14"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8" i="6" l="1"/>
  <c r="I12" i="6"/>
  <c r="I6" i="6"/>
  <c r="I14" i="6"/>
  <c r="I15" i="6"/>
  <c r="I16" i="6"/>
  <c r="I17" i="6"/>
  <c r="I11" i="6"/>
  <c r="I10" i="6"/>
  <c r="I9" i="6"/>
  <c r="I8" i="6"/>
  <c r="I7" i="6"/>
  <c r="I5" i="6"/>
  <c r="I4" i="6"/>
  <c r="I3" i="6"/>
  <c r="I2" i="6"/>
  <c r="L23" i="6"/>
  <c r="H3" i="6"/>
  <c r="H6" i="6"/>
  <c r="H9" i="6"/>
  <c r="H12" i="6"/>
  <c r="H15" i="6"/>
  <c r="H4" i="6"/>
  <c r="H7" i="6"/>
  <c r="H10" i="6"/>
  <c r="H13" i="6"/>
  <c r="H16" i="6"/>
  <c r="H2" i="6"/>
  <c r="H5" i="6"/>
  <c r="H8" i="6"/>
  <c r="H11" i="6"/>
  <c r="H14" i="6"/>
  <c r="H17" i="6"/>
  <c r="F2" i="4"/>
  <c r="L31" i="6" l="1"/>
  <c r="L30" i="6"/>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<sst xmlns="http://schemas.openxmlformats.org/spreadsheetml/2006/main" count="664" uniqueCount="446">
  <si>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</si>
  <si>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</si>
  <si>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</si>
  <si>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</si>
  <si>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</si>
  <si>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</si>
  <si>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</si>
  <si>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</si>
  <si>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</si>
  <si>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</si>
  <si>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</si>
  <si>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</si>
  <si>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</si>
  <si>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</si>
  <si>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</si>
  <si>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</si>
  <si>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</si>
  <si>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</si>
  <si>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</si>
  <si>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</si>
  <si>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</si>
  <si>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</si>
  <si>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</si>
  <si>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</si>
  <si>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</si>
  <si>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</si>
  <si>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</si>
  <si>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</si>
  <si>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</si>
  <si>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</si>
  <si>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</si>
  <si>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</si>
  <si>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</si>
  <si>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</si>
  <si>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</si>
  <si>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</si>
  <si>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</si>
  <si>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</si>
  <si>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</si>
  <si>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</si>
  <si>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</si>
  <si>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</si>
  <si>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</si>
  <si>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</si>
  <si>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</si>
  <si>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</si>
  <si>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</si>
  <si>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</si>
  <si>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</si>
  <si>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</si>
  <si>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</si>
  <si>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</si>
  <si>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</si>
  <si>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</si>
  <si>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</si>
  <si>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</si>
  <si>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</si>
  <si>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</si>
  <si>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</si>
  <si>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</si>
  <si>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</si>
  <si>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</si>
  <si>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</si>
  <si>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</si>
  <si>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</si>
  <si>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</si>
  <si>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</si>
  <si>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</si>
  <si>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</si>
  <si>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</si>
  <si>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</si>
  <si>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</si>
  <si>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</si>
  <si>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</si>
  <si>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</si>
  <si>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</si>
  <si>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</si>
  <si>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</si>
  <si>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</si>
  <si>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</si>
  <si>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</si>
  <si>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</si>
  <si>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</si>
  <si>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</si>
  <si>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</si>
  <si>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</si>
  <si>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</si>
  <si>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</si>
  <si>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</si>
  <si>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</si>
  <si>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</si>
  <si>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</si>
  <si>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</si>
  <si>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</si>
  <si>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</si>
  <si>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</si>
  <si>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</si>
  <si>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</si>
  <si>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</si>
  <si>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</si>
  <si>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</si>
  <si>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</si>
  <si>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</si>
  <si>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</si>
  <si>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</si>
  <si>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</si>
  <si>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</si>
  <si>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</si>
  <si>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</si>
  <si>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</si>
  <si>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</si>
  <si>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</si>
  <si>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</si>
  <si>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</si>
  <si>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</si>
  <si>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</si>
  <si>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</si>
  <si>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</si>
  <si>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</si>
  <si>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</si>
  <si>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</si>
  <si>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</si>
  <si>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</si>
  <si>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</si>
  <si>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</si>
  <si>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</si>
  <si>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</si>
  <si>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</si>
  <si>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</si>
  <si>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</si>
  <si>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</si>
  <si>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</si>
  <si>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</si>
  <si>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</si>
  <si>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</si>
  <si>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</si>
  <si>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</si>
  <si>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</si>
  <si>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</si>
  <si>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</si>
  <si>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</si>
  <si>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</si>
  <si>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</si>
  <si>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</si>
  <si>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</si>
  <si>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</si>
  <si>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</si>
  <si>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</si>
  <si>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</si>
  <si>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</si>
  <si>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</si>
  <si>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</si>
  <si>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</si>
  <si>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</si>
  <si>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</si>
  <si>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</si>
  <si>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</si>
  <si>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</si>
  <si>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</si>
  <si>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</si>
  <si>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</si>
  <si>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</si>
  <si>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</si>
  <si>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</si>
  <si>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</si>
  <si>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</si>
  <si>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</si>
  <si>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</si>
  <si>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</si>
  <si>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</si>
  <si>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</si>
  <si>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</si>
  <si>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</si>
  <si>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</si>
  <si>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</si>
  <si>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</si>
  <si>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</si>
  <si>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</si>
  <si>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</si>
  <si>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</si>
  <si>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</si>
  <si>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</si>
  <si>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</si>
  <si>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</si>
  <si>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</si>
  <si>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</si>
  <si>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</si>
  <si>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</si>
  <si>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</si>
  <si>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</si>
  <si>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</si>
  <si>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</si>
  <si>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</si>
  <si>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</si>
  <si>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</si>
  <si>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</si>
  <si>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</si>
  <si>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</si>
  <si>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</si>
  <si>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</si>
  <si>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</si>
  <si>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</si>
  <si>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</si>
  <si>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</si>
  <si>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</si>
  <si>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</si>
  <si>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</si>
  <si>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</si>
  <si>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</si>
  <si>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</si>
  <si>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</si>
  <si>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</si>
  <si>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</si>
  <si>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</si>
  <si>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</si>
  <si>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</si>
  <si>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</si>
  <si>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</si>
  <si>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</si>
  <si>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</si>
  <si>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</si>
  <si>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</si>
  <si>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</si>
  <si>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</si>
  <si>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</si>
  <si>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</si>
  <si>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</si>
  <si>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</si>
  <si>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</si>
  <si>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</si>
  <si>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</si>
  <si>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</si>
  <si>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</si>
  <si>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</si>
  <si>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</si>
  <si>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</si>
  <si>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</si>
  <si>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</si>
  <si>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</si>
  <si>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</si>
  <si>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</si>
  <si>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</si>
  <si>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</si>
  <si>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</si>
  <si>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</si>
  <si>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</si>
  <si>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</si>
  <si>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</si>
  <si>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</si>
  <si>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</si>
  <si>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</si>
  <si>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</si>
  <si>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</si>
  <si>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</si>
  <si>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</si>
  <si>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</si>
  <si>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</si>
  <si>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</si>
  <si>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</si>
  <si>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</si>
  <si>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</si>
  <si>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</si>
  <si>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</si>
  <si>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</si>
  <si>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</si>
  <si>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</si>
  <si>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</si>
  <si>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</si>
  <si>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</si>
  <si>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</si>
  <si>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</si>
  <si>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</si>
  <si>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</si>
  <si>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</si>
  <si>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</si>
  <si>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</si>
  <si>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</si>
  <si>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</si>
  <si>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</si>
  <si>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</si>
  <si>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</si>
  <si>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</si>
  <si>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</si>
  <si>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</si>
  <si>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</si>
  <si>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</si>
  <si>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</si>
  <si>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</si>
  <si>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</si>
  <si>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</si>
  <si>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</si>
  <si>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</si>
  <si>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</si>
  <si>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</si>
  <si>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</si>
  <si>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</si>
  <si>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</si>
  <si>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</si>
  <si>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</si>
  <si>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</si>
  <si>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</si>
  <si>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</si>
  <si>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</si>
  <si>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</si>
  <si>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</si>
  <si>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</si>
  <si>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</si>
  <si>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</si>
  <si>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</si>
  <si>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</si>
  <si>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</si>
  <si>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</si>
  <si>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</si>
  <si>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</si>
  <si>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</si>
  <si>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</si>
  <si>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</si>
  <si>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</si>
  <si>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</si>
  <si>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</si>
  <si>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</si>
  <si>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</si>
  <si>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</si>
  <si>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</si>
  <si>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</si>
  <si>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</si>
  <si>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</si>
  <si>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</si>
  <si>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</si>
  <si>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</si>
  <si>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</si>
  <si>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</si>
  <si>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</si>
  <si>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</si>
  <si>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</si>
  <si>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</si>
  <si>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</si>
  <si>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</si>
  <si>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</si>
  <si>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</si>
  <si>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</si>
  <si>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</si>
  <si>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</si>
  <si>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</si>
  <si>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</si>
  <si>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</si>
  <si>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</si>
  <si>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</si>
  <si>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</si>
  <si>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</si>
  <si>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</si>
  <si>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</si>
  <si>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</si>
  <si>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</si>
  <si>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</si>
  <si>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</si>
  <si>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</si>
  <si>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</si>
  <si>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</si>
  <si>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</si>
  <si>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</si>
  <si>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</si>
  <si>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</si>
  <si>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</si>
  <si>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</si>
  <si>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</si>
  <si>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</si>
  <si>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</si>
  <si>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</si>
  <si>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</si>
  <si>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</si>
  <si>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</si>
  <si>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</si>
  <si>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</si>
  <si>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</si>
  <si>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</si>
  <si>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</si>
  <si>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</si>
  <si>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</si>
  <si>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</si>
  <si>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</si>
  <si>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</si>
  <si>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</si>
  <si>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</si>
  <si>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</si>
  <si>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</si>
  <si>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</si>
  <si>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</si>
  <si>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</si>
  <si>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</si>
  <si>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</si>
  <si>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</si>
  <si>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</si>
  <si>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</si>
  <si>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</si>
  <si>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</si>
  <si>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</si>
  <si>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</si>
  <si>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</si>
  <si>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</si>
  <si>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</si>
  <si>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</si>
  <si>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</si>
  <si>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</si>
  <si>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</si>
  <si>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</si>
  <si>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</si>
  <si>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</si>
  <si>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</si>
  <si>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</si>
  <si>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</si>
  <si>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</si>
  <si>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</si>
  <si>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마황</t>
    <phoneticPr fontId="5" type="noConversion"/>
  </si>
  <si>
    <t>반하</t>
    <phoneticPr fontId="5" type="noConversion"/>
  </si>
  <si>
    <t>대추</t>
    <phoneticPr fontId="5" type="noConversion"/>
  </si>
  <si>
    <t>황금</t>
    <phoneticPr fontId="5" type="noConversion"/>
  </si>
  <si>
    <t>육계</t>
    <phoneticPr fontId="5" type="noConversion"/>
  </si>
  <si>
    <t>복령</t>
    <phoneticPr fontId="5" type="noConversion"/>
  </si>
  <si>
    <t>용골</t>
    <phoneticPr fontId="5" type="noConversion"/>
  </si>
  <si>
    <t>모려</t>
    <phoneticPr fontId="5" type="noConversion"/>
  </si>
  <si>
    <t>생강</t>
    <phoneticPr fontId="5" type="noConversion"/>
  </si>
  <si>
    <t>대황</t>
    <phoneticPr fontId="5" type="noConversion"/>
  </si>
  <si>
    <t>숙지황</t>
    <phoneticPr fontId="5" type="noConversion"/>
  </si>
  <si>
    <t>지실</t>
    <phoneticPr fontId="5" type="noConversion"/>
  </si>
  <si>
    <t>당삼</t>
    <phoneticPr fontId="5" type="noConversion"/>
  </si>
  <si>
    <t>후박</t>
    <phoneticPr fontId="5" type="noConversion"/>
  </si>
  <si>
    <t>시호1</t>
    <phoneticPr fontId="5" type="noConversion"/>
  </si>
  <si>
    <t>당귀1</t>
    <phoneticPr fontId="5" type="noConversion"/>
  </si>
  <si>
    <t>감비탕</t>
    <phoneticPr fontId="5" type="noConversion"/>
  </si>
  <si>
    <t xml:space="preserve">시용모+ 마황 + 지실 후박 당귀 숙지황
</t>
    <phoneticPr fontId="5" type="noConversion"/>
  </si>
  <si>
    <t>정현옥</t>
    <phoneticPr fontId="5" type="noConversion"/>
  </si>
  <si>
    <t>F</t>
    <phoneticPr fontId="5" type="noConversion"/>
  </si>
  <si>
    <t>향부자</t>
    <phoneticPr fontId="5" type="noConversion"/>
  </si>
  <si>
    <t>오약</t>
    <phoneticPr fontId="5" type="noConversion"/>
  </si>
  <si>
    <t>빈랑</t>
    <phoneticPr fontId="5" type="noConversion"/>
  </si>
  <si>
    <t>목향</t>
    <phoneticPr fontId="5" type="noConversion"/>
  </si>
  <si>
    <t>사인</t>
    <phoneticPr fontId="5" type="noConversion"/>
  </si>
  <si>
    <t xml:space="preserve">
</t>
    <phoneticPr fontId="5" type="noConversion"/>
  </si>
  <si>
    <t>창출1</t>
    <phoneticPr fontId="5" type="noConversion"/>
  </si>
  <si>
    <t>진피1</t>
    <phoneticPr fontId="5" type="noConversion"/>
  </si>
  <si>
    <t>곽향1</t>
    <phoneticPr fontId="5" type="noConversion"/>
  </si>
  <si>
    <t>산사</t>
    <phoneticPr fontId="5" type="noConversion"/>
  </si>
  <si>
    <t>신곡</t>
    <phoneticPr fontId="5" type="noConversion"/>
  </si>
  <si>
    <t>맥아</t>
    <phoneticPr fontId="5" type="noConversion"/>
  </si>
  <si>
    <t>맥문동</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</si>
</sst>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3592-B1A9-49C3-B4C5-9BA993CC9AE4}">
  <sheetPr>
    <pageSetUpPr fitToPage="1"/>
  </sheetPr>
  <dimension ref="B1:M31"/>
  <sheetViews>
    <sheetView tabSelected="1" workbookViewId="0">
      <selection activeCell="P19" sqref="P19"/>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433</v>
      </c>
      <c r="D2" s="4"/>
      <c r="E2" s="88">
        <v>10</v>
      </c>
      <c r="F2" s="101">
        <f>E2*$L$15</f>
        <v>400</v>
      </c>
      <c r="G2">
        <f>VLOOKUP($C2,약재관리!A:J,10,FALSE)</f>
        <v>14.7</v>
      </c>
      <c r="H2" s="5">
        <f>G2*E2</f>
        <v>147</v>
      </c>
      <c r="I2" s="90">
        <f>G2*F2</f>
        <v>5880</v>
      </c>
      <c r="K2" s="7" t="s">
        <v>9</v>
      </c>
      <c r="L2" s="164">
        <v>103</v>
      </c>
      <c r="M2" s="165"/>
    </row>
    <row r="3" spans="2:13">
      <c r="B3" s="3">
        <v>2</v>
      </c>
      <c r="C3" t="s">
        <v>439</v>
      </c>
      <c r="D3" s="4"/>
      <c r="E3" s="88">
        <v>4</v>
      </c>
      <c r="F3" s="101">
        <f t="shared" ref="F3:F31" si="0">E3*$L$15</f>
        <v>160</v>
      </c>
      <c r="G3">
        <f>VLOOKUP($C3,약재관리!A:J,10,FALSE)</f>
        <v>22</v>
      </c>
      <c r="H3" s="5">
        <f t="shared" ref="H3:H31" si="1">G3*E3</f>
        <v>88</v>
      </c>
      <c r="I3" s="6">
        <f t="shared" ref="I3:I31" si="2">G3*F3</f>
        <v>3520</v>
      </c>
      <c r="K3" s="8" t="s">
        <v>10</v>
      </c>
      <c r="L3" s="162" t="s">
        <v>429</v>
      </c>
      <c r="M3" s="163"/>
    </row>
    <row r="4" spans="2:13">
      <c r="B4" s="3">
        <v>3</v>
      </c>
      <c r="C4" t="s">
        <v>440</v>
      </c>
      <c r="D4" s="4"/>
      <c r="E4" s="88">
        <v>4</v>
      </c>
      <c r="F4" s="101">
        <f t="shared" si="0"/>
        <v>160</v>
      </c>
      <c r="G4">
        <f>VLOOKUP($C4,약재관리!A:J,10,FALSE)</f>
        <v>17.600000000000001</v>
      </c>
      <c r="H4" s="5">
        <f t="shared" si="1"/>
        <v>70.400000000000006</v>
      </c>
      <c r="I4" s="6">
        <f t="shared" si="2"/>
        <v>2816</v>
      </c>
      <c r="K4" s="8" t="s">
        <v>11</v>
      </c>
      <c r="L4" s="166">
        <v>45793</v>
      </c>
      <c r="M4" s="163"/>
    </row>
    <row r="5" spans="2:13">
      <c r="B5" s="3">
        <v>4</v>
      </c>
      <c r="C5" t="s">
        <v>434</v>
      </c>
      <c r="D5" s="4"/>
      <c r="E5" s="88">
        <v>4</v>
      </c>
      <c r="F5" s="101">
        <f t="shared" si="0"/>
        <v>160</v>
      </c>
      <c r="G5">
        <f>VLOOKUP($C5,약재관리!A:J,10,FALSE)</f>
        <v>9.1999999999999993</v>
      </c>
      <c r="H5" s="5">
        <f t="shared" si="1"/>
        <v>36.799999999999997</v>
      </c>
      <c r="I5" s="6">
        <f t="shared" si="2"/>
        <v>1472</v>
      </c>
      <c r="K5" s="8" t="s">
        <v>12</v>
      </c>
      <c r="L5" s="162" t="s">
        <v>431</v>
      </c>
      <c r="M5" s="163"/>
    </row>
    <row r="6" spans="2:13">
      <c r="B6" s="3">
        <v>5</v>
      </c>
      <c r="C6" t="s">
        <v>441</v>
      </c>
      <c r="D6" s="4"/>
      <c r="E6" s="88">
        <v>4</v>
      </c>
      <c r="F6" s="101">
        <f t="shared" si="0"/>
        <v>160</v>
      </c>
      <c r="G6">
        <f>VLOOKUP($C6,약재관리!A:J,10,FALSE)</f>
        <v>13.8</v>
      </c>
      <c r="H6" s="5">
        <f t="shared" si="1"/>
        <v>55.2</v>
      </c>
      <c r="I6" s="6">
        <f t="shared" si="2"/>
        <v>2208</v>
      </c>
      <c r="K6" s="8" t="s">
        <v>13</v>
      </c>
      <c r="L6" s="162">
        <v>47</v>
      </c>
      <c r="M6" s="163"/>
    </row>
    <row r="7" spans="2:13" ht="17.25" thickBot="1">
      <c r="B7" s="3">
        <v>6</v>
      </c>
      <c r="C7" t="s">
        <v>435</v>
      </c>
      <c r="D7" s="4"/>
      <c r="E7" s="88">
        <v>4</v>
      </c>
      <c r="F7" s="101">
        <f t="shared" si="0"/>
        <v>160</v>
      </c>
      <c r="G7">
        <f>VLOOKUP($C7,약재관리!A:J,10,FALSE)</f>
        <v>8.3000000000000007</v>
      </c>
      <c r="H7" s="5">
        <f t="shared" si="1"/>
        <v>33.200000000000003</v>
      </c>
      <c r="I7" s="6">
        <f t="shared" si="2"/>
        <v>1328</v>
      </c>
      <c r="K7" s="8" t="s">
        <v>14</v>
      </c>
      <c r="L7" s="148" t="s">
        <v>432</v>
      </c>
      <c r="M7" s="149"/>
    </row>
    <row r="8" spans="2:13" ht="17.25" thickBot="1">
      <c r="B8" s="3">
        <v>7</v>
      </c>
      <c r="C8" t="s">
        <v>426</v>
      </c>
      <c r="D8" s="4"/>
      <c r="E8" s="88">
        <v>4</v>
      </c>
      <c r="F8" s="101">
        <f t="shared" si="0"/>
        <v>160</v>
      </c>
      <c r="G8">
        <f>VLOOKUP($C8,약재관리!A:J,10,FALSE)</f>
        <v>9</v>
      </c>
      <c r="H8" s="5">
        <f t="shared" si="1"/>
        <v>36</v>
      </c>
      <c r="I8" s="6">
        <f t="shared" si="2"/>
        <v>1440</v>
      </c>
      <c r="K8" s="150" t="s">
        <v>15</v>
      </c>
      <c r="L8" s="151"/>
      <c r="M8" s="152"/>
    </row>
    <row r="9" spans="2:13">
      <c r="B9" s="3">
        <v>8</v>
      </c>
      <c r="C9" t="s">
        <v>424</v>
      </c>
      <c r="D9" s="4"/>
      <c r="E9" s="88">
        <v>4</v>
      </c>
      <c r="F9" s="101">
        <f t="shared" si="0"/>
        <v>160</v>
      </c>
      <c r="G9">
        <f>VLOOKUP($C9,약재관리!A:J,10,FALSE)</f>
        <v>16.7</v>
      </c>
      <c r="H9" s="5">
        <f t="shared" si="1"/>
        <v>66.8</v>
      </c>
      <c r="I9" s="6">
        <f t="shared" si="2"/>
        <v>2672</v>
      </c>
      <c r="K9" s="153" t="s">
        <v>438</v>
      </c>
      <c r="L9" s="154"/>
      <c r="M9" s="155"/>
    </row>
    <row r="10" spans="2:13">
      <c r="B10" s="3">
        <v>9</v>
      </c>
      <c r="C10" t="s">
        <v>436</v>
      </c>
      <c r="D10" s="4"/>
      <c r="E10" s="88">
        <v>2</v>
      </c>
      <c r="F10" s="101">
        <f t="shared" si="0"/>
        <v>80</v>
      </c>
      <c r="G10">
        <f>VLOOKUP($C10,약재관리!A:J,10,FALSE)</f>
        <v>12.2</v>
      </c>
      <c r="H10" s="5">
        <f t="shared" si="1"/>
        <v>24.4</v>
      </c>
      <c r="I10" s="6">
        <f t="shared" si="2"/>
        <v>976</v>
      </c>
      <c r="K10" s="156"/>
      <c r="L10" s="157"/>
      <c r="M10" s="158"/>
    </row>
    <row r="11" spans="2:13">
      <c r="B11" s="3">
        <v>10</v>
      </c>
      <c r="C11" t="s">
        <v>437</v>
      </c>
      <c r="D11" s="4"/>
      <c r="E11" s="88">
        <v>2</v>
      </c>
      <c r="F11" s="101">
        <f t="shared" si="0"/>
        <v>80</v>
      </c>
      <c r="G11">
        <f>VLOOKUP($C11,약재관리!A:J,10,FALSE)</f>
        <v>21.8</v>
      </c>
      <c r="H11" s="5">
        <f t="shared" si="1"/>
        <v>43.6</v>
      </c>
      <c r="I11" s="6">
        <f t="shared" si="2"/>
        <v>1744</v>
      </c>
      <c r="K11" s="156"/>
      <c r="L11" s="157"/>
      <c r="M11" s="158"/>
    </row>
    <row r="12" spans="2:13">
      <c r="B12" s="3">
        <v>11</v>
      </c>
      <c r="C12" t="s">
        <v>421</v>
      </c>
      <c r="D12" s="4"/>
      <c r="E12" s="88">
        <v>4</v>
      </c>
      <c r="F12" s="101">
        <f t="shared" si="0"/>
        <v>160</v>
      </c>
      <c r="G12">
        <f>VLOOKUP($C12,약재관리!A:J,10,FALSE)</f>
        <v>15</v>
      </c>
      <c r="H12" s="5">
        <f t="shared" si="1"/>
        <v>60</v>
      </c>
      <c r="I12" s="6">
        <f t="shared" si="2"/>
        <v>2400</v>
      </c>
      <c r="K12" s="156"/>
      <c r="L12" s="157"/>
      <c r="M12" s="158"/>
    </row>
    <row r="13" spans="2:13" ht="17.25" thickBot="1">
      <c r="B13" s="3">
        <v>12</v>
      </c>
      <c r="C13" t="s">
        <v>442</v>
      </c>
      <c r="D13" s="4"/>
      <c r="E13" s="88">
        <v>4</v>
      </c>
      <c r="F13" s="101">
        <f t="shared" si="0"/>
        <v>160</v>
      </c>
      <c r="G13">
        <f>VLOOKUP($C13,약재관리!A:J,10,FALSE)</f>
        <v>7</v>
      </c>
      <c r="H13" s="5">
        <f t="shared" si="1"/>
        <v>28</v>
      </c>
      <c r="I13" s="6">
        <f t="shared" si="2"/>
        <v>1120</v>
      </c>
      <c r="K13" s="159"/>
      <c r="L13" s="160"/>
      <c r="M13" s="161"/>
    </row>
    <row r="14" spans="2:13">
      <c r="B14" s="3">
        <v>13</v>
      </c>
      <c r="C14" t="s">
        <v>443</v>
      </c>
      <c r="D14" s="4"/>
      <c r="E14" s="88">
        <v>4</v>
      </c>
      <c r="F14" s="101">
        <f t="shared" si="0"/>
        <v>160</v>
      </c>
      <c r="G14">
        <f>VLOOKUP($C14,약재관리!A:J,10,FALSE)</f>
        <v>8</v>
      </c>
      <c r="H14" s="5">
        <f t="shared" si="1"/>
        <v>32</v>
      </c>
      <c r="I14" s="6">
        <f t="shared" si="2"/>
        <v>1280</v>
      </c>
      <c r="K14" s="92" t="s">
        <v>16</v>
      </c>
      <c r="L14" s="9">
        <v>30</v>
      </c>
      <c r="M14" s="10" t="s">
        <v>17</v>
      </c>
    </row>
    <row r="15" spans="2:13">
      <c r="B15" s="3">
        <v>14</v>
      </c>
      <c r="C15" t="s">
        <v>444</v>
      </c>
      <c r="D15" s="4"/>
      <c r="E15" s="88">
        <v>4</v>
      </c>
      <c r="F15" s="101">
        <f t="shared" si="0"/>
        <v>160</v>
      </c>
      <c r="G15">
        <f>VLOOKUP($C15,약재관리!A:J,10,FALSE)</f>
        <v>7.5</v>
      </c>
      <c r="H15" s="5">
        <f t="shared" si="1"/>
        <v>30</v>
      </c>
      <c r="I15" s="6">
        <f t="shared" si="2"/>
        <v>1200</v>
      </c>
      <c r="K15" s="91" t="s">
        <v>18</v>
      </c>
      <c r="L15">
        <v>40</v>
      </c>
      <c r="M15" s="4" t="s">
        <v>19</v>
      </c>
    </row>
    <row r="16" spans="2:13">
      <c r="B16" s="3">
        <v>15</v>
      </c>
      <c r="C16" t="s">
        <v>413</v>
      </c>
      <c r="D16" s="4"/>
      <c r="E16" s="88">
        <v>10</v>
      </c>
      <c r="F16" s="101">
        <f t="shared" si="0"/>
        <v>400</v>
      </c>
      <c r="G16">
        <f>VLOOKUP($C16,약재관리!A:J,10,FALSE)</f>
        <v>8.5</v>
      </c>
      <c r="H16" s="5">
        <f t="shared" si="1"/>
        <v>85</v>
      </c>
      <c r="I16" s="6">
        <f t="shared" si="2"/>
        <v>3400</v>
      </c>
      <c r="K16" s="91" t="s">
        <v>20</v>
      </c>
      <c r="L16">
        <v>60</v>
      </c>
      <c r="M16" s="4" t="s">
        <v>21</v>
      </c>
    </row>
    <row r="17" spans="2:13" ht="17.25" thickBot="1">
      <c r="B17" s="3">
        <v>16</v>
      </c>
      <c r="C17" t="s">
        <v>428</v>
      </c>
      <c r="D17" s="4"/>
      <c r="E17" s="88">
        <v>4</v>
      </c>
      <c r="F17" s="101">
        <f t="shared" si="0"/>
        <v>160</v>
      </c>
      <c r="G17">
        <f>VLOOKUP($C17,약재관리!A:J,10,FALSE)</f>
        <v>27.2</v>
      </c>
      <c r="H17" s="5">
        <f t="shared" si="1"/>
        <v>108.8</v>
      </c>
      <c r="I17" s="6">
        <f t="shared" si="2"/>
        <v>4352</v>
      </c>
      <c r="K17" s="14" t="s">
        <v>22</v>
      </c>
      <c r="L17" s="11">
        <v>110</v>
      </c>
      <c r="M17" s="12" t="s">
        <v>23</v>
      </c>
    </row>
    <row r="18" spans="2:13">
      <c r="B18" s="3">
        <v>17</v>
      </c>
      <c r="C18" t="s">
        <v>445</v>
      </c>
      <c r="D18" s="4"/>
      <c r="E18" s="88">
        <v>4</v>
      </c>
      <c r="F18" s="101">
        <f t="shared" si="0"/>
        <v>160</v>
      </c>
      <c r="G18">
        <f>VLOOKUP($C18,약재관리!A:J,10,FALSE)</f>
        <v>44.3</v>
      </c>
      <c r="H18" s="5">
        <f t="shared" si="1"/>
        <v>177.2</v>
      </c>
      <c r="I18" s="6">
        <f t="shared" si="2"/>
        <v>7088</v>
      </c>
      <c r="K18" s="92" t="s">
        <v>24</v>
      </c>
      <c r="L18" s="9">
        <f>SUM(E2:E31)</f>
        <v>76</v>
      </c>
      <c r="M18" s="10" t="s">
        <v>25</v>
      </c>
    </row>
    <row r="19" spans="2:13">
      <c r="B19" s="3">
        <v>18</v>
      </c>
      <c r="D19" s="4"/>
      <c r="F19" s="101">
        <f t="shared" si="0"/>
        <v>0</v>
      </c>
      <c r="H19" s="5">
        <f t="shared" si="1"/>
        <v>0</v>
      </c>
      <c r="I19" s="6">
        <f t="shared" si="2"/>
        <v>0</v>
      </c>
      <c r="K19" s="91" t="s">
        <v>26</v>
      </c>
      <c r="L19">
        <f>L15*L18</f>
        <v>3040</v>
      </c>
      <c r="M19" s="4" t="s">
        <v>25</v>
      </c>
    </row>
    <row r="20" spans="2:13" ht="17.25" thickBot="1">
      <c r="B20" s="3">
        <v>19</v>
      </c>
      <c r="D20" s="4"/>
      <c r="F20" s="101">
        <f t="shared" si="0"/>
        <v>0</v>
      </c>
      <c r="H20" s="5">
        <f t="shared" si="1"/>
        <v>0</v>
      </c>
      <c r="I20" s="6">
        <f t="shared" si="2"/>
        <v>0</v>
      </c>
      <c r="K20" s="14" t="s">
        <v>27</v>
      </c>
      <c r="L20" s="11">
        <f>L16*L17+L19</f>
        <v>9640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3040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1122.3999999999999</v>
      </c>
      <c r="M30" s="4" t="s">
        <v>384</v>
      </c>
    </row>
    <row r="31" spans="2:13" ht="17.25" thickBot="1">
      <c r="B31" s="13">
        <v>30</v>
      </c>
      <c r="C31" s="14"/>
      <c r="D31" s="12"/>
      <c r="E31" s="95"/>
      <c r="F31" s="102">
        <f t="shared" si="0"/>
        <v>0</v>
      </c>
      <c r="G31" s="11"/>
      <c r="H31" s="15">
        <f t="shared" si="1"/>
        <v>0</v>
      </c>
      <c r="I31" s="16">
        <f t="shared" si="2"/>
        <v>0</v>
      </c>
      <c r="K31" s="14" t="s">
        <v>383</v>
      </c>
      <c r="L31" s="15">
        <f>SUM(I2:I31)</f>
        <v>44896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F21" sqref="F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8</v>
      </c>
      <c r="F2" s="101">
        <f>E2*$L$15</f>
        <v>120</v>
      </c>
      <c r="G2">
        <f>VLOOKUP($C2,약재관리!A:J,10,FALSE)</f>
        <v>8.5</v>
      </c>
      <c r="H2" s="5">
        <f>G2*E2</f>
        <v>68</v>
      </c>
      <c r="I2" s="90">
        <f>G2*F2</f>
        <v>1020</v>
      </c>
      <c r="K2" s="7" t="s">
        <v>9</v>
      </c>
      <c r="L2" s="164">
        <v>103</v>
      </c>
      <c r="M2" s="165"/>
    </row>
    <row r="3" spans="2:13">
      <c r="B3" s="3">
        <v>2</v>
      </c>
      <c r="C3" t="s">
        <v>427</v>
      </c>
      <c r="D3" s="4"/>
      <c r="E3" s="88">
        <v>12</v>
      </c>
      <c r="F3" s="101">
        <f t="shared" ref="F3:F31" si="0">E3*$L$15</f>
        <v>180</v>
      </c>
      <c r="G3">
        <f>VLOOKUP($C3,약재관리!A:J,10,FALSE)</f>
        <v>72.7</v>
      </c>
      <c r="H3" s="5">
        <f t="shared" ref="H3:H31" si="1">G3*E3</f>
        <v>872.40000000000009</v>
      </c>
      <c r="I3" s="6">
        <f t="shared" ref="I3:I31" si="2">G3*F3</f>
        <v>13086</v>
      </c>
      <c r="K3" s="8" t="s">
        <v>10</v>
      </c>
      <c r="L3" s="162" t="s">
        <v>429</v>
      </c>
      <c r="M3" s="163"/>
    </row>
    <row r="4" spans="2:13">
      <c r="B4" s="3">
        <v>3</v>
      </c>
      <c r="C4" t="s">
        <v>414</v>
      </c>
      <c r="D4" s="4"/>
      <c r="E4" s="88">
        <v>9</v>
      </c>
      <c r="F4" s="101">
        <f t="shared" si="0"/>
        <v>135</v>
      </c>
      <c r="G4">
        <f>VLOOKUP($C4,약재관리!A:J,10,FALSE)</f>
        <v>41</v>
      </c>
      <c r="H4" s="5">
        <f t="shared" si="1"/>
        <v>369</v>
      </c>
      <c r="I4" s="6">
        <f t="shared" si="2"/>
        <v>5535</v>
      </c>
      <c r="K4" s="8" t="s">
        <v>11</v>
      </c>
      <c r="L4" s="166">
        <v>45771</v>
      </c>
      <c r="M4" s="163"/>
    </row>
    <row r="5" spans="2:13">
      <c r="B5" s="3">
        <v>4</v>
      </c>
      <c r="C5" t="s">
        <v>415</v>
      </c>
      <c r="D5" s="4"/>
      <c r="E5" s="88">
        <v>6</v>
      </c>
      <c r="F5" s="101">
        <f t="shared" si="0"/>
        <v>90</v>
      </c>
      <c r="G5">
        <f>VLOOKUP($C5,약재관리!A:J,10,FALSE)</f>
        <v>20.8</v>
      </c>
      <c r="H5" s="5">
        <f t="shared" si="1"/>
        <v>124.80000000000001</v>
      </c>
      <c r="I5" s="6">
        <f t="shared" si="2"/>
        <v>1872</v>
      </c>
      <c r="K5" s="8" t="s">
        <v>12</v>
      </c>
      <c r="L5" s="162" t="s">
        <v>431</v>
      </c>
      <c r="M5" s="163"/>
    </row>
    <row r="6" spans="2:13">
      <c r="B6" s="3">
        <v>5</v>
      </c>
      <c r="C6" t="s">
        <v>416</v>
      </c>
      <c r="D6" s="4"/>
      <c r="E6" s="88">
        <v>5</v>
      </c>
      <c r="F6" s="101">
        <f t="shared" si="0"/>
        <v>75</v>
      </c>
      <c r="G6">
        <f>VLOOKUP($C6,약재관리!A:J,10,FALSE)</f>
        <v>22.5</v>
      </c>
      <c r="H6" s="5">
        <f t="shared" si="1"/>
        <v>112.5</v>
      </c>
      <c r="I6" s="6">
        <f t="shared" si="2"/>
        <v>1687.5</v>
      </c>
      <c r="K6" s="8" t="s">
        <v>13</v>
      </c>
      <c r="L6" s="162">
        <v>47</v>
      </c>
      <c r="M6" s="163"/>
    </row>
    <row r="7" spans="2:13" ht="17.25" thickBot="1">
      <c r="B7" s="3">
        <v>6</v>
      </c>
      <c r="C7" t="s">
        <v>425</v>
      </c>
      <c r="D7" s="4"/>
      <c r="E7" s="88">
        <v>5</v>
      </c>
      <c r="F7" s="101">
        <f t="shared" si="0"/>
        <v>75</v>
      </c>
      <c r="G7">
        <f>VLOOKUP($C7,약재관리!A:J,10,FALSE)</f>
        <v>43.3</v>
      </c>
      <c r="H7" s="5">
        <f t="shared" si="1"/>
        <v>216.5</v>
      </c>
      <c r="I7" s="6">
        <f t="shared" si="2"/>
        <v>3247.5</v>
      </c>
      <c r="K7" s="8" t="s">
        <v>14</v>
      </c>
      <c r="L7" s="148" t="s">
        <v>432</v>
      </c>
      <c r="M7" s="149"/>
    </row>
    <row r="8" spans="2:13" ht="17.25" thickBot="1">
      <c r="B8" s="3">
        <v>7</v>
      </c>
      <c r="C8" t="s">
        <v>417</v>
      </c>
      <c r="D8" s="4"/>
      <c r="E8" s="88">
        <v>5</v>
      </c>
      <c r="F8" s="101">
        <f t="shared" si="0"/>
        <v>75</v>
      </c>
      <c r="G8">
        <f>VLOOKUP($C8,약재관리!A:J,10,FALSE)</f>
        <v>14.8</v>
      </c>
      <c r="H8" s="5">
        <f t="shared" si="1"/>
        <v>74</v>
      </c>
      <c r="I8" s="6">
        <f t="shared" si="2"/>
        <v>1110</v>
      </c>
      <c r="K8" s="150" t="s">
        <v>15</v>
      </c>
      <c r="L8" s="151"/>
      <c r="M8" s="152"/>
    </row>
    <row r="9" spans="2:13">
      <c r="B9" s="3">
        <v>8</v>
      </c>
      <c r="C9" t="s">
        <v>418</v>
      </c>
      <c r="D9" s="4"/>
      <c r="E9" s="88">
        <v>5</v>
      </c>
      <c r="F9" s="101">
        <f t="shared" si="0"/>
        <v>75</v>
      </c>
      <c r="G9">
        <f>VLOOKUP($C9,약재관리!A:J,10,FALSE)</f>
        <v>11</v>
      </c>
      <c r="H9" s="5">
        <f t="shared" si="1"/>
        <v>55</v>
      </c>
      <c r="I9" s="6">
        <f t="shared" si="2"/>
        <v>825</v>
      </c>
      <c r="K9" s="153" t="s">
        <v>430</v>
      </c>
      <c r="L9" s="154"/>
      <c r="M9" s="155"/>
    </row>
    <row r="10" spans="2:13">
      <c r="B10" s="3">
        <v>9</v>
      </c>
      <c r="C10" t="s">
        <v>419</v>
      </c>
      <c r="D10" s="4"/>
      <c r="E10" s="88">
        <v>5</v>
      </c>
      <c r="F10" s="101">
        <f t="shared" si="0"/>
        <v>75</v>
      </c>
      <c r="G10">
        <f>VLOOKUP($C10,약재관리!A:J,10,FALSE)</f>
        <v>14</v>
      </c>
      <c r="H10" s="5">
        <f t="shared" si="1"/>
        <v>70</v>
      </c>
      <c r="I10" s="6">
        <f t="shared" si="2"/>
        <v>1050</v>
      </c>
      <c r="K10" s="156"/>
      <c r="L10" s="157"/>
      <c r="M10" s="158"/>
    </row>
    <row r="11" spans="2:13">
      <c r="B11" s="3">
        <v>10</v>
      </c>
      <c r="C11" t="s">
        <v>420</v>
      </c>
      <c r="D11" s="4"/>
      <c r="E11" s="88">
        <v>5</v>
      </c>
      <c r="F11" s="101">
        <f t="shared" si="0"/>
        <v>75</v>
      </c>
      <c r="G11">
        <f>VLOOKUP($C11,약재관리!A:J,10,FALSE)</f>
        <v>8</v>
      </c>
      <c r="H11" s="5">
        <f t="shared" si="1"/>
        <v>40</v>
      </c>
      <c r="I11" s="6">
        <f t="shared" si="2"/>
        <v>600</v>
      </c>
      <c r="K11" s="156"/>
      <c r="L11" s="157"/>
      <c r="M11" s="158"/>
    </row>
    <row r="12" spans="2:13">
      <c r="B12" s="3">
        <v>11</v>
      </c>
      <c r="C12" t="s">
        <v>421</v>
      </c>
      <c r="D12" s="4"/>
      <c r="E12" s="88">
        <v>5</v>
      </c>
      <c r="F12" s="101">
        <f t="shared" si="0"/>
        <v>75</v>
      </c>
      <c r="G12">
        <f>VLOOKUP($C12,약재관리!A:J,10,FALSE)</f>
        <v>15</v>
      </c>
      <c r="H12" s="5">
        <f t="shared" si="1"/>
        <v>75</v>
      </c>
      <c r="I12" s="6">
        <f t="shared" si="2"/>
        <v>1125</v>
      </c>
      <c r="K12" s="156"/>
      <c r="L12" s="157"/>
      <c r="M12" s="158"/>
    </row>
    <row r="13" spans="2:13" ht="17.25" thickBot="1">
      <c r="B13" s="3">
        <v>12</v>
      </c>
      <c r="C13" t="s">
        <v>424</v>
      </c>
      <c r="D13" s="4"/>
      <c r="E13" s="88">
        <v>2</v>
      </c>
      <c r="F13" s="101">
        <f t="shared" si="0"/>
        <v>30</v>
      </c>
      <c r="G13">
        <f>VLOOKUP($C13,약재관리!A:J,10,FALSE)</f>
        <v>16.7</v>
      </c>
      <c r="H13" s="5">
        <f t="shared" si="1"/>
        <v>33.4</v>
      </c>
      <c r="I13" s="6">
        <f t="shared" si="2"/>
        <v>501</v>
      </c>
      <c r="K13" s="159"/>
      <c r="L13" s="160"/>
      <c r="M13" s="161"/>
    </row>
    <row r="14" spans="2:13">
      <c r="B14" s="3">
        <v>13</v>
      </c>
      <c r="C14" t="s">
        <v>426</v>
      </c>
      <c r="D14" s="4"/>
      <c r="E14" s="88">
        <v>4</v>
      </c>
      <c r="F14" s="101">
        <f t="shared" si="0"/>
        <v>60</v>
      </c>
      <c r="G14">
        <f>VLOOKUP($C14,약재관리!A:J,10,FALSE)</f>
        <v>9</v>
      </c>
      <c r="H14" s="5">
        <f t="shared" si="1"/>
        <v>36</v>
      </c>
      <c r="I14" s="6">
        <f t="shared" si="2"/>
        <v>540</v>
      </c>
      <c r="K14" s="92" t="s">
        <v>16</v>
      </c>
      <c r="L14" s="9">
        <v>15</v>
      </c>
      <c r="M14" s="10" t="s">
        <v>17</v>
      </c>
    </row>
    <row r="15" spans="2:13">
      <c r="B15" s="3">
        <v>14</v>
      </c>
      <c r="C15" t="s">
        <v>428</v>
      </c>
      <c r="D15" s="4"/>
      <c r="E15" s="88">
        <v>5</v>
      </c>
      <c r="F15" s="101">
        <f t="shared" si="0"/>
        <v>75</v>
      </c>
      <c r="G15">
        <f>VLOOKUP($C15,약재관리!A:J,10,FALSE)</f>
        <v>27.2</v>
      </c>
      <c r="H15" s="5">
        <f t="shared" si="1"/>
        <v>136</v>
      </c>
      <c r="I15" s="6">
        <f t="shared" si="2"/>
        <v>2040</v>
      </c>
      <c r="K15" s="91" t="s">
        <v>18</v>
      </c>
      <c r="L15">
        <v>15</v>
      </c>
      <c r="M15" s="4" t="s">
        <v>19</v>
      </c>
    </row>
    <row r="16" spans="2:13">
      <c r="B16" s="3">
        <v>15</v>
      </c>
      <c r="C16" t="s">
        <v>423</v>
      </c>
      <c r="D16" s="4"/>
      <c r="E16" s="88">
        <v>4</v>
      </c>
      <c r="F16" s="101">
        <f t="shared" si="0"/>
        <v>60</v>
      </c>
      <c r="G16">
        <f>VLOOKUP($C16,약재관리!A:J,10,FALSE)</f>
        <v>20</v>
      </c>
      <c r="H16" s="5">
        <f t="shared" si="1"/>
        <v>80</v>
      </c>
      <c r="I16" s="6">
        <f t="shared" si="2"/>
        <v>1200</v>
      </c>
      <c r="K16" s="91" t="s">
        <v>20</v>
      </c>
      <c r="L16">
        <v>30</v>
      </c>
      <c r="M16" s="4" t="s">
        <v>21</v>
      </c>
    </row>
    <row r="17" spans="2:13" ht="17.25" thickBot="1">
      <c r="B17" s="3">
        <v>16</v>
      </c>
      <c r="C17" t="s">
        <v>422</v>
      </c>
      <c r="D17" s="4"/>
      <c r="E17" s="88">
        <v>2</v>
      </c>
      <c r="F17" s="101">
        <f t="shared" si="0"/>
        <v>30</v>
      </c>
      <c r="G17">
        <f>VLOOKUP($C17,약재관리!A:J,10,FALSE)</f>
        <v>13</v>
      </c>
      <c r="H17" s="5">
        <f t="shared" si="1"/>
        <v>26</v>
      </c>
      <c r="I17" s="6">
        <f t="shared" si="2"/>
        <v>390</v>
      </c>
      <c r="K17" s="14" t="s">
        <v>22</v>
      </c>
      <c r="L17" s="11">
        <v>110</v>
      </c>
      <c r="M17" s="12" t="s">
        <v>23</v>
      </c>
    </row>
    <row r="18" spans="2:13">
      <c r="B18" s="3">
        <v>17</v>
      </c>
      <c r="D18" s="4"/>
      <c r="F18" s="101">
        <f t="shared" si="0"/>
        <v>0</v>
      </c>
      <c r="H18" s="5">
        <f t="shared" si="1"/>
        <v>0</v>
      </c>
      <c r="I18" s="6">
        <f t="shared" si="2"/>
        <v>0</v>
      </c>
      <c r="K18" s="92" t="s">
        <v>24</v>
      </c>
      <c r="L18" s="9">
        <f>SUM(E2:E31)</f>
        <v>87</v>
      </c>
      <c r="M18" s="10" t="s">
        <v>25</v>
      </c>
    </row>
    <row r="19" spans="2:13">
      <c r="B19" s="3">
        <v>18</v>
      </c>
      <c r="D19" s="4"/>
      <c r="F19" s="101">
        <f t="shared" si="0"/>
        <v>0</v>
      </c>
      <c r="H19" s="5">
        <f t="shared" si="1"/>
        <v>0</v>
      </c>
      <c r="I19" s="6">
        <f t="shared" si="2"/>
        <v>0</v>
      </c>
      <c r="K19" s="91" t="s">
        <v>26</v>
      </c>
      <c r="L19">
        <f>L15*L18</f>
        <v>1305</v>
      </c>
      <c r="M19" s="4" t="s">
        <v>25</v>
      </c>
    </row>
    <row r="20" spans="2:13" ht="17.25" thickBot="1">
      <c r="B20" s="3">
        <v>19</v>
      </c>
      <c r="D20" s="4"/>
      <c r="F20" s="101">
        <f t="shared" si="0"/>
        <v>0</v>
      </c>
      <c r="H20" s="5">
        <f t="shared" si="1"/>
        <v>0</v>
      </c>
      <c r="I20" s="6">
        <f t="shared" si="2"/>
        <v>0</v>
      </c>
      <c r="K20" s="14" t="s">
        <v>27</v>
      </c>
      <c r="L20" s="11">
        <f>L16*L17+L19</f>
        <v>4605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1305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2388.6</v>
      </c>
      <c r="M30" s="4" t="s">
        <v>384</v>
      </c>
    </row>
    <row r="31" spans="2:13" ht="17.25" thickBot="1">
      <c r="B31" s="13">
        <v>30</v>
      </c>
      <c r="C31" s="14"/>
      <c r="D31" s="12"/>
      <c r="E31" s="95"/>
      <c r="F31" s="102">
        <f t="shared" si="0"/>
        <v>0</v>
      </c>
      <c r="G31" s="11"/>
      <c r="H31" s="15">
        <f t="shared" si="1"/>
        <v>0</v>
      </c>
      <c r="I31" s="16">
        <f t="shared" si="2"/>
        <v>0</v>
      </c>
      <c r="K31" s="14" t="s">
        <v>383</v>
      </c>
      <c r="L31" s="15">
        <f>SUM(I2:I31)</f>
        <v>35829</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34" zoomScaleNormal="100" workbookViewId="0">
      <selection activeCell="A57" sqref="A57"/>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45766</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v>10000</v>
      </c>
      <c r="D5" s="36"/>
      <c r="E5" s="37">
        <v>11700</v>
      </c>
      <c r="F5" s="115">
        <f t="shared" si="0"/>
        <v>0</v>
      </c>
      <c r="G5" s="38">
        <f t="shared" si="0"/>
        <v>20</v>
      </c>
      <c r="H5" s="38">
        <f t="shared" si="1"/>
        <v>0</v>
      </c>
      <c r="I5" s="39">
        <f t="shared" si="1"/>
        <v>19.5</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19600</v>
      </c>
      <c r="D54" s="36">
        <v>39000</v>
      </c>
      <c r="E54" s="37">
        <v>23500</v>
      </c>
      <c r="F54" s="115">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23.5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v>10500</v>
      </c>
      <c r="D89" s="26">
        <v>16500</v>
      </c>
      <c r="E89" s="27">
        <v>12600</v>
      </c>
      <c r="F89" s="28">
        <f t="shared" si="9"/>
        <v>0</v>
      </c>
      <c r="G89" s="29">
        <f t="shared" si="9"/>
        <v>21</v>
      </c>
      <c r="H89" s="29">
        <f t="shared" si="8"/>
        <v>27.5</v>
      </c>
      <c r="I89" s="56">
        <f t="shared" si="8"/>
        <v>21</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13500</v>
      </c>
      <c r="D118" s="36">
        <v>38000</v>
      </c>
      <c r="E118" s="37">
        <v>23500</v>
      </c>
      <c r="F118" s="115">
        <f t="shared" si="12"/>
        <v>0</v>
      </c>
      <c r="G118" s="44">
        <f t="shared" si="12"/>
        <v>27</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9500</v>
      </c>
      <c r="D184" s="49">
        <v>7500</v>
      </c>
      <c r="E184" s="50">
        <v>12700</v>
      </c>
      <c r="F184" s="73">
        <f t="shared" si="21"/>
        <v>21.6</v>
      </c>
      <c r="G184" s="51">
        <f t="shared" si="21"/>
        <v>19</v>
      </c>
      <c r="H184" s="51">
        <f t="shared" si="20"/>
        <v>12.5</v>
      </c>
      <c r="I184" s="60">
        <f t="shared" si="20"/>
        <v>21.166666666666668</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2025-05-16T01:03:07Z</cp:lastPrinted>
  <dcterms:created xsi:type="dcterms:W3CDTF">2024-09-12T16:35:01Z</dcterms:created>
  <dcterms:modified xsi:type="dcterms:W3CDTF">2025-05-16T07:57:39Z</dcterms:modified>
</cp:coreProperties>
</file>