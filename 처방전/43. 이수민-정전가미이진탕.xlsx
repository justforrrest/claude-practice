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84" documentId="8_{6EB8DC0A-AB56-415F-A9F3-EA1534264548}" xr6:coauthVersionLast="47" xr6:coauthVersionMax="47" xr10:uidLastSave="{5BADE0B3-EF7B-44EC-B962-0A0EAA590C24}"/>
  <bookViews>
    <workbookView xWindow="0" yWindow="15" windowWidth="15270" windowHeight="15450" xr2:uid="{8B9F1886-173A-4475-B0CF-D9F36CE30773}"/>
  </bookViews>
  <sheets>
    <sheet name="가미하출탕" sheetId="7" r:id="rId1"/>
    <sheet name="생강사심탕" sheetId="6" r:id="rId2"/>
    <sheet name="처방전양식 (2)" sheetId="5" r:id="rId3"/>
    <sheet name="처방전양식" sheetId="4" r:id="rId4"/>
    <sheet name="약재관리"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7" l="1"/>
  <c r="H20" i="7"/>
  <c r="G20" i="7"/>
  <c r="F20" i="7"/>
  <c r="G12" i="7"/>
  <c r="H12" i="7" s="1"/>
  <c r="G13" i="7"/>
  <c r="G14" i="7"/>
  <c r="H14" i="7" s="1"/>
  <c r="G15" i="7"/>
  <c r="H15" i="7" s="1"/>
  <c r="G16" i="7"/>
  <c r="H16" i="7" s="1"/>
  <c r="G17" i="7"/>
  <c r="H17" i="7" s="1"/>
  <c r="G18" i="7"/>
  <c r="H18" i="7" s="1"/>
  <c r="G19" i="7"/>
  <c r="H19" i="7" s="1"/>
  <c r="H31" i="7"/>
  <c r="F31" i="7"/>
  <c r="I31" i="7" s="1"/>
  <c r="H30" i="7"/>
  <c r="F30" i="7"/>
  <c r="I30" i="7" s="1"/>
  <c r="H29" i="7"/>
  <c r="F29" i="7"/>
  <c r="I29" i="7" s="1"/>
  <c r="H28" i="7"/>
  <c r="F28" i="7"/>
  <c r="I28" i="7" s="1"/>
  <c r="H27" i="7"/>
  <c r="F27" i="7"/>
  <c r="I27" i="7" s="1"/>
  <c r="H26" i="7"/>
  <c r="F26" i="7"/>
  <c r="I26" i="7" s="1"/>
  <c r="H25" i="7"/>
  <c r="F25" i="7"/>
  <c r="I25" i="7" s="1"/>
  <c r="H24" i="7"/>
  <c r="F24" i="7"/>
  <c r="I24" i="7" s="1"/>
  <c r="F19" i="7"/>
  <c r="L18" i="7"/>
  <c r="L19" i="7" s="1"/>
  <c r="L20" i="7" s="1"/>
  <c r="F18" i="7"/>
  <c r="F17" i="7"/>
  <c r="F16" i="7"/>
  <c r="F15" i="7"/>
  <c r="F14" i="7"/>
  <c r="H13" i="7"/>
  <c r="F13" i="7"/>
  <c r="I13" i="7" s="1"/>
  <c r="F12" i="7"/>
  <c r="G11" i="7"/>
  <c r="F11" i="7"/>
  <c r="G10" i="7"/>
  <c r="F10" i="7"/>
  <c r="G9" i="7"/>
  <c r="F9" i="7"/>
  <c r="G8" i="7"/>
  <c r="F8" i="7"/>
  <c r="G7" i="7"/>
  <c r="F7" i="7"/>
  <c r="G6" i="7"/>
  <c r="F6" i="7"/>
  <c r="G5" i="7"/>
  <c r="F5" i="7"/>
  <c r="G4" i="7"/>
  <c r="F4" i="7"/>
  <c r="G3" i="7"/>
  <c r="F3" i="7"/>
  <c r="G2" i="7"/>
  <c r="F2" i="7"/>
  <c r="H31" i="6"/>
  <c r="F31" i="6"/>
  <c r="I31" i="6" s="1"/>
  <c r="H30" i="6"/>
  <c r="F30" i="6"/>
  <c r="I30" i="6" s="1"/>
  <c r="H29" i="6"/>
  <c r="F29" i="6"/>
  <c r="I29" i="6" s="1"/>
  <c r="H28" i="6"/>
  <c r="F28" i="6"/>
  <c r="I28" i="6" s="1"/>
  <c r="H27" i="6"/>
  <c r="F27" i="6"/>
  <c r="I27" i="6" s="1"/>
  <c r="I26" i="6"/>
  <c r="H26" i="6"/>
  <c r="F26" i="6"/>
  <c r="H25" i="6"/>
  <c r="F25" i="6"/>
  <c r="I25" i="6" s="1"/>
  <c r="H24" i="6"/>
  <c r="F24" i="6"/>
  <c r="I24" i="6" s="1"/>
  <c r="F19" i="6"/>
  <c r="I19" i="6" s="1"/>
  <c r="L18" i="6"/>
  <c r="L19" i="6" s="1"/>
  <c r="L20" i="6" s="1"/>
  <c r="H18" i="6"/>
  <c r="F18" i="6"/>
  <c r="I17" i="6"/>
  <c r="F17" i="6"/>
  <c r="I16" i="6"/>
  <c r="F16" i="6"/>
  <c r="F15" i="6"/>
  <c r="I15" i="6" s="1"/>
  <c r="F14" i="6"/>
  <c r="I14" i="6" s="1"/>
  <c r="H13" i="6"/>
  <c r="F13" i="6"/>
  <c r="F12" i="6"/>
  <c r="I12" i="6" s="1"/>
  <c r="G11" i="6"/>
  <c r="I11" i="6" s="1"/>
  <c r="F11" i="6"/>
  <c r="G10" i="6"/>
  <c r="F10" i="6"/>
  <c r="G9" i="6"/>
  <c r="F9" i="6"/>
  <c r="G8" i="6"/>
  <c r="F8" i="6"/>
  <c r="G7" i="6"/>
  <c r="F7" i="6"/>
  <c r="G6" i="6"/>
  <c r="F6" i="6"/>
  <c r="G5" i="6"/>
  <c r="I5" i="6" s="1"/>
  <c r="F5" i="6"/>
  <c r="G4" i="6"/>
  <c r="H4" i="6" s="1"/>
  <c r="F4" i="6"/>
  <c r="G3" i="6"/>
  <c r="F3" i="6"/>
  <c r="G2" i="6"/>
  <c r="F2" i="6"/>
  <c r="F20" i="4"/>
  <c r="I20" i="4" s="1"/>
  <c r="H20" i="4"/>
  <c r="G20" i="4"/>
  <c r="H31" i="5"/>
  <c r="F31" i="5"/>
  <c r="I31" i="5" s="1"/>
  <c r="H30" i="5"/>
  <c r="F30" i="5"/>
  <c r="I30" i="5" s="1"/>
  <c r="H29" i="5"/>
  <c r="F29" i="5"/>
  <c r="I29" i="5" s="1"/>
  <c r="I28" i="5"/>
  <c r="H28" i="5"/>
  <c r="F28" i="5"/>
  <c r="I27" i="5"/>
  <c r="H27" i="5"/>
  <c r="F27" i="5"/>
  <c r="I26" i="5"/>
  <c r="H26" i="5"/>
  <c r="F26" i="5"/>
  <c r="H25" i="5"/>
  <c r="F25" i="5"/>
  <c r="I25" i="5" s="1"/>
  <c r="I24" i="5"/>
  <c r="H24" i="5"/>
  <c r="F24" i="5"/>
  <c r="G19" i="5"/>
  <c r="I19" i="5" s="1"/>
  <c r="F19" i="5"/>
  <c r="L18" i="5"/>
  <c r="L19" i="5" s="1"/>
  <c r="L20" i="5" s="1"/>
  <c r="G18" i="5"/>
  <c r="I18" i="5" s="1"/>
  <c r="F18" i="5"/>
  <c r="G17" i="5"/>
  <c r="I17" i="5" s="1"/>
  <c r="F17" i="5"/>
  <c r="G16" i="5"/>
  <c r="I16" i="5" s="1"/>
  <c r="F16" i="5"/>
  <c r="G15" i="5"/>
  <c r="I15" i="5" s="1"/>
  <c r="F15" i="5"/>
  <c r="G14" i="5"/>
  <c r="I14" i="5" s="1"/>
  <c r="F14" i="5"/>
  <c r="G13" i="5"/>
  <c r="I13" i="5" s="1"/>
  <c r="F13" i="5"/>
  <c r="G12" i="5"/>
  <c r="I12" i="5" s="1"/>
  <c r="F12" i="5"/>
  <c r="G11" i="5"/>
  <c r="I11" i="5" s="1"/>
  <c r="F11" i="5"/>
  <c r="G10" i="5"/>
  <c r="I10" i="5" s="1"/>
  <c r="F10" i="5"/>
  <c r="G9" i="5"/>
  <c r="I9" i="5" s="1"/>
  <c r="F9" i="5"/>
  <c r="G8" i="5"/>
  <c r="I8" i="5" s="1"/>
  <c r="F8" i="5"/>
  <c r="G7" i="5"/>
  <c r="I7" i="5" s="1"/>
  <c r="F7" i="5"/>
  <c r="G6" i="5"/>
  <c r="I6" i="5" s="1"/>
  <c r="F6" i="5"/>
  <c r="G5" i="5"/>
  <c r="I5" i="5" s="1"/>
  <c r="F5" i="5"/>
  <c r="G4" i="5"/>
  <c r="I4" i="5" s="1"/>
  <c r="F4" i="5"/>
  <c r="G3" i="5"/>
  <c r="I3" i="5" s="1"/>
  <c r="F3" i="5"/>
  <c r="G2" i="5"/>
  <c r="I2" i="5" s="1"/>
  <c r="F2" i="5"/>
  <c r="L23" i="5" s="1"/>
  <c r="G6" i="4"/>
  <c r="F6" i="4"/>
  <c r="G19" i="4"/>
  <c r="F2" i="4"/>
  <c r="F3" i="4"/>
  <c r="F4" i="4"/>
  <c r="F5" i="4"/>
  <c r="F7" i="4"/>
  <c r="F8" i="4"/>
  <c r="F9" i="4"/>
  <c r="F10" i="4"/>
  <c r="F11" i="4"/>
  <c r="F12" i="4"/>
  <c r="F13" i="4"/>
  <c r="F14" i="4"/>
  <c r="F15" i="4"/>
  <c r="F16" i="4"/>
  <c r="G17" i="4"/>
  <c r="G18" i="4"/>
  <c r="G12" i="4"/>
  <c r="G13" i="4"/>
  <c r="G14" i="4"/>
  <c r="G15" i="4"/>
  <c r="G16" i="4"/>
  <c r="G10" i="4"/>
  <c r="G11" i="4"/>
  <c r="I26" i="3"/>
  <c r="H26" i="3"/>
  <c r="G26" i="3"/>
  <c r="F26" i="3"/>
  <c r="G2" i="4"/>
  <c r="I174" i="3"/>
  <c r="G40" i="3"/>
  <c r="I16" i="7" l="1"/>
  <c r="I12" i="7"/>
  <c r="I17" i="7"/>
  <c r="I15" i="7"/>
  <c r="I18" i="7"/>
  <c r="I14" i="7"/>
  <c r="I19" i="7"/>
  <c r="I11" i="7"/>
  <c r="I10" i="7"/>
  <c r="I9" i="7"/>
  <c r="I8" i="7"/>
  <c r="I7" i="7"/>
  <c r="I6" i="7"/>
  <c r="I5" i="7"/>
  <c r="I4" i="7"/>
  <c r="I3" i="7"/>
  <c r="I2" i="7"/>
  <c r="L23" i="7"/>
  <c r="H4" i="7"/>
  <c r="H7" i="7"/>
  <c r="H10" i="7"/>
  <c r="H2" i="7"/>
  <c r="H5" i="7"/>
  <c r="H8" i="7"/>
  <c r="H11" i="7"/>
  <c r="H3" i="7"/>
  <c r="H6" i="7"/>
  <c r="H9" i="7"/>
  <c r="I10" i="6"/>
  <c r="I9" i="6"/>
  <c r="I8" i="6"/>
  <c r="I7" i="6"/>
  <c r="I6" i="6"/>
  <c r="I3" i="6"/>
  <c r="I2" i="6"/>
  <c r="L23" i="6"/>
  <c r="H3" i="6"/>
  <c r="H9" i="6"/>
  <c r="H15" i="6"/>
  <c r="I18" i="6"/>
  <c r="H6" i="6"/>
  <c r="H12" i="6"/>
  <c r="H10" i="6"/>
  <c r="H16" i="6"/>
  <c r="I4" i="6"/>
  <c r="I13" i="6"/>
  <c r="H19" i="6"/>
  <c r="H7" i="6"/>
  <c r="H2" i="6"/>
  <c r="H5" i="6"/>
  <c r="H8" i="6"/>
  <c r="H11" i="6"/>
  <c r="H14" i="6"/>
  <c r="H17" i="6"/>
  <c r="I6" i="4"/>
  <c r="H6" i="4"/>
  <c r="L31" i="5"/>
  <c r="H18" i="5"/>
  <c r="H3" i="5"/>
  <c r="H6" i="5"/>
  <c r="H9" i="5"/>
  <c r="H12" i="5"/>
  <c r="H15" i="5"/>
  <c r="H4" i="5"/>
  <c r="H7" i="5"/>
  <c r="H10" i="5"/>
  <c r="H13" i="5"/>
  <c r="H16" i="5"/>
  <c r="H19" i="5"/>
  <c r="H2" i="5"/>
  <c r="H5" i="5"/>
  <c r="H8" i="5"/>
  <c r="H11" i="5"/>
  <c r="H14" i="5"/>
  <c r="H17" i="5"/>
  <c r="I63" i="3"/>
  <c r="G121" i="3"/>
  <c r="I121" i="3"/>
  <c r="H121" i="3"/>
  <c r="F121" i="3"/>
  <c r="I52" i="3"/>
  <c r="H52" i="3"/>
  <c r="G52" i="3"/>
  <c r="F52" i="3"/>
  <c r="L31" i="7" l="1"/>
  <c r="L30" i="7"/>
  <c r="L31" i="6"/>
  <c r="L30" i="6"/>
  <c r="L30" i="5"/>
  <c r="G3" i="4"/>
  <c r="G4" i="4"/>
  <c r="H4" i="4" s="1"/>
  <c r="G5" i="4"/>
  <c r="H5" i="4" s="1"/>
  <c r="G7" i="4"/>
  <c r="H7" i="4" s="1"/>
  <c r="G8" i="4"/>
  <c r="H8" i="4" s="1"/>
  <c r="G9" i="4"/>
  <c r="H12" i="4"/>
  <c r="H13" i="4"/>
  <c r="H14" i="4"/>
  <c r="H15" i="4"/>
  <c r="H16" i="4"/>
  <c r="I25" i="4"/>
  <c r="I26" i="4"/>
  <c r="H28" i="4"/>
  <c r="H29" i="4"/>
  <c r="H30" i="4"/>
  <c r="H31" i="4"/>
  <c r="I10" i="4"/>
  <c r="F31" i="4"/>
  <c r="F30" i="4"/>
  <c r="F29" i="4"/>
  <c r="F28" i="4"/>
  <c r="F27" i="4"/>
  <c r="F26" i="4"/>
  <c r="F25" i="4"/>
  <c r="F24" i="4"/>
  <c r="L18" i="4"/>
  <c r="L19" i="4" s="1"/>
  <c r="L20" i="4" s="1"/>
  <c r="F19" i="4"/>
  <c r="F18" i="4"/>
  <c r="I18" i="4" s="1"/>
  <c r="F17"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9" i="4" l="1"/>
  <c r="I27" i="4"/>
  <c r="L23" i="4"/>
  <c r="I2" i="4"/>
  <c r="I17" i="4"/>
  <c r="I24" i="4"/>
  <c r="I19" i="4"/>
  <c r="I11" i="4"/>
  <c r="I3" i="4"/>
  <c r="H2" i="4"/>
  <c r="H3" i="4"/>
  <c r="I31" i="4"/>
  <c r="I30" i="4"/>
  <c r="H27" i="4"/>
  <c r="I29" i="4"/>
  <c r="H17" i="4"/>
  <c r="I16" i="4"/>
  <c r="I15" i="4"/>
  <c r="I14" i="4"/>
  <c r="H11" i="4"/>
  <c r="I13" i="4"/>
  <c r="I8" i="4"/>
  <c r="H24" i="4"/>
  <c r="H9" i="4"/>
  <c r="I7" i="4"/>
  <c r="H25" i="4"/>
  <c r="H10" i="4"/>
  <c r="H19" i="4"/>
  <c r="I5" i="4"/>
  <c r="I28" i="4"/>
  <c r="I12" i="4"/>
  <c r="I4" i="4"/>
  <c r="H26" i="4"/>
  <c r="H18" i="4"/>
  <c r="L31" i="4" l="1"/>
  <c r="L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<sst xmlns="http://schemas.openxmlformats.org/spreadsheetml/2006/main" count="793" uniqueCount="447">
  <si>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</si>
  <si>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</si>
  <si>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</si>
  <si>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</si>
  <si>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</si>
  <si>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</si>
  <si>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</si>
  <si>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</si>
  <si>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</si>
  <si>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</si>
  <si>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</si>
  <si>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</si>
  <si>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</si>
  <si>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</si>
  <si>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</si>
  <si>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</si>
  <si>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</si>
  <si>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</si>
  <si>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</si>
  <si>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</si>
  <si>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</si>
  <si>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</si>
  <si>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</si>
  <si>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</si>
  <si>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</si>
  <si>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</si>
  <si>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</si>
  <si>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</si>
  <si>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</si>
  <si>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</si>
  <si>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</si>
  <si>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</si>
  <si>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</si>
  <si>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</si>
  <si>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</si>
  <si>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</si>
  <si>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</si>
  <si>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</si>
  <si>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</si>
  <si>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</si>
  <si>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</si>
  <si>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</si>
  <si>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</si>
  <si>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</si>
  <si>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</si>
  <si>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</si>
  <si>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</si>
  <si>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</si>
  <si>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</si>
  <si>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</si>
  <si>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</si>
  <si>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</si>
  <si>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</si>
  <si>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</si>
  <si>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</si>
  <si>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</si>
  <si>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</si>
  <si>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</si>
  <si>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</si>
  <si>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</si>
  <si>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</si>
  <si>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</si>
  <si>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</si>
  <si>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</si>
  <si>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</si>
  <si>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</si>
  <si>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</si>
  <si>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</si>
  <si>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</si>
  <si>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</si>
  <si>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</si>
  <si>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</si>
  <si>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</si>
  <si>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</si>
  <si>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</si>
  <si>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</si>
  <si>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</si>
  <si>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</si>
  <si>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</si>
  <si>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</si>
  <si>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</si>
  <si>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</si>
  <si>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</si>
  <si>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</si>
  <si>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</si>
  <si>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</si>
  <si>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</si>
  <si>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</si>
  <si>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</si>
  <si>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</si>
  <si>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</si>
  <si>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</si>
  <si>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</si>
  <si>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</si>
  <si>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</si>
  <si>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</si>
  <si>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</si>
  <si>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</si>
  <si>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</si>
  <si>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</si>
  <si>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</si>
  <si>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</si>
  <si>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</si>
  <si>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</si>
  <si>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</si>
  <si>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</si>
  <si>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</si>
  <si>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</si>
  <si>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</si>
  <si>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</si>
  <si>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</si>
  <si>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</si>
  <si>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</si>
  <si>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</si>
  <si>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</si>
  <si>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</si>
  <si>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</si>
  <si>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</si>
  <si>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</si>
  <si>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</si>
  <si>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</si>
  <si>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</si>
  <si>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</si>
  <si>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</si>
  <si>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</si>
  <si>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</si>
  <si>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</si>
  <si>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</si>
  <si>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</si>
  <si>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</si>
  <si>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</si>
  <si>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</si>
  <si>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</si>
  <si>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</si>
  <si>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</si>
  <si>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</si>
  <si>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</si>
  <si>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</si>
  <si>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</si>
  <si>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</si>
  <si>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</si>
  <si>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</si>
  <si>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</si>
  <si>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</si>
  <si>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</si>
  <si>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</si>
  <si>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</si>
  <si>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</si>
  <si>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</si>
  <si>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</si>
  <si>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</si>
  <si>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</si>
  <si>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</si>
  <si>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</si>
  <si>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</si>
  <si>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</si>
  <si>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</si>
  <si>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</si>
  <si>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</si>
  <si>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</si>
  <si>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</si>
  <si>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</si>
  <si>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</si>
  <si>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</si>
  <si>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</si>
  <si>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</si>
  <si>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</si>
  <si>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</si>
  <si>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</si>
  <si>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</si>
  <si>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</si>
  <si>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</si>
  <si>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</si>
  <si>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</si>
  <si>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</si>
  <si>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</si>
  <si>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</si>
  <si>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</si>
  <si>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</si>
  <si>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</si>
  <si>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</si>
  <si>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</si>
  <si>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</si>
  <si>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</si>
  <si>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</si>
  <si>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</si>
  <si>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</si>
  <si>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</si>
  <si>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</si>
  <si>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</si>
  <si>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</si>
  <si>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</si>
  <si>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</si>
  <si>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</si>
  <si>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</si>
  <si>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</si>
  <si>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</si>
  <si>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</si>
  <si>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</si>
  <si>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</si>
  <si>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</si>
  <si>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</si>
  <si>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</si>
  <si>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</si>
  <si>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</si>
  <si>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</si>
  <si>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</si>
  <si>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</si>
  <si>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</si>
  <si>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</si>
  <si>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</si>
  <si>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</si>
  <si>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</si>
  <si>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</si>
  <si>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</si>
  <si>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</si>
  <si>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</si>
  <si>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</si>
  <si>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</si>
  <si>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</si>
  <si>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</si>
  <si>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</si>
  <si>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</si>
  <si>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</si>
  <si>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</si>
  <si>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</si>
  <si>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</si>
  <si>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</si>
  <si>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</si>
  <si>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</si>
  <si>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</si>
  <si>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</si>
  <si>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</si>
  <si>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</si>
  <si>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</si>
  <si>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</si>
  <si>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</si>
  <si>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</si>
  <si>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</si>
  <si>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</si>
  <si>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</si>
  <si>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</si>
  <si>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</si>
  <si>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</si>
  <si>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</si>
  <si>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</si>
  <si>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</si>
  <si>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</si>
  <si>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</si>
  <si>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</si>
  <si>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</si>
  <si>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</si>
  <si>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</si>
  <si>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</si>
  <si>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</si>
  <si>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</si>
  <si>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</si>
  <si>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</si>
  <si>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</si>
  <si>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</si>
  <si>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</si>
  <si>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</si>
  <si>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</si>
  <si>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</si>
  <si>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</si>
  <si>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</si>
  <si>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</si>
  <si>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</si>
  <si>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</si>
  <si>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</si>
  <si>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</si>
  <si>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</si>
  <si>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</si>
  <si>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</si>
  <si>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</si>
  <si>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</si>
  <si>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</si>
  <si>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</si>
  <si>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</si>
  <si>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</si>
  <si>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</si>
  <si>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</si>
  <si>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</si>
  <si>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</si>
  <si>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</si>
  <si>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</si>
  <si>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</si>
  <si>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</si>
  <si>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</si>
  <si>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</si>
  <si>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</si>
  <si>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</si>
  <si>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</si>
  <si>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</si>
  <si>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</si>
  <si>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</si>
  <si>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</si>
  <si>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</si>
  <si>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</si>
  <si>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</si>
  <si>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</si>
  <si>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</si>
  <si>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</si>
  <si>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</si>
  <si>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</si>
  <si>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</si>
  <si>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</si>
  <si>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</si>
  <si>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</si>
  <si>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</si>
  <si>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</si>
  <si>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</si>
  <si>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</si>
  <si>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</si>
  <si>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</si>
  <si>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</si>
  <si>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</si>
  <si>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</si>
  <si>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</si>
  <si>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</si>
  <si>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</si>
  <si>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</si>
  <si>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</si>
  <si>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</si>
  <si>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</si>
  <si>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</si>
  <si>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</si>
  <si>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</si>
  <si>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</si>
  <si>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</si>
  <si>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</si>
  <si>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</si>
  <si>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</si>
  <si>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</si>
  <si>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</si>
  <si>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</si>
  <si>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</si>
  <si>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</si>
  <si>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</si>
  <si>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</si>
  <si>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</si>
  <si>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</si>
  <si>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</si>
  <si>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</si>
  <si>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</si>
  <si>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</si>
  <si>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</si>
  <si>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</si>
  <si>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</si>
  <si>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</si>
  <si>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</si>
  <si>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</si>
  <si>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</si>
  <si>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</si>
  <si>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</si>
  <si>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</si>
  <si>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</si>
  <si>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</si>
  <si>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</si>
  <si>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</si>
  <si>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</si>
  <si>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</si>
  <si>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</si>
  <si>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</si>
  <si>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</si>
  <si>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</si>
  <si>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</si>
  <si>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</si>
  <si>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</si>
  <si>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</si>
  <si>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</si>
  <si>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</si>
  <si>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</si>
  <si>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</si>
  <si>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</si>
  <si>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</si>
  <si>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</si>
  <si>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</si>
  <si>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</si>
  <si>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</si>
  <si>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</si>
  <si>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</si>
  <si>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</si>
  <si>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</si>
  <si>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</si>
  <si>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</si>
  <si>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</si>
  <si>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</si>
  <si>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</si>
  <si>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</si>
  <si>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</si>
  <si>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</si>
  <si>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</si>
  <si>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</si>
  <si>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</si>
  <si>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</si>
  <si>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</si>
  <si>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</si>
  <si>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</si>
  <si>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</si>
  <si>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</si>
  <si>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</si>
  <si>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</si>
  <si>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</si>
  <si>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</si>
  <si>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</si>
  <si>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</si>
  <si>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F</t>
    <phoneticPr fontId="5" type="noConversion"/>
  </si>
  <si>
    <t>이수민</t>
    <phoneticPr fontId="5" type="noConversion"/>
  </si>
  <si>
    <t>정전가미이진탕</t>
    <phoneticPr fontId="5" type="noConversion"/>
  </si>
  <si>
    <t>산사</t>
    <phoneticPr fontId="5" type="noConversion"/>
  </si>
  <si>
    <t>향부자</t>
    <phoneticPr fontId="5" type="noConversion"/>
  </si>
  <si>
    <t>반하</t>
    <phoneticPr fontId="5" type="noConversion"/>
  </si>
  <si>
    <t>백출</t>
    <phoneticPr fontId="5" type="noConversion"/>
  </si>
  <si>
    <t>복령</t>
    <phoneticPr fontId="5" type="noConversion"/>
  </si>
  <si>
    <t>신곡</t>
    <phoneticPr fontId="5" type="noConversion"/>
  </si>
  <si>
    <t>초</t>
    <phoneticPr fontId="5" type="noConversion"/>
  </si>
  <si>
    <t>맥아</t>
    <phoneticPr fontId="5" type="noConversion"/>
  </si>
  <si>
    <t>사인</t>
    <phoneticPr fontId="5" type="noConversion"/>
  </si>
  <si>
    <t>감초</t>
    <phoneticPr fontId="5" type="noConversion"/>
  </si>
  <si>
    <t>생강</t>
    <phoneticPr fontId="5" type="noConversion"/>
  </si>
  <si>
    <t>대추</t>
    <phoneticPr fontId="5" type="noConversion"/>
  </si>
  <si>
    <t>천궁1</t>
    <phoneticPr fontId="5" type="noConversion"/>
  </si>
  <si>
    <t>창출1</t>
    <phoneticPr fontId="5" type="noConversion"/>
  </si>
  <si>
    <t>진피1</t>
    <phoneticPr fontId="5" type="noConversion"/>
  </si>
  <si>
    <t>후박</t>
    <phoneticPr fontId="5" type="noConversion"/>
  </si>
  <si>
    <t>목향</t>
    <phoneticPr fontId="5" type="noConversion"/>
  </si>
  <si>
    <t>곽향1</t>
    <phoneticPr fontId="5" type="noConversion"/>
  </si>
  <si>
    <t>천마</t>
    <phoneticPr fontId="5" type="noConversion"/>
  </si>
  <si>
    <t>당귀1</t>
    <phoneticPr fontId="5" type="noConversion"/>
  </si>
  <si>
    <t>택사1</t>
    <phoneticPr fontId="5" type="noConversion"/>
  </si>
  <si>
    <t>빈랑</t>
    <phoneticPr fontId="5" type="noConversion"/>
  </si>
  <si>
    <t>황련</t>
    <phoneticPr fontId="5" type="noConversion"/>
  </si>
  <si>
    <t>주초</t>
    <phoneticPr fontId="5" type="noConversion"/>
  </si>
  <si>
    <t>정전가미이진탕 + 후박 곽향 빈랑 당귀 황련</t>
    <phoneticPr fontId="5" type="noConversion"/>
  </si>
  <si>
    <t>정전가미이진탕 + 후박 곽향 목향 당귀 택사 천마</t>
    <phoneticPr fontId="5" type="noConversion"/>
  </si>
  <si>
    <t>황금</t>
    <phoneticPr fontId="5" type="noConversion"/>
  </si>
  <si>
    <t>인삼</t>
    <phoneticPr fontId="5" type="noConversion"/>
  </si>
  <si>
    <t>건강</t>
    <phoneticPr fontId="5" type="noConversion"/>
  </si>
  <si>
    <t>생강사심탕</t>
    <phoneticPr fontId="5" type="noConversion"/>
  </si>
  <si>
    <t>생강사심탕+목향 당귀</t>
    <phoneticPr fontId="5" type="noConversion"/>
  </si>
  <si>
    <t>가미하출탕</t>
    <phoneticPr fontId="5" type="noConversion"/>
  </si>
  <si>
    <t>황기</t>
    <phoneticPr fontId="5" type="noConversion"/>
  </si>
  <si>
    <t>황백</t>
    <phoneticPr fontId="5" type="noConversion"/>
  </si>
  <si>
    <t>형개</t>
    <phoneticPr fontId="5" type="noConversion"/>
  </si>
  <si>
    <t>연교</t>
    <phoneticPr fontId="5" type="noConversion"/>
  </si>
  <si>
    <t>가미하출탕 + 황련 연교 향부자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</si>
</sst>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8203-7901-46F2-ADEC-4354AED2BC10}">
  <sheetPr>
    <pageSetUpPr fitToPage="1"/>
  </sheetPr>
  <dimension ref="B1:M31"/>
  <sheetViews>
    <sheetView tabSelected="1" topLeftCell="B1" workbookViewId="0">
      <selection activeCell="E16" sqref="E1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412</v>
      </c>
      <c r="D2" s="4"/>
      <c r="E2" s="88">
        <v>8</v>
      </c>
      <c r="F2" s="101">
        <f t="shared" ref="F2:F31" si="0">E2*$L$15</f>
        <v>56</v>
      </c>
      <c r="G2">
        <f>VLOOKUP($C2,약재관리!A:J,10,FALSE)</f>
        <v>47</v>
      </c>
      <c r="H2" s="5">
        <f>G2*E2</f>
        <v>376</v>
      </c>
      <c r="I2" s="90">
        <f>G2*F2</f>
        <v>2632</v>
      </c>
      <c r="K2" s="7" t="s">
        <v>9</v>
      </c>
      <c r="L2" s="160">
        <v>43</v>
      </c>
      <c r="M2" s="161"/>
    </row>
    <row r="3" spans="2:13">
      <c r="B3" s="3">
        <v>2</v>
      </c>
      <c r="C3" t="s">
        <v>413</v>
      </c>
      <c r="D3" s="4"/>
      <c r="E3" s="88">
        <v>6</v>
      </c>
      <c r="F3" s="101">
        <f t="shared" si="0"/>
        <v>42</v>
      </c>
      <c r="G3">
        <f>VLOOKUP($C3,약재관리!A:J,10,FALSE)</f>
        <v>28.3</v>
      </c>
      <c r="H3" s="5">
        <f t="shared" ref="H3:H31" si="1">G3*E3</f>
        <v>169.8</v>
      </c>
      <c r="I3" s="6">
        <f t="shared" ref="I3:I31" si="2">G3*F3</f>
        <v>1188.6000000000001</v>
      </c>
      <c r="K3" s="8" t="s">
        <v>10</v>
      </c>
      <c r="L3" s="162" t="s">
        <v>441</v>
      </c>
      <c r="M3" s="163"/>
    </row>
    <row r="4" spans="2:13">
      <c r="B4" s="3">
        <v>3</v>
      </c>
      <c r="C4" t="s">
        <v>414</v>
      </c>
      <c r="D4" s="4"/>
      <c r="E4" s="88">
        <v>6</v>
      </c>
      <c r="F4" s="101">
        <f t="shared" si="0"/>
        <v>42</v>
      </c>
      <c r="G4">
        <f>VLOOKUP($C4,약재관리!A:J,10,FALSE)</f>
        <v>11</v>
      </c>
      <c r="H4" s="5">
        <f t="shared" si="1"/>
        <v>66</v>
      </c>
      <c r="I4" s="6">
        <f t="shared" si="2"/>
        <v>462</v>
      </c>
      <c r="K4" s="8" t="s">
        <v>11</v>
      </c>
      <c r="L4" s="164">
        <v>45943</v>
      </c>
      <c r="M4" s="163"/>
    </row>
    <row r="5" spans="2:13">
      <c r="B5" s="3">
        <v>4</v>
      </c>
      <c r="C5" t="s">
        <v>424</v>
      </c>
      <c r="D5" s="4"/>
      <c r="E5" s="88">
        <v>6</v>
      </c>
      <c r="F5" s="101">
        <f t="shared" si="0"/>
        <v>42</v>
      </c>
      <c r="G5">
        <f>VLOOKUP($C5,약재관리!A:J,10,FALSE)</f>
        <v>17.600000000000001</v>
      </c>
      <c r="H5" s="5">
        <f t="shared" si="1"/>
        <v>105.60000000000001</v>
      </c>
      <c r="I5" s="6">
        <f t="shared" si="2"/>
        <v>739.2</v>
      </c>
      <c r="K5" s="8" t="s">
        <v>12</v>
      </c>
      <c r="L5" s="162" t="s">
        <v>408</v>
      </c>
      <c r="M5" s="163"/>
    </row>
    <row r="6" spans="2:13">
      <c r="B6" s="3">
        <v>5</v>
      </c>
      <c r="C6" t="s">
        <v>437</v>
      </c>
      <c r="D6" s="4"/>
      <c r="E6" s="88">
        <v>4</v>
      </c>
      <c r="F6" s="101">
        <f t="shared" si="0"/>
        <v>28</v>
      </c>
      <c r="G6">
        <f>VLOOKUP($C6,약재관리!A:J,10,FALSE)</f>
        <v>90</v>
      </c>
      <c r="H6" s="5">
        <f t="shared" si="1"/>
        <v>360</v>
      </c>
      <c r="I6" s="6">
        <f t="shared" si="2"/>
        <v>2520</v>
      </c>
      <c r="K6" s="8" t="s">
        <v>13</v>
      </c>
      <c r="L6" s="162">
        <v>24</v>
      </c>
      <c r="M6" s="163"/>
    </row>
    <row r="7" spans="2:13" ht="17.25" thickBot="1">
      <c r="B7" s="3">
        <v>6</v>
      </c>
      <c r="C7" t="s">
        <v>442</v>
      </c>
      <c r="D7" s="4"/>
      <c r="E7" s="88">
        <v>4</v>
      </c>
      <c r="F7" s="101">
        <f t="shared" si="0"/>
        <v>28</v>
      </c>
      <c r="G7">
        <f>VLOOKUP($C7,약재관리!A:J,10,FALSE)</f>
        <v>22</v>
      </c>
      <c r="H7" s="5">
        <f t="shared" si="1"/>
        <v>88</v>
      </c>
      <c r="I7" s="6">
        <f t="shared" si="2"/>
        <v>616</v>
      </c>
      <c r="K7" s="8" t="s">
        <v>14</v>
      </c>
      <c r="L7" s="146" t="s">
        <v>407</v>
      </c>
      <c r="M7" s="147"/>
    </row>
    <row r="8" spans="2:13" ht="17.25" thickBot="1">
      <c r="B8" s="3">
        <v>7</v>
      </c>
      <c r="C8" t="s">
        <v>423</v>
      </c>
      <c r="D8" s="4"/>
      <c r="E8" s="88">
        <v>4</v>
      </c>
      <c r="F8" s="101">
        <f t="shared" si="0"/>
        <v>28</v>
      </c>
      <c r="G8">
        <f>VLOOKUP($C8,약재관리!A:J,10,FALSE)</f>
        <v>24</v>
      </c>
      <c r="H8" s="5">
        <f t="shared" si="1"/>
        <v>96</v>
      </c>
      <c r="I8" s="6">
        <f t="shared" si="2"/>
        <v>672</v>
      </c>
      <c r="K8" s="148" t="s">
        <v>15</v>
      </c>
      <c r="L8" s="149"/>
      <c r="M8" s="150"/>
    </row>
    <row r="9" spans="2:13">
      <c r="B9" s="3">
        <v>8</v>
      </c>
      <c r="C9" t="s">
        <v>415</v>
      </c>
      <c r="D9" s="4"/>
      <c r="E9" s="88">
        <v>4</v>
      </c>
      <c r="F9" s="101">
        <f t="shared" si="0"/>
        <v>28</v>
      </c>
      <c r="G9">
        <f>VLOOKUP($C9,약재관리!A:J,10,FALSE)</f>
        <v>8</v>
      </c>
      <c r="H9" s="5">
        <f t="shared" si="1"/>
        <v>32</v>
      </c>
      <c r="I9" s="6">
        <f t="shared" si="2"/>
        <v>224</v>
      </c>
      <c r="K9" s="151" t="s">
        <v>446</v>
      </c>
      <c r="L9" s="152"/>
      <c r="M9" s="153"/>
    </row>
    <row r="10" spans="2:13">
      <c r="B10" s="3">
        <v>9</v>
      </c>
      <c r="C10" t="s">
        <v>417</v>
      </c>
      <c r="D10" s="4"/>
      <c r="E10" s="88">
        <v>4</v>
      </c>
      <c r="F10" s="101">
        <f t="shared" si="0"/>
        <v>28</v>
      </c>
      <c r="G10">
        <f>VLOOKUP($C10,약재관리!A:J,10,FALSE)</f>
        <v>7.5</v>
      </c>
      <c r="H10" s="5">
        <f t="shared" si="1"/>
        <v>30</v>
      </c>
      <c r="I10" s="6">
        <f t="shared" si="2"/>
        <v>210</v>
      </c>
      <c r="K10" s="154"/>
      <c r="L10" s="155"/>
      <c r="M10" s="156"/>
    </row>
    <row r="11" spans="2:13">
      <c r="B11" s="3">
        <v>10</v>
      </c>
      <c r="C11" t="s">
        <v>430</v>
      </c>
      <c r="D11" s="4"/>
      <c r="E11" s="88">
        <v>4</v>
      </c>
      <c r="F11" s="101">
        <f t="shared" si="0"/>
        <v>28</v>
      </c>
      <c r="G11">
        <f>VLOOKUP($C11,약재관리!A:J,10,FALSE)</f>
        <v>23.7</v>
      </c>
      <c r="H11" s="5">
        <f t="shared" si="1"/>
        <v>94.8</v>
      </c>
      <c r="I11" s="6">
        <f t="shared" si="2"/>
        <v>663.6</v>
      </c>
      <c r="K11" s="154"/>
      <c r="L11" s="155"/>
      <c r="M11" s="156"/>
    </row>
    <row r="12" spans="2:13">
      <c r="B12" s="3">
        <v>11</v>
      </c>
      <c r="C12" t="s">
        <v>428</v>
      </c>
      <c r="D12" s="4"/>
      <c r="E12" s="88">
        <v>4</v>
      </c>
      <c r="F12" s="101">
        <f t="shared" si="0"/>
        <v>28</v>
      </c>
      <c r="G12">
        <f>VLOOKUP($C12,약재관리!A:J,10,FALSE)</f>
        <v>40</v>
      </c>
      <c r="H12" s="5">
        <f t="shared" si="1"/>
        <v>160</v>
      </c>
      <c r="I12" s="6">
        <f t="shared" si="2"/>
        <v>1120</v>
      </c>
      <c r="K12" s="154"/>
      <c r="L12" s="155"/>
      <c r="M12" s="156"/>
    </row>
    <row r="13" spans="2:13" ht="17.25" thickBot="1">
      <c r="B13" s="3">
        <v>12</v>
      </c>
      <c r="C13" t="s">
        <v>438</v>
      </c>
      <c r="D13" s="4"/>
      <c r="E13" s="88">
        <v>2</v>
      </c>
      <c r="F13" s="101">
        <f t="shared" si="0"/>
        <v>14</v>
      </c>
      <c r="G13">
        <f>VLOOKUP($C13,약재관리!A:J,10,FALSE)</f>
        <v>9.5</v>
      </c>
      <c r="H13" s="5">
        <f t="shared" si="1"/>
        <v>19</v>
      </c>
      <c r="I13" s="6">
        <f t="shared" si="2"/>
        <v>133</v>
      </c>
      <c r="K13" s="157"/>
      <c r="L13" s="158"/>
      <c r="M13" s="159"/>
    </row>
    <row r="14" spans="2:13">
      <c r="B14" s="3">
        <v>13</v>
      </c>
      <c r="C14" t="s">
        <v>443</v>
      </c>
      <c r="D14" s="4"/>
      <c r="E14" s="88">
        <v>2</v>
      </c>
      <c r="F14" s="101">
        <f t="shared" si="0"/>
        <v>14</v>
      </c>
      <c r="G14">
        <f>VLOOKUP($C14,약재관리!A:J,10,FALSE)</f>
        <v>27.7</v>
      </c>
      <c r="H14" s="5">
        <f t="shared" si="1"/>
        <v>55.4</v>
      </c>
      <c r="I14" s="6">
        <f t="shared" si="2"/>
        <v>387.8</v>
      </c>
      <c r="K14" s="92" t="s">
        <v>16</v>
      </c>
      <c r="L14" s="9">
        <v>7</v>
      </c>
      <c r="M14" s="10" t="s">
        <v>17</v>
      </c>
    </row>
    <row r="15" spans="2:13">
      <c r="B15" s="3">
        <v>14</v>
      </c>
      <c r="C15" t="s">
        <v>420</v>
      </c>
      <c r="D15" s="4"/>
      <c r="E15" s="88">
        <v>4</v>
      </c>
      <c r="F15" s="101">
        <f t="shared" si="0"/>
        <v>28</v>
      </c>
      <c r="G15">
        <f>VLOOKUP($C15,약재관리!A:J,10,FALSE)</f>
        <v>15</v>
      </c>
      <c r="H15" s="5">
        <f t="shared" si="1"/>
        <v>60</v>
      </c>
      <c r="I15" s="6">
        <f t="shared" si="2"/>
        <v>420</v>
      </c>
      <c r="K15" s="91" t="s">
        <v>18</v>
      </c>
      <c r="L15">
        <v>7</v>
      </c>
      <c r="M15" s="4" t="s">
        <v>19</v>
      </c>
    </row>
    <row r="16" spans="2:13">
      <c r="B16" s="3">
        <v>15</v>
      </c>
      <c r="C16" t="s">
        <v>422</v>
      </c>
      <c r="D16" s="4"/>
      <c r="E16" s="88">
        <v>4</v>
      </c>
      <c r="F16" s="101">
        <f t="shared" si="0"/>
        <v>28</v>
      </c>
      <c r="G16">
        <f>VLOOKUP($C16,약재관리!A:J,10,FALSE)</f>
        <v>10.8</v>
      </c>
      <c r="H16" s="5">
        <f t="shared" si="1"/>
        <v>43.2</v>
      </c>
      <c r="I16" s="6">
        <f t="shared" si="2"/>
        <v>302.40000000000003</v>
      </c>
      <c r="K16" s="91" t="s">
        <v>20</v>
      </c>
      <c r="L16">
        <v>14</v>
      </c>
      <c r="M16" s="4" t="s">
        <v>21</v>
      </c>
    </row>
    <row r="17" spans="2:13" ht="17.25" thickBot="1">
      <c r="B17" s="3">
        <v>16</v>
      </c>
      <c r="C17" t="s">
        <v>444</v>
      </c>
      <c r="D17" s="4"/>
      <c r="E17" s="88">
        <v>1.2</v>
      </c>
      <c r="F17" s="101">
        <f t="shared" si="0"/>
        <v>8.4</v>
      </c>
      <c r="G17">
        <f>VLOOKUP($C17,약재관리!A:J,10,FALSE)</f>
        <v>19.8</v>
      </c>
      <c r="H17" s="5">
        <f t="shared" si="1"/>
        <v>23.76</v>
      </c>
      <c r="I17" s="6">
        <f t="shared" si="2"/>
        <v>166.32000000000002</v>
      </c>
      <c r="K17" s="14" t="s">
        <v>22</v>
      </c>
      <c r="L17" s="11">
        <v>100</v>
      </c>
      <c r="M17" s="12" t="s">
        <v>23</v>
      </c>
    </row>
    <row r="18" spans="2:13">
      <c r="B18" s="3">
        <v>17</v>
      </c>
      <c r="C18" t="s">
        <v>432</v>
      </c>
      <c r="D18" s="4"/>
      <c r="E18" s="88">
        <v>2</v>
      </c>
      <c r="F18" s="101">
        <f t="shared" si="0"/>
        <v>14</v>
      </c>
      <c r="G18">
        <f>VLOOKUP($C18,약재관리!A:J,10,FALSE)</f>
        <v>136.69999999999999</v>
      </c>
      <c r="H18" s="5">
        <f t="shared" si="1"/>
        <v>273.39999999999998</v>
      </c>
      <c r="I18" s="6">
        <f t="shared" si="2"/>
        <v>1913.7999999999997</v>
      </c>
      <c r="K18" s="92" t="s">
        <v>24</v>
      </c>
      <c r="L18" s="9">
        <f>SUM(E2:E31)</f>
        <v>77.2</v>
      </c>
      <c r="M18" s="10" t="s">
        <v>25</v>
      </c>
    </row>
    <row r="19" spans="2:13">
      <c r="B19" s="3">
        <v>18</v>
      </c>
      <c r="C19" t="s">
        <v>445</v>
      </c>
      <c r="D19" s="4"/>
      <c r="E19" s="88">
        <v>2</v>
      </c>
      <c r="F19" s="101">
        <f t="shared" si="0"/>
        <v>14</v>
      </c>
      <c r="G19">
        <f>VLOOKUP($C19,약재관리!A:J,10,FALSE)</f>
        <v>28</v>
      </c>
      <c r="H19" s="5">
        <f t="shared" si="1"/>
        <v>56</v>
      </c>
      <c r="I19" s="6">
        <f t="shared" si="2"/>
        <v>392</v>
      </c>
      <c r="K19" s="91" t="s">
        <v>26</v>
      </c>
      <c r="L19">
        <f>L15*L18</f>
        <v>540.4</v>
      </c>
      <c r="M19" s="4" t="s">
        <v>25</v>
      </c>
    </row>
    <row r="20" spans="2:13" ht="17.25" thickBot="1">
      <c r="B20" s="3">
        <v>19</v>
      </c>
      <c r="C20" t="s">
        <v>411</v>
      </c>
      <c r="D20" s="4"/>
      <c r="E20" s="88">
        <v>6</v>
      </c>
      <c r="F20" s="101">
        <f t="shared" si="0"/>
        <v>42</v>
      </c>
      <c r="G20">
        <f>VLOOKUP($C20,약재관리!A:J,10,FALSE)</f>
        <v>14.7</v>
      </c>
      <c r="H20" s="5">
        <f t="shared" si="1"/>
        <v>88.199999999999989</v>
      </c>
      <c r="I20" s="6">
        <f t="shared" si="2"/>
        <v>617.4</v>
      </c>
      <c r="K20" s="14" t="s">
        <v>27</v>
      </c>
      <c r="L20" s="11">
        <f>L16*L17+L19</f>
        <v>1940.4</v>
      </c>
      <c r="M20" s="12" t="s">
        <v>23</v>
      </c>
    </row>
    <row r="21" spans="2:13" ht="17.25" thickBot="1">
      <c r="B21" s="3">
        <v>20</v>
      </c>
      <c r="D21" s="4"/>
      <c r="F21" s="101"/>
      <c r="H21" s="5"/>
      <c r="I21" s="6"/>
      <c r="J21" s="91"/>
      <c r="M21" s="94"/>
    </row>
    <row r="22" spans="2:13" ht="17.25" thickBot="1">
      <c r="B22" s="3">
        <v>21</v>
      </c>
      <c r="D22" s="4"/>
      <c r="F22" s="101"/>
      <c r="H22" s="5"/>
      <c r="I22" s="6"/>
      <c r="K22" s="148" t="s">
        <v>388</v>
      </c>
      <c r="L22" s="149"/>
      <c r="M22" s="150"/>
    </row>
    <row r="23" spans="2:13">
      <c r="B23" s="3">
        <v>22</v>
      </c>
      <c r="D23" s="4"/>
      <c r="F23" s="101"/>
      <c r="H23" s="5"/>
      <c r="I23" s="6"/>
      <c r="K23" s="91" t="s">
        <v>382</v>
      </c>
      <c r="L23">
        <f>SUM(F2:F31)</f>
        <v>540.4</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2197.16</v>
      </c>
      <c r="M30" s="4" t="s">
        <v>386</v>
      </c>
    </row>
    <row r="31" spans="2:13" ht="17.25" thickBot="1">
      <c r="B31" s="13">
        <v>30</v>
      </c>
      <c r="C31" s="14"/>
      <c r="D31" s="12"/>
      <c r="E31" s="95"/>
      <c r="F31" s="102">
        <f t="shared" si="0"/>
        <v>0</v>
      </c>
      <c r="G31" s="14"/>
      <c r="H31" s="15">
        <f t="shared" si="1"/>
        <v>0</v>
      </c>
      <c r="I31" s="16">
        <f t="shared" si="2"/>
        <v>0</v>
      </c>
      <c r="K31" s="14" t="s">
        <v>385</v>
      </c>
      <c r="L31" s="15">
        <f>SUM(I2:I31)</f>
        <v>15380.119999999997</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B0CD-8458-42D6-B162-AC2797CEA41E}">
  <sheetPr>
    <pageSetUpPr fitToPage="1"/>
  </sheetPr>
  <dimension ref="B1:M31"/>
  <sheetViews>
    <sheetView topLeftCell="B1" workbookViewId="0">
      <selection activeCell="C6" sqref="C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412</v>
      </c>
      <c r="D2" s="4"/>
      <c r="E2" s="88">
        <v>12</v>
      </c>
      <c r="F2" s="101">
        <f t="shared" ref="F2:F31" si="0">E2*$L$15</f>
        <v>300</v>
      </c>
      <c r="G2">
        <f>VLOOKUP($C2,약재관리!A:J,10,FALSE)</f>
        <v>47</v>
      </c>
      <c r="H2" s="5">
        <f>G2*E2</f>
        <v>564</v>
      </c>
      <c r="I2" s="90">
        <f>G2*F2</f>
        <v>14100</v>
      </c>
      <c r="K2" s="7" t="s">
        <v>9</v>
      </c>
      <c r="L2" s="160">
        <v>43</v>
      </c>
      <c r="M2" s="161"/>
    </row>
    <row r="3" spans="2:13">
      <c r="B3" s="3">
        <v>2</v>
      </c>
      <c r="C3" t="s">
        <v>420</v>
      </c>
      <c r="D3" s="4"/>
      <c r="E3" s="88">
        <v>8</v>
      </c>
      <c r="F3" s="101">
        <f t="shared" si="0"/>
        <v>200</v>
      </c>
      <c r="G3">
        <f>VLOOKUP($C3,약재관리!A:J,10,FALSE)</f>
        <v>15</v>
      </c>
      <c r="H3" s="5">
        <f t="shared" ref="H3:H31" si="1">G3*E3</f>
        <v>120</v>
      </c>
      <c r="I3" s="6">
        <f t="shared" ref="I3:I31" si="2">G3*F3</f>
        <v>3000</v>
      </c>
      <c r="K3" s="8" t="s">
        <v>10</v>
      </c>
      <c r="L3" s="162" t="s">
        <v>439</v>
      </c>
      <c r="M3" s="163"/>
    </row>
    <row r="4" spans="2:13">
      <c r="B4" s="3">
        <v>3</v>
      </c>
      <c r="C4" t="s">
        <v>421</v>
      </c>
      <c r="D4" s="4"/>
      <c r="E4" s="88">
        <v>8</v>
      </c>
      <c r="F4" s="101">
        <f t="shared" si="0"/>
        <v>200</v>
      </c>
      <c r="G4">
        <f>VLOOKUP($C4,약재관리!A:J,10,FALSE)</f>
        <v>20.8</v>
      </c>
      <c r="H4" s="5">
        <f t="shared" si="1"/>
        <v>166.4</v>
      </c>
      <c r="I4" s="6">
        <f t="shared" si="2"/>
        <v>4160</v>
      </c>
      <c r="K4" s="8" t="s">
        <v>11</v>
      </c>
      <c r="L4" s="164">
        <v>45806</v>
      </c>
      <c r="M4" s="163"/>
    </row>
    <row r="5" spans="2:13">
      <c r="B5" s="3">
        <v>4</v>
      </c>
      <c r="C5" t="s">
        <v>436</v>
      </c>
      <c r="D5" s="4"/>
      <c r="E5" s="88">
        <v>6</v>
      </c>
      <c r="F5" s="101">
        <f t="shared" si="0"/>
        <v>150</v>
      </c>
      <c r="G5">
        <f>VLOOKUP($C5,약재관리!A:J,10,FALSE)</f>
        <v>22.5</v>
      </c>
      <c r="H5" s="5">
        <f t="shared" si="1"/>
        <v>135</v>
      </c>
      <c r="I5" s="6">
        <f t="shared" si="2"/>
        <v>3375</v>
      </c>
      <c r="K5" s="8" t="s">
        <v>12</v>
      </c>
      <c r="L5" s="162" t="s">
        <v>408</v>
      </c>
      <c r="M5" s="163"/>
    </row>
    <row r="6" spans="2:13">
      <c r="B6" s="3">
        <v>5</v>
      </c>
      <c r="C6" t="s">
        <v>437</v>
      </c>
      <c r="D6" s="4"/>
      <c r="E6" s="88">
        <v>6</v>
      </c>
      <c r="F6" s="101">
        <f t="shared" si="0"/>
        <v>150</v>
      </c>
      <c r="G6">
        <f>VLOOKUP($C6,약재관리!A:J,10,FALSE)</f>
        <v>90</v>
      </c>
      <c r="H6" s="5">
        <f t="shared" si="1"/>
        <v>540</v>
      </c>
      <c r="I6" s="6">
        <f t="shared" si="2"/>
        <v>13500</v>
      </c>
      <c r="K6" s="8" t="s">
        <v>13</v>
      </c>
      <c r="L6" s="162">
        <v>24</v>
      </c>
      <c r="M6" s="163"/>
    </row>
    <row r="7" spans="2:13" ht="17.25" thickBot="1">
      <c r="B7" s="3">
        <v>6</v>
      </c>
      <c r="C7" t="s">
        <v>419</v>
      </c>
      <c r="D7" s="4"/>
      <c r="E7" s="88">
        <v>6</v>
      </c>
      <c r="F7" s="101">
        <f t="shared" si="0"/>
        <v>150</v>
      </c>
      <c r="G7">
        <f>VLOOKUP($C7,약재관리!A:J,10,FALSE)</f>
        <v>28.3</v>
      </c>
      <c r="H7" s="5">
        <f t="shared" si="1"/>
        <v>169.8</v>
      </c>
      <c r="I7" s="6">
        <f t="shared" si="2"/>
        <v>4245</v>
      </c>
      <c r="K7" s="8" t="s">
        <v>14</v>
      </c>
      <c r="L7" s="146" t="s">
        <v>407</v>
      </c>
      <c r="M7" s="147"/>
    </row>
    <row r="8" spans="2:13" ht="17.25" thickBot="1">
      <c r="B8" s="3">
        <v>7</v>
      </c>
      <c r="C8" t="s">
        <v>438</v>
      </c>
      <c r="D8" s="4"/>
      <c r="E8" s="88">
        <v>2</v>
      </c>
      <c r="F8" s="101">
        <f t="shared" si="0"/>
        <v>50</v>
      </c>
      <c r="G8">
        <f>VLOOKUP($C8,약재관리!A:J,10,FALSE)</f>
        <v>9.5</v>
      </c>
      <c r="H8" s="5">
        <f t="shared" si="1"/>
        <v>19</v>
      </c>
      <c r="I8" s="6">
        <f t="shared" si="2"/>
        <v>475</v>
      </c>
      <c r="K8" s="148" t="s">
        <v>15</v>
      </c>
      <c r="L8" s="149"/>
      <c r="M8" s="150"/>
    </row>
    <row r="9" spans="2:13">
      <c r="B9" s="3">
        <v>8</v>
      </c>
      <c r="C9" t="s">
        <v>432</v>
      </c>
      <c r="D9" s="4"/>
      <c r="E9" s="88">
        <v>4</v>
      </c>
      <c r="F9" s="101">
        <f t="shared" si="0"/>
        <v>100</v>
      </c>
      <c r="G9">
        <f>VLOOKUP($C9,약재관리!A:J,10,FALSE)</f>
        <v>136.69999999999999</v>
      </c>
      <c r="H9" s="5">
        <f t="shared" si="1"/>
        <v>546.79999999999995</v>
      </c>
      <c r="I9" s="6">
        <f t="shared" si="2"/>
        <v>13669.999999999998</v>
      </c>
      <c r="K9" s="151" t="s">
        <v>440</v>
      </c>
      <c r="L9" s="152"/>
      <c r="M9" s="153"/>
    </row>
    <row r="10" spans="2:13">
      <c r="B10" s="3">
        <v>9</v>
      </c>
      <c r="C10" t="s">
        <v>426</v>
      </c>
      <c r="D10" s="4"/>
      <c r="E10" s="88">
        <v>2</v>
      </c>
      <c r="F10" s="101">
        <f t="shared" si="0"/>
        <v>50</v>
      </c>
      <c r="G10">
        <f>VLOOKUP($C10,약재관리!A:J,10,FALSE)</f>
        <v>9.8000000000000007</v>
      </c>
      <c r="H10" s="5">
        <f t="shared" si="1"/>
        <v>19.600000000000001</v>
      </c>
      <c r="I10" s="6">
        <f t="shared" si="2"/>
        <v>490.00000000000006</v>
      </c>
      <c r="K10" s="154"/>
      <c r="L10" s="155"/>
      <c r="M10" s="156"/>
    </row>
    <row r="11" spans="2:13">
      <c r="B11" s="3">
        <v>10</v>
      </c>
      <c r="C11" t="s">
        <v>429</v>
      </c>
      <c r="D11" s="4"/>
      <c r="E11" s="88">
        <v>4</v>
      </c>
      <c r="F11" s="101">
        <f t="shared" si="0"/>
        <v>100</v>
      </c>
      <c r="G11">
        <f>VLOOKUP($C11,약재관리!A:J,10,FALSE)</f>
        <v>25</v>
      </c>
      <c r="H11" s="5">
        <f t="shared" si="1"/>
        <v>100</v>
      </c>
      <c r="I11" s="6">
        <f t="shared" si="2"/>
        <v>2500</v>
      </c>
      <c r="K11" s="154"/>
      <c r="L11" s="155"/>
      <c r="M11" s="156"/>
    </row>
    <row r="12" spans="2:13">
      <c r="B12" s="3">
        <v>11</v>
      </c>
      <c r="D12" s="4"/>
      <c r="F12" s="101">
        <f t="shared" si="0"/>
        <v>0</v>
      </c>
      <c r="H12" s="5">
        <f t="shared" si="1"/>
        <v>0</v>
      </c>
      <c r="I12" s="6">
        <f t="shared" si="2"/>
        <v>0</v>
      </c>
      <c r="K12" s="154"/>
      <c r="L12" s="155"/>
      <c r="M12" s="156"/>
    </row>
    <row r="13" spans="2:13" ht="17.25" thickBot="1">
      <c r="B13" s="3">
        <v>12</v>
      </c>
      <c r="D13" s="4"/>
      <c r="F13" s="101">
        <f t="shared" si="0"/>
        <v>0</v>
      </c>
      <c r="H13" s="5">
        <f t="shared" si="1"/>
        <v>0</v>
      </c>
      <c r="I13" s="6">
        <f t="shared" si="2"/>
        <v>0</v>
      </c>
      <c r="K13" s="157"/>
      <c r="L13" s="158"/>
      <c r="M13" s="159"/>
    </row>
    <row r="14" spans="2:13">
      <c r="B14" s="3">
        <v>13</v>
      </c>
      <c r="D14" s="4"/>
      <c r="F14" s="101">
        <f t="shared" si="0"/>
        <v>0</v>
      </c>
      <c r="H14" s="5">
        <f t="shared" si="1"/>
        <v>0</v>
      </c>
      <c r="I14" s="6">
        <f t="shared" si="2"/>
        <v>0</v>
      </c>
      <c r="K14" s="92" t="s">
        <v>16</v>
      </c>
      <c r="L14" s="9">
        <v>20</v>
      </c>
      <c r="M14" s="10" t="s">
        <v>17</v>
      </c>
    </row>
    <row r="15" spans="2:13">
      <c r="B15" s="3">
        <v>14</v>
      </c>
      <c r="D15" s="4"/>
      <c r="F15" s="101">
        <f t="shared" si="0"/>
        <v>0</v>
      </c>
      <c r="H15" s="5">
        <f t="shared" si="1"/>
        <v>0</v>
      </c>
      <c r="I15" s="6">
        <f t="shared" si="2"/>
        <v>0</v>
      </c>
      <c r="K15" s="91" t="s">
        <v>18</v>
      </c>
      <c r="L15">
        <v>25</v>
      </c>
      <c r="M15" s="4" t="s">
        <v>19</v>
      </c>
    </row>
    <row r="16" spans="2:13">
      <c r="B16" s="3">
        <v>15</v>
      </c>
      <c r="D16" s="4"/>
      <c r="F16" s="101">
        <f t="shared" si="0"/>
        <v>0</v>
      </c>
      <c r="H16" s="5">
        <f t="shared" si="1"/>
        <v>0</v>
      </c>
      <c r="I16" s="6">
        <f t="shared" si="2"/>
        <v>0</v>
      </c>
      <c r="K16" s="91" t="s">
        <v>20</v>
      </c>
      <c r="L16">
        <v>40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1450</v>
      </c>
      <c r="M19" s="4" t="s">
        <v>25</v>
      </c>
    </row>
    <row r="20" spans="2:13" ht="17.25" thickBot="1">
      <c r="B20" s="3">
        <v>19</v>
      </c>
      <c r="D20" s="4"/>
      <c r="F20" s="101"/>
      <c r="H20" s="5"/>
      <c r="I20" s="6"/>
      <c r="K20" s="14" t="s">
        <v>27</v>
      </c>
      <c r="L20" s="11">
        <f>L16*L17+L19</f>
        <v>5450</v>
      </c>
      <c r="M20" s="12" t="s">
        <v>23</v>
      </c>
    </row>
    <row r="21" spans="2:13" ht="17.25" thickBot="1">
      <c r="B21" s="3">
        <v>20</v>
      </c>
      <c r="D21" s="4"/>
      <c r="F21" s="101"/>
      <c r="H21" s="5"/>
      <c r="I21" s="6"/>
      <c r="J21" s="91"/>
      <c r="M21" s="94"/>
    </row>
    <row r="22" spans="2:13" ht="17.25" thickBot="1">
      <c r="B22" s="3">
        <v>21</v>
      </c>
      <c r="D22" s="4"/>
      <c r="F22" s="101"/>
      <c r="H22" s="5"/>
      <c r="I22" s="6"/>
      <c r="K22" s="148" t="s">
        <v>388</v>
      </c>
      <c r="L22" s="149"/>
      <c r="M22" s="150"/>
    </row>
    <row r="23" spans="2:13">
      <c r="B23" s="3">
        <v>22</v>
      </c>
      <c r="D23" s="4"/>
      <c r="F23" s="101"/>
      <c r="H23" s="5"/>
      <c r="I23" s="6"/>
      <c r="K23" s="91" t="s">
        <v>382</v>
      </c>
      <c r="L23">
        <f>SUM(F2:F31)</f>
        <v>1450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2380.6</v>
      </c>
      <c r="M30" s="4" t="s">
        <v>386</v>
      </c>
    </row>
    <row r="31" spans="2:13" ht="17.25" thickBot="1">
      <c r="B31" s="13">
        <v>30</v>
      </c>
      <c r="C31" s="14"/>
      <c r="D31" s="12"/>
      <c r="E31" s="95"/>
      <c r="F31" s="102">
        <f t="shared" si="0"/>
        <v>0</v>
      </c>
      <c r="G31" s="14"/>
      <c r="H31" s="15">
        <f t="shared" si="1"/>
        <v>0</v>
      </c>
      <c r="I31" s="16">
        <f t="shared" si="2"/>
        <v>0</v>
      </c>
      <c r="K31" s="14" t="s">
        <v>385</v>
      </c>
      <c r="L31" s="15">
        <f>SUM(I2:I31)</f>
        <v>59515</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9D0D-02D3-434B-9373-98C21306A091}">
  <sheetPr>
    <pageSetUpPr fitToPage="1"/>
  </sheetPr>
  <dimension ref="B1:M31"/>
  <sheetViews>
    <sheetView topLeftCell="B1" workbookViewId="0">
      <selection activeCell="L5" sqref="L5:M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410</v>
      </c>
      <c r="D2" s="4"/>
      <c r="E2" s="88">
        <v>4</v>
      </c>
      <c r="F2" s="101">
        <f t="shared" ref="F2:F31" si="0">E2*$L$15</f>
        <v>80</v>
      </c>
      <c r="G2">
        <f>VLOOKUP($C2,약재관리!A:J,10,FALSE)</f>
        <v>7</v>
      </c>
      <c r="H2" s="5">
        <f>G2*E2</f>
        <v>28</v>
      </c>
      <c r="I2" s="90">
        <f>G2*F2</f>
        <v>560</v>
      </c>
      <c r="K2" s="7" t="s">
        <v>9</v>
      </c>
      <c r="L2" s="160">
        <v>43</v>
      </c>
      <c r="M2" s="161"/>
    </row>
    <row r="3" spans="2:13">
      <c r="B3" s="3">
        <v>2</v>
      </c>
      <c r="C3" t="s">
        <v>411</v>
      </c>
      <c r="D3" s="4"/>
      <c r="E3" s="88">
        <v>10</v>
      </c>
      <c r="F3" s="101">
        <f t="shared" si="0"/>
        <v>200</v>
      </c>
      <c r="G3">
        <f>VLOOKUP($C3,약재관리!A:J,10,FALSE)</f>
        <v>14.7</v>
      </c>
      <c r="H3" s="5">
        <f t="shared" ref="H3:H31" si="1">G3*E3</f>
        <v>147</v>
      </c>
      <c r="I3" s="6">
        <f t="shared" ref="I3:I31" si="2">G3*F3</f>
        <v>2940</v>
      </c>
      <c r="K3" s="8" t="s">
        <v>10</v>
      </c>
      <c r="L3" s="162" t="s">
        <v>409</v>
      </c>
      <c r="M3" s="163"/>
    </row>
    <row r="4" spans="2:13">
      <c r="B4" s="3">
        <v>3</v>
      </c>
      <c r="C4" t="s">
        <v>412</v>
      </c>
      <c r="D4" s="4"/>
      <c r="E4" s="88">
        <v>6</v>
      </c>
      <c r="F4" s="101">
        <f t="shared" si="0"/>
        <v>120</v>
      </c>
      <c r="G4">
        <f>VLOOKUP($C4,약재관리!A:J,10,FALSE)</f>
        <v>47</v>
      </c>
      <c r="H4" s="5">
        <f t="shared" si="1"/>
        <v>282</v>
      </c>
      <c r="I4" s="6">
        <f t="shared" si="2"/>
        <v>5640</v>
      </c>
      <c r="K4" s="8" t="s">
        <v>11</v>
      </c>
      <c r="L4" s="164">
        <v>45647</v>
      </c>
      <c r="M4" s="163"/>
    </row>
    <row r="5" spans="2:13">
      <c r="B5" s="3">
        <v>4</v>
      </c>
      <c r="C5" t="s">
        <v>422</v>
      </c>
      <c r="D5" s="4"/>
      <c r="E5" s="88">
        <v>4</v>
      </c>
      <c r="F5" s="101">
        <f t="shared" si="0"/>
        <v>80</v>
      </c>
      <c r="G5">
        <f>VLOOKUP($C5,약재관리!A:J,10,FALSE)</f>
        <v>10.8</v>
      </c>
      <c r="H5" s="5">
        <f t="shared" si="1"/>
        <v>43.2</v>
      </c>
      <c r="I5" s="6">
        <f t="shared" si="2"/>
        <v>864</v>
      </c>
      <c r="K5" s="8" t="s">
        <v>12</v>
      </c>
      <c r="L5" s="162" t="s">
        <v>408</v>
      </c>
      <c r="M5" s="163"/>
    </row>
    <row r="6" spans="2:13">
      <c r="B6" s="3">
        <v>5</v>
      </c>
      <c r="C6" t="s">
        <v>432</v>
      </c>
      <c r="D6" s="4" t="s">
        <v>433</v>
      </c>
      <c r="E6" s="88">
        <v>2</v>
      </c>
      <c r="F6" s="101">
        <f t="shared" si="0"/>
        <v>40</v>
      </c>
      <c r="G6">
        <f>VLOOKUP($C6,약재관리!A:J,10,FALSE)</f>
        <v>136.69999999999999</v>
      </c>
      <c r="H6" s="5">
        <f t="shared" si="1"/>
        <v>273.39999999999998</v>
      </c>
      <c r="I6" s="6">
        <f t="shared" si="2"/>
        <v>5468</v>
      </c>
      <c r="K6" s="8" t="s">
        <v>13</v>
      </c>
      <c r="L6" s="162">
        <v>40</v>
      </c>
      <c r="M6" s="163"/>
    </row>
    <row r="7" spans="2:13" ht="17.25" thickBot="1">
      <c r="B7" s="3">
        <v>6</v>
      </c>
      <c r="C7" t="s">
        <v>423</v>
      </c>
      <c r="D7" s="4"/>
      <c r="E7" s="88">
        <v>4</v>
      </c>
      <c r="F7" s="101">
        <f t="shared" si="0"/>
        <v>80</v>
      </c>
      <c r="G7">
        <f>VLOOKUP($C7,약재관리!A:J,10,FALSE)</f>
        <v>24</v>
      </c>
      <c r="H7" s="5">
        <f t="shared" si="1"/>
        <v>96</v>
      </c>
      <c r="I7" s="6">
        <f t="shared" si="2"/>
        <v>1920</v>
      </c>
      <c r="K7" s="8" t="s">
        <v>14</v>
      </c>
      <c r="L7" s="146" t="s">
        <v>407</v>
      </c>
      <c r="M7" s="147"/>
    </row>
    <row r="8" spans="2:13" ht="17.25" thickBot="1">
      <c r="B8" s="3">
        <v>7</v>
      </c>
      <c r="C8" t="s">
        <v>424</v>
      </c>
      <c r="D8" s="4"/>
      <c r="E8" s="88">
        <v>6</v>
      </c>
      <c r="F8" s="101">
        <f t="shared" si="0"/>
        <v>120</v>
      </c>
      <c r="G8">
        <f>VLOOKUP($C8,약재관리!A:J,10,FALSE)</f>
        <v>17.600000000000001</v>
      </c>
      <c r="H8" s="5">
        <f t="shared" si="1"/>
        <v>105.60000000000001</v>
      </c>
      <c r="I8" s="6">
        <f t="shared" si="2"/>
        <v>2112</v>
      </c>
      <c r="K8" s="148" t="s">
        <v>15</v>
      </c>
      <c r="L8" s="149"/>
      <c r="M8" s="150"/>
    </row>
    <row r="9" spans="2:13">
      <c r="B9" s="3">
        <v>8</v>
      </c>
      <c r="C9" t="s">
        <v>414</v>
      </c>
      <c r="D9" s="4"/>
      <c r="E9" s="88">
        <v>6</v>
      </c>
      <c r="F9" s="101">
        <f t="shared" si="0"/>
        <v>120</v>
      </c>
      <c r="G9">
        <f>VLOOKUP($C9,약재관리!A:J,10,FALSE)</f>
        <v>11</v>
      </c>
      <c r="H9" s="5">
        <f t="shared" si="1"/>
        <v>66</v>
      </c>
      <c r="I9" s="6">
        <f t="shared" si="2"/>
        <v>1320</v>
      </c>
      <c r="K9" s="151" t="s">
        <v>434</v>
      </c>
      <c r="L9" s="152"/>
      <c r="M9" s="153"/>
    </row>
    <row r="10" spans="2:13">
      <c r="B10" s="3">
        <v>9</v>
      </c>
      <c r="C10" t="s">
        <v>415</v>
      </c>
      <c r="D10" s="4" t="s">
        <v>416</v>
      </c>
      <c r="E10" s="88">
        <v>3</v>
      </c>
      <c r="F10" s="101">
        <f t="shared" si="0"/>
        <v>60</v>
      </c>
      <c r="G10">
        <f>VLOOKUP($C10,약재관리!A:J,10,FALSE)</f>
        <v>8</v>
      </c>
      <c r="H10" s="5">
        <f t="shared" si="1"/>
        <v>24</v>
      </c>
      <c r="I10" s="6">
        <f t="shared" si="2"/>
        <v>480</v>
      </c>
      <c r="K10" s="154"/>
      <c r="L10" s="155"/>
      <c r="M10" s="156"/>
    </row>
    <row r="11" spans="2:13">
      <c r="B11" s="3">
        <v>10</v>
      </c>
      <c r="C11" t="s">
        <v>417</v>
      </c>
      <c r="D11" s="4" t="s">
        <v>416</v>
      </c>
      <c r="E11" s="88">
        <v>2</v>
      </c>
      <c r="F11" s="101">
        <f t="shared" si="0"/>
        <v>40</v>
      </c>
      <c r="G11">
        <f>VLOOKUP($C11,약재관리!A:J,10,FALSE)</f>
        <v>7.5</v>
      </c>
      <c r="H11" s="5">
        <f t="shared" si="1"/>
        <v>15</v>
      </c>
      <c r="I11" s="6">
        <f t="shared" si="2"/>
        <v>300</v>
      </c>
      <c r="K11" s="154"/>
      <c r="L11" s="155"/>
      <c r="M11" s="156"/>
    </row>
    <row r="12" spans="2:13">
      <c r="B12" s="3">
        <v>11</v>
      </c>
      <c r="C12" t="s">
        <v>418</v>
      </c>
      <c r="D12" s="4"/>
      <c r="E12" s="88">
        <v>2</v>
      </c>
      <c r="F12" s="101">
        <f t="shared" si="0"/>
        <v>40</v>
      </c>
      <c r="G12">
        <f>VLOOKUP($C12,약재관리!A:J,10,FALSE)</f>
        <v>21.8</v>
      </c>
      <c r="H12" s="5">
        <f t="shared" si="1"/>
        <v>43.6</v>
      </c>
      <c r="I12" s="6">
        <f t="shared" si="2"/>
        <v>872</v>
      </c>
      <c r="K12" s="154"/>
      <c r="L12" s="155"/>
      <c r="M12" s="156"/>
    </row>
    <row r="13" spans="2:13" ht="17.25" thickBot="1">
      <c r="B13" s="3">
        <v>12</v>
      </c>
      <c r="C13" t="s">
        <v>419</v>
      </c>
      <c r="D13" s="4"/>
      <c r="E13" s="88">
        <v>2</v>
      </c>
      <c r="F13" s="101">
        <f t="shared" si="0"/>
        <v>40</v>
      </c>
      <c r="G13">
        <f>VLOOKUP($C13,약재관리!A:J,10,FALSE)</f>
        <v>28.3</v>
      </c>
      <c r="H13" s="5">
        <f t="shared" si="1"/>
        <v>56.6</v>
      </c>
      <c r="I13" s="6">
        <f t="shared" si="2"/>
        <v>1132</v>
      </c>
      <c r="K13" s="157"/>
      <c r="L13" s="158"/>
      <c r="M13" s="159"/>
    </row>
    <row r="14" spans="2:13">
      <c r="B14" s="3">
        <v>13</v>
      </c>
      <c r="C14" t="s">
        <v>420</v>
      </c>
      <c r="D14" s="4"/>
      <c r="E14" s="88">
        <v>3</v>
      </c>
      <c r="F14" s="101">
        <f t="shared" si="0"/>
        <v>60</v>
      </c>
      <c r="G14">
        <f>VLOOKUP($C14,약재관리!A:J,10,FALSE)</f>
        <v>15</v>
      </c>
      <c r="H14" s="5">
        <f t="shared" si="1"/>
        <v>45</v>
      </c>
      <c r="I14" s="6">
        <f t="shared" si="2"/>
        <v>900</v>
      </c>
      <c r="K14" s="92" t="s">
        <v>16</v>
      </c>
      <c r="L14" s="9">
        <v>15</v>
      </c>
      <c r="M14" s="10" t="s">
        <v>17</v>
      </c>
    </row>
    <row r="15" spans="2:13">
      <c r="B15" s="3">
        <v>14</v>
      </c>
      <c r="C15" t="s">
        <v>421</v>
      </c>
      <c r="D15" s="4"/>
      <c r="E15" s="88">
        <v>2</v>
      </c>
      <c r="F15" s="101">
        <f t="shared" si="0"/>
        <v>40</v>
      </c>
      <c r="G15">
        <f>VLOOKUP($C15,약재관리!A:J,10,FALSE)</f>
        <v>20.8</v>
      </c>
      <c r="H15" s="5">
        <f t="shared" si="1"/>
        <v>41.6</v>
      </c>
      <c r="I15" s="6">
        <f t="shared" si="2"/>
        <v>832</v>
      </c>
      <c r="K15" s="91" t="s">
        <v>18</v>
      </c>
      <c r="L15">
        <v>20</v>
      </c>
      <c r="M15" s="4" t="s">
        <v>19</v>
      </c>
    </row>
    <row r="16" spans="2:13">
      <c r="B16" s="3">
        <v>15</v>
      </c>
      <c r="C16" t="s">
        <v>425</v>
      </c>
      <c r="D16" s="4"/>
      <c r="E16" s="88">
        <v>3</v>
      </c>
      <c r="F16" s="101">
        <f t="shared" si="0"/>
        <v>60</v>
      </c>
      <c r="G16">
        <f>VLOOKUP($C16,약재관리!A:J,10,FALSE)</f>
        <v>8.8000000000000007</v>
      </c>
      <c r="H16" s="5">
        <f t="shared" si="1"/>
        <v>26.400000000000002</v>
      </c>
      <c r="I16" s="6">
        <f t="shared" si="2"/>
        <v>528</v>
      </c>
      <c r="K16" s="91" t="s">
        <v>20</v>
      </c>
      <c r="L16">
        <v>45</v>
      </c>
      <c r="M16" s="4" t="s">
        <v>21</v>
      </c>
    </row>
    <row r="17" spans="2:13" ht="17.25" thickBot="1">
      <c r="B17" s="3">
        <v>16</v>
      </c>
      <c r="C17" t="s">
        <v>427</v>
      </c>
      <c r="D17" s="4"/>
      <c r="E17" s="88">
        <v>3</v>
      </c>
      <c r="F17" s="101">
        <f t="shared" si="0"/>
        <v>60</v>
      </c>
      <c r="G17">
        <f>VLOOKUP($C17,약재관리!A:J,10,FALSE)</f>
        <v>13.8</v>
      </c>
      <c r="H17" s="5">
        <f t="shared" si="1"/>
        <v>41.400000000000006</v>
      </c>
      <c r="I17" s="6">
        <f t="shared" si="2"/>
        <v>828</v>
      </c>
      <c r="K17" s="14" t="s">
        <v>22</v>
      </c>
      <c r="L17" s="11">
        <v>100</v>
      </c>
      <c r="M17" s="12" t="s">
        <v>23</v>
      </c>
    </row>
    <row r="18" spans="2:13">
      <c r="B18" s="3">
        <v>17</v>
      </c>
      <c r="C18" t="s">
        <v>431</v>
      </c>
      <c r="D18" s="4"/>
      <c r="E18" s="88">
        <v>2</v>
      </c>
      <c r="F18" s="101">
        <f t="shared" si="0"/>
        <v>40</v>
      </c>
      <c r="G18">
        <f>VLOOKUP($C18,약재관리!A:J,10,FALSE)</f>
        <v>8.3000000000000007</v>
      </c>
      <c r="H18" s="5">
        <f t="shared" si="1"/>
        <v>16.600000000000001</v>
      </c>
      <c r="I18" s="6">
        <f t="shared" si="2"/>
        <v>332</v>
      </c>
      <c r="K18" s="92" t="s">
        <v>24</v>
      </c>
      <c r="L18" s="9">
        <f>SUM(E2:E31)</f>
        <v>68</v>
      </c>
      <c r="M18" s="10" t="s">
        <v>25</v>
      </c>
    </row>
    <row r="19" spans="2:13">
      <c r="B19" s="3">
        <v>18</v>
      </c>
      <c r="C19" t="s">
        <v>429</v>
      </c>
      <c r="D19" s="4"/>
      <c r="E19" s="88">
        <v>4</v>
      </c>
      <c r="F19" s="101">
        <f t="shared" si="0"/>
        <v>80</v>
      </c>
      <c r="G19">
        <f>VLOOKUP($C19,약재관리!A:J,10,FALSE)</f>
        <v>25</v>
      </c>
      <c r="H19" s="5">
        <f t="shared" si="1"/>
        <v>100</v>
      </c>
      <c r="I19" s="6">
        <f t="shared" si="2"/>
        <v>2000</v>
      </c>
      <c r="K19" s="91" t="s">
        <v>26</v>
      </c>
      <c r="L19">
        <f>L15*L18</f>
        <v>1360</v>
      </c>
      <c r="M19" s="4" t="s">
        <v>25</v>
      </c>
    </row>
    <row r="20" spans="2:13" ht="17.25" thickBot="1">
      <c r="B20" s="3">
        <v>19</v>
      </c>
      <c r="D20" s="4"/>
      <c r="F20" s="101"/>
      <c r="H20" s="5"/>
      <c r="I20" s="6"/>
      <c r="K20" s="14" t="s">
        <v>27</v>
      </c>
      <c r="L20" s="11">
        <f>L16*L17+L19</f>
        <v>5860</v>
      </c>
      <c r="M20" s="12" t="s">
        <v>23</v>
      </c>
    </row>
    <row r="21" spans="2:13" ht="17.25" thickBot="1">
      <c r="B21" s="3">
        <v>20</v>
      </c>
      <c r="D21" s="4"/>
      <c r="F21" s="101"/>
      <c r="H21" s="5"/>
      <c r="I21" s="6"/>
      <c r="J21" s="91"/>
      <c r="M21" s="94"/>
    </row>
    <row r="22" spans="2:13" ht="17.25" thickBot="1">
      <c r="B22" s="3">
        <v>21</v>
      </c>
      <c r="D22" s="4"/>
      <c r="F22" s="101"/>
      <c r="H22" s="5"/>
      <c r="I22" s="6"/>
      <c r="K22" s="148" t="s">
        <v>388</v>
      </c>
      <c r="L22" s="149"/>
      <c r="M22" s="150"/>
    </row>
    <row r="23" spans="2:13">
      <c r="B23" s="3">
        <v>22</v>
      </c>
      <c r="D23" s="4"/>
      <c r="F23" s="101"/>
      <c r="H23" s="5"/>
      <c r="I23" s="6"/>
      <c r="K23" s="91" t="s">
        <v>382</v>
      </c>
      <c r="L23">
        <f>SUM(F2:F31)</f>
        <v>1360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1451.3999999999996</v>
      </c>
      <c r="M30" s="4" t="s">
        <v>386</v>
      </c>
    </row>
    <row r="31" spans="2:13" ht="17.25" thickBot="1">
      <c r="B31" s="13">
        <v>30</v>
      </c>
      <c r="C31" s="14"/>
      <c r="D31" s="12"/>
      <c r="E31" s="95"/>
      <c r="F31" s="102">
        <f t="shared" si="0"/>
        <v>0</v>
      </c>
      <c r="G31" s="14"/>
      <c r="H31" s="15">
        <f t="shared" si="1"/>
        <v>0</v>
      </c>
      <c r="I31" s="16">
        <f t="shared" si="2"/>
        <v>0</v>
      </c>
      <c r="K31" s="14" t="s">
        <v>385</v>
      </c>
      <c r="L31" s="15">
        <f>SUM(I2:I31)</f>
        <v>29028</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R12" sqref="R11:R1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411</v>
      </c>
      <c r="D2" s="4"/>
      <c r="E2" s="88">
        <v>6</v>
      </c>
      <c r="F2" s="101">
        <f t="shared" ref="F2:F31" si="0">E2*$L$15</f>
        <v>120</v>
      </c>
      <c r="G2">
        <f>VLOOKUP($C2,약재관리!A:J,10,FALSE)</f>
        <v>14.7</v>
      </c>
      <c r="H2" s="5">
        <f>G2*E2</f>
        <v>88.199999999999989</v>
      </c>
      <c r="I2" s="90">
        <f>G2*F2</f>
        <v>1764</v>
      </c>
      <c r="K2" s="7" t="s">
        <v>9</v>
      </c>
      <c r="L2" s="160">
        <v>43</v>
      </c>
      <c r="M2" s="161"/>
    </row>
    <row r="3" spans="2:13">
      <c r="B3" s="3">
        <v>2</v>
      </c>
      <c r="C3" t="s">
        <v>412</v>
      </c>
      <c r="D3" s="4"/>
      <c r="E3" s="88">
        <v>8</v>
      </c>
      <c r="F3" s="101">
        <f t="shared" si="0"/>
        <v>160</v>
      </c>
      <c r="G3">
        <f>VLOOKUP($C3,약재관리!A:J,10,FALSE)</f>
        <v>47</v>
      </c>
      <c r="H3" s="5">
        <f t="shared" ref="H3:H31" si="1">G3*E3</f>
        <v>376</v>
      </c>
      <c r="I3" s="6">
        <f t="shared" ref="I3:I31" si="2">G3*F3</f>
        <v>7520</v>
      </c>
      <c r="K3" s="8" t="s">
        <v>10</v>
      </c>
      <c r="L3" s="162" t="s">
        <v>409</v>
      </c>
      <c r="M3" s="163"/>
    </row>
    <row r="4" spans="2:13">
      <c r="B4" s="3">
        <v>3</v>
      </c>
      <c r="C4" t="s">
        <v>413</v>
      </c>
      <c r="D4" s="4"/>
      <c r="E4" s="88">
        <v>6</v>
      </c>
      <c r="F4" s="101">
        <f t="shared" si="0"/>
        <v>120</v>
      </c>
      <c r="G4">
        <f>VLOOKUP($C4,약재관리!A:J,10,FALSE)</f>
        <v>28.3</v>
      </c>
      <c r="H4" s="5">
        <f t="shared" si="1"/>
        <v>169.8</v>
      </c>
      <c r="I4" s="6">
        <f t="shared" si="2"/>
        <v>3396</v>
      </c>
      <c r="K4" s="8" t="s">
        <v>11</v>
      </c>
      <c r="L4" s="164">
        <v>45603</v>
      </c>
      <c r="M4" s="163"/>
    </row>
    <row r="5" spans="2:13">
      <c r="B5" s="3">
        <v>4</v>
      </c>
      <c r="C5" t="s">
        <v>424</v>
      </c>
      <c r="D5" s="4"/>
      <c r="E5" s="88">
        <v>6</v>
      </c>
      <c r="F5" s="101">
        <f t="shared" si="0"/>
        <v>120</v>
      </c>
      <c r="G5">
        <f>VLOOKUP($C5,약재관리!A:J,10,FALSE)</f>
        <v>17.600000000000001</v>
      </c>
      <c r="H5" s="5">
        <f t="shared" si="1"/>
        <v>105.60000000000001</v>
      </c>
      <c r="I5" s="6">
        <f t="shared" si="2"/>
        <v>2112</v>
      </c>
      <c r="K5" s="8" t="s">
        <v>12</v>
      </c>
      <c r="L5" s="162" t="s">
        <v>408</v>
      </c>
      <c r="M5" s="163"/>
    </row>
    <row r="6" spans="2:13">
      <c r="B6" s="3">
        <v>5</v>
      </c>
      <c r="C6" t="s">
        <v>414</v>
      </c>
      <c r="D6" s="4"/>
      <c r="E6" s="88">
        <v>6</v>
      </c>
      <c r="F6" s="101">
        <f t="shared" si="0"/>
        <v>120</v>
      </c>
      <c r="G6">
        <f>VLOOKUP($C6,약재관리!A:J,10,FALSE)</f>
        <v>11</v>
      </c>
      <c r="H6" s="5">
        <f t="shared" si="1"/>
        <v>66</v>
      </c>
      <c r="I6" s="6">
        <f t="shared" si="2"/>
        <v>1320</v>
      </c>
      <c r="K6" s="8" t="s">
        <v>13</v>
      </c>
      <c r="L6" s="162">
        <v>40</v>
      </c>
      <c r="M6" s="163"/>
    </row>
    <row r="7" spans="2:13" ht="17.25" thickBot="1">
      <c r="B7" s="3">
        <v>6</v>
      </c>
      <c r="C7" t="s">
        <v>423</v>
      </c>
      <c r="D7" s="4"/>
      <c r="E7" s="88">
        <v>4</v>
      </c>
      <c r="F7" s="101">
        <f t="shared" si="0"/>
        <v>80</v>
      </c>
      <c r="G7">
        <f>VLOOKUP($C7,약재관리!A:J,10,FALSE)</f>
        <v>24</v>
      </c>
      <c r="H7" s="5">
        <f t="shared" si="1"/>
        <v>96</v>
      </c>
      <c r="I7" s="6">
        <f t="shared" si="2"/>
        <v>1920</v>
      </c>
      <c r="K7" s="8" t="s">
        <v>14</v>
      </c>
      <c r="L7" s="146" t="s">
        <v>407</v>
      </c>
      <c r="M7" s="147"/>
    </row>
    <row r="8" spans="2:13" ht="17.25" thickBot="1">
      <c r="B8" s="3">
        <v>7</v>
      </c>
      <c r="C8" t="s">
        <v>410</v>
      </c>
      <c r="D8" s="4"/>
      <c r="E8" s="88">
        <v>4</v>
      </c>
      <c r="F8" s="101">
        <f t="shared" si="0"/>
        <v>80</v>
      </c>
      <c r="G8">
        <f>VLOOKUP($C8,약재관리!A:J,10,FALSE)</f>
        <v>7</v>
      </c>
      <c r="H8" s="5">
        <f t="shared" si="1"/>
        <v>28</v>
      </c>
      <c r="I8" s="6">
        <f t="shared" si="2"/>
        <v>560</v>
      </c>
      <c r="K8" s="148" t="s">
        <v>15</v>
      </c>
      <c r="L8" s="149"/>
      <c r="M8" s="150"/>
    </row>
    <row r="9" spans="2:13">
      <c r="B9" s="3">
        <v>8</v>
      </c>
      <c r="C9" t="s">
        <v>415</v>
      </c>
      <c r="D9" s="4"/>
      <c r="E9" s="88">
        <v>3</v>
      </c>
      <c r="F9" s="101">
        <f t="shared" si="0"/>
        <v>60</v>
      </c>
      <c r="G9">
        <f>VLOOKUP($C9,약재관리!A:J,10,FALSE)</f>
        <v>8</v>
      </c>
      <c r="H9" s="5">
        <f t="shared" si="1"/>
        <v>24</v>
      </c>
      <c r="I9" s="6">
        <f t="shared" si="2"/>
        <v>480</v>
      </c>
      <c r="K9" s="151" t="s">
        <v>435</v>
      </c>
      <c r="L9" s="152"/>
      <c r="M9" s="153"/>
    </row>
    <row r="10" spans="2:13">
      <c r="B10" s="3">
        <v>9</v>
      </c>
      <c r="C10" t="s">
        <v>417</v>
      </c>
      <c r="D10" s="4"/>
      <c r="E10" s="88">
        <v>2</v>
      </c>
      <c r="F10" s="101">
        <f t="shared" si="0"/>
        <v>40</v>
      </c>
      <c r="G10">
        <f>VLOOKUP($C10,약재관리!A:J,10,FALSE)</f>
        <v>7.5</v>
      </c>
      <c r="H10" s="5">
        <f t="shared" si="1"/>
        <v>15</v>
      </c>
      <c r="I10" s="6">
        <f t="shared" si="2"/>
        <v>300</v>
      </c>
      <c r="K10" s="154"/>
      <c r="L10" s="155"/>
      <c r="M10" s="156"/>
    </row>
    <row r="11" spans="2:13">
      <c r="B11" s="3">
        <v>10</v>
      </c>
      <c r="C11" t="s">
        <v>418</v>
      </c>
      <c r="D11" s="4"/>
      <c r="E11" s="88">
        <v>2</v>
      </c>
      <c r="F11" s="101">
        <f t="shared" si="0"/>
        <v>40</v>
      </c>
      <c r="G11">
        <f>VLOOKUP($C11,약재관리!A:J,10,FALSE)</f>
        <v>21.8</v>
      </c>
      <c r="H11" s="5">
        <f t="shared" si="1"/>
        <v>43.6</v>
      </c>
      <c r="I11" s="6">
        <f t="shared" si="2"/>
        <v>872</v>
      </c>
      <c r="K11" s="154"/>
      <c r="L11" s="155"/>
      <c r="M11" s="156"/>
    </row>
    <row r="12" spans="2:13">
      <c r="B12" s="3">
        <v>11</v>
      </c>
      <c r="C12" t="s">
        <v>427</v>
      </c>
      <c r="D12" s="4"/>
      <c r="E12" s="88">
        <v>3</v>
      </c>
      <c r="F12" s="101">
        <f t="shared" si="0"/>
        <v>60</v>
      </c>
      <c r="G12">
        <f>VLOOKUP($C12,약재관리!A:J,10,FALSE)</f>
        <v>13.8</v>
      </c>
      <c r="H12" s="5">
        <f t="shared" si="1"/>
        <v>41.400000000000006</v>
      </c>
      <c r="I12" s="6">
        <f t="shared" si="2"/>
        <v>828</v>
      </c>
      <c r="K12" s="154"/>
      <c r="L12" s="155"/>
      <c r="M12" s="156"/>
    </row>
    <row r="13" spans="2:13" ht="17.25" thickBot="1">
      <c r="B13" s="3">
        <v>12</v>
      </c>
      <c r="C13" t="s">
        <v>426</v>
      </c>
      <c r="D13" s="4"/>
      <c r="E13" s="88">
        <v>2</v>
      </c>
      <c r="F13" s="101">
        <f t="shared" si="0"/>
        <v>40</v>
      </c>
      <c r="G13">
        <f>VLOOKUP($C13,약재관리!A:J,10,FALSE)</f>
        <v>9.8000000000000007</v>
      </c>
      <c r="H13" s="5">
        <f t="shared" si="1"/>
        <v>19.600000000000001</v>
      </c>
      <c r="I13" s="6">
        <f t="shared" si="2"/>
        <v>392</v>
      </c>
      <c r="K13" s="157"/>
      <c r="L13" s="158"/>
      <c r="M13" s="159"/>
    </row>
    <row r="14" spans="2:13">
      <c r="B14" s="3">
        <v>13</v>
      </c>
      <c r="C14" t="s">
        <v>419</v>
      </c>
      <c r="D14" s="4"/>
      <c r="E14" s="88">
        <v>2</v>
      </c>
      <c r="F14" s="101">
        <f t="shared" si="0"/>
        <v>40</v>
      </c>
      <c r="G14">
        <f>VLOOKUP($C14,약재관리!A:J,10,FALSE)</f>
        <v>28.3</v>
      </c>
      <c r="H14" s="5">
        <f t="shared" si="1"/>
        <v>56.6</v>
      </c>
      <c r="I14" s="6">
        <f t="shared" si="2"/>
        <v>1132</v>
      </c>
      <c r="K14" s="92" t="s">
        <v>16</v>
      </c>
      <c r="L14" s="9">
        <v>15</v>
      </c>
      <c r="M14" s="10" t="s">
        <v>17</v>
      </c>
    </row>
    <row r="15" spans="2:13">
      <c r="B15" s="3">
        <v>14</v>
      </c>
      <c r="C15" t="s">
        <v>420</v>
      </c>
      <c r="D15" s="4"/>
      <c r="E15" s="88">
        <v>5</v>
      </c>
      <c r="F15" s="101">
        <f t="shared" si="0"/>
        <v>100</v>
      </c>
      <c r="G15">
        <f>VLOOKUP($C15,약재관리!A:J,10,FALSE)</f>
        <v>15</v>
      </c>
      <c r="H15" s="5">
        <f t="shared" si="1"/>
        <v>75</v>
      </c>
      <c r="I15" s="6">
        <f t="shared" si="2"/>
        <v>1500</v>
      </c>
      <c r="K15" s="91" t="s">
        <v>18</v>
      </c>
      <c r="L15">
        <v>20</v>
      </c>
      <c r="M15" s="4" t="s">
        <v>19</v>
      </c>
    </row>
    <row r="16" spans="2:13">
      <c r="B16" s="3">
        <v>15</v>
      </c>
      <c r="C16" t="s">
        <v>421</v>
      </c>
      <c r="D16" s="4"/>
      <c r="E16" s="88">
        <v>2</v>
      </c>
      <c r="F16" s="101">
        <f t="shared" si="0"/>
        <v>40</v>
      </c>
      <c r="G16">
        <f>VLOOKUP($C16,약재관리!A:J,10,FALSE)</f>
        <v>20.8</v>
      </c>
      <c r="H16" s="5">
        <f t="shared" si="1"/>
        <v>41.6</v>
      </c>
      <c r="I16" s="6">
        <f t="shared" si="2"/>
        <v>832</v>
      </c>
      <c r="K16" s="91" t="s">
        <v>20</v>
      </c>
      <c r="L16">
        <v>45</v>
      </c>
      <c r="M16" s="4" t="s">
        <v>21</v>
      </c>
    </row>
    <row r="17" spans="2:13" ht="17.25" thickBot="1">
      <c r="B17" s="3">
        <v>16</v>
      </c>
      <c r="C17" t="s">
        <v>429</v>
      </c>
      <c r="D17" s="4"/>
      <c r="E17" s="88">
        <v>4</v>
      </c>
      <c r="F17" s="101">
        <f t="shared" si="0"/>
        <v>80</v>
      </c>
      <c r="G17">
        <f>VLOOKUP($C17,약재관리!A:J,10,FALSE)</f>
        <v>25</v>
      </c>
      <c r="H17" s="5">
        <f t="shared" si="1"/>
        <v>100</v>
      </c>
      <c r="I17" s="6">
        <f t="shared" si="2"/>
        <v>2000</v>
      </c>
      <c r="K17" s="14" t="s">
        <v>22</v>
      </c>
      <c r="L17" s="11">
        <v>100</v>
      </c>
      <c r="M17" s="12" t="s">
        <v>23</v>
      </c>
    </row>
    <row r="18" spans="2:13">
      <c r="B18" s="3">
        <v>17</v>
      </c>
      <c r="C18" t="s">
        <v>428</v>
      </c>
      <c r="D18" s="4"/>
      <c r="E18" s="88">
        <v>4</v>
      </c>
      <c r="F18" s="101">
        <f t="shared" si="0"/>
        <v>80</v>
      </c>
      <c r="G18">
        <f>VLOOKUP($C18,약재관리!A:J,10,FALSE)</f>
        <v>40</v>
      </c>
      <c r="H18" s="5">
        <f t="shared" si="1"/>
        <v>160</v>
      </c>
      <c r="I18" s="6">
        <f t="shared" si="2"/>
        <v>3200</v>
      </c>
      <c r="K18" s="92" t="s">
        <v>24</v>
      </c>
      <c r="L18" s="9">
        <f>SUM(E2:E31)</f>
        <v>76</v>
      </c>
      <c r="M18" s="10" t="s">
        <v>25</v>
      </c>
    </row>
    <row r="19" spans="2:13">
      <c r="B19" s="3">
        <v>18</v>
      </c>
      <c r="C19" t="s">
        <v>430</v>
      </c>
      <c r="D19" s="4"/>
      <c r="E19" s="88">
        <v>4</v>
      </c>
      <c r="F19" s="101">
        <f t="shared" si="0"/>
        <v>80</v>
      </c>
      <c r="G19">
        <f>VLOOKUP($C19,약재관리!A:J,10,FALSE)</f>
        <v>23.7</v>
      </c>
      <c r="H19" s="5">
        <f t="shared" si="1"/>
        <v>94.8</v>
      </c>
      <c r="I19" s="6">
        <f t="shared" si="2"/>
        <v>1896</v>
      </c>
      <c r="K19" s="91" t="s">
        <v>26</v>
      </c>
      <c r="L19">
        <f>L15*L18</f>
        <v>1520</v>
      </c>
      <c r="M19" s="4" t="s">
        <v>25</v>
      </c>
    </row>
    <row r="20" spans="2:13" ht="17.25" thickBot="1">
      <c r="B20" s="3">
        <v>19</v>
      </c>
      <c r="C20" t="s">
        <v>425</v>
      </c>
      <c r="D20" s="4"/>
      <c r="E20" s="88">
        <v>3</v>
      </c>
      <c r="F20" s="101">
        <f t="shared" si="0"/>
        <v>60</v>
      </c>
      <c r="G20">
        <f>VLOOKUP($C20,약재관리!A:J,10,FALSE)</f>
        <v>8.8000000000000007</v>
      </c>
      <c r="H20" s="5">
        <f t="shared" si="1"/>
        <v>26.400000000000002</v>
      </c>
      <c r="I20" s="6">
        <f t="shared" si="2"/>
        <v>528</v>
      </c>
      <c r="K20" s="14" t="s">
        <v>27</v>
      </c>
      <c r="L20" s="11">
        <f>L16*L17+L19</f>
        <v>6020</v>
      </c>
      <c r="M20" s="12" t="s">
        <v>23</v>
      </c>
    </row>
    <row r="21" spans="2:13" ht="17.25" thickBot="1">
      <c r="B21" s="3">
        <v>20</v>
      </c>
      <c r="D21" s="4"/>
      <c r="F21" s="101"/>
      <c r="H21" s="5"/>
      <c r="I21" s="6"/>
      <c r="J21" s="91"/>
      <c r="M21" s="94"/>
    </row>
    <row r="22" spans="2:13" ht="17.25" thickBot="1">
      <c r="B22" s="3">
        <v>21</v>
      </c>
      <c r="D22" s="4"/>
      <c r="F22" s="101"/>
      <c r="H22" s="5"/>
      <c r="I22" s="6"/>
      <c r="K22" s="148" t="s">
        <v>388</v>
      </c>
      <c r="L22" s="149"/>
      <c r="M22" s="150"/>
    </row>
    <row r="23" spans="2:13">
      <c r="B23" s="3">
        <v>22</v>
      </c>
      <c r="D23" s="4"/>
      <c r="F23" s="101"/>
      <c r="H23" s="5"/>
      <c r="I23" s="6"/>
      <c r="K23" s="91" t="s">
        <v>382</v>
      </c>
      <c r="L23">
        <f>SUM(F2:F31)</f>
        <v>1520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1627.6</v>
      </c>
      <c r="M30" s="4" t="s">
        <v>386</v>
      </c>
    </row>
    <row r="31" spans="2:13" ht="17.25" thickBot="1">
      <c r="B31" s="13">
        <v>30</v>
      </c>
      <c r="C31" s="14"/>
      <c r="D31" s="12"/>
      <c r="E31" s="95"/>
      <c r="F31" s="102">
        <f t="shared" si="0"/>
        <v>0</v>
      </c>
      <c r="G31" s="14"/>
      <c r="H31" s="15">
        <f t="shared" si="1"/>
        <v>0</v>
      </c>
      <c r="I31" s="16">
        <f t="shared" si="2"/>
        <v>0</v>
      </c>
      <c r="K31" s="14" t="s">
        <v>385</v>
      </c>
      <c r="L31" s="15">
        <f>SUM(I2:I31)</f>
        <v>32552</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75" zoomScaleNormal="100" workbookViewId="0">
      <selection activeCell="J152" sqref="J15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가미하출탕</vt:lpstr>
      <vt:lpstr>생강사심탕</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2025-10-13T06:35:40Z</cp:lastPrinted>
  <dcterms:created xsi:type="dcterms:W3CDTF">2024-09-12T16:35:01Z</dcterms:created>
  <dcterms:modified xsi:type="dcterms:W3CDTF">2025-10-15T06:55:02Z</dcterms:modified>
</cp:coreProperties>
</file>