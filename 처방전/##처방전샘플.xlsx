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7" documentId="8_{6EB8DC0A-AB56-415F-A9F3-EA1534264548}" xr6:coauthVersionLast="47" xr6:coauthVersionMax="47" xr10:uidLastSave="{4ADDA439-91D4-4AA2-98AF-0E98E4BA6513}"/>
  <bookViews>
    <workbookView xWindow="-120" yWindow="-120" windowWidth="29040" windowHeight="1572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G19" i="5"/>
  <c r="G20" i="5"/>
  <c r="H20" i="5" s="1"/>
  <c r="G21" i="5"/>
  <c r="I21" i="5" s="1"/>
  <c r="G22" i="5"/>
  <c r="H22" i="5" s="1"/>
  <c r="G23" i="5"/>
  <c r="H23" i="5" s="1"/>
  <c r="G24" i="5"/>
  <c r="G25" i="5"/>
  <c r="H25" i="5" s="1"/>
  <c r="G26" i="5"/>
  <c r="I26" i="5" s="1"/>
  <c r="G27" i="5"/>
  <c r="H27" i="5" s="1"/>
  <c r="G28" i="5"/>
  <c r="I28" i="5" s="1"/>
  <c r="G29" i="5"/>
  <c r="H29" i="5" s="1"/>
  <c r="G30" i="5"/>
  <c r="G31" i="5"/>
  <c r="F31" i="5"/>
  <c r="F30" i="5"/>
  <c r="F29" i="5"/>
  <c r="F28" i="5"/>
  <c r="F27" i="5"/>
  <c r="F26" i="5"/>
  <c r="F25" i="5"/>
  <c r="F24" i="5"/>
  <c r="F23" i="5"/>
  <c r="F22" i="5"/>
  <c r="F21" i="5"/>
  <c r="F20" i="5"/>
  <c r="F19" i="5"/>
  <c r="L18" i="5"/>
  <c r="L19" i="5" s="1"/>
  <c r="L20" i="5" s="1"/>
  <c r="F18" i="5"/>
  <c r="J18" i="5" s="1"/>
  <c r="G17" i="5"/>
  <c r="F17" i="5"/>
  <c r="J17" i="5" s="1"/>
  <c r="G16" i="5"/>
  <c r="F16" i="5"/>
  <c r="J16" i="5" s="1"/>
  <c r="G15" i="5"/>
  <c r="I15" i="5" s="1"/>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I2" i="5" s="1"/>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5" i="5" l="1"/>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L31" i="5" s="1"/>
  <c r="H6" i="5"/>
  <c r="I11" i="5"/>
  <c r="H16" i="5"/>
  <c r="H2" i="5"/>
  <c r="I9" i="5"/>
  <c r="H14" i="5"/>
  <c r="H4" i="5"/>
  <c r="H5" i="5"/>
  <c r="H17" i="5"/>
  <c r="H15" i="5"/>
  <c r="H3" i="5"/>
  <c r="L3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<sst xmlns="http://schemas.openxmlformats.org/spreadsheetml/2006/main" count="542" uniqueCount="392">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</sst>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L20" sqref="L20"/>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D2" s="4"/>
      <c r="F2" s="163">
        <f>E2*$L$15</f>
        <v>0</v>
      </c>
      <c r="G2" t="e">
        <f>VLOOKUP($C2,[1]약재관리!$A:$J,10,FALSE)</f>
        <v>#N/A</v>
      </c>
      <c r="H2" s="5" t="e">
        <f>G2*E2</f>
        <v>#N/A</v>
      </c>
      <c r="I2" s="6" t="e">
        <f t="shared" ref="I2:I31" si="0">G2*F2</f>
        <v>#N/A</v>
      </c>
      <c r="J2" s="157">
        <f>F2/$L$14</f>
        <v>0</v>
      </c>
      <c r="K2" s="7" t="s">
        <v>6</v>
      </c>
      <c r="L2" s="184"/>
      <c r="M2" s="185"/>
    </row>
    <row r="3" spans="2:13">
      <c r="B3" s="3">
        <v>2</v>
      </c>
      <c r="D3" s="4"/>
      <c r="F3" s="159">
        <f t="shared" ref="F3:F31" si="1">E3*$L$15</f>
        <v>0</v>
      </c>
      <c r="G3" t="e">
        <f>VLOOKUP($C3,[1]약재관리!$A:$J,10,FALSE)</f>
        <v>#N/A</v>
      </c>
      <c r="H3" s="5" t="e">
        <f t="shared" ref="H3:H31" si="2">G3*E3</f>
        <v>#N/A</v>
      </c>
      <c r="I3" s="6" t="e">
        <f t="shared" si="0"/>
        <v>#N/A</v>
      </c>
      <c r="J3" s="157">
        <f t="shared" ref="J3:J18" si="3">F3/$L$14</f>
        <v>0</v>
      </c>
      <c r="K3" s="8" t="s">
        <v>7</v>
      </c>
      <c r="L3" s="182"/>
      <c r="M3" s="183"/>
    </row>
    <row r="4" spans="2:13">
      <c r="B4" s="3">
        <v>3</v>
      </c>
      <c r="D4" s="4"/>
      <c r="F4" s="159">
        <f t="shared" si="1"/>
        <v>0</v>
      </c>
      <c r="G4" t="e">
        <f>VLOOKUP($C4,[1]약재관리!$A:$J,10,FALSE)</f>
        <v>#N/A</v>
      </c>
      <c r="H4" s="5" t="e">
        <f t="shared" si="2"/>
        <v>#N/A</v>
      </c>
      <c r="I4" s="6" t="e">
        <f t="shared" si="0"/>
        <v>#N/A</v>
      </c>
      <c r="J4" s="157">
        <f t="shared" si="3"/>
        <v>0</v>
      </c>
      <c r="K4" s="8" t="s">
        <v>8</v>
      </c>
      <c r="L4" s="186"/>
      <c r="M4" s="183"/>
    </row>
    <row r="5" spans="2:13">
      <c r="B5" s="3">
        <v>4</v>
      </c>
      <c r="D5" s="4"/>
      <c r="F5" s="159">
        <f t="shared" si="1"/>
        <v>0</v>
      </c>
      <c r="G5" t="e">
        <f>VLOOKUP($C5,[1]약재관리!$A:$J,10,FALSE)</f>
        <v>#N/A</v>
      </c>
      <c r="H5" s="5" t="e">
        <f t="shared" si="2"/>
        <v>#N/A</v>
      </c>
      <c r="I5" s="6" t="e">
        <f t="shared" si="0"/>
        <v>#N/A</v>
      </c>
      <c r="J5" s="157">
        <f t="shared" si="3"/>
        <v>0</v>
      </c>
      <c r="K5" s="8" t="s">
        <v>9</v>
      </c>
      <c r="L5" s="182"/>
      <c r="M5" s="183"/>
    </row>
    <row r="6" spans="2:13">
      <c r="B6" s="3">
        <v>5</v>
      </c>
      <c r="D6" s="4"/>
      <c r="F6" s="159">
        <f t="shared" si="1"/>
        <v>0</v>
      </c>
      <c r="G6" t="e">
        <f>VLOOKUP($C6,[1]약재관리!$A:$J,10,FALSE)</f>
        <v>#N/A</v>
      </c>
      <c r="H6" s="5" t="e">
        <f t="shared" si="2"/>
        <v>#N/A</v>
      </c>
      <c r="I6" s="6" t="e">
        <f t="shared" si="0"/>
        <v>#N/A</v>
      </c>
      <c r="J6" s="157">
        <f t="shared" si="3"/>
        <v>0</v>
      </c>
      <c r="K6" s="8" t="s">
        <v>10</v>
      </c>
      <c r="L6" s="182"/>
      <c r="M6" s="183"/>
    </row>
    <row r="7" spans="2:13" ht="17.25" thickBot="1">
      <c r="B7" s="3">
        <v>6</v>
      </c>
      <c r="D7" s="4"/>
      <c r="F7" s="159">
        <f t="shared" si="1"/>
        <v>0</v>
      </c>
      <c r="G7" t="e">
        <f>VLOOKUP($C7,[1]약재관리!$A:$J,10,FALSE)</f>
        <v>#N/A</v>
      </c>
      <c r="H7" s="5" t="e">
        <f t="shared" si="2"/>
        <v>#N/A</v>
      </c>
      <c r="I7" s="6" t="e">
        <f t="shared" si="0"/>
        <v>#N/A</v>
      </c>
      <c r="J7" s="157">
        <f t="shared" si="3"/>
        <v>0</v>
      </c>
      <c r="K7" s="8" t="s">
        <v>11</v>
      </c>
      <c r="L7" s="168"/>
      <c r="M7" s="169"/>
    </row>
    <row r="8" spans="2:13" ht="17.25" thickBot="1">
      <c r="B8" s="3">
        <v>7</v>
      </c>
      <c r="D8" s="4"/>
      <c r="F8" s="159">
        <f t="shared" si="1"/>
        <v>0</v>
      </c>
      <c r="G8" t="e">
        <f>VLOOKUP($C8,[1]약재관리!$A:$J,10,FALSE)</f>
        <v>#N/A</v>
      </c>
      <c r="H8" s="5" t="e">
        <f t="shared" si="2"/>
        <v>#N/A</v>
      </c>
      <c r="I8" s="6" t="e">
        <f t="shared" si="0"/>
        <v>#N/A</v>
      </c>
      <c r="J8" s="157">
        <f t="shared" si="3"/>
        <v>0</v>
      </c>
      <c r="K8" s="170" t="s">
        <v>12</v>
      </c>
      <c r="L8" s="171"/>
      <c r="M8" s="172"/>
    </row>
    <row r="9" spans="2:13">
      <c r="B9" s="3">
        <v>8</v>
      </c>
      <c r="D9" s="4"/>
      <c r="F9" s="159">
        <f t="shared" si="1"/>
        <v>0</v>
      </c>
      <c r="G9" t="e">
        <f>VLOOKUP($C9,[1]약재관리!$A:$J,10,FALSE)</f>
        <v>#N/A</v>
      </c>
      <c r="H9" s="5" t="e">
        <f t="shared" si="2"/>
        <v>#N/A</v>
      </c>
      <c r="I9" s="6" t="e">
        <f t="shared" si="0"/>
        <v>#N/A</v>
      </c>
      <c r="J9" s="157">
        <f t="shared" si="3"/>
        <v>0</v>
      </c>
      <c r="K9" s="173"/>
      <c r="L9" s="174"/>
      <c r="M9" s="175"/>
    </row>
    <row r="10" spans="2:13">
      <c r="B10" s="3">
        <v>9</v>
      </c>
      <c r="D10" s="4"/>
      <c r="F10" s="159">
        <f t="shared" si="1"/>
        <v>0</v>
      </c>
      <c r="G10" t="e">
        <f>VLOOKUP($C10,[1]약재관리!$A:$J,10,FALSE)</f>
        <v>#N/A</v>
      </c>
      <c r="H10" s="5" t="e">
        <f t="shared" si="2"/>
        <v>#N/A</v>
      </c>
      <c r="I10" s="6" t="e">
        <f t="shared" si="0"/>
        <v>#N/A</v>
      </c>
      <c r="J10" s="157">
        <f t="shared" si="3"/>
        <v>0</v>
      </c>
      <c r="K10" s="176"/>
      <c r="L10" s="177"/>
      <c r="M10" s="178"/>
    </row>
    <row r="11" spans="2:13">
      <c r="B11" s="3">
        <v>10</v>
      </c>
      <c r="D11" s="4"/>
      <c r="F11" s="159">
        <f t="shared" si="1"/>
        <v>0</v>
      </c>
      <c r="G11" t="e">
        <f>VLOOKUP($C11,[1]약재관리!$A:$J,10,FALSE)</f>
        <v>#N/A</v>
      </c>
      <c r="H11" s="5" t="e">
        <f t="shared" si="2"/>
        <v>#N/A</v>
      </c>
      <c r="I11" s="6" t="e">
        <f t="shared" si="0"/>
        <v>#N/A</v>
      </c>
      <c r="J11" s="157">
        <f t="shared" si="3"/>
        <v>0</v>
      </c>
      <c r="K11" s="176"/>
      <c r="L11" s="177"/>
      <c r="M11" s="178"/>
    </row>
    <row r="12" spans="2:13">
      <c r="B12" s="3">
        <v>11</v>
      </c>
      <c r="D12" s="4"/>
      <c r="F12" s="159">
        <f t="shared" si="1"/>
        <v>0</v>
      </c>
      <c r="G12" t="e">
        <f>VLOOKUP($C12,[1]약재관리!$A:$J,10,FALSE)</f>
        <v>#N/A</v>
      </c>
      <c r="H12" s="5" t="e">
        <f t="shared" si="2"/>
        <v>#N/A</v>
      </c>
      <c r="I12" s="6" t="e">
        <f t="shared" si="0"/>
        <v>#N/A</v>
      </c>
      <c r="J12" s="157">
        <f t="shared" si="3"/>
        <v>0</v>
      </c>
      <c r="K12" s="176"/>
      <c r="L12" s="177"/>
      <c r="M12" s="178"/>
    </row>
    <row r="13" spans="2:13" ht="17.25" thickBot="1">
      <c r="B13" s="3">
        <v>12</v>
      </c>
      <c r="D13" s="4"/>
      <c r="F13" s="159">
        <f t="shared" si="1"/>
        <v>0</v>
      </c>
      <c r="G13" t="e">
        <f>VLOOKUP($C13,[1]약재관리!$A:$J,10,FALSE)</f>
        <v>#N/A</v>
      </c>
      <c r="H13" s="5" t="e">
        <f t="shared" si="2"/>
        <v>#N/A</v>
      </c>
      <c r="I13" s="6" t="e">
        <f t="shared" si="0"/>
        <v>#N/A</v>
      </c>
      <c r="J13" s="157">
        <f t="shared" si="3"/>
        <v>0</v>
      </c>
      <c r="K13" s="179"/>
      <c r="L13" s="180"/>
      <c r="M13" s="181"/>
    </row>
    <row r="14" spans="2:13">
      <c r="B14" s="3">
        <v>13</v>
      </c>
      <c r="D14" s="4"/>
      <c r="F14" s="159">
        <f t="shared" si="1"/>
        <v>0</v>
      </c>
      <c r="G14" t="e">
        <f>VLOOKUP($C14,[1]약재관리!$A:$J,10,FALSE)</f>
        <v>#N/A</v>
      </c>
      <c r="H14" s="5" t="e">
        <f>G14*E14</f>
        <v>#N/A</v>
      </c>
      <c r="I14" s="6" t="e">
        <f>G14*F14</f>
        <v>#N/A</v>
      </c>
      <c r="J14" s="157">
        <f t="shared" si="3"/>
        <v>0</v>
      </c>
      <c r="K14" s="164" t="s">
        <v>13</v>
      </c>
      <c r="L14" s="9">
        <v>15</v>
      </c>
      <c r="M14" s="10" t="s">
        <v>14</v>
      </c>
    </row>
    <row r="15" spans="2:13">
      <c r="B15" s="3">
        <v>14</v>
      </c>
      <c r="D15" s="4"/>
      <c r="F15" s="159">
        <f t="shared" si="1"/>
        <v>0</v>
      </c>
      <c r="G15" t="e">
        <f>VLOOKUP($C15,[1]약재관리!$A:$J,10,FALSE)</f>
        <v>#N/A</v>
      </c>
      <c r="H15" s="5" t="e">
        <f>G15*E15</f>
        <v>#N/A</v>
      </c>
      <c r="I15" s="6" t="e">
        <f>G15*F15</f>
        <v>#N/A</v>
      </c>
      <c r="J15" s="157">
        <f t="shared" si="3"/>
        <v>0</v>
      </c>
      <c r="K15" s="165" t="s">
        <v>15</v>
      </c>
      <c r="L15">
        <v>20</v>
      </c>
      <c r="M15" s="4" t="s">
        <v>16</v>
      </c>
    </row>
    <row r="16" spans="2:13">
      <c r="B16" s="3">
        <v>15</v>
      </c>
      <c r="D16" s="4"/>
      <c r="F16" s="159">
        <f t="shared" si="1"/>
        <v>0</v>
      </c>
      <c r="G16" t="e">
        <f>VLOOKUP($C16,[1]약재관리!$A:$J,10,FALSE)</f>
        <v>#N/A</v>
      </c>
      <c r="H16" s="5" t="e">
        <f t="shared" si="2"/>
        <v>#N/A</v>
      </c>
      <c r="I16" s="6" t="e">
        <f t="shared" si="0"/>
        <v>#N/A</v>
      </c>
      <c r="J16" s="157">
        <f t="shared" si="3"/>
        <v>0</v>
      </c>
      <c r="K16" s="165" t="s">
        <v>17</v>
      </c>
      <c r="L16">
        <v>46</v>
      </c>
      <c r="M16" s="4" t="s">
        <v>18</v>
      </c>
    </row>
    <row r="17" spans="2:13" ht="17.25" thickBot="1">
      <c r="B17" s="3">
        <v>16</v>
      </c>
      <c r="D17" s="4"/>
      <c r="F17" s="159">
        <f t="shared" si="1"/>
        <v>0</v>
      </c>
      <c r="G17" t="e">
        <f>VLOOKUP($C17,[1]약재관리!$A:$J,10,FALSE)</f>
        <v>#N/A</v>
      </c>
      <c r="H17" s="5" t="e">
        <f t="shared" si="2"/>
        <v>#N/A</v>
      </c>
      <c r="I17" s="6" t="e">
        <f t="shared" si="0"/>
        <v>#N/A</v>
      </c>
      <c r="J17" s="157">
        <f t="shared" si="3"/>
        <v>0</v>
      </c>
      <c r="K17" s="14" t="s">
        <v>19</v>
      </c>
      <c r="L17" s="11">
        <v>110</v>
      </c>
      <c r="M17" s="12" t="s">
        <v>20</v>
      </c>
    </row>
    <row r="18" spans="2:13">
      <c r="B18" s="3">
        <v>17</v>
      </c>
      <c r="D18" s="4"/>
      <c r="F18" s="159">
        <f t="shared" si="1"/>
        <v>0</v>
      </c>
      <c r="G18" t="e">
        <f>VLOOKUP($C18,[1]약재관리!$A:$J,10,FALSE)</f>
        <v>#N/A</v>
      </c>
      <c r="H18" s="5" t="e">
        <f t="shared" si="2"/>
        <v>#N/A</v>
      </c>
      <c r="I18" s="6" t="e">
        <f t="shared" si="0"/>
        <v>#N/A</v>
      </c>
      <c r="J18" s="157">
        <f t="shared" si="3"/>
        <v>0</v>
      </c>
      <c r="K18" s="164" t="s">
        <v>21</v>
      </c>
      <c r="L18" s="9">
        <f>SUM(E2:E31)</f>
        <v>0</v>
      </c>
      <c r="M18" s="10" t="s">
        <v>22</v>
      </c>
    </row>
    <row r="19" spans="2:13">
      <c r="B19" s="3">
        <v>18</v>
      </c>
      <c r="D19" s="4"/>
      <c r="F19" s="159">
        <f t="shared" si="1"/>
        <v>0</v>
      </c>
      <c r="G19" t="e">
        <f>VLOOKUP($C19,[1]약재관리!$A:$J,10,FALSE)</f>
        <v>#N/A</v>
      </c>
      <c r="H19" s="5" t="e">
        <f t="shared" si="2"/>
        <v>#N/A</v>
      </c>
      <c r="I19" s="6" t="e">
        <f t="shared" si="0"/>
        <v>#N/A</v>
      </c>
      <c r="K19" s="165" t="s">
        <v>23</v>
      </c>
      <c r="L19">
        <f>L15*L18</f>
        <v>0</v>
      </c>
      <c r="M19" s="4" t="s">
        <v>22</v>
      </c>
    </row>
    <row r="20" spans="2:13" ht="17.25" thickBot="1">
      <c r="B20" s="3">
        <v>19</v>
      </c>
      <c r="D20" s="4"/>
      <c r="F20" s="159">
        <f t="shared" si="1"/>
        <v>0</v>
      </c>
      <c r="G20" t="e">
        <f>VLOOKUP($C20,[1]약재관리!$A:$J,10,FALSE)</f>
        <v>#N/A</v>
      </c>
      <c r="H20" s="5" t="e">
        <f t="shared" si="2"/>
        <v>#N/A</v>
      </c>
      <c r="I20" s="6" t="e">
        <f t="shared" si="0"/>
        <v>#N/A</v>
      </c>
      <c r="K20" s="14" t="s">
        <v>24</v>
      </c>
      <c r="L20" s="11">
        <f>L16*L17+L19*1.3+400</f>
        <v>5460</v>
      </c>
      <c r="M20" s="12" t="s">
        <v>20</v>
      </c>
    </row>
    <row r="21" spans="2:13" ht="17.25" thickBot="1">
      <c r="B21" s="3">
        <v>20</v>
      </c>
      <c r="D21" s="4"/>
      <c r="F21" s="159">
        <f t="shared" si="1"/>
        <v>0</v>
      </c>
      <c r="G21" t="e">
        <f>VLOOKUP($C21,[1]약재관리!$A:$J,10,FALSE)</f>
        <v>#N/A</v>
      </c>
      <c r="H21" s="5" t="e">
        <f t="shared" si="2"/>
        <v>#N/A</v>
      </c>
      <c r="I21" s="6" t="e">
        <f t="shared" si="0"/>
        <v>#N/A</v>
      </c>
      <c r="J21" s="165"/>
      <c r="M21" s="166"/>
    </row>
    <row r="22" spans="2:13" ht="17.25" thickBot="1">
      <c r="B22" s="3">
        <v>21</v>
      </c>
      <c r="D22" s="4"/>
      <c r="F22" s="159">
        <f t="shared" si="1"/>
        <v>0</v>
      </c>
      <c r="G22" t="e">
        <f>VLOOKUP($C22,[1]약재관리!$A:$J,10,FALSE)</f>
        <v>#N/A</v>
      </c>
      <c r="H22" s="5" t="e">
        <f t="shared" si="2"/>
        <v>#N/A</v>
      </c>
      <c r="I22" s="6" t="e">
        <f t="shared" si="0"/>
        <v>#N/A</v>
      </c>
      <c r="K22" s="170" t="s">
        <v>384</v>
      </c>
      <c r="L22" s="171"/>
      <c r="M22" s="172"/>
    </row>
    <row r="23" spans="2:13">
      <c r="B23" s="3">
        <v>22</v>
      </c>
      <c r="D23" s="4"/>
      <c r="F23" s="159">
        <f t="shared" si="1"/>
        <v>0</v>
      </c>
      <c r="G23" t="e">
        <f>VLOOKUP($C23,[1]약재관리!$A:$J,10,FALSE)</f>
        <v>#N/A</v>
      </c>
      <c r="H23" s="5" t="e">
        <f t="shared" si="2"/>
        <v>#N/A</v>
      </c>
      <c r="I23" s="6" t="e">
        <f t="shared" si="0"/>
        <v>#N/A</v>
      </c>
      <c r="K23" s="165" t="s">
        <v>385</v>
      </c>
      <c r="L23">
        <f>SUM(F2:F31)</f>
        <v>0</v>
      </c>
      <c r="M23" s="4" t="s">
        <v>22</v>
      </c>
    </row>
    <row r="24" spans="2:13">
      <c r="B24" s="3">
        <v>23</v>
      </c>
      <c r="D24" s="4"/>
      <c r="F24" s="159">
        <f t="shared" si="1"/>
        <v>0</v>
      </c>
      <c r="G24" t="e">
        <f>VLOOKUP($C24,[1]약재관리!$A:$J,10,FALSE)</f>
        <v>#N/A</v>
      </c>
      <c r="H24" s="5" t="e">
        <f t="shared" si="2"/>
        <v>#N/A</v>
      </c>
      <c r="I24" s="6" t="e">
        <f t="shared" si="0"/>
        <v>#N/A</v>
      </c>
      <c r="K24" s="165" t="s">
        <v>386</v>
      </c>
      <c r="L24">
        <v>5000</v>
      </c>
      <c r="M24" s="4" t="s">
        <v>20</v>
      </c>
    </row>
    <row r="25" spans="2:13">
      <c r="B25" s="3">
        <v>24</v>
      </c>
      <c r="D25" s="4"/>
      <c r="F25" s="159">
        <f t="shared" si="1"/>
        <v>0</v>
      </c>
      <c r="G25" t="e">
        <f>VLOOKUP($C25,[1]약재관리!$A:$J,10,FALSE)</f>
        <v>#N/A</v>
      </c>
      <c r="H25" s="5" t="e">
        <f t="shared" si="2"/>
        <v>#N/A</v>
      </c>
      <c r="I25" s="6" t="e">
        <f t="shared" si="0"/>
        <v>#N/A</v>
      </c>
      <c r="K25" s="165" t="s">
        <v>25</v>
      </c>
      <c r="L25" s="167" t="s">
        <v>387</v>
      </c>
      <c r="M25" s="4" t="s">
        <v>22</v>
      </c>
    </row>
    <row r="26" spans="2:13">
      <c r="B26" s="3">
        <v>25</v>
      </c>
      <c r="D26" s="4"/>
      <c r="F26" s="159">
        <f t="shared" si="1"/>
        <v>0</v>
      </c>
      <c r="G26" t="e">
        <f>VLOOKUP($C26,[1]약재관리!$A:$J,10,FALSE)</f>
        <v>#N/A</v>
      </c>
      <c r="H26" s="5" t="e">
        <f t="shared" si="2"/>
        <v>#N/A</v>
      </c>
      <c r="I26" s="6" t="e">
        <f t="shared" si="0"/>
        <v>#N/A</v>
      </c>
      <c r="K26" s="165" t="s">
        <v>26</v>
      </c>
      <c r="L26" s="167">
        <v>1600</v>
      </c>
      <c r="M26" s="4" t="s">
        <v>22</v>
      </c>
    </row>
    <row r="27" spans="2:13" ht="17.25" thickBot="1">
      <c r="B27" s="3">
        <v>26</v>
      </c>
      <c r="D27" s="4"/>
      <c r="F27" s="159">
        <f t="shared" si="1"/>
        <v>0</v>
      </c>
      <c r="G27" t="e">
        <f>VLOOKUP($C27,[1]약재관리!$A:$J,10,FALSE)</f>
        <v>#N/A</v>
      </c>
      <c r="H27" s="5" t="e">
        <f t="shared" si="2"/>
        <v>#N/A</v>
      </c>
      <c r="I27" s="6" t="e">
        <f t="shared" si="0"/>
        <v>#N/A</v>
      </c>
      <c r="K27" s="14" t="s">
        <v>388</v>
      </c>
      <c r="L27" s="11">
        <v>4</v>
      </c>
      <c r="M27" s="12" t="s">
        <v>22</v>
      </c>
    </row>
    <row r="28" spans="2:13" ht="17.25" thickBot="1">
      <c r="B28" s="3">
        <v>27</v>
      </c>
      <c r="D28" s="4"/>
      <c r="F28" s="159">
        <f t="shared" si="1"/>
        <v>0</v>
      </c>
      <c r="G28" t="e">
        <f>VLOOKUP($C28,[1]약재관리!$A:$J,10,FALSE)</f>
        <v>#N/A</v>
      </c>
      <c r="H28" s="5" t="e">
        <f t="shared" si="2"/>
        <v>#N/A</v>
      </c>
      <c r="I28" s="6" t="e">
        <f t="shared" si="0"/>
        <v>#N/A</v>
      </c>
      <c r="J28" s="165"/>
      <c r="K28" s="11"/>
      <c r="L28" s="11"/>
      <c r="M28" s="166"/>
    </row>
    <row r="29" spans="2:13" ht="17.25" thickBot="1">
      <c r="B29" s="3">
        <v>28</v>
      </c>
      <c r="D29" s="4"/>
      <c r="F29" s="159">
        <f t="shared" si="1"/>
        <v>0</v>
      </c>
      <c r="G29" t="e">
        <f>VLOOKUP($C29,[1]약재관리!$A:$J,10,FALSE)</f>
        <v>#N/A</v>
      </c>
      <c r="H29" s="5" t="e">
        <f t="shared" si="2"/>
        <v>#N/A</v>
      </c>
      <c r="I29" s="6" t="e">
        <f t="shared" si="0"/>
        <v>#N/A</v>
      </c>
      <c r="K29" s="170" t="s">
        <v>389</v>
      </c>
      <c r="L29" s="171"/>
      <c r="M29" s="172"/>
    </row>
    <row r="30" spans="2:13">
      <c r="B30" s="3">
        <v>29</v>
      </c>
      <c r="D30" s="4"/>
      <c r="F30" s="159">
        <f t="shared" si="1"/>
        <v>0</v>
      </c>
      <c r="G30" t="e">
        <f>VLOOKUP($C30,[1]약재관리!$A:$J,10,FALSE)</f>
        <v>#N/A</v>
      </c>
      <c r="H30" s="5" t="e">
        <f t="shared" si="2"/>
        <v>#N/A</v>
      </c>
      <c r="I30" s="6" t="e">
        <f t="shared" si="0"/>
        <v>#N/A</v>
      </c>
      <c r="K30" s="165" t="s">
        <v>25</v>
      </c>
      <c r="L30" s="5" t="e">
        <f>SUM(H2:H31)</f>
        <v>#N/A</v>
      </c>
      <c r="M30" s="4" t="s">
        <v>390</v>
      </c>
    </row>
    <row r="31" spans="2:13" ht="17.25" thickBot="1">
      <c r="B31" s="13">
        <v>30</v>
      </c>
      <c r="C31" s="14"/>
      <c r="D31" s="12"/>
      <c r="E31" s="158"/>
      <c r="F31" s="160">
        <f t="shared" si="1"/>
        <v>0</v>
      </c>
      <c r="G31" t="e">
        <f>VLOOKUP($C31,[1]약재관리!$A:$J,10,FALSE)</f>
        <v>#N/A</v>
      </c>
      <c r="H31" s="15" t="e">
        <f t="shared" si="2"/>
        <v>#N/A</v>
      </c>
      <c r="I31" s="16" t="e">
        <f t="shared" si="0"/>
        <v>#N/A</v>
      </c>
      <c r="K31" s="14" t="s">
        <v>391</v>
      </c>
      <c r="L31" s="15" t="e">
        <f>SUM(I2:I31)</f>
        <v>#N/A</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2026-04-22T00:36:00Z</dcterms:modified>
</cp:coreProperties>
</file>