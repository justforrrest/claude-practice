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74" documentId="8_{6EB8DC0A-AB56-415F-A9F3-EA1534264548}" xr6:coauthVersionLast="47" xr6:coauthVersionMax="47" xr10:uidLastSave="{8A6CCC2A-E9A9-46C9-B4A9-60BE84D6E475}"/>
  <bookViews>
    <workbookView xWindow="11850" yWindow="0" windowWidth="16875" windowHeight="15450" xr2:uid="{8B9F1886-173A-4475-B0CF-D9F36CE30773}"/>
  </bookViews>
  <sheets>
    <sheet name="처방전양식" sheetId="5" r:id="rId1"/>
    <sheet name="약재관리"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5" l="1"/>
  <c r="H22" i="5"/>
  <c r="H23" i="5"/>
  <c r="H25" i="5"/>
  <c r="I26" i="5"/>
  <c r="H27" i="5"/>
  <c r="I28" i="5"/>
  <c r="H29" i="5"/>
  <c r="F31" i="5"/>
  <c r="F30" i="5"/>
  <c r="F29" i="5"/>
  <c r="F28" i="5"/>
  <c r="F27" i="5"/>
  <c r="F26" i="5"/>
  <c r="F25" i="5"/>
  <c r="F24" i="5"/>
  <c r="F23" i="5"/>
  <c r="F22" i="5"/>
  <c r="F21" i="5"/>
  <c r="I21" i="5" s="1"/>
  <c r="F20" i="5"/>
  <c r="F19" i="5"/>
  <c r="L18" i="5"/>
  <c r="L19" i="5" s="1"/>
  <c r="L20" i="5" s="1"/>
  <c r="F18" i="5"/>
  <c r="J18" i="5" s="1"/>
  <c r="F17" i="5"/>
  <c r="J17" i="5" s="1"/>
  <c r="F16" i="5"/>
  <c r="J16" i="5" s="1"/>
  <c r="F15" i="5"/>
  <c r="J15" i="5" s="1"/>
  <c r="F14" i="5"/>
  <c r="J14" i="5" s="1"/>
  <c r="H13" i="5"/>
  <c r="F13" i="5"/>
  <c r="J13" i="5" s="1"/>
  <c r="H12" i="5"/>
  <c r="F12" i="5"/>
  <c r="J12" i="5" s="1"/>
  <c r="H11" i="5"/>
  <c r="F11" i="5"/>
  <c r="J11" i="5" s="1"/>
  <c r="H10" i="5"/>
  <c r="F10" i="5"/>
  <c r="J10" i="5" s="1"/>
  <c r="H9" i="5"/>
  <c r="F9" i="5"/>
  <c r="J9" i="5" s="1"/>
  <c r="H8" i="5"/>
  <c r="F8" i="5"/>
  <c r="J8" i="5" s="1"/>
  <c r="H7" i="5"/>
  <c r="F7" i="5"/>
  <c r="J7" i="5" s="1"/>
  <c r="G6" i="5"/>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 i="5" l="1"/>
  <c r="I15" i="5"/>
  <c r="I25" i="5"/>
  <c r="I23" i="5"/>
  <c r="I24" i="5"/>
  <c r="I5" i="5"/>
  <c r="I14" i="5"/>
  <c r="I3" i="5"/>
  <c r="I31" i="5"/>
  <c r="I19" i="5"/>
  <c r="I30" i="5"/>
  <c r="I18"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5" l="1"/>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<sst xmlns="http://schemas.openxmlformats.org/spreadsheetml/2006/main" count="551" uniqueCount="401">
  <si>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</si>
  <si>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</si>
  <si>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</si>
  <si>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</si>
  <si>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</si>
  <si>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</si>
  <si>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</si>
  <si>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</si>
  <si>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</si>
  <si>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</si>
  <si>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</si>
  <si>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</si>
  <si>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</si>
  <si>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</si>
  <si>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</si>
  <si>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</si>
  <si>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</si>
  <si>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</si>
  <si>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</si>
  <si>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</si>
  <si>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</si>
  <si>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</si>
  <si>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</si>
  <si>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</si>
  <si>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</si>
  <si>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</si>
  <si>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</si>
  <si>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</si>
  <si>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</si>
  <si>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</si>
  <si>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</si>
  <si>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</si>
  <si>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</si>
  <si>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</si>
  <si>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</si>
  <si>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</si>
  <si>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</si>
  <si>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</si>
  <si>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</si>
  <si>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</si>
  <si>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</si>
  <si>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</si>
  <si>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</si>
  <si>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</si>
  <si>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</si>
  <si>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</si>
  <si>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</si>
  <si>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</si>
  <si>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</si>
  <si>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</si>
  <si>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</si>
  <si>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</si>
  <si>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</si>
  <si>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</si>
  <si>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</si>
  <si>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</si>
  <si>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</si>
  <si>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</si>
  <si>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</si>
  <si>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</si>
  <si>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</si>
  <si>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</si>
  <si>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</si>
  <si>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</si>
  <si>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</si>
  <si>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</si>
  <si>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</si>
  <si>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</si>
  <si>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</si>
  <si>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</si>
  <si>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</si>
  <si>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</si>
  <si>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</si>
  <si>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</si>
  <si>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</si>
  <si>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</si>
  <si>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</si>
  <si>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</si>
  <si>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</si>
  <si>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</si>
  <si>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</si>
  <si>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</si>
  <si>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</si>
  <si>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</si>
  <si>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</si>
  <si>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</si>
  <si>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</si>
  <si>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</si>
  <si>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</si>
  <si>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</si>
  <si>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</si>
  <si>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</si>
  <si>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</si>
  <si>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</si>
  <si>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</si>
  <si>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</si>
  <si>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</si>
  <si>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</si>
  <si>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</si>
  <si>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</si>
  <si>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</si>
  <si>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</si>
  <si>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</si>
  <si>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</si>
  <si>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</si>
  <si>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</si>
  <si>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</si>
  <si>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</si>
  <si>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</si>
  <si>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</si>
  <si>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</si>
  <si>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</si>
  <si>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</si>
  <si>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</si>
  <si>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</si>
  <si>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</si>
  <si>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</si>
  <si>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</si>
  <si>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</si>
  <si>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</si>
  <si>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</si>
  <si>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</si>
  <si>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</si>
  <si>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</si>
  <si>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</si>
  <si>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</si>
  <si>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</si>
  <si>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</si>
  <si>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</si>
  <si>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</si>
  <si>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</si>
  <si>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</si>
  <si>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</si>
  <si>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</si>
  <si>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</si>
  <si>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</si>
  <si>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</si>
  <si>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</si>
  <si>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</si>
  <si>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</si>
  <si>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</si>
  <si>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</si>
  <si>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</si>
  <si>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</si>
  <si>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</si>
  <si>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</si>
  <si>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</si>
  <si>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</si>
  <si>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</si>
  <si>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</si>
  <si>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</si>
  <si>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</si>
  <si>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</si>
  <si>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</si>
  <si>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</si>
  <si>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</si>
  <si>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</si>
  <si>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</si>
  <si>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</si>
  <si>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</si>
  <si>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</si>
  <si>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</si>
  <si>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</si>
  <si>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</si>
  <si>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</si>
  <si>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</si>
  <si>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</si>
  <si>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</si>
  <si>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</si>
  <si>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</si>
  <si>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</si>
  <si>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</si>
  <si>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</si>
  <si>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</si>
  <si>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</si>
  <si>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</si>
  <si>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</si>
  <si>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</si>
  <si>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</si>
  <si>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</si>
  <si>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</si>
  <si>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</si>
  <si>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</si>
  <si>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</si>
  <si>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</si>
  <si>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</si>
  <si>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</si>
  <si>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</si>
  <si>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</si>
  <si>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</si>
  <si>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</si>
  <si>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</si>
  <si>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</si>
  <si>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</si>
  <si>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</si>
  <si>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</si>
  <si>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</si>
  <si>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</si>
  <si>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</si>
  <si>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</si>
  <si>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</si>
  <si>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</si>
  <si>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</si>
  <si>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</si>
  <si>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</si>
  <si>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</si>
  <si>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</si>
  <si>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</si>
  <si>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</si>
  <si>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</si>
  <si>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</si>
  <si>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</si>
  <si>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</si>
  <si>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</si>
  <si>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</si>
  <si>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</si>
  <si>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</si>
  <si>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</si>
  <si>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</si>
  <si>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</si>
  <si>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</si>
  <si>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</si>
  <si>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</si>
  <si>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</si>
  <si>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</si>
  <si>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</si>
  <si>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</si>
  <si>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</si>
  <si>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</si>
  <si>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</si>
  <si>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</si>
  <si>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</si>
  <si>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</si>
  <si>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</si>
  <si>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</si>
  <si>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</si>
  <si>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</si>
  <si>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</si>
  <si>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</si>
  <si>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</si>
  <si>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</si>
  <si>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</si>
  <si>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</si>
  <si>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</si>
  <si>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</si>
  <si>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</si>
  <si>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</si>
  <si>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</si>
  <si>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</si>
  <si>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</si>
  <si>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</si>
  <si>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</si>
  <si>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</si>
  <si>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</si>
  <si>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</si>
  <si>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</si>
  <si>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</si>
  <si>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</si>
  <si>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</si>
  <si>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</si>
  <si>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</si>
  <si>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</si>
  <si>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</si>
  <si>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</si>
  <si>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</si>
  <si>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</si>
  <si>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</si>
  <si>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</si>
  <si>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</si>
  <si>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</si>
  <si>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</si>
  <si>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</si>
  <si>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</si>
  <si>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</si>
  <si>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</si>
  <si>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</si>
  <si>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</si>
  <si>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</si>
  <si>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</si>
  <si>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</si>
  <si>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</si>
  <si>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</si>
  <si>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</si>
  <si>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</si>
  <si>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</si>
  <si>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</si>
  <si>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</si>
  <si>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</si>
  <si>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</si>
  <si>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</si>
  <si>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</si>
  <si>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</si>
  <si>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</si>
  <si>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</si>
  <si>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</si>
  <si>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</si>
  <si>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</si>
  <si>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</si>
  <si>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</si>
  <si>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</si>
  <si>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</si>
  <si>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</si>
  <si>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</si>
  <si>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</si>
  <si>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</si>
  <si>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</si>
  <si>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</si>
  <si>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</si>
  <si>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</si>
  <si>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</si>
  <si>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</si>
  <si>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</si>
  <si>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</si>
  <si>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</si>
  <si>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</si>
  <si>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</si>
  <si>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</si>
  <si>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</si>
  <si>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</si>
  <si>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</si>
  <si>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</si>
  <si>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</si>
  <si>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</si>
  <si>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</si>
  <si>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</si>
  <si>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</si>
  <si>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</si>
  <si>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</si>
  <si>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</si>
  <si>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</si>
  <si>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</si>
  <si>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</si>
  <si>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</si>
  <si>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</si>
  <si>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</si>
  <si>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</si>
  <si>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</si>
  <si>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</si>
  <si>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</si>
  <si>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</si>
  <si>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</si>
  <si>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</si>
  <si>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</si>
  <si>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</si>
  <si>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</si>
  <si>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</si>
  <si>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</si>
  <si>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</si>
  <si>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</si>
  <si>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</si>
  <si>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</si>
  <si>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</si>
  <si>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</si>
  <si>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</si>
  <si>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</si>
  <si>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</si>
  <si>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</si>
  <si>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</si>
  <si>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</si>
  <si>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</si>
  <si>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</si>
  <si>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</si>
  <si>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</si>
  <si>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</si>
  <si>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</si>
  <si>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</si>
  <si>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</si>
  <si>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</si>
  <si>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</si>
  <si>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</si>
  <si>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</si>
  <si>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</si>
  <si>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</si>
  <si>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</si>
  <si>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</si>
  <si>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</si>
  <si>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</si>
  <si>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</si>
  <si>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</si>
  <si>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</si>
  <si>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</si>
  <si>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</si>
  <si>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</si>
  <si>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</si>
  <si>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</si>
  <si>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</si>
  <si>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</si>
  <si>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</si>
  <si>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</si>
  <si>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</si>
  <si>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</si>
  <si>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</si>
  <si>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백작약</t>
    <phoneticPr fontId="5" type="noConversion"/>
  </si>
  <si>
    <t>육계</t>
    <phoneticPr fontId="5" type="noConversion"/>
  </si>
  <si>
    <t>F</t>
    <phoneticPr fontId="5" type="noConversion"/>
  </si>
  <si>
    <t>박소연</t>
    <phoneticPr fontId="5" type="noConversion"/>
  </si>
  <si>
    <t>복령</t>
    <phoneticPr fontId="5" type="noConversion"/>
  </si>
  <si>
    <t>도인</t>
    <phoneticPr fontId="5" type="noConversion"/>
  </si>
  <si>
    <t>계지복령환</t>
    <phoneticPr fontId="5" type="noConversion"/>
  </si>
  <si>
    <t>목단피</t>
    <phoneticPr fontId="5" type="noConversion"/>
  </si>
  <si>
    <t>족랭, 오한, 변비, 입 주변 여드름, 알러지</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</si>
</sst>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31000</v>
          </cell>
          <cell r="E8"/>
          <cell r="F8">
            <v>54.4</v>
          </cell>
          <cell r="G8">
            <v>40</v>
          </cell>
          <cell r="H8">
            <v>62</v>
          </cell>
          <cell r="I8">
            <v>0</v>
          </cell>
          <cell r="J8">
            <v>40</v>
          </cell>
        </row>
        <row r="9">
          <cell r="A9" t="str">
            <v>강활2</v>
          </cell>
          <cell r="B9"/>
          <cell r="C9">
            <v>21000</v>
          </cell>
          <cell r="D9">
            <v>30000</v>
          </cell>
          <cell r="E9">
            <v>27400</v>
          </cell>
          <cell r="F9">
            <v>0</v>
          </cell>
          <cell r="G9">
            <v>35</v>
          </cell>
          <cell r="H9">
            <v>60</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35600</v>
          </cell>
          <cell r="E19">
            <v>41600</v>
          </cell>
          <cell r="F19">
            <v>0</v>
          </cell>
          <cell r="G19">
            <v>0</v>
          </cell>
          <cell r="H19">
            <v>71.2</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5400</v>
          </cell>
          <cell r="F97">
            <v>0</v>
          </cell>
          <cell r="G97">
            <v>11.666666666666666</v>
          </cell>
          <cell r="H97">
            <v>8.4</v>
          </cell>
          <cell r="I97">
            <v>9</v>
          </cell>
          <cell r="J97">
            <v>9</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78000</v>
          </cell>
          <cell r="E157">
            <v>81000</v>
          </cell>
          <cell r="F157">
            <v>0</v>
          </cell>
          <cell r="G157">
            <v>100</v>
          </cell>
          <cell r="H157">
            <v>130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13000</v>
          </cell>
          <cell r="F186">
            <v>63.8</v>
          </cell>
          <cell r="G186">
            <v>28.333333333333332</v>
          </cell>
          <cell r="H186">
            <v>0</v>
          </cell>
          <cell r="I186">
            <v>21.666666666666668</v>
          </cell>
          <cell r="J186">
            <v>21.7</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10100</v>
          </cell>
          <cell r="F221">
            <v>0</v>
          </cell>
          <cell r="G221">
            <v>40</v>
          </cell>
          <cell r="H221">
            <v>22</v>
          </cell>
          <cell r="I221">
            <v>16.833333333333332</v>
          </cell>
          <cell r="J221">
            <v>16.8</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393</v>
      </c>
      <c r="D2" s="4"/>
      <c r="E2" s="156">
        <v>6</v>
      </c>
      <c r="F2" s="163">
        <f>E2*$L$15</f>
        <v>180</v>
      </c>
      <c r="G2">
        <f>VLOOKUP($C2,[1]약재관리!$A:$J,10,FALSE)</f>
        <v>14.8</v>
      </c>
      <c r="H2" s="5">
        <f>G2*E2</f>
        <v>88.800000000000011</v>
      </c>
      <c r="I2" s="6">
        <f t="shared" ref="I2:I31" si="0">G2*F2</f>
        <v>2664</v>
      </c>
      <c r="J2" s="157">
        <f>F2/$L$14</f>
        <v>12</v>
      </c>
      <c r="K2" s="7" t="s">
        <v>6</v>
      </c>
      <c r="L2" s="173">
        <v>201</v>
      </c>
      <c r="M2" s="174"/>
    </row>
    <row r="3" spans="2:13">
      <c r="B3" s="3">
        <v>2</v>
      </c>
      <c r="C3" t="s">
        <v>396</v>
      </c>
      <c r="D3" s="4"/>
      <c r="E3" s="156">
        <v>6</v>
      </c>
      <c r="F3" s="159">
        <f t="shared" ref="F3:F31" si="1">E3*$L$15</f>
        <v>180</v>
      </c>
      <c r="G3">
        <f>VLOOKUP($C3,[1]약재관리!$A:$J,10,FALSE)</f>
        <v>8.6999999999999993</v>
      </c>
      <c r="H3" s="5">
        <f t="shared" ref="H3:H31" si="2">G3*E3</f>
        <v>52.199999999999996</v>
      </c>
      <c r="I3" s="6">
        <f t="shared" si="0"/>
        <v>1565.9999999999998</v>
      </c>
      <c r="J3" s="157">
        <f t="shared" ref="J3:J18" si="3">F3/$L$14</f>
        <v>12</v>
      </c>
      <c r="K3" s="8" t="s">
        <v>7</v>
      </c>
      <c r="L3" s="168" t="s">
        <v>398</v>
      </c>
      <c r="M3" s="169"/>
    </row>
    <row r="4" spans="2:13">
      <c r="B4" s="3">
        <v>3</v>
      </c>
      <c r="C4" t="s">
        <v>399</v>
      </c>
      <c r="D4" s="4"/>
      <c r="E4" s="156">
        <v>6</v>
      </c>
      <c r="F4" s="159">
        <f t="shared" si="1"/>
        <v>180</v>
      </c>
      <c r="G4">
        <f>VLOOKUP($C4,[1]약재관리!$A:$J,10,FALSE)</f>
        <v>33.700000000000003</v>
      </c>
      <c r="H4" s="5">
        <f t="shared" si="2"/>
        <v>202.20000000000002</v>
      </c>
      <c r="I4" s="6">
        <f t="shared" si="0"/>
        <v>6066.0000000000009</v>
      </c>
      <c r="J4" s="157">
        <f t="shared" si="3"/>
        <v>12</v>
      </c>
      <c r="K4" s="8" t="s">
        <v>8</v>
      </c>
      <c r="L4" s="175">
        <v>46155</v>
      </c>
      <c r="M4" s="169"/>
    </row>
    <row r="5" spans="2:13">
      <c r="B5" s="3">
        <v>4</v>
      </c>
      <c r="C5" t="s">
        <v>397</v>
      </c>
      <c r="D5" s="4"/>
      <c r="E5" s="156">
        <v>6</v>
      </c>
      <c r="F5" s="159">
        <f t="shared" si="1"/>
        <v>180</v>
      </c>
      <c r="G5">
        <f>VLOOKUP($C5,[1]약재관리!$A:$J,10,FALSE)</f>
        <v>13.3</v>
      </c>
      <c r="H5" s="5">
        <f t="shared" si="2"/>
        <v>79.800000000000011</v>
      </c>
      <c r="I5" s="6">
        <f t="shared" si="0"/>
        <v>2394</v>
      </c>
      <c r="J5" s="157">
        <f t="shared" si="3"/>
        <v>12</v>
      </c>
      <c r="K5" s="8" t="s">
        <v>9</v>
      </c>
      <c r="L5" s="168" t="s">
        <v>395</v>
      </c>
      <c r="M5" s="169"/>
    </row>
    <row r="6" spans="2:13">
      <c r="B6" s="3">
        <v>5</v>
      </c>
      <c r="C6" t="s">
        <v>392</v>
      </c>
      <c r="D6" s="4"/>
      <c r="E6" s="156">
        <v>6</v>
      </c>
      <c r="F6" s="159">
        <f t="shared" si="1"/>
        <v>180</v>
      </c>
      <c r="G6">
        <f>VLOOKUP($C6,[1]약재관리!$A:$J,10,FALSE)</f>
        <v>19.600000000000001</v>
      </c>
      <c r="H6" s="5">
        <f t="shared" si="2"/>
        <v>117.60000000000001</v>
      </c>
      <c r="I6" s="6">
        <f t="shared" si="0"/>
        <v>3528.0000000000005</v>
      </c>
      <c r="J6" s="157">
        <f t="shared" si="3"/>
        <v>12</v>
      </c>
      <c r="K6" s="8" t="s">
        <v>10</v>
      </c>
      <c r="L6" s="168">
        <v>28</v>
      </c>
      <c r="M6" s="169"/>
    </row>
    <row r="7" spans="2:13" ht="17.25" thickBot="1">
      <c r="B7" s="3">
        <v>6</v>
      </c>
      <c r="D7" s="4"/>
      <c r="F7" s="159">
        <f t="shared" si="1"/>
        <v>0</v>
      </c>
      <c r="H7" s="5">
        <f t="shared" si="2"/>
        <v>0</v>
      </c>
      <c r="I7" s="6">
        <f t="shared" si="0"/>
        <v>0</v>
      </c>
      <c r="J7" s="157">
        <f t="shared" si="3"/>
        <v>0</v>
      </c>
      <c r="K7" s="8" t="s">
        <v>11</v>
      </c>
      <c r="L7" s="176" t="s">
        <v>394</v>
      </c>
      <c r="M7" s="177"/>
    </row>
    <row r="8" spans="2:13" ht="17.25" thickBot="1">
      <c r="B8" s="3">
        <v>7</v>
      </c>
      <c r="D8" s="4"/>
      <c r="F8" s="159">
        <f t="shared" si="1"/>
        <v>0</v>
      </c>
      <c r="H8" s="5">
        <f t="shared" si="2"/>
        <v>0</v>
      </c>
      <c r="I8" s="6">
        <f t="shared" si="0"/>
        <v>0</v>
      </c>
      <c r="J8" s="157">
        <f t="shared" si="3"/>
        <v>0</v>
      </c>
      <c r="K8" s="170" t="s">
        <v>12</v>
      </c>
      <c r="L8" s="171"/>
      <c r="M8" s="172"/>
    </row>
    <row r="9" spans="2:13">
      <c r="B9" s="3">
        <v>8</v>
      </c>
      <c r="D9" s="4"/>
      <c r="F9" s="159">
        <f t="shared" si="1"/>
        <v>0</v>
      </c>
      <c r="H9" s="5">
        <f t="shared" si="2"/>
        <v>0</v>
      </c>
      <c r="I9" s="6">
        <f t="shared" si="0"/>
        <v>0</v>
      </c>
      <c r="J9" s="157">
        <f t="shared" si="3"/>
        <v>0</v>
      </c>
      <c r="K9" s="178" t="s">
        <v>400</v>
      </c>
      <c r="L9" s="179"/>
      <c r="M9" s="180"/>
    </row>
    <row r="10" spans="2:13">
      <c r="B10" s="3">
        <v>9</v>
      </c>
      <c r="D10" s="4"/>
      <c r="F10" s="159">
        <f t="shared" si="1"/>
        <v>0</v>
      </c>
      <c r="H10" s="5">
        <f t="shared" si="2"/>
        <v>0</v>
      </c>
      <c r="I10" s="6">
        <f t="shared" si="0"/>
        <v>0</v>
      </c>
      <c r="J10" s="157">
        <f t="shared" si="3"/>
        <v>0</v>
      </c>
      <c r="K10" s="181"/>
      <c r="L10" s="182"/>
      <c r="M10" s="183"/>
    </row>
    <row r="11" spans="2:13">
      <c r="B11" s="3">
        <v>10</v>
      </c>
      <c r="D11" s="4"/>
      <c r="F11" s="159">
        <f t="shared" si="1"/>
        <v>0</v>
      </c>
      <c r="H11" s="5">
        <f t="shared" si="2"/>
        <v>0</v>
      </c>
      <c r="I11" s="6">
        <f t="shared" si="0"/>
        <v>0</v>
      </c>
      <c r="J11" s="157">
        <f t="shared" si="3"/>
        <v>0</v>
      </c>
      <c r="K11" s="181"/>
      <c r="L11" s="182"/>
      <c r="M11" s="183"/>
    </row>
    <row r="12" spans="2:13">
      <c r="B12" s="3">
        <v>11</v>
      </c>
      <c r="D12" s="4"/>
      <c r="F12" s="159">
        <f t="shared" si="1"/>
        <v>0</v>
      </c>
      <c r="H12" s="5">
        <f t="shared" si="2"/>
        <v>0</v>
      </c>
      <c r="I12" s="6">
        <f t="shared" si="0"/>
        <v>0</v>
      </c>
      <c r="J12" s="157">
        <f t="shared" si="3"/>
        <v>0</v>
      </c>
      <c r="K12" s="181"/>
      <c r="L12" s="182"/>
      <c r="M12" s="183"/>
    </row>
    <row r="13" spans="2:13" ht="17.25" thickBot="1">
      <c r="B13" s="3">
        <v>12</v>
      </c>
      <c r="D13" s="4"/>
      <c r="F13" s="159">
        <f t="shared" si="1"/>
        <v>0</v>
      </c>
      <c r="H13" s="5">
        <f t="shared" si="2"/>
        <v>0</v>
      </c>
      <c r="I13" s="6">
        <f t="shared" si="0"/>
        <v>0</v>
      </c>
      <c r="J13" s="157">
        <f t="shared" si="3"/>
        <v>0</v>
      </c>
      <c r="K13" s="184"/>
      <c r="L13" s="185"/>
      <c r="M13" s="186"/>
    </row>
    <row r="14" spans="2:13">
      <c r="B14" s="3">
        <v>13</v>
      </c>
      <c r="D14" s="4"/>
      <c r="F14" s="159">
        <f t="shared" si="1"/>
        <v>0</v>
      </c>
      <c r="H14" s="5">
        <f>G14*E14</f>
        <v>0</v>
      </c>
      <c r="I14" s="6">
        <f>G14*F14</f>
        <v>0</v>
      </c>
      <c r="J14" s="157">
        <f t="shared" si="3"/>
        <v>0</v>
      </c>
      <c r="K14" s="164" t="s">
        <v>13</v>
      </c>
      <c r="L14" s="9">
        <v>15</v>
      </c>
      <c r="M14" s="10" t="s">
        <v>14</v>
      </c>
    </row>
    <row r="15" spans="2:13">
      <c r="B15" s="3">
        <v>14</v>
      </c>
      <c r="D15" s="4"/>
      <c r="F15" s="159">
        <f t="shared" si="1"/>
        <v>0</v>
      </c>
      <c r="H15" s="5">
        <f>G15*E15</f>
        <v>0</v>
      </c>
      <c r="I15" s="6">
        <f>G15*F15</f>
        <v>0</v>
      </c>
      <c r="J15" s="157">
        <f t="shared" si="3"/>
        <v>0</v>
      </c>
      <c r="K15" s="165" t="s">
        <v>15</v>
      </c>
      <c r="L15">
        <v>30</v>
      </c>
      <c r="M15" s="4" t="s">
        <v>16</v>
      </c>
    </row>
    <row r="16" spans="2:13">
      <c r="B16" s="3">
        <v>15</v>
      </c>
      <c r="D16" s="4"/>
      <c r="F16" s="159">
        <f t="shared" si="1"/>
        <v>0</v>
      </c>
      <c r="H16" s="5">
        <f t="shared" si="2"/>
        <v>0</v>
      </c>
      <c r="I16" s="6">
        <f t="shared" si="0"/>
        <v>0</v>
      </c>
      <c r="J16" s="157">
        <f t="shared" si="3"/>
        <v>0</v>
      </c>
      <c r="K16" s="165" t="s">
        <v>17</v>
      </c>
      <c r="L16">
        <v>30</v>
      </c>
      <c r="M16" s="4" t="s">
        <v>18</v>
      </c>
    </row>
    <row r="17" spans="2:13" ht="17.25" thickBot="1">
      <c r="B17" s="3">
        <v>16</v>
      </c>
      <c r="D17" s="4"/>
      <c r="F17" s="159">
        <f t="shared" si="1"/>
        <v>0</v>
      </c>
      <c r="H17" s="5">
        <f t="shared" si="2"/>
        <v>0</v>
      </c>
      <c r="I17" s="6">
        <f t="shared" si="0"/>
        <v>0</v>
      </c>
      <c r="J17" s="157">
        <f t="shared" si="3"/>
        <v>0</v>
      </c>
      <c r="K17" s="14" t="s">
        <v>19</v>
      </c>
      <c r="L17" s="11">
        <v>110</v>
      </c>
      <c r="M17" s="12" t="s">
        <v>20</v>
      </c>
    </row>
    <row r="18" spans="2:13">
      <c r="B18" s="3">
        <v>17</v>
      </c>
      <c r="D18" s="4"/>
      <c r="F18" s="159">
        <f t="shared" si="1"/>
        <v>0</v>
      </c>
      <c r="H18" s="5">
        <f t="shared" si="2"/>
        <v>0</v>
      </c>
      <c r="I18" s="6">
        <f t="shared" si="0"/>
        <v>0</v>
      </c>
      <c r="J18" s="157">
        <f t="shared" si="3"/>
        <v>0</v>
      </c>
      <c r="K18" s="164" t="s">
        <v>21</v>
      </c>
      <c r="L18" s="9">
        <f>SUM(E2:E31)</f>
        <v>30</v>
      </c>
      <c r="M18" s="10" t="s">
        <v>22</v>
      </c>
    </row>
    <row r="19" spans="2:13">
      <c r="B19" s="3">
        <v>18</v>
      </c>
      <c r="D19" s="4"/>
      <c r="F19" s="159">
        <f t="shared" si="1"/>
        <v>0</v>
      </c>
      <c r="H19" s="5">
        <f t="shared" si="2"/>
        <v>0</v>
      </c>
      <c r="I19" s="6">
        <f t="shared" si="0"/>
        <v>0</v>
      </c>
      <c r="K19" s="165" t="s">
        <v>23</v>
      </c>
      <c r="L19">
        <f>L15*L18</f>
        <v>900</v>
      </c>
      <c r="M19" s="4" t="s">
        <v>22</v>
      </c>
    </row>
    <row r="20" spans="2:13" ht="17.25" thickBot="1">
      <c r="B20" s="3">
        <v>19</v>
      </c>
      <c r="D20" s="4"/>
      <c r="F20" s="159">
        <f t="shared" si="1"/>
        <v>0</v>
      </c>
      <c r="H20" s="5">
        <f t="shared" si="2"/>
        <v>0</v>
      </c>
      <c r="I20" s="6">
        <f t="shared" si="0"/>
        <v>0</v>
      </c>
      <c r="K20" s="14" t="s">
        <v>24</v>
      </c>
      <c r="L20" s="11">
        <f>L16*L17+L19*1.3+400</f>
        <v>4870</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900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540.6</v>
      </c>
      <c r="M30" s="4" t="s">
        <v>390</v>
      </c>
    </row>
    <row r="31" spans="2:13" ht="17.25" thickBot="1">
      <c r="B31" s="13">
        <v>30</v>
      </c>
      <c r="C31" s="14"/>
      <c r="D31" s="12"/>
      <c r="E31" s="158"/>
      <c r="F31" s="160">
        <f t="shared" si="1"/>
        <v>0</v>
      </c>
      <c r="H31" s="15">
        <f t="shared" si="2"/>
        <v>0</v>
      </c>
      <c r="I31" s="16">
        <f t="shared" si="0"/>
        <v>0</v>
      </c>
      <c r="K31" s="14" t="s">
        <v>391</v>
      </c>
      <c r="L31" s="15">
        <f>SUM(I2:I31)</f>
        <v>16218</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2026-05-04T05:03:20Z</cp:lastPrinted>
  <dcterms:created xsi:type="dcterms:W3CDTF">2024-09-12T16:35:01Z</dcterms:created>
  <dcterms:modified xsi:type="dcterms:W3CDTF">2026-05-13T01:01:14Z</dcterms:modified>
</cp:coreProperties>
</file>